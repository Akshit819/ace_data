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575e4d39951aa7/ADITI/Template/"/>
    </mc:Choice>
  </mc:AlternateContent>
  <xr:revisionPtr revIDLastSave="1746" documentId="1_{F78C4A57-363C-4DCD-88EE-B5049085D53F}" xr6:coauthVersionLast="47" xr6:coauthVersionMax="47" xr10:uidLastSave="{1200039D-BE9D-4F00-BF3B-2AA92C6A51C9}"/>
  <bookViews>
    <workbookView xWindow="-120" yWindow="-120" windowWidth="29040" windowHeight="15720" tabRatio="774" activeTab="1" xr2:uid="{00000000-000D-0000-FFFF-FFFF00000000}"/>
  </bookViews>
  <sheets>
    <sheet name="Template" sheetId="1" r:id="rId1"/>
    <sheet name="Annual Raw" sheetId="125" r:id="rId2"/>
    <sheet name="QTR Raw" sheetId="130" r:id="rId3"/>
    <sheet name="QTR Share Price" sheetId="132" r:id="rId4"/>
    <sheet name="Share price Daily" sheetId="133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4" i="1" l="1"/>
  <c r="AH103" i="1"/>
  <c r="AE113" i="1" l="1"/>
  <c r="AD113" i="1"/>
  <c r="AC113" i="1"/>
  <c r="AB113" i="1"/>
  <c r="AE111" i="1"/>
  <c r="AD111" i="1"/>
  <c r="AC111" i="1"/>
  <c r="AB111" i="1"/>
  <c r="AE110" i="1"/>
  <c r="AD110" i="1"/>
  <c r="AC110" i="1"/>
  <c r="AB110" i="1"/>
  <c r="AA110" i="1"/>
  <c r="AE101" i="1"/>
  <c r="AD101" i="1"/>
  <c r="AC101" i="1"/>
  <c r="AB101" i="1"/>
  <c r="AE119" i="1"/>
  <c r="AD119" i="1"/>
  <c r="AC119" i="1"/>
  <c r="AB119" i="1"/>
  <c r="AE118" i="1"/>
  <c r="AD118" i="1"/>
  <c r="AC118" i="1"/>
  <c r="AB118" i="1"/>
  <c r="AE117" i="1"/>
  <c r="AD117" i="1"/>
  <c r="AC117" i="1"/>
  <c r="AB117" i="1"/>
  <c r="AE116" i="1"/>
  <c r="AD116" i="1"/>
  <c r="AC116" i="1"/>
  <c r="AB116" i="1"/>
  <c r="AE115" i="1"/>
  <c r="AD115" i="1"/>
  <c r="AC115" i="1"/>
  <c r="AB115" i="1"/>
  <c r="AE114" i="1"/>
  <c r="AD114" i="1"/>
  <c r="AC114" i="1"/>
  <c r="AB114" i="1"/>
  <c r="AA114" i="1"/>
  <c r="N95" i="125" a="1"/>
  <c r="X95" i="125" a="1"/>
  <c r="T95" i="125" a="1"/>
  <c r="L95" i="125" a="1"/>
  <c r="E95" i="125" a="1"/>
  <c r="W95" i="125" a="1"/>
  <c r="J96" i="125" a="1"/>
  <c r="C95" i="125" a="1"/>
  <c r="M95" i="125" a="1"/>
  <c r="I96" i="125" a="1"/>
  <c r="J95" i="125" a="1"/>
  <c r="M96" i="125" a="1"/>
  <c r="W96" i="125" a="1"/>
  <c r="AF96" i="125" a="1"/>
  <c r="N96" i="125" a="1"/>
  <c r="X96" i="125" a="1"/>
  <c r="G95" i="125" a="1"/>
  <c r="Q96" i="125" a="1"/>
  <c r="AA95" i="125" a="1"/>
  <c r="G96" i="125" a="1"/>
  <c r="R95" i="125" a="1"/>
  <c r="Y95" i="125" a="1"/>
  <c r="E96" i="125" a="1"/>
  <c r="O96" i="125" a="1"/>
  <c r="D96" i="125" a="1"/>
  <c r="K96" i="125" a="1"/>
  <c r="F95" i="125" a="1"/>
  <c r="P95" i="125" a="1"/>
  <c r="AD96" i="125" a="1"/>
  <c r="S96" i="125" a="1"/>
  <c r="S95" i="125" a="1"/>
  <c r="AC95" i="125" a="1"/>
  <c r="Z96" i="125" a="1"/>
  <c r="P96" i="125" a="1"/>
  <c r="AC96" i="125" a="1"/>
  <c r="V96" i="125" a="1"/>
  <c r="C96" i="125" a="1"/>
  <c r="AB95" i="125" a="1"/>
  <c r="R96" i="125" a="1"/>
  <c r="H95" i="125" a="1"/>
  <c r="AA96" i="125" a="1"/>
  <c r="Q95" i="125" a="1"/>
  <c r="H96" i="125" a="1"/>
  <c r="AB96" i="125" a="1"/>
  <c r="AE95" i="125" a="1"/>
  <c r="U96" i="125" a="1"/>
  <c r="AE96" i="125" a="1"/>
  <c r="I95" i="125" a="1"/>
  <c r="D95" i="125" a="1"/>
  <c r="V95" i="125" a="1"/>
  <c r="AF95" i="125" a="1"/>
  <c r="F96" i="125" a="1"/>
  <c r="T96" i="125" a="1"/>
  <c r="AD95" i="125" a="1"/>
  <c r="L96" i="125" a="1"/>
  <c r="O95" i="125" a="1"/>
  <c r="K95" i="125" a="1"/>
  <c r="U95" i="125" a="1"/>
  <c r="Y96" i="125" a="1"/>
  <c r="Z95" i="125" a="1"/>
  <c r="S103" i="1" s="1"/>
  <c r="K104" i="1" s="1"/>
  <c r="R103" i="1" s="1"/>
  <c r="P104" i="1" s="1"/>
  <c r="C104" i="1" s="1"/>
  <c r="M103" i="1" s="1"/>
  <c r="J103" i="1" s="1"/>
  <c r="X104" i="1" s="1"/>
  <c r="O103" i="1" s="1"/>
  <c r="Y104" i="1" s="1"/>
  <c r="I104" i="1" s="1"/>
  <c r="AH111" i="1"/>
  <c r="AJ133" i="1"/>
  <c r="I103" i="1" l="1"/>
  <c r="P103" i="1" s="1"/>
  <c r="N104" i="1" s="1"/>
  <c r="E103" i="1" s="1"/>
  <c r="S104" i="1" s="1"/>
  <c r="Z103" i="1" s="1"/>
  <c r="B103" i="1" s="1"/>
  <c r="H104" i="1" s="1"/>
  <c r="C103" i="1" s="1"/>
  <c r="Q104" i="1" s="1"/>
  <c r="Y103" i="1" s="1"/>
  <c r="X103" i="1" s="1"/>
  <c r="H103" i="1" s="1"/>
  <c r="V104" i="1" s="1"/>
  <c r="F104" i="1" s="1"/>
  <c r="K103" i="1" s="1"/>
  <c r="W104" i="1" s="1"/>
  <c r="O104" i="1" s="1"/>
  <c r="G104" i="1" s="1"/>
  <c r="U103" i="1" s="1"/>
  <c r="V103" i="1" s="1"/>
  <c r="N103" i="1" s="1"/>
  <c r="F103" i="1" s="1"/>
  <c r="T104" i="1" s="1"/>
  <c r="L104" i="1" s="1"/>
  <c r="D104" i="1" s="1"/>
  <c r="W103" i="1" s="1"/>
  <c r="G103" i="1" s="1"/>
  <c r="U104" i="1" s="1"/>
  <c r="M104" i="1" s="1"/>
  <c r="E104" i="1" s="1"/>
  <c r="Q103" i="1" s="1"/>
  <c r="T103" i="1" s="1"/>
  <c r="L103" i="1" s="1"/>
  <c r="D103" i="1" s="1"/>
  <c r="Z104" i="1" s="1"/>
  <c r="R104" i="1" s="1"/>
  <c r="J104" i="1" s="1"/>
  <c r="B104" i="1" s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AE36" i="1" l="1"/>
  <c r="AE35" i="1"/>
  <c r="AD36" i="1"/>
  <c r="AD35" i="1"/>
  <c r="AC36" i="1"/>
  <c r="AC35" i="1"/>
  <c r="A1" i="130" l="1"/>
  <c r="AB35" i="1" l="1"/>
  <c r="AB36" i="1"/>
  <c r="N1" i="1" l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l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BA92" i="130" a="1"/>
  <c r="AE91" i="130" a="1"/>
  <c r="N99" i="130" a="1"/>
  <c r="K98" i="130" a="1"/>
  <c r="H97" i="130" a="1"/>
  <c r="E96" i="130" a="1"/>
  <c r="BK94" i="130" a="1"/>
  <c r="BH93" i="130" a="1"/>
  <c r="Y92" i="130" a="1"/>
  <c r="E91" i="130" a="1"/>
  <c r="BJ98" i="130" a="1"/>
  <c r="BG97" i="130" a="1"/>
  <c r="BD96" i="130" a="1"/>
  <c r="BA95" i="130" a="1"/>
  <c r="AX94" i="130" a="1"/>
  <c r="AU93" i="130" a="1"/>
  <c r="O92" i="130" a="1"/>
  <c r="BH99" i="130" a="1"/>
  <c r="BE98" i="130" a="1"/>
  <c r="BB97" i="130" a="1"/>
  <c r="AY96" i="130" a="1"/>
  <c r="AZ98" i="130" a="1"/>
  <c r="AM95" i="130" a="1"/>
  <c r="AO93" i="130" a="1"/>
  <c r="AL90" i="130" a="1"/>
  <c r="P90" i="130" a="1"/>
  <c r="BF93" i="130" a="1"/>
  <c r="AO91" i="130" a="1"/>
  <c r="W96" i="130" a="1"/>
  <c r="Q94" i="130" a="1"/>
  <c r="BI90" i="130" a="1"/>
  <c r="C93" i="130" a="1"/>
  <c r="AH92" i="130" a="1"/>
  <c r="AM91" i="130" a="1"/>
  <c r="BC98" i="130" a="1"/>
  <c r="AF97" i="130" a="1"/>
  <c r="I96" i="130" a="1"/>
  <c r="AQ94" i="130" a="1"/>
  <c r="P92" i="130" a="1"/>
  <c r="M91" i="130" a="1"/>
  <c r="AP98" i="130" a="1"/>
  <c r="S97" i="130" a="1"/>
  <c r="BE95" i="130" a="1"/>
  <c r="AD94" i="130" a="1"/>
  <c r="BE91" i="130" a="1"/>
  <c r="C91" i="130" a="1"/>
  <c r="AK98" i="130" a="1"/>
  <c r="N97" i="130" a="1"/>
  <c r="G99" i="130" a="1"/>
  <c r="BH94" i="130" a="1"/>
  <c r="BJ90" i="130" a="1"/>
  <c r="X90" i="130" a="1"/>
  <c r="BG90" i="130" a="1"/>
  <c r="AS97" i="130" a="1"/>
  <c r="Y94" i="130" a="1"/>
  <c r="AO90" i="130" a="1"/>
  <c r="AH91" i="130" a="1"/>
  <c r="F93" i="130" a="1"/>
  <c r="O99" i="130" a="1"/>
  <c r="AY95" i="130" a="1"/>
  <c r="AV93" i="130" a="1"/>
  <c r="AA96" i="130" a="1"/>
  <c r="AU91" i="130" a="1"/>
  <c r="W91" i="130" a="1"/>
  <c r="AY98" i="130" a="1"/>
  <c r="AB97" i="130" a="1"/>
  <c r="BJ95" i="130" a="1"/>
  <c r="AM94" i="130" a="1"/>
  <c r="BI91" i="130" a="1"/>
  <c r="BI99" i="130" a="1"/>
  <c r="AL98" i="130" a="1"/>
  <c r="O97" i="130" a="1"/>
  <c r="AW95" i="130" a="1"/>
  <c r="Z94" i="130" a="1"/>
  <c r="BG92" i="130" a="1"/>
  <c r="BD99" i="130" a="1"/>
  <c r="AG98" i="130" a="1"/>
  <c r="J97" i="130" a="1"/>
  <c r="AJ98" i="130" a="1"/>
  <c r="AZ94" i="130" a="1"/>
  <c r="BF90" i="130" a="1"/>
  <c r="H90" i="130" a="1"/>
  <c r="AY90" i="130" a="1"/>
  <c r="AC97" i="130" a="1"/>
  <c r="I94" i="130" a="1"/>
  <c r="AK90" i="130" a="1"/>
  <c r="BG99" i="130" a="1"/>
  <c r="BC90" i="130" a="1"/>
  <c r="BH98" i="130" a="1"/>
  <c r="AQ95" i="130" a="1"/>
  <c r="AQ93" i="130" a="1"/>
  <c r="C96" i="130" a="1"/>
  <c r="T92" i="130" a="1"/>
  <c r="O91" i="130" a="1"/>
  <c r="AU98" i="130" a="1"/>
  <c r="T97" i="130" a="1"/>
  <c r="G91" i="130" a="1"/>
  <c r="AD95" i="130" a="1"/>
  <c r="BJ91" i="130" a="1"/>
  <c r="F98" i="130" a="1"/>
  <c r="Q95" i="130" a="1"/>
  <c r="AZ91" i="130" a="1"/>
  <c r="BJ97" i="130" a="1"/>
  <c r="AH96" i="130" a="1"/>
  <c r="Z90" i="130" a="1"/>
  <c r="BF91" i="130" a="1"/>
  <c r="AB93" i="130" a="1"/>
  <c r="AV95" i="130" a="1"/>
  <c r="Y97" i="130" a="1"/>
  <c r="AR90" i="130" a="1"/>
  <c r="AA92" i="130" a="1"/>
  <c r="BF95" i="130" a="1"/>
  <c r="AW92" i="130" a="1"/>
  <c r="AH98" i="130" a="1"/>
  <c r="AS95" i="130" a="1"/>
  <c r="AM92" i="130" a="1"/>
  <c r="AC98" i="130" a="1"/>
  <c r="T98" i="130" a="1"/>
  <c r="AX90" i="130" a="1"/>
  <c r="AM90" i="130" a="1"/>
  <c r="BJ93" i="130" a="1"/>
  <c r="K99" i="130" a="1"/>
  <c r="AR98" i="130" a="1"/>
  <c r="AM93" i="130" a="1"/>
  <c r="AF91" i="130" a="1"/>
  <c r="BB95" i="130" a="1"/>
  <c r="AO92" i="130" a="1"/>
  <c r="S92" i="130" a="1"/>
  <c r="BJ99" i="130" a="1"/>
  <c r="BG98" i="130" a="1"/>
  <c r="BD97" i="130" a="1"/>
  <c r="BA96" i="130" a="1"/>
  <c r="AX95" i="130" a="1"/>
  <c r="AU94" i="130" a="1"/>
  <c r="AT92" i="130" a="1"/>
  <c r="BB91" i="130" a="1"/>
  <c r="AW99" i="130" a="1"/>
  <c r="AT98" i="130" a="1"/>
  <c r="AQ97" i="130" a="1"/>
  <c r="AN96" i="130" a="1"/>
  <c r="AK95" i="130" a="1"/>
  <c r="AH94" i="130" a="1"/>
  <c r="J92" i="130" a="1"/>
  <c r="AN91" i="130" a="1"/>
  <c r="AR99" i="130" a="1"/>
  <c r="AO98" i="130" a="1"/>
  <c r="AL97" i="130" a="1"/>
  <c r="AZ92" i="130" a="1"/>
  <c r="AW97" i="130" a="1"/>
  <c r="G95" i="130" a="1"/>
  <c r="Y93" i="130" a="1"/>
  <c r="V90" i="130" a="1"/>
  <c r="Y91" i="130" a="1"/>
  <c r="J93" i="130" a="1"/>
  <c r="S99" i="130" a="1"/>
  <c r="AZ95" i="130" a="1"/>
  <c r="AW93" i="130" a="1"/>
  <c r="AS90" i="130" a="1"/>
  <c r="BK91" i="130" a="1"/>
  <c r="AS91" i="130" a="1"/>
  <c r="BF99" i="130" a="1"/>
  <c r="AI98" i="130" a="1"/>
  <c r="L97" i="130" a="1"/>
  <c r="AT95" i="130" a="1"/>
  <c r="W94" i="130" a="1"/>
  <c r="AG92" i="130" a="1"/>
  <c r="AS99" i="130" a="1"/>
  <c r="V98" i="130" a="1"/>
  <c r="BH96" i="130" a="1"/>
  <c r="AG95" i="130" a="1"/>
  <c r="J94" i="130" a="1"/>
  <c r="W92" i="130" a="1"/>
  <c r="AN99" i="130" a="1"/>
  <c r="Q98" i="130" a="1"/>
  <c r="BC96" i="130" a="1"/>
  <c r="AG97" i="130" a="1"/>
  <c r="T94" i="130" a="1"/>
  <c r="AP90" i="130" a="1"/>
  <c r="AA99" i="130" a="1"/>
  <c r="AW91" i="130" a="1"/>
  <c r="AE96" i="130" a="1"/>
  <c r="AR93" i="130" a="1"/>
  <c r="U90" i="130" a="1"/>
  <c r="U97" i="130" a="1"/>
  <c r="S90" i="130" a="1"/>
  <c r="L98" i="130" a="1"/>
  <c r="S95" i="130" a="1"/>
  <c r="AA93" i="130" a="1"/>
  <c r="AK94" i="130" a="1"/>
  <c r="AQ92" i="130" a="1"/>
  <c r="BB99" i="130" a="1"/>
  <c r="AE98" i="130" a="1"/>
  <c r="D97" i="130" a="1"/>
  <c r="AP95" i="130" a="1"/>
  <c r="S94" i="130" a="1"/>
  <c r="Q92" i="130" a="1"/>
  <c r="AO99" i="130" a="1"/>
  <c r="R98" i="130" a="1"/>
  <c r="AZ96" i="130" a="1"/>
  <c r="AC95" i="130" a="1"/>
  <c r="F94" i="130" a="1"/>
  <c r="G92" i="130" a="1"/>
  <c r="AJ99" i="130" a="1"/>
  <c r="M98" i="130" a="1"/>
  <c r="AU96" i="130" a="1"/>
  <c r="Q97" i="130" a="1"/>
  <c r="L94" i="130" a="1"/>
  <c r="AH90" i="130" a="1"/>
  <c r="AN98" i="130" a="1"/>
  <c r="BA91" i="130" a="1"/>
  <c r="O96" i="130" a="1"/>
  <c r="AN93" i="130" a="1"/>
  <c r="Q90" i="130" a="1"/>
  <c r="AI96" i="130" a="1"/>
  <c r="K90" i="130" a="1"/>
  <c r="BE97" i="130" a="1"/>
  <c r="K95" i="130" a="1"/>
  <c r="K93" i="130" a="1"/>
  <c r="M94" i="130" a="1"/>
  <c r="AI92" i="130" a="1"/>
  <c r="AX99" i="130" a="1"/>
  <c r="W98" i="130" a="1"/>
  <c r="BI96" i="130" a="1"/>
  <c r="AM98" i="130" a="1"/>
  <c r="AY94" i="130" a="1"/>
  <c r="U91" i="130" a="1"/>
  <c r="W97" i="130" a="1"/>
  <c r="AL94" i="130" a="1"/>
  <c r="K91" i="130" a="1"/>
  <c r="R97" i="130" a="1"/>
  <c r="O95" i="130" a="1"/>
  <c r="AN90" i="130" a="1"/>
  <c r="BI97" i="130" a="1"/>
  <c r="AW90" i="130" a="1"/>
  <c r="R93" i="130" a="1"/>
  <c r="BG95" i="130" a="1"/>
  <c r="E97" i="130" a="1"/>
  <c r="AP99" i="130" a="1"/>
  <c r="N95" i="130" a="1"/>
  <c r="AY92" i="130" a="1"/>
  <c r="AY97" i="130" a="1"/>
  <c r="BJ94" i="130" a="1"/>
  <c r="AD91" i="130" a="1"/>
  <c r="AT97" i="130" a="1"/>
  <c r="BK95" i="130" a="1"/>
  <c r="J90" i="130" a="1"/>
  <c r="AY99" i="130" a="1"/>
  <c r="L93" i="130" a="1"/>
  <c r="AS94" i="130" a="1"/>
  <c r="AL96" i="130" a="1"/>
  <c r="AS92" i="130" a="1"/>
  <c r="V99" i="130" a="1"/>
  <c r="J95" i="130" a="1"/>
  <c r="V91" i="130" a="1"/>
  <c r="V92" i="130" a="1"/>
  <c r="AT99" i="130" a="1"/>
  <c r="AN97" i="130" a="1"/>
  <c r="AH95" i="130" a="1"/>
  <c r="BB92" i="130" a="1"/>
  <c r="AG99" i="130" a="1"/>
  <c r="AA97" i="130" a="1"/>
  <c r="U95" i="130" a="1"/>
  <c r="AJ92" i="130" a="1"/>
  <c r="AB99" i="130" a="1"/>
  <c r="V97" i="130" a="1"/>
  <c r="AT96" i="130" a="1"/>
  <c r="I93" i="130" a="1"/>
  <c r="AK97" i="130" a="1"/>
  <c r="P98" i="130" a="1"/>
  <c r="AF93" i="130" a="1"/>
  <c r="AV92" i="130" a="1"/>
  <c r="AL99" i="130" a="1"/>
  <c r="AW96" i="130" a="1"/>
  <c r="C94" i="130" a="1"/>
  <c r="Y99" i="130" a="1"/>
  <c r="AJ96" i="130" a="1"/>
  <c r="AY93" i="130" a="1"/>
  <c r="T99" i="130" a="1"/>
  <c r="AP92" i="130" a="1"/>
  <c r="AS93" i="130" a="1"/>
  <c r="S96" i="130" a="1"/>
  <c r="AR95" i="130" a="1"/>
  <c r="O93" i="130" a="1"/>
  <c r="BC92" i="130" a="1"/>
  <c r="AV94" i="130" a="1"/>
  <c r="Z93" i="130" a="1"/>
  <c r="AH99" i="130" a="1"/>
  <c r="AS96" i="130" a="1"/>
  <c r="BD93" i="130" a="1"/>
  <c r="U99" i="130" a="1"/>
  <c r="AF96" i="130" a="1"/>
  <c r="AX92" i="130" a="1"/>
  <c r="P99" i="130" a="1"/>
  <c r="H92" i="130" a="1"/>
  <c r="AK93" i="130" a="1"/>
  <c r="BD95" i="130" a="1"/>
  <c r="AJ95" i="130" a="1"/>
  <c r="BD90" i="130" a="1"/>
  <c r="U92" i="130" a="1"/>
  <c r="AN94" i="130" a="1"/>
  <c r="N93" i="130" a="1"/>
  <c r="Z99" i="130" a="1"/>
  <c r="AO96" i="130" a="1"/>
  <c r="G94" i="130" a="1"/>
  <c r="AR96" i="130" a="1"/>
  <c r="X99" i="130" a="1"/>
  <c r="AX93" i="130" a="1"/>
  <c r="BH95" i="130" a="1"/>
  <c r="BD92" i="130" a="1"/>
  <c r="AL93" i="130" a="1"/>
  <c r="AI94" i="130" a="1"/>
  <c r="G97" i="130" a="1"/>
  <c r="AZ99" i="130" a="1"/>
  <c r="AR94" i="130" a="1"/>
  <c r="BF96" i="130" a="1"/>
  <c r="AQ90" i="130" a="1"/>
  <c r="AF95" i="130" a="1"/>
  <c r="AA94" i="130" a="1"/>
  <c r="Z98" i="130" a="1"/>
  <c r="AO95" i="130" a="1"/>
  <c r="AE92" i="130" a="1"/>
  <c r="U98" i="130" a="1"/>
  <c r="D98" i="130" a="1"/>
  <c r="AT90" i="130" a="1"/>
  <c r="G90" i="130" a="1"/>
  <c r="BB93" i="130" a="1"/>
  <c r="X98" i="130" a="1"/>
  <c r="AB98" i="130" a="1"/>
  <c r="AI93" i="130" a="1"/>
  <c r="H91" i="130" a="1"/>
  <c r="AL95" i="130" a="1"/>
  <c r="I92" i="130" a="1"/>
  <c r="J98" i="130" a="1"/>
  <c r="Y95" i="130" a="1"/>
  <c r="BH91" i="130" a="1"/>
  <c r="E98" i="130" a="1"/>
  <c r="BJ96" i="130" a="1"/>
  <c r="AD90" i="130" a="1"/>
  <c r="AC92" i="130" a="1"/>
  <c r="AJ93" i="130" a="1"/>
  <c r="K96" i="130" a="1"/>
  <c r="AO97" i="130" a="1"/>
  <c r="BH90" i="130" a="1"/>
  <c r="A3" i="3"/>
  <c r="AA90" i="130" a="1"/>
  <c r="O98" i="130" a="1"/>
  <c r="BK97" i="130" a="1"/>
  <c r="BF97" i="130" a="1"/>
  <c r="R90" i="130" a="1"/>
  <c r="X95" i="130" a="1"/>
  <c r="C92" i="130" a="1"/>
  <c r="V95" i="130" a="1"/>
  <c r="AR91" i="130" a="1"/>
  <c r="I91" i="130" a="1"/>
  <c r="H95" i="130" a="1"/>
  <c r="BD91" i="130" a="1"/>
  <c r="P97" i="130" a="1"/>
  <c r="AM96" i="130" a="1"/>
  <c r="S93" i="130" a="1"/>
  <c r="BE99" i="130" a="1"/>
  <c r="BK96" i="130" a="1"/>
  <c r="AG90" i="130" a="1"/>
  <c r="BH97" i="130" a="1"/>
  <c r="C97" i="130" a="1"/>
  <c r="AV99" i="130" a="1"/>
  <c r="AB94" i="130" a="1"/>
  <c r="M92" i="130" a="1"/>
  <c r="AE90" i="130" a="1"/>
  <c r="BI94" i="130" a="1"/>
  <c r="AK99" i="130" a="1"/>
  <c r="AV96" i="130" a="1"/>
  <c r="AQ96" i="130" a="1"/>
  <c r="AE93" i="130" a="1"/>
  <c r="C95" i="130" a="1"/>
  <c r="X91" i="130" a="1"/>
  <c r="AK91" i="130" a="1"/>
  <c r="BK93" i="130" a="1"/>
  <c r="BC99" i="130" a="1"/>
  <c r="AW94" i="130" a="1"/>
  <c r="AZ97" i="130" a="1"/>
  <c r="N91" i="130" a="1"/>
  <c r="AR92" i="130" a="1"/>
  <c r="AD99" i="130" a="1"/>
  <c r="X97" i="130" a="1"/>
  <c r="R95" i="130" a="1"/>
  <c r="BK92" i="130" a="1"/>
  <c r="Q99" i="130" a="1"/>
  <c r="K97" i="130" a="1"/>
  <c r="E95" i="130" a="1"/>
  <c r="AU92" i="130" a="1"/>
  <c r="L99" i="130" a="1"/>
  <c r="F97" i="130" a="1"/>
  <c r="J96" i="130" a="1"/>
  <c r="BB90" i="130" a="1"/>
  <c r="AN95" i="130" a="1"/>
  <c r="M97" i="130" a="1"/>
  <c r="P93" i="130" a="1"/>
  <c r="BJ92" i="130" a="1"/>
  <c r="R99" i="130" a="1"/>
  <c r="AC96" i="130" a="1"/>
  <c r="R92" i="130" a="1"/>
  <c r="E99" i="130" a="1"/>
  <c r="P96" i="130" a="1"/>
  <c r="BC91" i="130" a="1"/>
  <c r="BI98" i="130" a="1"/>
  <c r="J91" i="130" a="1"/>
  <c r="U93" i="130" a="1"/>
  <c r="AC94" i="130" a="1"/>
  <c r="D95" i="130" a="1"/>
  <c r="AF90" i="130" a="1"/>
  <c r="AG91" i="130" a="1"/>
  <c r="P94" i="130" a="1"/>
  <c r="AI90" i="130" a="1"/>
  <c r="J99" i="130" a="1"/>
  <c r="Y96" i="130" a="1"/>
  <c r="BG91" i="130" a="1"/>
  <c r="BF98" i="130" a="1"/>
  <c r="L96" i="130" a="1"/>
  <c r="N92" i="130" a="1"/>
  <c r="BA98" i="130" a="1"/>
  <c r="Q91" i="130" a="1"/>
  <c r="Q93" i="130" a="1"/>
  <c r="AP93" i="130" a="1"/>
  <c r="BE94" i="130" a="1"/>
  <c r="T90" i="130" a="1"/>
  <c r="BK99" i="130" a="1"/>
  <c r="H94" i="130" a="1"/>
  <c r="W90" i="130" a="1"/>
  <c r="F99" i="130" a="1"/>
  <c r="D92" i="130" a="1"/>
  <c r="AN92" i="130" a="1"/>
  <c r="BI95" i="130" a="1"/>
  <c r="AS98" i="130" a="1"/>
  <c r="E93" i="130" a="1"/>
  <c r="AG94" i="130" a="1"/>
  <c r="AE99" i="130" a="1"/>
  <c r="C90" i="130" a="1"/>
  <c r="BF92" i="130" a="1"/>
  <c r="AB96" i="130" a="1"/>
  <c r="H99" i="130" a="1"/>
  <c r="AG93" i="130" a="1"/>
  <c r="AB95" i="130" a="1"/>
  <c r="AX91" i="130" a="1"/>
  <c r="BK90" i="130" a="1"/>
  <c r="AF92" i="130" a="1"/>
  <c r="AU97" i="130" a="1"/>
  <c r="BF94" i="130" a="1"/>
  <c r="L91" i="130" a="1"/>
  <c r="AP97" i="130" a="1"/>
  <c r="BC95" i="130" a="1"/>
  <c r="M90" i="130" a="1"/>
  <c r="AI99" i="130" a="1"/>
  <c r="H93" i="130" a="1"/>
  <c r="U94" i="130" a="1"/>
  <c r="AD96" i="130" a="1"/>
  <c r="R91" i="130" a="1"/>
  <c r="BK98" i="130" a="1"/>
  <c r="BC94" i="130" a="1"/>
  <c r="AC91" i="130" a="1"/>
  <c r="AE97" i="130" a="1"/>
  <c r="AP94" i="130" a="1"/>
  <c r="S91" i="130" a="1"/>
  <c r="Z97" i="130" a="1"/>
  <c r="W95" i="130" a="1"/>
  <c r="AZ90" i="130" a="1"/>
  <c r="AF98" i="130" a="1"/>
  <c r="BA90" i="130" a="1"/>
  <c r="AH93" i="130" a="1"/>
  <c r="F96" i="130" a="1"/>
  <c r="H98" i="130" a="1"/>
  <c r="X96" i="130" a="1"/>
  <c r="Y98" i="130" a="1"/>
  <c r="E92" i="130" a="1"/>
  <c r="F90" i="130" a="1"/>
  <c r="T95" i="130" a="1"/>
  <c r="K92" i="130" a="1"/>
  <c r="AT91" i="130" a="1"/>
  <c r="M95" i="130" a="1"/>
  <c r="Z96" i="130" a="1"/>
  <c r="AP91" i="130" a="1"/>
  <c r="I97" i="130" a="1"/>
  <c r="G98" i="130" a="1"/>
  <c r="Z91" i="130" a="1"/>
  <c r="I95" i="130" a="1"/>
  <c r="AX97" i="130" a="1"/>
  <c r="R96" i="130" a="1"/>
  <c r="T93" i="130" a="1"/>
  <c r="L90" i="130" a="1"/>
  <c r="C98" i="130" a="1"/>
  <c r="BC93" i="130" a="1"/>
  <c r="AX96" i="130" a="1"/>
  <c r="BD94" i="130" a="1"/>
  <c r="S98" i="130" a="1"/>
  <c r="V94" i="130" a="1"/>
  <c r="AI95" i="130" a="1"/>
  <c r="BA99" i="130" a="1"/>
  <c r="N94" i="130" a="1"/>
  <c r="AP96" i="130" a="1"/>
  <c r="AA95" i="130" a="1"/>
  <c r="K94" i="130" a="1"/>
  <c r="AF99" i="130" a="1"/>
  <c r="BE93" i="130" a="1"/>
  <c r="G96" i="130" a="1"/>
  <c r="AZ93" i="130" a="1"/>
  <c r="U96" i="130" a="1"/>
  <c r="O94" i="130" a="1"/>
  <c r="H96" i="130" a="1"/>
  <c r="I98" i="130" a="1"/>
  <c r="G93" i="130" a="1"/>
  <c r="AY91" i="130" a="1"/>
  <c r="E90" i="130" a="1"/>
  <c r="F95" i="130" a="1"/>
  <c r="AM97" i="130" a="1"/>
  <c r="AV91" i="130" a="1"/>
  <c r="AQ98" i="130" a="1"/>
  <c r="AK96" i="130" a="1"/>
  <c r="AE94" i="130" a="1"/>
  <c r="AJ91" i="130" a="1"/>
  <c r="AD98" i="130" a="1"/>
  <c r="R94" i="130" a="1"/>
  <c r="T91" i="130" a="1"/>
  <c r="AJ94" i="130" a="1"/>
  <c r="AC90" i="130" a="1"/>
  <c r="Z95" i="130" a="1"/>
  <c r="D91" i="130" a="1"/>
  <c r="X93" i="130" a="1"/>
  <c r="AB90" i="130" a="1"/>
  <c r="BC97" i="130" a="1"/>
  <c r="N90" i="130" a="1"/>
  <c r="BB96" i="130" a="1"/>
  <c r="AC99" i="130" a="1"/>
  <c r="F92" i="130" a="1"/>
  <c r="BG96" i="130" a="1"/>
  <c r="Y90" i="130" a="1"/>
  <c r="AJ97" i="130" a="1"/>
  <c r="BG93" i="130" a="1"/>
  <c r="BA97" i="130" a="1"/>
  <c r="AD92" i="130" a="1"/>
  <c r="AA98" i="130" a="1"/>
  <c r="N98" i="130" a="1"/>
  <c r="AA91" i="130" a="1"/>
  <c r="D94" i="130" a="1"/>
  <c r="BE92" i="130" a="1"/>
  <c r="BB94" i="130" a="1"/>
  <c r="I90" i="130" a="1"/>
  <c r="V96" i="130" a="1"/>
  <c r="BG94" i="130" a="1"/>
  <c r="AI91" i="130" a="1"/>
  <c r="AV98" i="130" a="1"/>
  <c r="BD98" i="130" a="1"/>
  <c r="AX98" i="130" a="1"/>
  <c r="AB92" i="130" a="1"/>
  <c r="X92" i="130" a="1"/>
  <c r="AF94" i="130" a="1"/>
  <c r="AL92" i="130" a="1"/>
  <c r="BA94" i="130" a="1"/>
  <c r="X94" i="130" a="1"/>
  <c r="BB98" i="130" a="1"/>
  <c r="AM99" i="130" a="1"/>
  <c r="D90" i="130" a="1"/>
  <c r="M93" i="130" a="1"/>
  <c r="AH97" i="130" a="1"/>
  <c r="AI97" i="130" a="1"/>
  <c r="AT93" i="130" a="1"/>
  <c r="W99" i="130" a="1"/>
  <c r="P95" i="130" a="1"/>
  <c r="BI92" i="130" a="1"/>
  <c r="Q96" i="130" a="1"/>
  <c r="AD93" i="130" a="1"/>
  <c r="AU95" i="130" a="1"/>
  <c r="AV97" i="130" a="1"/>
  <c r="N96" i="130" a="1"/>
  <c r="M99" i="130" a="1"/>
  <c r="T96" i="130" a="1"/>
  <c r="AB91" i="130" a="1"/>
  <c r="AW98" i="130" a="1"/>
  <c r="O90" i="130" a="1"/>
  <c r="AQ91" i="130" a="1"/>
  <c r="C99" i="130" a="1"/>
  <c r="AQ99" i="130" a="1"/>
  <c r="F91" i="130" a="1"/>
  <c r="AD97" i="130" a="1"/>
  <c r="BE90" i="130" a="1"/>
  <c r="P91" i="130" a="1"/>
  <c r="L92" i="130" a="1"/>
  <c r="BA93" i="130" a="1"/>
  <c r="AK92" i="130" a="1"/>
  <c r="AG96" i="130" a="1"/>
  <c r="D99" i="130" a="1"/>
  <c r="L95" i="130" a="1"/>
  <c r="AU90" i="130" a="1"/>
  <c r="D96" i="130" a="1"/>
  <c r="AU99" i="130" a="1"/>
  <c r="D93" i="130" a="1"/>
  <c r="AL91" i="130" a="1"/>
  <c r="AE95" i="130" a="1"/>
  <c r="AR97" i="130" a="1"/>
  <c r="BE96" i="130" a="1"/>
  <c r="I99" i="130" a="1"/>
  <c r="AJ90" i="130" a="1"/>
  <c r="BH92" i="130" a="1"/>
  <c r="BI93" i="130" a="1"/>
  <c r="E94" i="130" a="1"/>
  <c r="AT94" i="130" a="1"/>
  <c r="W93" i="130" a="1"/>
  <c r="M96" i="130" a="1"/>
  <c r="V93" i="130" a="1"/>
  <c r="AV90" i="130" a="1"/>
  <c r="AC93" i="130" a="1"/>
  <c r="Z92" i="130" a="1"/>
  <c r="AO94" i="130" a="1"/>
  <c r="BY104" i="1" s="1"/>
  <c r="BU103" i="1" s="1"/>
  <c r="BV103" i="1" s="1"/>
  <c r="AS104" i="1" s="1"/>
  <c r="AT104" i="1" s="1"/>
  <c r="BM103" i="1" s="1"/>
  <c r="BN103" i="1" s="1"/>
  <c r="AM104" i="1" s="1"/>
  <c r="AN104" i="1" s="1"/>
  <c r="BE103" i="1" s="1"/>
  <c r="BF103" i="1" s="1"/>
  <c r="BC104" i="1" s="1"/>
  <c r="BD104" i="1" s="1"/>
  <c r="BG104" i="1" s="1"/>
  <c r="BH104" i="1" s="1"/>
  <c r="AI104" i="1" s="1"/>
  <c r="AJ104" i="1" s="1"/>
  <c r="AW103" i="1" s="1"/>
  <c r="AX103" i="1" s="1"/>
  <c r="BG103" i="1" s="1"/>
  <c r="BH103" i="1" s="1"/>
  <c r="AQ104" i="1" s="1"/>
  <c r="AR104" i="1" s="1"/>
  <c r="BA104" i="1" s="1"/>
  <c r="BB104" i="1" s="1"/>
  <c r="AU103" i="1" s="1"/>
  <c r="AV103" i="1" s="1"/>
  <c r="BM104" i="1" s="1"/>
  <c r="BN104" i="1" s="1"/>
  <c r="AB120" i="1"/>
  <c r="BK103" i="1" l="1"/>
  <c r="BL103" i="1" s="1"/>
  <c r="BO103" i="1" s="1"/>
  <c r="BP103" i="1" s="1"/>
  <c r="BI104" i="1" s="1"/>
  <c r="BJ104" i="1" s="1"/>
  <c r="BK104" i="1" s="1"/>
  <c r="BL104" i="1" s="1"/>
  <c r="AM103" i="1" s="1"/>
  <c r="AN103" i="1" s="1"/>
  <c r="BE104" i="1" s="1"/>
  <c r="BF104" i="1" s="1"/>
  <c r="AK104" i="1" s="1"/>
  <c r="AL104" i="1" s="1"/>
  <c r="BU104" i="1" s="1"/>
  <c r="BV104" i="1" s="1"/>
  <c r="AO103" i="1" s="1"/>
  <c r="AP103" i="1" s="1"/>
  <c r="AY103" i="1" s="1"/>
  <c r="AZ103" i="1" s="1"/>
  <c r="AO104" i="1" s="1"/>
  <c r="AP104" i="1" s="1"/>
  <c r="AU104" i="1" s="1"/>
  <c r="AV104" i="1" s="1"/>
  <c r="AW104" i="1" s="1"/>
  <c r="AX104" i="1" s="1"/>
  <c r="AY104" i="1" s="1"/>
  <c r="AZ104" i="1" s="1"/>
  <c r="BW103" i="1" s="1"/>
  <c r="BX103" i="1" s="1"/>
  <c r="BW104" i="1" s="1"/>
  <c r="BX104" i="1" s="1"/>
  <c r="BC103" i="1" s="1"/>
  <c r="BD103" i="1" s="1"/>
  <c r="BQ104" i="1" s="1"/>
  <c r="BR104" i="1" s="1"/>
  <c r="AK103" i="1" s="1"/>
  <c r="AL103" i="1" s="1"/>
  <c r="AS103" i="1" s="1"/>
  <c r="AT103" i="1" s="1"/>
  <c r="BO104" i="1" s="1"/>
  <c r="BP104" i="1" s="1"/>
  <c r="BA103" i="1" s="1"/>
  <c r="BB103" i="1" s="1"/>
  <c r="BY103" i="1" s="1"/>
  <c r="BZ103" i="1" s="1"/>
  <c r="CA103" i="1" s="1"/>
  <c r="CB103" i="1" s="1"/>
  <c r="CC103" i="1" s="1"/>
  <c r="AB103" i="1" s="1"/>
  <c r="BS104" i="1" s="1"/>
  <c r="BT104" i="1" s="1"/>
  <c r="AQ103" i="1" s="1"/>
  <c r="AR103" i="1" s="1"/>
  <c r="BQ103" i="1" s="1"/>
  <c r="BR103" i="1" s="1"/>
  <c r="BS103" i="1" s="1"/>
  <c r="BT103" i="1" s="1"/>
  <c r="AI103" i="1" s="1"/>
  <c r="AJ103" i="1" s="1"/>
  <c r="BI103" i="1" s="1"/>
  <c r="BJ103" i="1" s="1"/>
  <c r="AC120" i="1"/>
  <c r="AA149" i="125" a="1"/>
  <c r="AB68" i="125" a="1"/>
  <c r="N48" i="125" a="1"/>
  <c r="T139" i="125" a="1"/>
  <c r="AE147" i="125" a="1"/>
  <c r="AC41" i="125" a="1"/>
  <c r="D140" i="125" a="1"/>
  <c r="C119" i="125" a="1"/>
  <c r="S145" i="125" a="1"/>
  <c r="K87" i="125" a="1"/>
  <c r="H144" i="125" a="1"/>
  <c r="AB19" i="125" a="1"/>
  <c r="AD30" i="125" a="1"/>
  <c r="P139" i="125" a="1"/>
  <c r="F139" i="125" a="1"/>
  <c r="V138" i="125" a="1"/>
  <c r="AC43" i="125" a="1"/>
  <c r="K6" i="125" a="1"/>
  <c r="AE83" i="125" a="1"/>
  <c r="AC21" i="125" a="1"/>
  <c r="N147" i="125" a="1"/>
  <c r="F128" i="125" a="1"/>
  <c r="X145" i="125" a="1"/>
  <c r="J110" i="125" a="1"/>
  <c r="AA78" i="125" a="1"/>
  <c r="AE54" i="125" a="1"/>
  <c r="AA19" i="125" a="1"/>
  <c r="AC13" i="125" a="1"/>
  <c r="N105" i="125" a="1"/>
  <c r="R150" i="125" a="1"/>
  <c r="Q48" i="125" a="1"/>
  <c r="G118" i="125" a="1"/>
  <c r="AF29" i="125" a="1"/>
  <c r="M98" i="125" a="1"/>
  <c r="J145" i="125" a="1"/>
  <c r="P125" i="125" a="1"/>
  <c r="AD153" i="125" a="1"/>
  <c r="U23" i="125" a="1"/>
  <c r="AA63" i="125" a="1"/>
  <c r="AC67" i="125" a="1"/>
  <c r="J99" i="125" a="1"/>
  <c r="AE42" i="125" a="1"/>
  <c r="X131" i="125" a="1"/>
  <c r="AE73" i="125" a="1"/>
  <c r="J151" i="125" a="1"/>
  <c r="P150" i="125" a="1"/>
  <c r="O134" i="125" a="1"/>
  <c r="AD13" i="125" a="1"/>
  <c r="Z144" i="125" a="1"/>
  <c r="AD111" i="125" a="1"/>
  <c r="C104" i="125" a="1"/>
  <c r="O98" i="125" a="1"/>
  <c r="X98" i="125" a="1"/>
  <c r="AF23" i="125" a="1"/>
  <c r="AB128" i="125" a="1"/>
  <c r="J135" i="125" a="1"/>
  <c r="G116" i="125" a="1"/>
  <c r="M145" i="125" a="1"/>
  <c r="AC99" i="125" a="1"/>
  <c r="AB78" i="125" a="1"/>
  <c r="N113" i="125" a="1"/>
  <c r="AF84" i="125" a="1"/>
  <c r="D99" i="125" a="1"/>
  <c r="L98" i="125" a="1"/>
  <c r="S137" i="125" a="1"/>
  <c r="AB45" i="125" a="1"/>
  <c r="K49" i="125" a="1"/>
  <c r="E121" i="125" a="1"/>
  <c r="S124" i="125" a="1"/>
  <c r="AB152" i="125" a="1"/>
  <c r="X84" i="125" a="1"/>
  <c r="AB135" i="125" a="1"/>
  <c r="G124" i="125" a="1"/>
  <c r="P81" i="125" a="1"/>
  <c r="D149" i="125" a="1"/>
  <c r="P148" i="125" a="1"/>
  <c r="AE76" i="125" a="1"/>
  <c r="AB139" i="125" a="1"/>
  <c r="AE148" i="125" a="1"/>
  <c r="AE10" i="125" a="1"/>
  <c r="M97" i="125" a="1"/>
  <c r="R76" i="125" a="1"/>
  <c r="AC92" i="125" a="1"/>
  <c r="P111" i="125" a="1"/>
  <c r="K39" i="125" a="1"/>
  <c r="AC22" i="125" a="1"/>
  <c r="AE28" i="125" a="1"/>
  <c r="AE89" i="125" a="1"/>
  <c r="M21" i="125" a="1"/>
  <c r="AB21" i="125" a="1"/>
  <c r="S149" i="125" a="1"/>
  <c r="Q31" i="125" a="1"/>
  <c r="I54" i="125" a="1"/>
  <c r="AE53" i="125" a="1"/>
  <c r="C138" i="125" a="1"/>
  <c r="T144" i="125" a="1"/>
  <c r="AB153" i="125" a="1"/>
  <c r="AB102" i="125" a="1"/>
  <c r="AF91" i="125" a="1"/>
  <c r="W104" i="125" a="1"/>
  <c r="G78" i="125" a="1"/>
  <c r="X137" i="125" a="1"/>
  <c r="T98" i="125" a="1"/>
  <c r="AD89" i="125" a="1"/>
  <c r="AF119" i="125" a="1"/>
  <c r="Z132" i="125" a="1"/>
  <c r="AC61" i="125" a="1"/>
  <c r="AE65" i="125" a="1"/>
  <c r="AF145" i="125" a="1"/>
  <c r="P98" i="125" a="1"/>
  <c r="AE99" i="125" a="1"/>
  <c r="AF150" i="125" a="1"/>
  <c r="AF28" i="125" a="1"/>
  <c r="K147" i="125" a="1"/>
  <c r="C49" i="125" a="1"/>
  <c r="E152" i="125" a="1"/>
  <c r="K90" i="125" a="1"/>
  <c r="AD83" i="125" a="1"/>
  <c r="AC100" i="125" a="1"/>
  <c r="C80" i="125" a="1"/>
  <c r="X45" i="125" a="1"/>
  <c r="U102" i="125" a="1"/>
  <c r="K56" i="125" a="1"/>
  <c r="AB44" i="125" a="1"/>
  <c r="AF143" i="125" a="1"/>
  <c r="AB49" i="125" a="1"/>
  <c r="K113" i="125" a="1"/>
  <c r="G138" i="125" a="1"/>
  <c r="S66" i="125" a="1"/>
  <c r="N17" i="125" a="1"/>
  <c r="D115" i="125" a="1"/>
  <c r="U137" i="125" a="1"/>
  <c r="AC15" i="125" a="1"/>
  <c r="W135" i="125" a="1"/>
  <c r="AC136" i="125" a="1"/>
  <c r="AF19" i="125" a="1"/>
  <c r="AF33" i="125" a="1"/>
  <c r="R124" i="125" a="1"/>
  <c r="L139" i="125" a="1"/>
  <c r="AA136" i="125" a="1"/>
  <c r="AD122" i="125" a="1"/>
  <c r="AD143" i="125" a="1"/>
  <c r="AE138" i="125" a="1"/>
  <c r="AF77" i="125" a="1"/>
  <c r="Y102" i="125" a="1"/>
  <c r="AF13" i="125" a="1"/>
  <c r="X152" i="125" a="1"/>
  <c r="T138" i="125" a="1"/>
  <c r="R48" i="125" a="1"/>
  <c r="Y134" i="125" a="1"/>
  <c r="N136" i="125" a="1"/>
  <c r="AE91" i="125" a="1"/>
  <c r="AD135" i="125" a="1"/>
  <c r="T33" i="125" a="1"/>
  <c r="T121" i="125" a="1"/>
  <c r="O145" i="125" a="1"/>
  <c r="Y114" i="125" a="1"/>
  <c r="K115" i="125" a="1"/>
  <c r="AF60" i="125" a="1"/>
  <c r="S97" i="125" a="1"/>
  <c r="I98" i="125" a="1"/>
  <c r="W94" i="125" a="1"/>
  <c r="H136" i="125" a="1"/>
  <c r="AB100" i="125" a="1"/>
  <c r="F129" i="125" a="1"/>
  <c r="AD35" i="125" a="1"/>
  <c r="AF59" i="125" a="1"/>
  <c r="N128" i="125" a="1"/>
  <c r="F34" i="125" a="1"/>
  <c r="AB116" i="125" a="1"/>
  <c r="AE145" i="125" a="1"/>
  <c r="X97" i="125" a="1"/>
  <c r="AB48" i="125" a="1"/>
  <c r="AD84" i="125" a="1"/>
  <c r="AD105" i="125" a="1"/>
  <c r="V12" i="125" a="1"/>
  <c r="L123" i="125" a="1"/>
  <c r="AD46" i="125" a="1"/>
  <c r="AD78" i="125" a="1"/>
  <c r="T65" i="125" a="1"/>
  <c r="AC81" i="125" a="1"/>
  <c r="AD56" i="125" a="1"/>
  <c r="AE20" i="125" a="1"/>
  <c r="G49" i="125" a="1"/>
  <c r="AD90" i="125" a="1"/>
  <c r="AF43" i="125" a="1"/>
  <c r="D111" i="125" a="1"/>
  <c r="F143" i="125" a="1"/>
  <c r="T86" i="125" a="1"/>
  <c r="AE112" i="125" a="1"/>
  <c r="S139" i="125" a="1"/>
  <c r="AD119" i="125" a="1"/>
  <c r="Y136" i="125" a="1"/>
  <c r="AC139" i="125" a="1"/>
  <c r="AD43" i="125" a="1"/>
  <c r="AD11" i="125" a="1"/>
  <c r="W49" i="125" a="1"/>
  <c r="AB26" i="125" a="1"/>
  <c r="U111" i="125" a="1"/>
  <c r="P104" i="125" a="1"/>
  <c r="AC126" i="125" a="1"/>
  <c r="V16" i="125" a="1"/>
  <c r="D130" i="125" a="1"/>
  <c r="K143" i="125" a="1"/>
  <c r="J127" i="125" a="1"/>
  <c r="Q5" i="125" a="1"/>
  <c r="W137" i="125" a="1"/>
  <c r="O146" i="125" a="1"/>
  <c r="W48" i="125" a="1"/>
  <c r="AE108" i="125" a="1"/>
  <c r="P5" i="125" a="1"/>
  <c r="U144" i="125" a="1"/>
  <c r="AE125" i="125" a="1"/>
  <c r="AB62" i="125" a="1"/>
  <c r="V48" i="125" a="1"/>
  <c r="AE57" i="125" a="1"/>
  <c r="AB75" i="125" a="1"/>
  <c r="V99" i="125" a="1"/>
  <c r="AF9" i="125" a="1"/>
  <c r="Q115" i="125" a="1"/>
  <c r="AF47" i="125" a="1"/>
  <c r="AC75" i="125" a="1"/>
  <c r="C48" i="125" a="1"/>
  <c r="AB97" i="125" a="1"/>
  <c r="AE31" i="125" a="1"/>
  <c r="Z143" i="125" a="1"/>
  <c r="AE44" i="125" a="1"/>
  <c r="AE13" i="125" a="1"/>
  <c r="H153" i="125" a="1"/>
  <c r="AA105" i="125" a="1"/>
  <c r="AB90" i="125" a="1"/>
  <c r="D98" i="125" a="1"/>
  <c r="AC60" i="125" a="1"/>
  <c r="L140" i="125" a="1"/>
  <c r="F48" i="125" a="1"/>
  <c r="AC114" i="125" a="1"/>
  <c r="AA131" i="125" a="1"/>
  <c r="C144" i="125" a="1"/>
  <c r="AE41" i="125" a="1"/>
  <c r="AE110" i="125" a="1"/>
  <c r="Q114" i="125" a="1"/>
  <c r="R75" i="125" a="1"/>
  <c r="AC103" i="125" a="1"/>
  <c r="AE9" i="125" a="1"/>
  <c r="AD17" i="125" a="1"/>
  <c r="I133" i="125" a="1"/>
  <c r="AE127" i="125" a="1"/>
  <c r="Z145" i="125" a="1"/>
  <c r="AE121" i="125" a="1"/>
  <c r="K98" i="125" a="1"/>
  <c r="AE40" i="125" a="1"/>
  <c r="D10" i="125" a="1"/>
  <c r="Z151" i="125" a="1"/>
  <c r="T99" i="125" a="1"/>
  <c r="U133" i="125" a="1"/>
  <c r="E64" i="125" a="1"/>
  <c r="R59" i="125" a="1"/>
  <c r="AC78" i="125" a="1"/>
  <c r="AC40" i="125" a="1"/>
  <c r="AB123" i="125" a="1"/>
  <c r="AB76" i="125" a="1"/>
  <c r="AE23" i="125" a="1"/>
  <c r="V133" i="125" a="1"/>
  <c r="C134" i="125" a="1"/>
  <c r="E151" i="125" a="1"/>
  <c r="AC130" i="125" a="1"/>
  <c r="AB29" i="125" a="1"/>
  <c r="AF130" i="125" a="1"/>
  <c r="AB112" i="125" a="1"/>
  <c r="K120" i="125" a="1"/>
  <c r="T93" i="125" a="1"/>
  <c r="AC94" i="125" a="1"/>
  <c r="W138" i="125" a="1"/>
  <c r="T55" i="125" a="1"/>
  <c r="C140" i="125" a="1"/>
  <c r="G40" i="125" a="1"/>
  <c r="C98" i="125" a="1"/>
  <c r="O125" i="125" a="1"/>
  <c r="L25" i="125" a="1"/>
  <c r="I101" i="125" a="1"/>
  <c r="W153" i="125" a="1"/>
  <c r="L74" i="125" a="1"/>
  <c r="K77" i="125" a="1"/>
  <c r="AB46" i="125" a="1"/>
  <c r="F99" i="125" a="1"/>
  <c r="AE21" i="125" a="1"/>
  <c r="AB149" i="125" a="1"/>
  <c r="P6" i="125" a="1"/>
  <c r="AD59" i="125" a="1"/>
  <c r="AD44" i="125" a="1"/>
  <c r="C108" i="125" a="1"/>
  <c r="AC134" i="125" a="1"/>
  <c r="E49" i="125" a="1"/>
  <c r="AD47" i="125" a="1"/>
  <c r="AC45" i="125" a="1"/>
  <c r="Z147" i="125" a="1"/>
  <c r="AB99" i="125" a="1"/>
  <c r="C123" i="125" a="1"/>
  <c r="F97" i="125" a="1"/>
  <c r="AD82" i="125" a="1"/>
  <c r="O110" i="125" a="1"/>
  <c r="AB53" i="125" a="1"/>
  <c r="K136" i="125" a="1"/>
  <c r="L122" i="125" a="1"/>
  <c r="V114" i="125" a="1"/>
  <c r="H143" i="125" a="1"/>
  <c r="Q128" i="125" a="1"/>
  <c r="F53" i="125" a="1"/>
  <c r="AC76" i="125" a="1"/>
  <c r="S122" i="125" a="1"/>
  <c r="J21" i="125" a="1"/>
  <c r="Z47" i="125" a="1"/>
  <c r="AF82" i="125" a="1"/>
  <c r="AE32" i="125" a="1"/>
  <c r="AF41" i="125" a="1"/>
  <c r="AB13" i="125" a="1"/>
  <c r="AB9" i="125" a="1"/>
  <c r="C128" i="125" a="1"/>
  <c r="AC97" i="125" a="1"/>
  <c r="AC149" i="125" a="1"/>
  <c r="N63" i="125" a="1"/>
  <c r="V126" i="125" a="1"/>
  <c r="AD139" i="125" a="1"/>
  <c r="Y122" i="125" a="1"/>
  <c r="I110" i="125" a="1"/>
  <c r="AF56" i="125" a="1"/>
  <c r="P93" i="125" a="1"/>
  <c r="G122" i="125" a="1"/>
  <c r="AD16" i="125" a="1"/>
  <c r="AE139" i="125" a="1"/>
  <c r="F105" i="125" a="1"/>
  <c r="P120" i="125" a="1"/>
  <c r="AB103" i="125" a="1"/>
  <c r="Y98" i="125" a="1"/>
  <c r="AD101" i="125" a="1"/>
  <c r="AE46" i="125" a="1"/>
  <c r="W140" i="125" a="1"/>
  <c r="J143" i="125" a="1"/>
  <c r="V148" i="125" a="1"/>
  <c r="X49" i="125" a="1"/>
  <c r="AB146" i="125" a="1"/>
  <c r="X149" i="125" a="1"/>
  <c r="X122" i="125" a="1"/>
  <c r="D12" i="125" a="1"/>
  <c r="L18" i="125" a="1"/>
  <c r="AB106" i="125" a="1"/>
  <c r="V5" i="125" a="1"/>
  <c r="T153" i="125" a="1"/>
  <c r="AF114" i="125" a="1"/>
  <c r="F116" i="125" a="1"/>
  <c r="G99" i="125" a="1"/>
  <c r="AD73" i="125" a="1"/>
  <c r="I127" i="125" a="1"/>
  <c r="S138" i="125" a="1"/>
  <c r="AD41" i="125" a="1"/>
  <c r="U64" i="125" a="1"/>
  <c r="X64" i="125" a="1"/>
  <c r="AD92" i="125" a="1"/>
  <c r="T110" i="125" a="1"/>
  <c r="AC12" i="125" a="1"/>
  <c r="Q101" i="125" a="1"/>
  <c r="L39" i="125" a="1"/>
  <c r="F28" i="125" a="1"/>
  <c r="V109" i="125" a="1"/>
  <c r="M118" i="125" a="1"/>
  <c r="U80" i="125" a="1"/>
  <c r="R135" i="125" a="1"/>
  <c r="AB150" i="125" a="1"/>
  <c r="H112" i="125" a="1"/>
  <c r="AB151" i="125" a="1"/>
  <c r="AE101" i="125" a="1"/>
  <c r="AB65" i="125" a="1"/>
  <c r="AD98" i="125" a="1"/>
  <c r="K118" i="125" a="1"/>
  <c r="U21" i="125" a="1"/>
  <c r="W120" i="125" a="1"/>
  <c r="AB113" i="125" a="1"/>
  <c r="P99" i="125" a="1"/>
  <c r="N98" i="125" a="1"/>
  <c r="L109" i="125" a="1"/>
  <c r="Y150" i="125" a="1"/>
  <c r="AA86" i="125" a="1"/>
  <c r="K149" i="125" a="1"/>
  <c r="AC109" i="125" a="1"/>
  <c r="P37" i="125" a="1"/>
  <c r="H147" i="125" a="1"/>
  <c r="V31" i="125" a="1"/>
  <c r="AB92" i="125" a="1"/>
  <c r="P44" i="125" a="1"/>
  <c r="AB147" i="125" a="1"/>
  <c r="N37" i="125" a="1"/>
  <c r="V94" i="125" a="1"/>
  <c r="AA90" i="125" a="1"/>
  <c r="AE39" i="125" a="1"/>
  <c r="Z153" i="125" a="1"/>
  <c r="AE86" i="125" a="1"/>
  <c r="AF68" i="125" a="1"/>
  <c r="L121" i="125" a="1"/>
  <c r="AE60" i="125" a="1"/>
  <c r="AC27" i="125" a="1"/>
  <c r="AF40" i="125" a="1"/>
  <c r="R133" i="125" a="1"/>
  <c r="AB140" i="125" a="1"/>
  <c r="AC66" i="125" a="1"/>
  <c r="F66" i="125" a="1"/>
  <c r="I145" i="125" a="1"/>
  <c r="AD22" i="125" a="1"/>
  <c r="AB83" i="125" a="1"/>
  <c r="N5" i="125" a="1"/>
  <c r="AA48" i="125" a="1"/>
  <c r="AF45" i="125" a="1"/>
  <c r="Y152" i="125" a="1"/>
  <c r="AE36" i="125" a="1"/>
  <c r="AE113" i="125" a="1"/>
  <c r="S39" i="125" a="1"/>
  <c r="V149" i="125" a="1"/>
  <c r="S24" i="125" a="1"/>
  <c r="N112" i="125" a="1"/>
  <c r="U120" i="125" a="1"/>
  <c r="U37" i="125" a="1"/>
  <c r="N109" i="125" a="1"/>
  <c r="M17" i="125" a="1"/>
  <c r="AC79" i="125" a="1"/>
  <c r="R68" i="125" a="1"/>
  <c r="V32" i="125" a="1"/>
  <c r="AD77" i="125" a="1"/>
  <c r="W151" i="125" a="1"/>
  <c r="M48" i="125" a="1"/>
  <c r="AC35" i="125" a="1"/>
  <c r="AE66" i="125" a="1"/>
  <c r="U138" i="125" a="1"/>
  <c r="J98" i="125" a="1"/>
  <c r="AF148" i="125" a="1"/>
  <c r="AB125" i="125" a="1"/>
  <c r="W102" i="125" a="1"/>
  <c r="AB38" i="125" a="1"/>
  <c r="O143" i="125" a="1"/>
  <c r="S146" i="125" a="1"/>
  <c r="W58" i="125" a="1"/>
  <c r="AD74" i="125" a="1"/>
  <c r="K42" i="125" a="1"/>
  <c r="AC48" i="125" a="1"/>
  <c r="AC47" i="125" a="1"/>
  <c r="AC138" i="125" a="1"/>
  <c r="D122" i="125" a="1"/>
  <c r="M150" i="125" a="1"/>
  <c r="AE43" i="125" a="1"/>
  <c r="D150" i="125" a="1"/>
  <c r="AC89" i="125" a="1"/>
  <c r="AD10" i="125" a="1"/>
  <c r="Z99" i="125" a="1"/>
  <c r="E134" i="125" a="1"/>
  <c r="F127" i="125" a="1"/>
  <c r="AD34" i="125" a="1"/>
  <c r="AE29" i="125" a="1"/>
  <c r="Q81" i="125" a="1"/>
  <c r="C136" i="125" a="1"/>
  <c r="N152" i="125" a="1"/>
  <c r="L49" i="125" a="1"/>
  <c r="J129" i="125" a="1"/>
  <c r="AF99" i="125" a="1"/>
  <c r="AC110" i="125" a="1"/>
  <c r="Y24" i="125" a="1"/>
  <c r="AA152" i="125" a="1"/>
  <c r="U99" i="125" a="1"/>
  <c r="V61" i="125" a="1"/>
  <c r="C38" i="125" a="1"/>
  <c r="AC119" i="125" a="1"/>
  <c r="AD36" i="125" a="1"/>
  <c r="AF83" i="125" a="1"/>
  <c r="U98" i="125" a="1"/>
  <c r="R29" i="125" a="1"/>
  <c r="AE12" i="125" a="1"/>
  <c r="AF117" i="125" a="1"/>
  <c r="AF54" i="125" a="1"/>
  <c r="M49" i="125" a="1"/>
  <c r="AA102" i="125" a="1"/>
  <c r="AA135" i="125" a="1"/>
  <c r="L136" i="125" a="1"/>
  <c r="O105" i="125" a="1"/>
  <c r="AB41" i="125" a="1"/>
  <c r="T114" i="125" a="1"/>
  <c r="S152" i="125" a="1"/>
  <c r="T147" i="125" a="1"/>
  <c r="K99" i="125" a="1"/>
  <c r="M138" i="125" a="1"/>
  <c r="AF31" i="125" a="1"/>
  <c r="L138" i="125" a="1"/>
  <c r="L153" i="125" a="1"/>
  <c r="AB132" i="125" a="1"/>
  <c r="AC6" i="125" a="1"/>
  <c r="AD38" i="125" a="1"/>
  <c r="AC123" i="125" a="1"/>
  <c r="N124" i="125" a="1"/>
  <c r="Q133" i="125" a="1"/>
  <c r="Y59" i="125" a="1"/>
  <c r="D16" i="125" a="1"/>
  <c r="S88" i="125" a="1"/>
  <c r="T143" i="125" a="1"/>
  <c r="O103" i="125" a="1"/>
  <c r="T113" i="125" a="1"/>
  <c r="K94" i="125" a="1"/>
  <c r="Y117" i="125" a="1"/>
  <c r="P131" i="125" a="1"/>
  <c r="AC23" i="125" a="1"/>
  <c r="AF134" i="125" a="1"/>
  <c r="O119" i="125" a="1"/>
  <c r="Q153" i="125" a="1"/>
  <c r="Z48" i="125" a="1"/>
  <c r="J80" i="125" a="1"/>
  <c r="AE97" i="125" a="1"/>
  <c r="I46" i="125" a="1"/>
  <c r="M139" i="125" a="1"/>
  <c r="S110" i="125" a="1"/>
  <c r="AD137" i="125" a="1"/>
  <c r="Q144" i="125" a="1"/>
  <c r="H65" i="125" a="1"/>
  <c r="K134" i="125" a="1"/>
  <c r="L28" i="125" a="1"/>
  <c r="AE17" i="125" a="1"/>
  <c r="AC59" i="125" a="1"/>
  <c r="R115" i="125" a="1"/>
  <c r="M19" i="125" a="1"/>
  <c r="W24" i="125" a="1"/>
  <c r="T30" i="125" a="1"/>
  <c r="AF78" i="125" a="1"/>
  <c r="L152" i="125" a="1"/>
  <c r="D77" i="125" a="1"/>
  <c r="AC84" i="125" a="1"/>
  <c r="M116" i="125" a="1"/>
  <c r="AC52" i="125" a="1"/>
  <c r="X119" i="125" a="1"/>
  <c r="Z138" i="125" a="1"/>
  <c r="X114" i="125" a="1"/>
  <c r="AC148" i="125" a="1"/>
  <c r="AF139" i="125" a="1"/>
  <c r="H123" i="125" a="1"/>
  <c r="C152" i="125" a="1"/>
  <c r="R109" i="125" a="1"/>
  <c r="H98" i="125" a="1"/>
  <c r="C30" i="125" a="1"/>
  <c r="E110" i="125" a="1"/>
  <c r="S86" i="125" a="1"/>
  <c r="T101" i="125" a="1"/>
  <c r="W134" i="125" a="1"/>
  <c r="U94" i="125" a="1"/>
  <c r="S60" i="125" a="1"/>
  <c r="AB52" i="125" a="1"/>
  <c r="W18" i="125" a="1"/>
  <c r="AC77" i="125" a="1"/>
  <c r="D93" i="125" a="1"/>
  <c r="AF21" i="125" a="1"/>
  <c r="J97" i="125" a="1"/>
  <c r="AC33" i="125" a="1"/>
  <c r="G55" i="125" a="1"/>
  <c r="AB18" i="125" a="1"/>
  <c r="J147" i="125" a="1"/>
  <c r="AF10" i="125" a="1"/>
  <c r="Y147" i="125" a="1"/>
  <c r="T23" i="125" a="1"/>
  <c r="Q45" i="125" a="1"/>
  <c r="P56" i="125" a="1"/>
  <c r="L131" i="125" a="1"/>
  <c r="S150" i="125" a="1"/>
  <c r="S128" i="125" a="1"/>
  <c r="AF20" i="125" a="1"/>
  <c r="AB94" i="125" a="1"/>
  <c r="R129" i="125" a="1"/>
  <c r="Z97" i="125" a="1"/>
  <c r="F17" i="125" a="1"/>
  <c r="AC42" i="125" a="1"/>
  <c r="U91" i="125" a="1"/>
  <c r="AC5" i="125" a="1"/>
  <c r="AF126" i="125" a="1"/>
  <c r="L5" i="125" a="1"/>
  <c r="W122" i="125" a="1"/>
  <c r="AC11" i="125" a="1"/>
  <c r="X99" i="125" a="1"/>
  <c r="J22" i="125" a="1"/>
  <c r="J48" i="125" a="1"/>
  <c r="U86" i="125" a="1"/>
  <c r="R49" i="125" a="1"/>
  <c r="D123" i="125" a="1"/>
  <c r="AC113" i="125" a="1"/>
  <c r="AF61" i="125" a="1"/>
  <c r="X103" i="125" a="1"/>
  <c r="W5" i="125" a="1"/>
  <c r="AB85" i="125" a="1"/>
  <c r="AA143" i="125" a="1"/>
  <c r="F47" i="125" a="1"/>
  <c r="I136" i="125" a="1"/>
  <c r="AA11" i="125" a="1"/>
  <c r="W23" i="125" a="1"/>
  <c r="F132" i="125" a="1"/>
  <c r="AC38" i="125" a="1"/>
  <c r="AA6" i="125" a="1"/>
  <c r="AD145" i="125" a="1"/>
  <c r="C66" i="125" a="1"/>
  <c r="X5" i="125" a="1"/>
  <c r="P121" i="125" a="1"/>
  <c r="H107" i="125" a="1"/>
  <c r="D15" i="125" a="1"/>
  <c r="V66" i="125" a="1"/>
  <c r="Z101" i="125" a="1"/>
  <c r="V128" i="125" a="1"/>
  <c r="U31" i="125" a="1"/>
  <c r="N12" i="125" a="1"/>
  <c r="V17" i="125" a="1"/>
  <c r="X57" i="125" a="1"/>
  <c r="D132" i="125" a="1"/>
  <c r="K114" i="125" a="1"/>
  <c r="I65" i="125" a="1"/>
  <c r="D147" i="125" a="1"/>
  <c r="R17" i="125" a="1"/>
  <c r="N49" i="125" a="1"/>
  <c r="X134" i="125" a="1"/>
  <c r="E46" i="125" a="1"/>
  <c r="U129" i="125" a="1"/>
  <c r="I132" i="125" a="1"/>
  <c r="W41" i="125" a="1"/>
  <c r="T90" i="125" a="1"/>
  <c r="P77" i="125" a="1"/>
  <c r="AA125" i="125" a="1"/>
  <c r="N90" i="125" a="1"/>
  <c r="O49" i="125" a="1"/>
  <c r="AD109" i="125" a="1"/>
  <c r="S99" i="125" a="1"/>
  <c r="N74" i="125" a="1"/>
  <c r="L151" i="125" a="1"/>
  <c r="G112" i="125" a="1"/>
  <c r="K67" i="125" a="1"/>
  <c r="D153" i="125" a="1"/>
  <c r="F79" i="125" a="1"/>
  <c r="G32" i="125" a="1"/>
  <c r="AA29" i="125" a="1"/>
  <c r="AB36" i="125" a="1"/>
  <c r="S58" i="125" a="1"/>
  <c r="AD126" i="125" a="1"/>
  <c r="P100" i="125" a="1"/>
  <c r="P66" i="125" a="1"/>
  <c r="T131" i="125" a="1"/>
  <c r="T73" i="125" a="1"/>
  <c r="N127" i="125" a="1"/>
  <c r="W78" i="125" a="1"/>
  <c r="V123" i="125" a="1"/>
  <c r="D41" i="125" a="1"/>
  <c r="R54" i="125" a="1"/>
  <c r="AA41" i="125" a="1"/>
  <c r="D59" i="125" a="1"/>
  <c r="AA33" i="125" a="1"/>
  <c r="P76" i="125" a="1"/>
  <c r="T112" i="125" a="1"/>
  <c r="C103" i="125" a="1"/>
  <c r="O10" i="125" a="1"/>
  <c r="O136" i="125" a="1"/>
  <c r="I146" i="125" a="1"/>
  <c r="K100" i="125" a="1"/>
  <c r="U81" i="125" a="1"/>
  <c r="G145" i="125" a="1"/>
  <c r="AC124" i="125" a="1"/>
  <c r="O56" i="125" a="1"/>
  <c r="M28" i="125" a="1"/>
  <c r="Y106" i="125" a="1"/>
  <c r="AB138" i="125" a="1"/>
  <c r="N121" i="125" a="1"/>
  <c r="E143" i="125" a="1"/>
  <c r="J87" i="125" a="1"/>
  <c r="E115" i="125" a="1"/>
  <c r="I15" i="125" a="1"/>
  <c r="I44" i="125" a="1"/>
  <c r="M93" i="125" a="1"/>
  <c r="F54" i="125" a="1"/>
  <c r="H139" i="125" a="1"/>
  <c r="O22" i="125" a="1"/>
  <c r="M10" i="125" a="1"/>
  <c r="G152" i="125" a="1"/>
  <c r="G31" i="125" a="1"/>
  <c r="AB42" i="125" a="1"/>
  <c r="AB57" i="125" a="1"/>
  <c r="O99" i="125" a="1"/>
  <c r="F20" i="125" a="1"/>
  <c r="E6" i="125" a="1"/>
  <c r="U127" i="125" a="1"/>
  <c r="X126" i="125" a="1"/>
  <c r="M144" i="125" a="1"/>
  <c r="Z140" i="125" a="1"/>
  <c r="AD54" i="125" a="1"/>
  <c r="Q134" i="125" a="1"/>
  <c r="AA139" i="125" a="1"/>
  <c r="AC31" i="125" a="1"/>
  <c r="AD106" i="125" a="1"/>
  <c r="AD58" i="125" a="1"/>
  <c r="N137" i="125" a="1"/>
  <c r="AD42" i="125" a="1"/>
  <c r="G131" i="125" a="1"/>
  <c r="E32" i="125" a="1"/>
  <c r="H126" i="125" a="1"/>
  <c r="X128" i="125" a="1"/>
  <c r="E148" i="125" a="1"/>
  <c r="M134" i="125" a="1"/>
  <c r="Q88" i="125" a="1"/>
  <c r="K104" i="125" a="1"/>
  <c r="F98" i="125" a="1"/>
  <c r="AC29" i="125" a="1"/>
  <c r="AC18" i="125" a="1"/>
  <c r="E126" i="125" a="1"/>
  <c r="J122" i="125" a="1"/>
  <c r="L38" i="125" a="1"/>
  <c r="AB80" i="125" a="1"/>
  <c r="AD113" i="125" a="1"/>
  <c r="AB137" i="125" a="1"/>
  <c r="M143" i="125" a="1"/>
  <c r="P130" i="125" a="1"/>
  <c r="W127" i="125" a="1"/>
  <c r="S56" i="125" a="1"/>
  <c r="S13" i="125" a="1"/>
  <c r="I150" i="125" a="1"/>
  <c r="C120" i="125" a="1"/>
  <c r="AB98" i="125" a="1"/>
  <c r="AA114" i="125" a="1"/>
  <c r="R132" i="125" a="1"/>
  <c r="T150" i="125" a="1"/>
  <c r="AC135" i="125" a="1"/>
  <c r="S112" i="125" a="1"/>
  <c r="AD147" i="125" a="1"/>
  <c r="U110" i="125" a="1"/>
  <c r="AF73" i="125" a="1"/>
  <c r="AE152" i="125" a="1"/>
  <c r="Y100" i="125" a="1"/>
  <c r="E94" i="125" a="1"/>
  <c r="N80" i="125" a="1"/>
  <c r="F112" i="125" a="1"/>
  <c r="AD123" i="125" a="1"/>
  <c r="AF125" i="125" a="1"/>
  <c r="AB88" i="125" a="1"/>
  <c r="E117" i="125" a="1"/>
  <c r="M140" i="125" a="1"/>
  <c r="AF111" i="125" a="1"/>
  <c r="Y68" i="125" a="1"/>
  <c r="AC24" i="125" a="1"/>
  <c r="AA127" i="125" a="1"/>
  <c r="AB28" i="125" a="1"/>
  <c r="G94" i="125" a="1"/>
  <c r="N143" i="125" a="1"/>
  <c r="Z46" i="125" a="1"/>
  <c r="O120" i="125" a="1"/>
  <c r="N33" i="125" a="1"/>
  <c r="W144" i="125" a="1"/>
  <c r="Q120" i="125" a="1"/>
  <c r="P144" i="125" a="1"/>
  <c r="S135" i="125" a="1"/>
  <c r="Z86" i="125" a="1"/>
  <c r="AC58" i="125" a="1"/>
  <c r="F122" i="125" a="1"/>
  <c r="AA49" i="125" a="1"/>
  <c r="D103" i="125" a="1"/>
  <c r="N151" i="125" a="1"/>
  <c r="Z5" i="125" a="1"/>
  <c r="Z104" i="125" a="1"/>
  <c r="U59" i="125" a="1"/>
  <c r="V19" i="125" a="1"/>
  <c r="I29" i="125" a="1"/>
  <c r="Z129" i="125" a="1"/>
  <c r="V146" i="125" a="1"/>
  <c r="M89" i="125" a="1"/>
  <c r="AF12" i="125" a="1"/>
  <c r="P153" i="125" a="1"/>
  <c r="Y133" i="125" a="1"/>
  <c r="L76" i="125" a="1"/>
  <c r="W81" i="125" a="1"/>
  <c r="C153" i="125" a="1"/>
  <c r="F63" i="125" a="1"/>
  <c r="E9" i="125" a="1"/>
  <c r="M41" i="125" a="1"/>
  <c r="Q89" i="125" a="1"/>
  <c r="W62" i="125" a="1"/>
  <c r="D43" i="125" a="1"/>
  <c r="G22" i="125" a="1"/>
  <c r="Q146" i="125" a="1"/>
  <c r="K74" i="125" a="1"/>
  <c r="R122" i="125" a="1"/>
  <c r="Y46" i="125" a="1"/>
  <c r="U105" i="125" a="1"/>
  <c r="Y143" i="125" a="1"/>
  <c r="H23" i="125" a="1"/>
  <c r="D138" i="125" a="1"/>
  <c r="E23" i="125" a="1"/>
  <c r="V101" i="125" a="1"/>
  <c r="I139" i="125" a="1"/>
  <c r="AE88" i="125" a="1"/>
  <c r="J139" i="125" a="1"/>
  <c r="AE153" i="125" a="1"/>
  <c r="Z54" i="125" a="1"/>
  <c r="U43" i="125" a="1"/>
  <c r="I23" i="125" a="1"/>
  <c r="AA20" i="125" a="1"/>
  <c r="Y93" i="125" a="1"/>
  <c r="C150" i="125" a="1"/>
  <c r="AE18" i="125" a="1"/>
  <c r="U107" i="125" a="1"/>
  <c r="AE126" i="125" a="1"/>
  <c r="AF36" i="125" a="1"/>
  <c r="AE130" i="125" a="1"/>
  <c r="R113" i="125" a="1"/>
  <c r="P137" i="125" a="1"/>
  <c r="AF85" i="125" a="1"/>
  <c r="P152" i="125" a="1"/>
  <c r="AF135" i="125" a="1"/>
  <c r="AD28" i="125" a="1"/>
  <c r="AD79" i="125" a="1"/>
  <c r="AA146" i="125" a="1"/>
  <c r="H49" i="125" a="1"/>
  <c r="S49" i="125" a="1"/>
  <c r="AE87" i="125" a="1"/>
  <c r="AF90" i="125" a="1"/>
  <c r="AB60" i="125" a="1"/>
  <c r="C97" i="125" a="1"/>
  <c r="AF153" i="125" a="1"/>
  <c r="L61" i="125" a="1"/>
  <c r="AF149" i="125" a="1"/>
  <c r="D94" i="125" a="1"/>
  <c r="H131" i="125" a="1"/>
  <c r="Q125" i="125" a="1"/>
  <c r="AB39" i="125" a="1"/>
  <c r="X136" i="125" a="1"/>
  <c r="F133" i="125" a="1"/>
  <c r="C65" i="125" a="1"/>
  <c r="V45" i="125" a="1"/>
  <c r="G57" i="125" a="1"/>
  <c r="AB84" i="125" a="1"/>
  <c r="L62" i="125" a="1"/>
  <c r="AD87" i="125" a="1"/>
  <c r="AF103" i="125" a="1"/>
  <c r="F146" i="125" a="1"/>
  <c r="C116" i="125" a="1"/>
  <c r="V91" i="125" a="1"/>
  <c r="S134" i="125" a="1"/>
  <c r="AF80" i="125" a="1"/>
  <c r="D148" i="125" a="1"/>
  <c r="AD61" i="125" a="1"/>
  <c r="V98" i="125" a="1"/>
  <c r="I97" i="125" a="1"/>
  <c r="AC25" i="125" a="1"/>
  <c r="X85" i="125" a="1"/>
  <c r="L127" i="125" a="1"/>
  <c r="H5" i="125" a="1"/>
  <c r="X111" i="125" a="1"/>
  <c r="I112" i="125" a="1"/>
  <c r="L48" i="125" a="1"/>
  <c r="X135" i="125" a="1"/>
  <c r="AC107" i="125" a="1"/>
  <c r="Q138" i="125" a="1"/>
  <c r="V97" i="125" a="1"/>
  <c r="AB61" i="125" a="1"/>
  <c r="AB82" i="125" a="1"/>
  <c r="O123" i="125" a="1"/>
  <c r="S48" i="125" a="1"/>
  <c r="AE55" i="125" a="1"/>
  <c r="AB17" i="125" a="1"/>
  <c r="AE25" i="125" a="1"/>
  <c r="G105" i="125" a="1"/>
  <c r="E144" i="125" a="1"/>
  <c r="E116" i="125" a="1"/>
  <c r="F22" i="125" a="1"/>
  <c r="L11" i="125" a="1"/>
  <c r="D113" i="125" a="1"/>
  <c r="S104" i="125" a="1"/>
  <c r="AD67" i="125" a="1"/>
  <c r="W126" i="125" a="1"/>
  <c r="I137" i="125" a="1"/>
  <c r="X139" i="125" a="1"/>
  <c r="Z107" i="125" a="1"/>
  <c r="AC54" i="125" a="1"/>
  <c r="AA77" i="125" a="1"/>
  <c r="D110" i="125" a="1"/>
  <c r="Q62" i="125" a="1"/>
  <c r="E98" i="125" a="1"/>
  <c r="L79" i="125" a="1"/>
  <c r="X153" i="125" a="1"/>
  <c r="P17" i="125" a="1"/>
  <c r="AD152" i="125" a="1"/>
  <c r="O87" i="125" a="1"/>
  <c r="AD25" i="125" a="1"/>
  <c r="K150" i="125" a="1"/>
  <c r="Y14" i="125" a="1"/>
  <c r="AA101" i="125" a="1"/>
  <c r="Y40" i="125" a="1"/>
  <c r="AE132" i="125" a="1"/>
  <c r="E93" i="125" a="1"/>
  <c r="AE80" i="125" a="1"/>
  <c r="I9" i="125" a="1"/>
  <c r="AA64" i="125" a="1"/>
  <c r="F150" i="125" a="1"/>
  <c r="Y12" i="125" a="1"/>
  <c r="T148" i="125" a="1"/>
  <c r="Y104" i="125" a="1"/>
  <c r="T111" i="125" a="1"/>
  <c r="AC63" i="125" a="1"/>
  <c r="AC90" i="125" a="1"/>
  <c r="AD76" i="125" a="1"/>
  <c r="C42" i="125" a="1"/>
  <c r="D126" i="125" a="1"/>
  <c r="Q97" i="125" a="1"/>
  <c r="K123" i="125" a="1"/>
  <c r="N54" i="125" a="1"/>
  <c r="S78" i="125" a="1"/>
  <c r="AB101" i="125" a="1"/>
  <c r="P122" i="125" a="1"/>
  <c r="AD99" i="125" a="1"/>
  <c r="L113" i="125" a="1"/>
  <c r="F137" i="125" a="1"/>
  <c r="AF46" i="125" a="1"/>
  <c r="N65" i="125" a="1"/>
  <c r="AC65" i="125" a="1"/>
  <c r="AB108" i="125" a="1"/>
  <c r="P118" i="125" a="1"/>
  <c r="AE35" i="125" a="1"/>
  <c r="AE140" i="125" a="1"/>
  <c r="M148" i="125" a="1"/>
  <c r="U6" i="125" a="1"/>
  <c r="AF94" i="125" a="1"/>
  <c r="E108" i="125" a="1"/>
  <c r="W146" i="125" a="1"/>
  <c r="U115" i="125" a="1"/>
  <c r="N60" i="125" a="1"/>
  <c r="P101" i="125" a="1"/>
  <c r="E22" i="125" a="1"/>
  <c r="W20" i="125" a="1"/>
  <c r="T119" i="125" a="1"/>
  <c r="P147" i="125" a="1"/>
  <c r="AE106" i="125" a="1"/>
  <c r="AB31" i="125" a="1"/>
  <c r="R134" i="125" a="1"/>
  <c r="Y88" i="125" a="1"/>
  <c r="M105" i="125" a="1"/>
  <c r="V41" i="125" a="1"/>
  <c r="AC101" i="125" a="1"/>
  <c r="AC153" i="125" a="1"/>
  <c r="Y86" i="125" a="1"/>
  <c r="AD121" i="125" a="1"/>
  <c r="P12" i="125" a="1"/>
  <c r="C85" i="125" a="1"/>
  <c r="O97" i="125" a="1"/>
  <c r="AF136" i="125" a="1"/>
  <c r="E63" i="125" a="1"/>
  <c r="AB115" i="125" a="1"/>
  <c r="AA28" i="125" a="1"/>
  <c r="AC16" i="125" a="1"/>
  <c r="AD125" i="125" a="1"/>
  <c r="K102" i="125" a="1"/>
  <c r="S6" i="125" a="1"/>
  <c r="E107" i="125" a="1"/>
  <c r="F115" i="125" a="1"/>
  <c r="F125" i="125" a="1"/>
  <c r="V135" i="125" a="1"/>
  <c r="AF110" i="125" a="1"/>
  <c r="O6" i="125" a="1"/>
  <c r="AD5" i="125" a="1"/>
  <c r="E102" i="125" a="1"/>
  <c r="Q109" i="125" a="1"/>
  <c r="AD20" i="125" a="1"/>
  <c r="AB59" i="125" a="1"/>
  <c r="H103" i="125" a="1"/>
  <c r="AB64" i="125" a="1"/>
  <c r="AD97" i="125" a="1"/>
  <c r="J148" i="125" a="1"/>
  <c r="W136" i="125" a="1"/>
  <c r="R94" i="125" a="1"/>
  <c r="Q11" i="125" a="1"/>
  <c r="D34" i="125" a="1"/>
  <c r="J9" i="125" a="1"/>
  <c r="M81" i="125" a="1"/>
  <c r="G36" i="125" a="1"/>
  <c r="Q56" i="125" a="1"/>
  <c r="W101" i="125" a="1"/>
  <c r="Z100" i="125" a="1"/>
  <c r="AF53" i="125" a="1"/>
  <c r="AD55" i="125" a="1"/>
  <c r="AB12" i="125" a="1"/>
  <c r="Y138" i="125" a="1"/>
  <c r="AF88" i="125" a="1"/>
  <c r="S59" i="125" a="1"/>
  <c r="AF79" i="125" a="1"/>
  <c r="M46" i="125" a="1"/>
  <c r="AA25" i="125" a="1"/>
  <c r="C112" i="125" a="1"/>
  <c r="AF106" i="125" a="1"/>
  <c r="G15" i="125" a="1"/>
  <c r="T29" i="125" a="1"/>
  <c r="T128" i="125" a="1"/>
  <c r="P58" i="125" a="1"/>
  <c r="H22" i="125" a="1"/>
  <c r="Q135" i="125" a="1"/>
  <c r="R106" i="125" a="1"/>
  <c r="Y146" i="125" a="1"/>
  <c r="AD140" i="125" a="1"/>
  <c r="Q124" i="125" a="1"/>
  <c r="AB133" i="125" a="1"/>
  <c r="AC49" i="125" a="1"/>
  <c r="Y97" i="125" a="1"/>
  <c r="U49" i="125" a="1"/>
  <c r="N116" i="125" a="1"/>
  <c r="Q44" i="125" a="1"/>
  <c r="Q49" i="125" a="1"/>
  <c r="V86" i="125" a="1"/>
  <c r="M77" i="125" a="1"/>
  <c r="J23" i="125" a="1"/>
  <c r="Z24" i="125" a="1"/>
  <c r="AF18" i="125" a="1"/>
  <c r="G14" i="125" a="1"/>
  <c r="N82" i="125" a="1"/>
  <c r="X33" i="125" a="1"/>
  <c r="R107" i="125" a="1"/>
  <c r="P110" i="125" a="1"/>
  <c r="D91" i="125" a="1"/>
  <c r="P149" i="125" a="1"/>
  <c r="E139" i="125" a="1"/>
  <c r="X105" i="125" a="1"/>
  <c r="P92" i="125" a="1"/>
  <c r="F43" i="125" a="1"/>
  <c r="M53" i="125" a="1"/>
  <c r="AE122" i="125" a="1"/>
  <c r="X47" i="125" a="1"/>
  <c r="W131" i="125" a="1"/>
  <c r="AE58" i="125" a="1"/>
  <c r="S63" i="125" a="1"/>
  <c r="S34" i="125" a="1"/>
  <c r="Z148" i="125" a="1"/>
  <c r="C105" i="125" a="1"/>
  <c r="X82" i="125" a="1"/>
  <c r="AD80" i="125" a="1"/>
  <c r="O76" i="125" a="1"/>
  <c r="AA43" i="125" a="1"/>
  <c r="F119" i="125" a="1"/>
  <c r="P28" i="125" a="1"/>
  <c r="P132" i="125" a="1"/>
  <c r="I89" i="125" a="1"/>
  <c r="E5" i="125" a="1"/>
  <c r="V143" i="125" a="1"/>
  <c r="AA59" i="125" a="1"/>
  <c r="Z45" i="125" a="1"/>
  <c r="AC26" i="125" a="1"/>
  <c r="AD52" i="125" a="1"/>
  <c r="AC115" i="125" a="1"/>
  <c r="AB107" i="125" a="1"/>
  <c r="W98" i="125" a="1"/>
  <c r="AD18" i="125" a="1"/>
  <c r="AE117" i="125" a="1"/>
  <c r="K44" i="125" a="1"/>
  <c r="K129" i="125" a="1"/>
  <c r="AB136" i="125" a="1"/>
  <c r="R62" i="125" a="1"/>
  <c r="S108" i="125" a="1"/>
  <c r="F19" i="125" a="1"/>
  <c r="U89" i="125" a="1"/>
  <c r="E112" i="125" a="1"/>
  <c r="K112" i="125" a="1"/>
  <c r="C113" i="125" a="1"/>
  <c r="T37" i="125" a="1"/>
  <c r="W97" i="125" a="1"/>
  <c r="Y63" i="125" a="1"/>
  <c r="G153" i="125" a="1"/>
  <c r="W107" i="125" a="1"/>
  <c r="O58" i="125" a="1"/>
  <c r="S100" i="125" a="1"/>
  <c r="N100" i="125" a="1"/>
  <c r="AF137" i="125" a="1"/>
  <c r="L106" i="125" a="1"/>
  <c r="T43" i="125" a="1"/>
  <c r="S151" i="125" a="1"/>
  <c r="AF107" i="125" a="1"/>
  <c r="AA13" i="125" a="1"/>
  <c r="J34" i="125" a="1"/>
  <c r="I33" i="125" a="1"/>
  <c r="J118" i="125" a="1"/>
  <c r="L6" i="125" a="1"/>
  <c r="D73" i="125" a="1"/>
  <c r="G135" i="125" a="1"/>
  <c r="R38" i="125" a="1"/>
  <c r="R24" i="125" a="1"/>
  <c r="AA38" i="125" a="1"/>
  <c r="Q119" i="125" a="1"/>
  <c r="H64" i="125" a="1"/>
  <c r="F55" i="125" a="1"/>
  <c r="O37" i="125" a="1"/>
  <c r="AC73" i="125" a="1"/>
  <c r="E138" i="125" a="1"/>
  <c r="AC53" i="125" a="1"/>
  <c r="AD6" i="125" a="1"/>
  <c r="M147" i="125" a="1"/>
  <c r="E146" i="125" a="1"/>
  <c r="W35" i="125" a="1"/>
  <c r="Y62" i="125" a="1"/>
  <c r="X11" i="125" a="1"/>
  <c r="Y53" i="125" a="1"/>
  <c r="L119" i="125" a="1"/>
  <c r="J150" i="125" a="1"/>
  <c r="R130" i="125" a="1"/>
  <c r="AF120" i="125" a="1"/>
  <c r="AE90" i="125" a="1"/>
  <c r="I36" i="125" a="1"/>
  <c r="AD65" i="125" a="1"/>
  <c r="J78" i="125" a="1"/>
  <c r="J31" i="125" a="1"/>
  <c r="W110" i="125" a="1"/>
  <c r="J112" i="125" a="1"/>
  <c r="Z42" i="125" a="1"/>
  <c r="O39" i="125" a="1"/>
  <c r="L77" i="125" a="1"/>
  <c r="T88" i="125" a="1"/>
  <c r="M23" i="125" a="1"/>
  <c r="T58" i="125" a="1"/>
  <c r="Q68" i="125" a="1"/>
  <c r="P114" i="125" a="1"/>
  <c r="F104" i="125" a="1"/>
  <c r="K88" i="125" a="1"/>
  <c r="H33" i="125" a="1"/>
  <c r="AE98" i="125" a="1"/>
  <c r="V131" i="125" a="1"/>
  <c r="P97" i="125" a="1"/>
  <c r="AE19" i="125" a="1"/>
  <c r="G92" i="125" a="1"/>
  <c r="D100" i="125" a="1"/>
  <c r="L55" i="125" a="1"/>
  <c r="G12" i="125" a="1"/>
  <c r="AA17" i="125" a="1"/>
  <c r="T81" i="125" a="1"/>
  <c r="M114" i="125" a="1"/>
  <c r="AB77" i="125" a="1"/>
  <c r="AC30" i="125" a="1"/>
  <c r="Y36" i="125" a="1"/>
  <c r="Z87" i="125" a="1"/>
  <c r="Y39" i="125" a="1"/>
  <c r="M128" i="125" a="1"/>
  <c r="V140" i="125" a="1"/>
  <c r="I19" i="125" a="1"/>
  <c r="O11" i="125" a="1"/>
  <c r="L97" i="125" a="1"/>
  <c r="R123" i="125" a="1"/>
  <c r="G80" i="125" a="1"/>
  <c r="AC91" i="125" a="1"/>
  <c r="X89" i="125" a="1"/>
  <c r="K148" i="125" a="1"/>
  <c r="E40" i="125" a="1"/>
  <c r="M74" i="125" a="1"/>
  <c r="D27" i="125" a="1"/>
  <c r="J83" i="125" a="1"/>
  <c r="AA21" i="125" a="1"/>
  <c r="F14" i="125" a="1"/>
  <c r="T41" i="125" a="1"/>
  <c r="I85" i="125" a="1"/>
  <c r="C67" i="125" a="1"/>
  <c r="L89" i="125" a="1"/>
  <c r="K144" i="125" a="1"/>
  <c r="C39" i="125" a="1"/>
  <c r="U145" i="125" a="1"/>
  <c r="M42" i="125" a="1"/>
  <c r="Y132" i="125" a="1"/>
  <c r="F44" i="125" a="1"/>
  <c r="G115" i="125" a="1"/>
  <c r="K27" i="125" a="1"/>
  <c r="AA18" i="125" a="1"/>
  <c r="G117" i="125" a="1"/>
  <c r="J137" i="125" a="1"/>
  <c r="G134" i="125" a="1"/>
  <c r="AB10" i="125" a="1"/>
  <c r="J52" i="125" a="1"/>
  <c r="F123" i="125" a="1"/>
  <c r="M119" i="125" a="1"/>
  <c r="G97" i="125" a="1"/>
  <c r="AC102" i="125" a="1"/>
  <c r="AB54" i="125" a="1"/>
  <c r="M146" i="125" a="1"/>
  <c r="Z53" i="125" a="1"/>
  <c r="Y77" i="125" a="1"/>
  <c r="AA130" i="125" a="1"/>
  <c r="D6" i="125" a="1"/>
  <c r="AC32" i="125" a="1"/>
  <c r="W28" i="125" a="1"/>
  <c r="X9" i="125" a="1"/>
  <c r="C20" i="125" a="1"/>
  <c r="U148" i="125" a="1"/>
  <c r="J63" i="125" a="1"/>
  <c r="L105" i="125" a="1"/>
  <c r="L13" i="125" a="1"/>
  <c r="P49" i="125" a="1"/>
  <c r="AD68" i="125" a="1"/>
  <c r="I121" i="125" a="1"/>
  <c r="S153" i="125" a="1"/>
  <c r="H40" i="125" a="1"/>
  <c r="I100" i="125" a="1"/>
  <c r="I92" i="125" a="1"/>
  <c r="O108" i="125" a="1"/>
  <c r="G65" i="125" a="1"/>
  <c r="J33" i="125" a="1"/>
  <c r="X12" i="125" a="1"/>
  <c r="L115" i="125" a="1"/>
  <c r="D25" i="125" a="1"/>
  <c r="R67" i="125" a="1"/>
  <c r="M18" i="125" a="1"/>
  <c r="W43" i="125" a="1"/>
  <c r="AE74" i="125" a="1"/>
  <c r="C23" i="125" a="1"/>
  <c r="AA107" i="125" a="1"/>
  <c r="F75" i="125" a="1"/>
  <c r="P82" i="125" a="1"/>
  <c r="T17" i="125" a="1"/>
  <c r="M65" i="125" a="1"/>
  <c r="J74" i="125" a="1"/>
  <c r="AA56" i="125" a="1"/>
  <c r="Z134" i="125" a="1"/>
  <c r="O147" i="125" a="1"/>
  <c r="N139" i="125" a="1"/>
  <c r="AF16" i="125" a="1"/>
  <c r="Q132" i="125" a="1"/>
  <c r="AE62" i="125" a="1"/>
  <c r="V116" i="125" a="1"/>
  <c r="W115" i="125" a="1"/>
  <c r="C99" i="125" a="1"/>
  <c r="Z44" i="125" a="1"/>
  <c r="X41" i="125" a="1"/>
  <c r="V68" i="125" a="1"/>
  <c r="T21" i="125" a="1"/>
  <c r="O133" i="125" a="1"/>
  <c r="H152" i="125" a="1"/>
  <c r="H48" i="125" a="1"/>
  <c r="G10" i="125" a="1"/>
  <c r="T11" i="125" a="1"/>
  <c r="J128" i="125" a="1"/>
  <c r="F76" i="125" a="1"/>
  <c r="D20" i="125" a="1"/>
  <c r="I120" i="125" a="1"/>
  <c r="G27" i="125" a="1"/>
  <c r="L93" i="125" a="1"/>
  <c r="O86" i="125" a="1"/>
  <c r="O109" i="125" a="1"/>
  <c r="O46" i="125" a="1"/>
  <c r="Q83" i="125" a="1"/>
  <c r="E59" i="125" a="1"/>
  <c r="G136" i="125" a="1"/>
  <c r="C5" i="125" a="1"/>
  <c r="M40" i="125" a="1"/>
  <c r="Q117" i="125" a="1"/>
  <c r="T103" i="125" a="1"/>
  <c r="Y103" i="125" a="1"/>
  <c r="X80" i="125" a="1"/>
  <c r="P127" i="125" a="1"/>
  <c r="Y54" i="125" a="1"/>
  <c r="K37" i="125" a="1"/>
  <c r="F85" i="125" a="1"/>
  <c r="N91" i="125" a="1"/>
  <c r="AC127" i="125" a="1"/>
  <c r="R60" i="125" a="1"/>
  <c r="L23" i="125" a="1"/>
  <c r="U34" i="125" a="1"/>
  <c r="AD48" i="125" a="1"/>
  <c r="W14" i="125" a="1"/>
  <c r="AE131" i="125" a="1"/>
  <c r="Z131" i="125" a="1"/>
  <c r="I99" i="125" a="1"/>
  <c r="E19" i="125" a="1"/>
  <c r="K86" i="125" a="1"/>
  <c r="G26" i="125" a="1"/>
  <c r="U41" i="125" a="1"/>
  <c r="Z35" i="125" a="1"/>
  <c r="W75" i="125" a="1"/>
  <c r="S81" i="125" a="1"/>
  <c r="AE151" i="125" a="1"/>
  <c r="AB55" i="125" a="1"/>
  <c r="R92" i="125" a="1"/>
  <c r="T19" i="125" a="1"/>
  <c r="W67" i="125" a="1"/>
  <c r="R66" i="125" a="1"/>
  <c r="G108" i="125" a="1"/>
  <c r="Z30" i="125" a="1"/>
  <c r="E58" i="125" a="1"/>
  <c r="Z34" i="125" a="1"/>
  <c r="C143" i="125" a="1"/>
  <c r="G47" i="125" a="1"/>
  <c r="O92" i="125" a="1"/>
  <c r="J88" i="125" a="1"/>
  <c r="N111" i="125" a="1"/>
  <c r="V107" i="125" a="1"/>
  <c r="T16" i="125" a="1"/>
  <c r="V93" i="125" a="1"/>
  <c r="R34" i="125" a="1"/>
  <c r="D67" i="125" a="1"/>
  <c r="K32" i="125" a="1"/>
  <c r="AA55" i="125" a="1"/>
  <c r="T116" i="125" a="1"/>
  <c r="N75" i="125" a="1"/>
  <c r="AA126" i="125" a="1"/>
  <c r="D35" i="125" a="1"/>
  <c r="D37" i="125" a="1"/>
  <c r="Q55" i="125" a="1"/>
  <c r="L146" i="125" a="1"/>
  <c r="Q85" i="125" a="1"/>
  <c r="Y55" i="125" a="1"/>
  <c r="R101" i="125" a="1"/>
  <c r="G81" i="125" a="1"/>
  <c r="J102" i="125" a="1"/>
  <c r="R100" i="125" a="1"/>
  <c r="X59" i="125" a="1"/>
  <c r="U152" i="125" a="1"/>
  <c r="N117" i="125" a="1"/>
  <c r="C60" i="125" a="1"/>
  <c r="L21" i="125" a="1"/>
  <c r="K145" i="125" a="1"/>
  <c r="AB91" i="125" a="1"/>
  <c r="P86" i="125" a="1"/>
  <c r="G123" i="125" a="1"/>
  <c r="R125" i="125" a="1"/>
  <c r="AB22" i="125" a="1"/>
  <c r="I91" i="125" a="1"/>
  <c r="Y35" i="125" a="1"/>
  <c r="AE33" i="125" a="1"/>
  <c r="R40" i="125" a="1"/>
  <c r="D83" i="125" a="1"/>
  <c r="AB14" i="125" a="1"/>
  <c r="W106" i="125" a="1"/>
  <c r="R148" i="125" a="1"/>
  <c r="V77" i="125" a="1"/>
  <c r="I22" i="125" a="1"/>
  <c r="AE150" i="125" a="1"/>
  <c r="M92" i="125" a="1"/>
  <c r="H127" i="125" a="1"/>
  <c r="S120" i="125" a="1"/>
  <c r="W82" i="125" a="1"/>
  <c r="G130" i="125" a="1"/>
  <c r="X123" i="125" a="1"/>
  <c r="T146" i="125" a="1"/>
  <c r="G48" i="125" a="1"/>
  <c r="AC28" i="125" a="1"/>
  <c r="AF26" i="125" a="1"/>
  <c r="E125" i="125" a="1"/>
  <c r="Q22" i="125" a="1"/>
  <c r="H118" i="125" a="1"/>
  <c r="R21" i="125" a="1"/>
  <c r="AE124" i="125" a="1"/>
  <c r="AE68" i="125" a="1"/>
  <c r="AE79" i="125" a="1"/>
  <c r="E36" i="125" a="1"/>
  <c r="V152" i="125" a="1"/>
  <c r="Q150" i="125" a="1"/>
  <c r="I88" i="125" a="1"/>
  <c r="I147" i="125" a="1"/>
  <c r="M125" i="125" a="1"/>
  <c r="AF66" i="125" a="1"/>
  <c r="AD102" i="125" a="1"/>
  <c r="K132" i="125" a="1"/>
  <c r="AD64" i="125" a="1"/>
  <c r="AD85" i="125" a="1"/>
  <c r="C92" i="125" a="1"/>
  <c r="G89" i="125" a="1"/>
  <c r="Z29" i="125" a="1"/>
  <c r="X26" i="125" a="1"/>
  <c r="AF101" i="125" a="1"/>
  <c r="F140" i="125" a="1"/>
  <c r="U135" i="125" a="1"/>
  <c r="K25" i="125" a="1"/>
  <c r="Q93" i="125" a="1"/>
  <c r="K29" i="125" a="1"/>
  <c r="C64" i="125" a="1"/>
  <c r="N27" i="125" a="1"/>
  <c r="Y78" i="125" a="1"/>
  <c r="E83" i="125" a="1"/>
  <c r="AE135" i="125" a="1"/>
  <c r="D80" i="125" a="1"/>
  <c r="J113" i="125" a="1"/>
  <c r="X61" i="125" a="1"/>
  <c r="V6" i="125" a="1"/>
  <c r="F121" i="125" a="1"/>
  <c r="AD14" i="125" a="1"/>
  <c r="M110" i="125" a="1"/>
  <c r="AF62" i="125" a="1"/>
  <c r="N126" i="125" a="1"/>
  <c r="U61" i="125" a="1"/>
  <c r="J67" i="125" a="1"/>
  <c r="Y91" i="125" a="1"/>
  <c r="Z27" i="125" a="1"/>
  <c r="Z152" i="125" a="1"/>
  <c r="Y47" i="125" a="1"/>
  <c r="G146" i="125" a="1"/>
  <c r="P80" i="125" a="1"/>
  <c r="J115" i="125" a="1"/>
  <c r="V27" i="125" a="1"/>
  <c r="W16" i="125" a="1"/>
  <c r="I49" i="125" a="1"/>
  <c r="AD114" i="125" a="1"/>
  <c r="Z133" i="125" a="1"/>
  <c r="AF25" i="125" a="1"/>
  <c r="W147" i="125" a="1"/>
  <c r="Z6" i="125" a="1"/>
  <c r="AE78" i="125" a="1"/>
  <c r="Y101" i="125" a="1"/>
  <c r="S143" i="125" a="1"/>
  <c r="M133" i="125" a="1"/>
  <c r="X75" i="125" a="1"/>
  <c r="N67" i="125" a="1"/>
  <c r="Y83" i="125" a="1"/>
  <c r="G93" i="125" a="1"/>
  <c r="C43" i="125" a="1"/>
  <c r="O79" i="125" a="1"/>
  <c r="E35" i="125" a="1"/>
  <c r="N125" i="125" a="1"/>
  <c r="V38" i="125" a="1"/>
  <c r="AB56" i="125" a="1"/>
  <c r="L124" i="125" a="1"/>
  <c r="J10" i="125" a="1"/>
  <c r="AC20" i="125" a="1"/>
  <c r="J16" i="125" a="1"/>
  <c r="E99" i="125" a="1"/>
  <c r="J49" i="125" a="1"/>
  <c r="E29" i="125" a="1"/>
  <c r="M106" i="125" a="1"/>
  <c r="R12" i="125" a="1"/>
  <c r="W93" i="125" a="1"/>
  <c r="T125" i="125" a="1"/>
  <c r="Y92" i="125" a="1"/>
  <c r="AA117" i="125" a="1"/>
  <c r="O90" i="125" a="1"/>
  <c r="F31" i="125" a="1"/>
  <c r="J121" i="125" a="1"/>
  <c r="Y49" i="125" a="1"/>
  <c r="AF115" i="125" a="1"/>
  <c r="Q47" i="125" a="1"/>
  <c r="K105" i="125" a="1"/>
  <c r="O55" i="125" a="1"/>
  <c r="S133" i="125" a="1"/>
  <c r="AB37" i="125" a="1"/>
  <c r="AF123" i="125" a="1"/>
  <c r="L81" i="125" a="1"/>
  <c r="C106" i="125" a="1"/>
  <c r="Q148" i="125" a="1"/>
  <c r="X67" i="125" a="1"/>
  <c r="G79" i="125" a="1"/>
  <c r="V67" i="125" a="1"/>
  <c r="AC152" i="125" a="1"/>
  <c r="I149" i="125" a="1"/>
  <c r="AF58" i="125" a="1"/>
  <c r="AC132" i="125" a="1"/>
  <c r="R6" i="125" a="1"/>
  <c r="Q126" i="125" a="1"/>
  <c r="H115" i="125" a="1"/>
  <c r="I63" i="125" a="1"/>
  <c r="U56" i="125" a="1"/>
  <c r="AD66" i="125" a="1"/>
  <c r="AD118" i="125" a="1"/>
  <c r="G102" i="125" a="1"/>
  <c r="AF100" i="125" a="1"/>
  <c r="AD39" i="125" a="1"/>
  <c r="W57" i="125" a="1"/>
  <c r="N130" i="125" a="1"/>
  <c r="Q106" i="125" a="1"/>
  <c r="F114" i="125" a="1"/>
  <c r="O122" i="125" a="1"/>
  <c r="H35" i="125" a="1"/>
  <c r="AE81" i="125" a="1"/>
  <c r="AB130" i="125" a="1"/>
  <c r="G107" i="125" a="1"/>
  <c r="O65" i="125" a="1"/>
  <c r="E16" i="125" a="1"/>
  <c r="AA92" i="125" a="1"/>
  <c r="R23" i="125" a="1"/>
  <c r="X54" i="125" a="1"/>
  <c r="L130" i="125" a="1"/>
  <c r="E45" i="125" a="1"/>
  <c r="V63" i="125" a="1"/>
  <c r="I131" i="125" a="1"/>
  <c r="E132" i="125" a="1"/>
  <c r="L103" i="125" a="1"/>
  <c r="AA133" i="125" a="1"/>
  <c r="AD24" i="125" a="1"/>
  <c r="K12" i="125" a="1"/>
  <c r="I77" i="125" a="1"/>
  <c r="Z125" i="125" a="1"/>
  <c r="V24" i="125" a="1"/>
  <c r="M152" i="125" a="1"/>
  <c r="AD146" i="125" a="1"/>
  <c r="H138" i="125" a="1"/>
  <c r="D9" i="125" a="1"/>
  <c r="E68" i="125" a="1"/>
  <c r="AD136" i="125" a="1"/>
  <c r="V49" i="125" a="1"/>
  <c r="O19" i="125" a="1"/>
  <c r="Z82" i="125" a="1"/>
  <c r="H61" i="125" a="1"/>
  <c r="X120" i="125" a="1"/>
  <c r="J40" i="125" a="1"/>
  <c r="U83" i="125" a="1"/>
  <c r="AA124" i="125" a="1"/>
  <c r="Y81" i="125" a="1"/>
  <c r="F120" i="125" a="1"/>
  <c r="T124" i="125" a="1"/>
  <c r="V153" i="125" a="1"/>
  <c r="K83" i="125" a="1"/>
  <c r="P20" i="125" a="1"/>
  <c r="M84" i="125" a="1"/>
  <c r="M52" i="125" a="1"/>
  <c r="Y57" i="125" a="1"/>
  <c r="R9" i="125" a="1"/>
  <c r="V33" i="125" a="1"/>
  <c r="K31" i="125" a="1"/>
  <c r="F106" i="125" a="1"/>
  <c r="X138" i="125" a="1"/>
  <c r="K89" i="125" a="1"/>
  <c r="Z31" i="125" a="1"/>
  <c r="D26" i="125" a="1"/>
  <c r="C11" i="125" a="1"/>
  <c r="X110" i="125" a="1"/>
  <c r="R147" i="125" a="1"/>
  <c r="O29" i="125" a="1"/>
  <c r="Z17" i="125" a="1"/>
  <c r="H125" i="125" a="1"/>
  <c r="W68" i="125" a="1"/>
  <c r="K11" i="125" a="1"/>
  <c r="V42" i="125" a="1"/>
  <c r="H94" i="125" a="1"/>
  <c r="E54" i="125" a="1"/>
  <c r="X29" i="125" a="1"/>
  <c r="L29" i="125" a="1"/>
  <c r="Y10" i="125" a="1"/>
  <c r="H30" i="125" a="1"/>
  <c r="R41" i="125" a="1"/>
  <c r="AF121" i="125" a="1"/>
  <c r="L41" i="125" a="1"/>
  <c r="F94" i="125" a="1"/>
  <c r="AD120" i="125" a="1"/>
  <c r="F88" i="125" a="1"/>
  <c r="G83" i="125" a="1"/>
  <c r="D65" i="125" a="1"/>
  <c r="Y75" i="125" a="1"/>
  <c r="H116" i="125" a="1"/>
  <c r="Y74" i="125" a="1"/>
  <c r="P126" i="125" a="1"/>
  <c r="J60" i="125" a="1"/>
  <c r="P52" i="125" a="1"/>
  <c r="N38" i="125" a="1"/>
  <c r="N64" i="125" a="1"/>
  <c r="Z12" i="125" a="1"/>
  <c r="Q121" i="125" a="1"/>
  <c r="E76" i="125" a="1"/>
  <c r="E52" i="125" a="1"/>
  <c r="R53" i="125" a="1"/>
  <c r="J18" i="125" a="1"/>
  <c r="AA52" i="125" a="1"/>
  <c r="M62" i="125" a="1"/>
  <c r="P73" i="125" a="1"/>
  <c r="N24" i="125" a="1"/>
  <c r="G106" i="125" a="1"/>
  <c r="P62" i="125" a="1"/>
  <c r="F135" i="125" a="1"/>
  <c r="O36" i="125" a="1"/>
  <c r="K10" i="125" a="1"/>
  <c r="AA129" i="125" a="1"/>
  <c r="E26" i="125" a="1"/>
  <c r="AA145" i="125" a="1"/>
  <c r="AB24" i="125" a="1"/>
  <c r="U125" i="125" a="1"/>
  <c r="I16" i="125" a="1"/>
  <c r="U108" i="125" a="1"/>
  <c r="J144" i="125" a="1"/>
  <c r="E137" i="125" a="1"/>
  <c r="N28" i="125" a="1"/>
  <c r="Q6" i="125" a="1"/>
  <c r="L129" i="125" a="1"/>
  <c r="AE61" i="125" a="1"/>
  <c r="Q12" i="125" a="1"/>
  <c r="AD107" i="125" a="1"/>
  <c r="O40" i="125" a="1"/>
  <c r="AC121" i="125" a="1"/>
  <c r="AA16" i="125" a="1"/>
  <c r="C109" i="125" a="1"/>
  <c r="T24" i="125" a="1"/>
  <c r="AF131" i="125" a="1"/>
  <c r="J152" i="125" a="1"/>
  <c r="S103" i="125" a="1"/>
  <c r="AE93" i="125" a="1"/>
  <c r="M79" i="125" a="1"/>
  <c r="Q30" i="125" a="1"/>
  <c r="Z9" i="125" a="1"/>
  <c r="G126" i="125" a="1"/>
  <c r="R35" i="125" a="1"/>
  <c r="T9" i="125" a="1"/>
  <c r="Y38" i="125" a="1"/>
  <c r="AB145" i="125" a="1"/>
  <c r="P107" i="125" a="1"/>
  <c r="D58" i="125" a="1"/>
  <c r="I152" i="125" a="1"/>
  <c r="G11" i="125" a="1"/>
  <c r="Z117" i="125" a="1"/>
  <c r="AD144" i="125" a="1"/>
  <c r="O107" i="125" a="1"/>
  <c r="AC85" i="125" a="1"/>
  <c r="AB63" i="125" a="1"/>
  <c r="Y121" i="125" a="1"/>
  <c r="AC108" i="125" a="1"/>
  <c r="AD94" i="125" a="1"/>
  <c r="E56" i="125" a="1"/>
  <c r="H104" i="125" a="1"/>
  <c r="Q58" i="125" a="1"/>
  <c r="AE109" i="125" a="1"/>
  <c r="C62" i="125" a="1"/>
  <c r="AA144" i="125" a="1"/>
  <c r="S116" i="125" a="1"/>
  <c r="Q130" i="125" a="1"/>
  <c r="C82" i="125" a="1"/>
  <c r="AF127" i="125" a="1"/>
  <c r="U14" i="125" a="1"/>
  <c r="X74" i="125" a="1"/>
  <c r="AF11" i="125" a="1"/>
  <c r="AD60" i="125" a="1"/>
  <c r="O32" i="125" a="1"/>
  <c r="O78" i="125" a="1"/>
  <c r="L84" i="125" a="1"/>
  <c r="Y153" i="125" a="1"/>
  <c r="P90" i="125" a="1"/>
  <c r="N104" i="125" a="1"/>
  <c r="F30" i="125" a="1"/>
  <c r="E89" i="125" a="1"/>
  <c r="P9" i="125" a="1"/>
  <c r="S147" i="125" a="1"/>
  <c r="N83" i="125" a="1"/>
  <c r="Y124" i="125" a="1"/>
  <c r="G137" i="125" a="1"/>
  <c r="T5" i="125" a="1"/>
  <c r="X81" i="125" a="1"/>
  <c r="K60" i="125" a="1"/>
  <c r="K5" i="125" a="1"/>
  <c r="F111" i="125" a="1"/>
  <c r="Q36" i="125" a="1"/>
  <c r="J124" i="125" a="1"/>
  <c r="T77" i="125" a="1"/>
  <c r="Z149" i="125" a="1"/>
  <c r="U126" i="125" a="1"/>
  <c r="U132" i="125" a="1"/>
  <c r="O20" i="125" a="1"/>
  <c r="AB23" i="125" a="1"/>
  <c r="V79" i="125" a="1"/>
  <c r="Y116" i="125" a="1"/>
  <c r="U79" i="125" a="1"/>
  <c r="K34" i="125" a="1"/>
  <c r="Q122" i="125" a="1"/>
  <c r="AF22" i="125" a="1"/>
  <c r="AD86" i="125" a="1"/>
  <c r="Z13" i="125" a="1"/>
  <c r="S140" i="125" a="1"/>
  <c r="V129" i="125" a="1"/>
  <c r="W105" i="125" a="1"/>
  <c r="J126" i="125" a="1"/>
  <c r="U124" i="125" a="1"/>
  <c r="U26" i="125" a="1"/>
  <c r="AB11" i="125" a="1"/>
  <c r="P15" i="125" a="1"/>
  <c r="Y113" i="125" a="1"/>
  <c r="V121" i="125" a="1"/>
  <c r="AA76" i="125" a="1"/>
  <c r="AA42" i="125" a="1"/>
  <c r="AD138" i="125" a="1"/>
  <c r="R78" i="125" a="1"/>
  <c r="Y56" i="125" a="1"/>
  <c r="E101" i="125" a="1"/>
  <c r="AC88" i="125" a="1"/>
  <c r="J136" i="125" a="1"/>
  <c r="T122" i="125" a="1"/>
  <c r="Z52" i="125" a="1"/>
  <c r="D124" i="125" a="1"/>
  <c r="M88" i="125" a="1"/>
  <c r="C129" i="125" a="1"/>
  <c r="AA108" i="125" a="1"/>
  <c r="Z106" i="125" a="1"/>
  <c r="AB6" i="125" a="1"/>
  <c r="AC86" i="125" a="1"/>
  <c r="J85" i="125" a="1"/>
  <c r="P119" i="125" a="1"/>
  <c r="E118" i="125" a="1"/>
  <c r="V105" i="125" a="1"/>
  <c r="G74" i="125" a="1"/>
  <c r="AC144" i="125" a="1"/>
  <c r="T59" i="125" a="1"/>
  <c r="G149" i="125" a="1"/>
  <c r="R10" i="125" a="1"/>
  <c r="J111" i="125" a="1"/>
  <c r="AB47" i="125" a="1"/>
  <c r="AD108" i="125" a="1"/>
  <c r="O100" i="125" a="1"/>
  <c r="C101" i="125" a="1"/>
  <c r="G58" i="125" a="1"/>
  <c r="W38" i="125" a="1"/>
  <c r="X48" i="125" a="1"/>
  <c r="AB131" i="125" a="1"/>
  <c r="C149" i="125" a="1"/>
  <c r="C139" i="125" a="1"/>
  <c r="F144" i="125" a="1"/>
  <c r="AE115" i="125" a="1"/>
  <c r="W27" i="125" a="1"/>
  <c r="F42" i="125" a="1"/>
  <c r="G103" i="125" a="1"/>
  <c r="E28" i="125" a="1"/>
  <c r="AE100" i="125" a="1"/>
  <c r="R151" i="125" a="1"/>
  <c r="U66" i="125" a="1"/>
  <c r="I119" i="125" a="1"/>
  <c r="AF92" i="125" a="1"/>
  <c r="AE133" i="125" a="1"/>
  <c r="W125" i="125" a="1"/>
  <c r="Z139" i="125" a="1"/>
  <c r="D97" i="125" a="1"/>
  <c r="D48" i="125" a="1"/>
  <c r="N56" i="125" a="1"/>
  <c r="D46" i="125" a="1"/>
  <c r="S20" i="125" a="1"/>
  <c r="J131" i="125" a="1"/>
  <c r="Z15" i="125" a="1"/>
  <c r="AF89" i="125" a="1"/>
  <c r="AB35" i="125" a="1"/>
  <c r="F65" i="125" a="1"/>
  <c r="N29" i="125" a="1"/>
  <c r="AC133" i="125" a="1"/>
  <c r="R73" i="125" a="1"/>
  <c r="AC104" i="125" a="1"/>
  <c r="AE120" i="125" a="1"/>
  <c r="AB121" i="125" a="1"/>
  <c r="AA61" i="125" a="1"/>
  <c r="N36" i="125" a="1"/>
  <c r="E133" i="125" a="1"/>
  <c r="AC131" i="125" a="1"/>
  <c r="K21" i="125" a="1"/>
  <c r="G39" i="125" a="1"/>
  <c r="F113" i="125" a="1"/>
  <c r="E149" i="125" a="1"/>
  <c r="AD23" i="125" a="1"/>
  <c r="X73" i="125" a="1"/>
  <c r="AD45" i="125" a="1"/>
  <c r="AA121" i="125" a="1"/>
  <c r="AB89" i="125" a="1"/>
  <c r="Y151" i="125" a="1"/>
  <c r="AC122" i="125" a="1"/>
  <c r="AF55" i="125" a="1"/>
  <c r="AF32" i="125" a="1"/>
  <c r="AB119" i="125" a="1"/>
  <c r="M57" i="125" a="1"/>
  <c r="N123" i="125" a="1"/>
  <c r="AA119" i="125" a="1"/>
  <c r="M58" i="125" a="1"/>
  <c r="AA116" i="125" a="1"/>
  <c r="AF132" i="125" a="1"/>
  <c r="T130" i="125" a="1"/>
  <c r="AB127" i="125" a="1"/>
  <c r="AE48" i="125" a="1"/>
  <c r="K85" i="125" a="1"/>
  <c r="I151" i="125" a="1"/>
  <c r="AF49" i="125" a="1"/>
  <c r="AA91" i="125" a="1"/>
  <c r="I81" i="125" a="1"/>
  <c r="P113" i="125" a="1"/>
  <c r="Z64" i="125" a="1"/>
  <c r="J25" i="125" a="1"/>
  <c r="Z128" i="125" a="1"/>
  <c r="AB110" i="125" a="1"/>
  <c r="T152" i="125" a="1"/>
  <c r="D78" i="125" a="1"/>
  <c r="K137" i="125" a="1"/>
  <c r="I55" i="125" a="1"/>
  <c r="I134" i="125" a="1"/>
  <c r="V103" i="125" a="1"/>
  <c r="R5" i="125" a="1"/>
  <c r="F61" i="125" a="1"/>
  <c r="I68" i="125" a="1"/>
  <c r="E75" i="125" a="1"/>
  <c r="T104" i="125" a="1"/>
  <c r="W86" i="125" a="1"/>
  <c r="AD151" i="125" a="1"/>
  <c r="D19" i="125" a="1"/>
  <c r="C6" i="125" a="1"/>
  <c r="L126" i="125" a="1"/>
  <c r="Q152" i="125" a="1"/>
  <c r="F107" i="125" a="1"/>
  <c r="Z59" i="125" a="1"/>
  <c r="M126" i="125" a="1"/>
  <c r="E80" i="125" a="1"/>
  <c r="T106" i="125" a="1"/>
  <c r="S44" i="125" a="1"/>
  <c r="AD93" i="125" a="1"/>
  <c r="K109" i="125" a="1"/>
  <c r="AC150" i="125" a="1"/>
  <c r="F117" i="125" a="1"/>
  <c r="AB81" i="125" a="1"/>
  <c r="O35" i="125" a="1"/>
  <c r="AC68" i="125" a="1"/>
  <c r="R98" i="125" a="1"/>
  <c r="U117" i="125" a="1"/>
  <c r="AB114" i="125" a="1"/>
  <c r="J6" i="125" a="1"/>
  <c r="AD148" i="125" a="1"/>
  <c r="J103" i="125" a="1"/>
  <c r="G64" i="125" a="1"/>
  <c r="AF38" i="125" a="1"/>
  <c r="Y127" i="125" a="1"/>
  <c r="M111" i="125" a="1"/>
  <c r="S55" i="125" a="1"/>
  <c r="Q14" i="125" a="1"/>
  <c r="F118" i="125" a="1"/>
  <c r="U28" i="125" a="1"/>
  <c r="G53" i="125" a="1"/>
  <c r="S148" i="125" a="1"/>
  <c r="T14" i="125" a="1"/>
  <c r="X113" i="125" a="1"/>
  <c r="I130" i="125" a="1"/>
  <c r="Q53" i="125" a="1"/>
  <c r="W36" i="125" a="1"/>
  <c r="O28" i="125" a="1"/>
  <c r="AA23" i="125" a="1"/>
  <c r="U12" i="125" a="1"/>
  <c r="T129" i="125" a="1"/>
  <c r="U87" i="125" a="1"/>
  <c r="U112" i="125" a="1"/>
  <c r="T102" i="125" a="1"/>
  <c r="I140" i="125" a="1"/>
  <c r="P103" i="125" a="1"/>
  <c r="H14" i="125" a="1"/>
  <c r="C36" i="125" a="1"/>
  <c r="D108" i="125" a="1"/>
  <c r="K28" i="125" a="1"/>
  <c r="G113" i="125" a="1"/>
  <c r="R110" i="125" a="1"/>
  <c r="D36" i="125" a="1"/>
  <c r="C24" i="125" a="1"/>
  <c r="U97" i="125" a="1"/>
  <c r="L90" i="125" a="1"/>
  <c r="K76" i="125" a="1"/>
  <c r="H60" i="125" a="1"/>
  <c r="G114" i="125" a="1"/>
  <c r="C75" i="125" a="1"/>
  <c r="N31" i="125" a="1"/>
  <c r="AE105" i="125" a="1"/>
  <c r="E135" i="125" a="1"/>
  <c r="W128" i="125" a="1"/>
  <c r="U92" i="125" a="1"/>
  <c r="AD19" i="125" a="1"/>
  <c r="AF151" i="125" a="1"/>
  <c r="X14" i="125" a="1"/>
  <c r="K135" i="125" a="1"/>
  <c r="E147" i="125" a="1"/>
  <c r="E128" i="125" a="1"/>
  <c r="R61" i="125" a="1"/>
  <c r="W40" i="125" a="1"/>
  <c r="G139" i="125" a="1"/>
  <c r="AE64" i="125" a="1"/>
  <c r="Z14" i="125" a="1"/>
  <c r="N115" i="125" a="1"/>
  <c r="I45" i="125" a="1"/>
  <c r="S68" i="125" a="1"/>
  <c r="N97" i="125" a="1"/>
  <c r="I108" i="125" a="1"/>
  <c r="E37" i="125" a="1"/>
  <c r="J14" i="125" a="1"/>
  <c r="E33" i="125" a="1"/>
  <c r="I80" i="125" a="1"/>
  <c r="N46" i="125" a="1"/>
  <c r="I76" i="125" a="1"/>
  <c r="Y44" i="125" a="1"/>
  <c r="G147" i="125" a="1"/>
  <c r="L145" i="125" a="1"/>
  <c r="W37" i="125" a="1"/>
  <c r="D128" i="125" a="1"/>
  <c r="Y19" i="125" a="1"/>
  <c r="Y145" i="125" a="1"/>
  <c r="K62" i="125" a="1"/>
  <c r="Z40" i="125" a="1"/>
  <c r="L60" i="125" a="1"/>
  <c r="AC140" i="125" a="1"/>
  <c r="E129" i="125" a="1"/>
  <c r="M66" i="125" a="1"/>
  <c r="N58" i="125" a="1"/>
  <c r="P91" i="125" a="1"/>
  <c r="O148" i="125" a="1"/>
  <c r="N92" i="125" a="1"/>
  <c r="V15" i="125" a="1"/>
  <c r="G20" i="125" a="1"/>
  <c r="R28" i="125" a="1"/>
  <c r="T63" i="125" a="1"/>
  <c r="AD75" i="125" a="1"/>
  <c r="J61" i="125" a="1"/>
  <c r="Q19" i="125" a="1"/>
  <c r="AE75" i="125" a="1"/>
  <c r="P83" i="125" a="1"/>
  <c r="E34" i="125" a="1"/>
  <c r="H88" i="125" a="1"/>
  <c r="AB32" i="125" a="1"/>
  <c r="L150" i="125" a="1"/>
  <c r="J101" i="125" a="1"/>
  <c r="N14" i="125" a="1"/>
  <c r="AE26" i="125" a="1"/>
  <c r="M16" i="125" a="1"/>
  <c r="AB134" i="125" a="1"/>
  <c r="Q15" i="125" a="1"/>
  <c r="Z119" i="125" a="1"/>
  <c r="AE107" i="125" a="1"/>
  <c r="J36" i="125" a="1"/>
  <c r="AF74" i="125" a="1"/>
  <c r="D55" i="125" a="1"/>
  <c r="Z37" i="125" a="1"/>
  <c r="Y139" i="125" a="1"/>
  <c r="F82" i="125" a="1"/>
  <c r="D134" i="125" a="1"/>
  <c r="M25" i="125" a="1"/>
  <c r="V26" i="125" a="1"/>
  <c r="Y45" i="125" a="1"/>
  <c r="Z79" i="125" a="1"/>
  <c r="Z91" i="125" a="1"/>
  <c r="T42" i="125" a="1"/>
  <c r="I116" i="125" a="1"/>
  <c r="E86" i="125" a="1"/>
  <c r="T64" i="125" a="1"/>
  <c r="S46" i="125" a="1"/>
  <c r="V39" i="125" a="1"/>
  <c r="AE84" i="125" a="1"/>
  <c r="AB120" i="125" a="1"/>
  <c r="P123" i="125" a="1"/>
  <c r="AF57" i="125" a="1"/>
  <c r="J5" i="125" a="1"/>
  <c r="S53" i="125" a="1"/>
  <c r="Y148" i="125" a="1"/>
  <c r="H18" i="125" a="1"/>
  <c r="F87" i="125" a="1"/>
  <c r="O140" i="125" a="1"/>
  <c r="G148" i="125" a="1"/>
  <c r="M60" i="125" a="1"/>
  <c r="G120" i="125" a="1"/>
  <c r="X27" i="125" a="1"/>
  <c r="K63" i="125" a="1"/>
  <c r="G24" i="125" a="1"/>
  <c r="I12" i="125" a="1"/>
  <c r="K52" i="125" a="1"/>
  <c r="AA14" i="125" a="1"/>
  <c r="H63" i="125" a="1"/>
  <c r="K84" i="125" a="1"/>
  <c r="Y90" i="125" a="1"/>
  <c r="V112" i="125" a="1"/>
  <c r="P129" i="125" a="1"/>
  <c r="S123" i="125" a="1"/>
  <c r="S65" i="125" a="1"/>
  <c r="X18" i="125" a="1"/>
  <c r="AD62" i="125" a="1"/>
  <c r="I17" i="125" a="1"/>
  <c r="P26" i="125" a="1"/>
  <c r="M80" i="125" a="1"/>
  <c r="T34" i="125" a="1"/>
  <c r="X143" i="125" a="1"/>
  <c r="O21" i="125" a="1"/>
  <c r="W6" i="125" a="1"/>
  <c r="P36" i="125" a="1"/>
  <c r="J104" i="125" a="1"/>
  <c r="AB86" i="125" a="1"/>
  <c r="V145" i="125" a="1"/>
  <c r="AE47" i="125" a="1"/>
  <c r="AE134" i="125" a="1"/>
  <c r="AC44" i="125" a="1"/>
  <c r="D92" i="125" a="1"/>
  <c r="E61" i="125" a="1"/>
  <c r="Z94" i="125" a="1"/>
  <c r="L125" i="125" a="1"/>
  <c r="J132" i="125" a="1"/>
  <c r="F64" i="125" a="1"/>
  <c r="G132" i="125" a="1"/>
  <c r="AB33" i="125" a="1"/>
  <c r="AE123" i="125" a="1"/>
  <c r="M131" i="125" a="1"/>
  <c r="E77" i="125" a="1"/>
  <c r="Y130" i="125" a="1"/>
  <c r="C87" i="125" a="1"/>
  <c r="U85" i="125" a="1"/>
  <c r="C131" i="125" a="1"/>
  <c r="V73" i="125" a="1"/>
  <c r="P108" i="125" a="1"/>
  <c r="P88" i="125" a="1"/>
  <c r="AD88" i="125" a="1"/>
  <c r="R118" i="125" a="1"/>
  <c r="G128" i="125" a="1"/>
  <c r="G34" i="125" a="1"/>
  <c r="I21" i="125" a="1"/>
  <c r="V30" i="125" a="1"/>
  <c r="U53" i="125" a="1"/>
  <c r="O48" i="125" a="1"/>
  <c r="AA97" i="125" a="1"/>
  <c r="AD29" i="125" a="1"/>
  <c r="H146" i="125" a="1"/>
  <c r="U54" i="125" a="1"/>
  <c r="Q28" i="125" a="1"/>
  <c r="Z65" i="125" a="1"/>
  <c r="Y123" i="125" a="1"/>
  <c r="T79" i="125" a="1"/>
  <c r="Z62" i="125" a="1"/>
  <c r="X77" i="125" a="1"/>
  <c r="S77" i="125" a="1"/>
  <c r="AB67" i="125" a="1"/>
  <c r="R85" i="125" a="1"/>
  <c r="AC9" i="125" a="1"/>
  <c r="W45" i="125" a="1"/>
  <c r="H145" i="125" a="1"/>
  <c r="Z61" i="125" a="1"/>
  <c r="M99" i="125" a="1"/>
  <c r="C135" i="125" a="1"/>
  <c r="R153" i="125" a="1"/>
  <c r="J68" i="125" a="1"/>
  <c r="X127" i="125" a="1"/>
  <c r="P74" i="125" a="1"/>
  <c r="D79" i="125" a="1"/>
  <c r="K122" i="125" a="1"/>
  <c r="Y140" i="125" a="1"/>
  <c r="K55" i="125" a="1"/>
  <c r="W121" i="125" a="1"/>
  <c r="U39" i="125" a="1"/>
  <c r="X78" i="125" a="1"/>
  <c r="K64" i="125" a="1"/>
  <c r="R15" i="125" a="1"/>
  <c r="S23" i="125" a="1"/>
  <c r="AF105" i="125" a="1"/>
  <c r="P45" i="125" a="1"/>
  <c r="O64" i="125" a="1"/>
  <c r="K18" i="125" a="1"/>
  <c r="M101" i="125" a="1"/>
  <c r="H66" i="125" a="1"/>
  <c r="M38" i="125" a="1"/>
  <c r="V122" i="125" a="1"/>
  <c r="J38" i="125" a="1"/>
  <c r="E140" i="125" a="1"/>
  <c r="H105" i="125" a="1"/>
  <c r="AA93" i="125" a="1"/>
  <c r="D53" i="125" a="1"/>
  <c r="K151" i="125" a="1"/>
  <c r="F91" i="125" a="1"/>
  <c r="Q140" i="125" a="1"/>
  <c r="R138" i="125" a="1"/>
  <c r="H114" i="125" a="1"/>
  <c r="AA73" i="125" a="1"/>
  <c r="AD127" i="125" a="1"/>
  <c r="D145" i="125" a="1"/>
  <c r="H86" i="125" a="1"/>
  <c r="N32" i="125" a="1"/>
  <c r="AA66" i="125" a="1"/>
  <c r="O60" i="125" a="1"/>
  <c r="J54" i="125" a="1"/>
  <c r="W148" i="125" a="1"/>
  <c r="E82" i="125" a="1"/>
  <c r="E14" i="125" a="1"/>
  <c r="O53" i="125" a="1"/>
  <c r="M137" i="125" a="1"/>
  <c r="J81" i="125" a="1"/>
  <c r="S19" i="125" a="1"/>
  <c r="X55" i="125" a="1"/>
  <c r="L15" i="125" a="1"/>
  <c r="X17" i="125" a="1"/>
  <c r="AA115" i="125" a="1"/>
  <c r="T60" i="125" a="1"/>
  <c r="N107" i="125" a="1"/>
  <c r="T80" i="125" a="1"/>
  <c r="T32" i="125" a="1"/>
  <c r="Z84" i="125" a="1"/>
  <c r="Q13" i="125" a="1"/>
  <c r="S61" i="125" a="1"/>
  <c r="K152" i="125" a="1"/>
  <c r="Q66" i="125" a="1"/>
  <c r="O138" i="125" a="1"/>
  <c r="S32" i="125" a="1"/>
  <c r="S105" i="125" a="1"/>
  <c r="S74" i="125" a="1"/>
  <c r="X101" i="125" a="1"/>
  <c r="K40" i="125" a="1"/>
  <c r="I10" i="125" a="1"/>
  <c r="W88" i="125" a="1"/>
  <c r="D120" i="125" a="1"/>
  <c r="W74" i="125" a="1"/>
  <c r="V144" i="125" a="1"/>
  <c r="O127" i="125" a="1"/>
  <c r="V150" i="125" a="1"/>
  <c r="W114" i="125" a="1"/>
  <c r="T83" i="125" a="1"/>
  <c r="AD91" i="125" a="1"/>
  <c r="H129" i="125" a="1"/>
  <c r="V56" i="125" a="1"/>
  <c r="O139" i="125" a="1"/>
  <c r="G13" i="125" a="1"/>
  <c r="T151" i="125" a="1"/>
  <c r="AD116" i="125" a="1"/>
  <c r="M102" i="125" a="1"/>
  <c r="F36" i="125" a="1"/>
  <c r="Z28" i="125" a="1"/>
  <c r="P42" i="125" a="1"/>
  <c r="N87" i="125" a="1"/>
  <c r="Y131" i="125" a="1"/>
  <c r="O62" i="125" a="1"/>
  <c r="Y25" i="125" a="1"/>
  <c r="S132" i="125" a="1"/>
  <c r="H44" i="125" a="1"/>
  <c r="D85" i="125" a="1"/>
  <c r="I57" i="125" a="1"/>
  <c r="F60" i="125" a="1"/>
  <c r="D28" i="125" a="1"/>
  <c r="G63" i="125" a="1"/>
  <c r="O13" i="125" a="1"/>
  <c r="Q67" i="125" a="1"/>
  <c r="T115" i="125" a="1"/>
  <c r="C121" i="125" a="1"/>
  <c r="L20" i="125" a="1"/>
  <c r="R81" i="125" a="1"/>
  <c r="P124" i="125" a="1"/>
  <c r="D133" i="125" a="1"/>
  <c r="F92" i="125" a="1"/>
  <c r="X10" i="125" a="1"/>
  <c r="S83" i="125" a="1"/>
  <c r="K107" i="125" a="1"/>
  <c r="M15" i="125" a="1"/>
  <c r="AA46" i="125" a="1"/>
  <c r="J117" i="125" a="1"/>
  <c r="D33" i="125" a="1"/>
  <c r="V88" i="125" a="1"/>
  <c r="AC10" i="125" a="1"/>
  <c r="I61" i="125" a="1"/>
  <c r="T22" i="125" a="1"/>
  <c r="C124" i="125" a="1"/>
  <c r="D102" i="125" a="1"/>
  <c r="AF35" i="125" a="1"/>
  <c r="AE85" i="125" a="1"/>
  <c r="M26" i="125" a="1"/>
  <c r="AB40" i="125" a="1"/>
  <c r="I93" i="125" a="1"/>
  <c r="V53" i="125" a="1"/>
  <c r="G29" i="125" a="1"/>
  <c r="W118" i="125" a="1"/>
  <c r="Y84" i="125" a="1"/>
  <c r="R145" i="125" a="1"/>
  <c r="F16" i="125" a="1"/>
  <c r="E88" i="125" a="1"/>
  <c r="Z121" i="125" a="1"/>
  <c r="V151" i="125" a="1"/>
  <c r="K79" i="125" a="1"/>
  <c r="Q100" i="125" a="1"/>
  <c r="K128" i="125" a="1"/>
  <c r="E18" i="125" a="1"/>
  <c r="Q84" i="125" a="1"/>
  <c r="L57" i="125" a="1"/>
  <c r="N131" i="125" a="1"/>
  <c r="C130" i="125" a="1"/>
  <c r="AC37" i="125" a="1"/>
  <c r="P143" i="125" a="1"/>
  <c r="AA40" i="125" a="1"/>
  <c r="X37" i="125" a="1"/>
  <c r="K126" i="125" a="1"/>
  <c r="J53" i="125" a="1"/>
  <c r="I53" i="125" a="1"/>
  <c r="Q76" i="125" a="1"/>
  <c r="M107" i="125" a="1"/>
  <c r="H111" i="125" a="1"/>
  <c r="AA103" i="125" a="1"/>
  <c r="J77" i="125" a="1"/>
  <c r="AA118" i="125" a="1"/>
  <c r="Z135" i="125" a="1"/>
  <c r="R30" i="125" a="1"/>
  <c r="AF5" i="125" a="1"/>
  <c r="P133" i="125" a="1"/>
  <c r="S62" i="125" a="1"/>
  <c r="P84" i="125" a="1"/>
  <c r="P115" i="125" a="1"/>
  <c r="G77" i="125" a="1"/>
  <c r="I117" i="125" a="1"/>
  <c r="V46" i="125" a="1"/>
  <c r="AD12" i="125" a="1"/>
  <c r="E11" i="125" a="1"/>
  <c r="Z130" i="125" a="1"/>
  <c r="E41" i="125" a="1"/>
  <c r="C16" i="125" a="1"/>
  <c r="F108" i="125" a="1"/>
  <c r="C52" i="125" a="1"/>
  <c r="H108" i="125" a="1"/>
  <c r="P117" i="125" a="1"/>
  <c r="E38" i="125" a="1"/>
  <c r="I143" i="125" a="1"/>
  <c r="Q110" i="125" a="1"/>
  <c r="X31" i="125" a="1"/>
  <c r="L99" i="125" a="1"/>
  <c r="Z85" i="125" a="1"/>
  <c r="S94" i="125" a="1"/>
  <c r="J37" i="125" a="1"/>
  <c r="L73" i="125" a="1"/>
  <c r="AB129" i="125" a="1"/>
  <c r="F84" i="125" a="1"/>
  <c r="M64" i="125" a="1"/>
  <c r="E122" i="125" a="1"/>
  <c r="R103" i="125" a="1"/>
  <c r="D129" i="125" a="1"/>
  <c r="M11" i="125" a="1"/>
  <c r="K23" i="125" a="1"/>
  <c r="U33" i="125" a="1"/>
  <c r="I118" i="125" a="1"/>
  <c r="U17" i="125" a="1"/>
  <c r="AA60" i="125" a="1"/>
  <c r="Q37" i="125" a="1"/>
  <c r="F35" i="125" a="1"/>
  <c r="U101" i="125" a="1"/>
  <c r="AA111" i="125" a="1"/>
  <c r="AF109" i="125" a="1"/>
  <c r="C47" i="125" a="1"/>
  <c r="D121" i="125" a="1"/>
  <c r="I83" i="125" a="1"/>
  <c r="R11" i="125" a="1"/>
  <c r="R136" i="125" a="1"/>
  <c r="H100" i="125" a="1"/>
  <c r="AE5" i="125" a="1"/>
  <c r="R83" i="125" a="1"/>
  <c r="AC64" i="125" a="1"/>
  <c r="AB30" i="125" a="1"/>
  <c r="Z63" i="125" a="1"/>
  <c r="Y27" i="125" a="1"/>
  <c r="X117" i="125" a="1"/>
  <c r="Q102" i="125" a="1"/>
  <c r="C63" i="125" a="1"/>
  <c r="AE92" i="125" a="1"/>
  <c r="W91" i="125" a="1"/>
  <c r="AA74" i="125" a="1"/>
  <c r="W139" i="125" a="1"/>
  <c r="Y135" i="125" a="1"/>
  <c r="R63" i="125" a="1"/>
  <c r="V124" i="125" a="1"/>
  <c r="G56" i="125" a="1"/>
  <c r="K65" i="125" a="1"/>
  <c r="H133" i="125" a="1"/>
  <c r="AE11" i="125" a="1"/>
  <c r="D31" i="125" a="1"/>
  <c r="G37" i="125" a="1"/>
  <c r="H134" i="125" a="1"/>
  <c r="P53" i="125" a="1"/>
  <c r="AE34" i="125" a="1"/>
  <c r="AA84" i="125" a="1"/>
  <c r="Z66" i="125" a="1"/>
  <c r="M108" i="125" a="1"/>
  <c r="U143" i="125" a="1"/>
  <c r="C132" i="125" a="1"/>
  <c r="E120" i="125" a="1"/>
  <c r="Z108" i="125" a="1"/>
  <c r="H12" i="125" a="1"/>
  <c r="AA109" i="125" a="1"/>
  <c r="X140" i="125" a="1"/>
  <c r="M12" i="125" a="1"/>
  <c r="H148" i="125" a="1"/>
  <c r="C114" i="125" a="1"/>
  <c r="Q127" i="125" a="1"/>
  <c r="AB104" i="125" a="1"/>
  <c r="Y80" i="125" a="1"/>
  <c r="AF64" i="125" a="1"/>
  <c r="Q32" i="125" a="1"/>
  <c r="O45" i="125" a="1"/>
  <c r="AC105" i="125" a="1"/>
  <c r="AA128" i="125" a="1"/>
  <c r="D22" i="125" a="1"/>
  <c r="AA120" i="125" a="1"/>
  <c r="H43" i="125" a="1"/>
  <c r="AC34" i="125" a="1"/>
  <c r="V118" i="125" a="1"/>
  <c r="N16" i="125" a="1"/>
  <c r="Q79" i="125" a="1"/>
  <c r="F136" i="125" a="1"/>
  <c r="AE144" i="125" a="1"/>
  <c r="P116" i="125" a="1"/>
  <c r="C45" i="125" a="1"/>
  <c r="G98" i="125" a="1"/>
  <c r="Q143" i="125" a="1"/>
  <c r="N40" i="125" a="1"/>
  <c r="H120" i="125" a="1"/>
  <c r="N85" i="125" a="1"/>
  <c r="AF65" i="125" a="1"/>
  <c r="Q46" i="125" a="1"/>
  <c r="AA47" i="125" a="1"/>
  <c r="Z55" i="125" a="1"/>
  <c r="S82" i="125" a="1"/>
  <c r="U10" i="125" a="1"/>
  <c r="O30" i="125" a="1"/>
  <c r="H140" i="125" a="1"/>
  <c r="R64" i="125" a="1"/>
  <c r="C10" i="125" a="1"/>
  <c r="AE59" i="125" a="1"/>
  <c r="X125" i="125" a="1"/>
  <c r="N23" i="125" a="1"/>
  <c r="Q16" i="125" a="1"/>
  <c r="N62" i="125" a="1"/>
  <c r="AA81" i="125" a="1"/>
  <c r="K53" i="125" a="1"/>
  <c r="C90" i="125" a="1"/>
  <c r="K17" i="125" a="1"/>
  <c r="AF140" i="125" a="1"/>
  <c r="S87" i="125" a="1"/>
  <c r="P48" i="125" a="1"/>
  <c r="E17" i="125" a="1"/>
  <c r="O94" i="125" a="1"/>
  <c r="R88" i="125" a="1"/>
  <c r="Y42" i="125" a="1"/>
  <c r="AF98" i="125" a="1"/>
  <c r="E130" i="125" a="1"/>
  <c r="AD134" i="125" a="1"/>
  <c r="V75" i="125" a="1"/>
  <c r="R140" i="125" a="1"/>
  <c r="Q38" i="125" a="1"/>
  <c r="T12" i="125" a="1"/>
  <c r="X66" i="125" a="1"/>
  <c r="U40" i="125" a="1"/>
  <c r="Q86" i="125" a="1"/>
  <c r="U62" i="125" a="1"/>
  <c r="S12" i="125" a="1"/>
  <c r="P16" i="125" a="1"/>
  <c r="N44" i="125" a="1"/>
  <c r="G19" i="125" a="1"/>
  <c r="I64" i="125" a="1"/>
  <c r="Q75" i="125" a="1"/>
  <c r="D88" i="125" a="1"/>
  <c r="V83" i="125" a="1"/>
  <c r="U47" i="125" a="1"/>
  <c r="W152" i="125" a="1"/>
  <c r="R104" i="125" a="1"/>
  <c r="O43" i="125" a="1"/>
  <c r="AB143" i="125" a="1"/>
  <c r="P75" i="125" a="1"/>
  <c r="I138" i="125" a="1"/>
  <c r="AC98" i="125" a="1"/>
  <c r="N73" i="125" a="1"/>
  <c r="N102" i="125" a="1"/>
  <c r="V55" i="125" a="1"/>
  <c r="M121" i="125" a="1"/>
  <c r="AD53" i="125" a="1"/>
  <c r="F21" i="125" a="1"/>
  <c r="N52" i="125" a="1"/>
  <c r="L78" i="125" a="1"/>
  <c r="V20" i="125" a="1"/>
  <c r="O26" i="125" a="1"/>
  <c r="H59" i="125" a="1"/>
  <c r="S42" i="125" a="1"/>
  <c r="N59" i="125" a="1"/>
  <c r="H92" i="125" a="1"/>
  <c r="O68" i="125" a="1"/>
  <c r="J62" i="125" a="1"/>
  <c r="AF67" i="125" a="1"/>
  <c r="J65" i="125" a="1"/>
  <c r="R22" i="125" a="1"/>
  <c r="T100" i="125" a="1"/>
  <c r="W90" i="125" a="1"/>
  <c r="X83" i="125" a="1"/>
  <c r="AB25" i="125" a="1"/>
  <c r="U68" i="125" a="1"/>
  <c r="R127" i="125" a="1"/>
  <c r="Z33" i="125" a="1"/>
  <c r="E44" i="125" a="1"/>
  <c r="D5" i="125" a="1"/>
  <c r="P27" i="125" a="1"/>
  <c r="W129" i="125" a="1"/>
  <c r="AF113" i="125" a="1"/>
  <c r="L133" i="125" a="1"/>
  <c r="L102" i="125" a="1"/>
  <c r="AA30" i="125" a="1"/>
  <c r="L67" i="125" a="1"/>
  <c r="S52" i="125" a="1"/>
  <c r="W47" i="125" a="1"/>
  <c r="L45" i="125" a="1"/>
  <c r="Q35" i="125" a="1"/>
  <c r="Q57" i="125" a="1"/>
  <c r="Q25" i="125" a="1"/>
  <c r="P33" i="125" a="1"/>
  <c r="T15" i="125" a="1"/>
  <c r="L14" i="125" a="1"/>
  <c r="V134" i="125" a="1"/>
  <c r="U121" i="125" a="1"/>
  <c r="I48" i="125" a="1"/>
  <c r="E150" i="125" a="1"/>
  <c r="P14" i="125" a="1"/>
  <c r="I67" i="125" a="1"/>
  <c r="J86" i="125" a="1"/>
  <c r="S80" i="125" a="1"/>
  <c r="AF48" i="125" a="1"/>
  <c r="Q20" i="125" a="1"/>
  <c r="K124" i="125" a="1"/>
  <c r="U118" i="125" a="1"/>
  <c r="L92" i="125" a="1"/>
  <c r="I148" i="125" a="1"/>
  <c r="M61" i="125" a="1"/>
  <c r="G43" i="125" a="1"/>
  <c r="Y41" i="125" a="1"/>
  <c r="L63" i="125" a="1"/>
  <c r="K78" i="125" a="1"/>
  <c r="E66" i="125" a="1"/>
  <c r="I59" i="125" a="1"/>
  <c r="S33" i="125" a="1"/>
  <c r="C88" i="125" a="1"/>
  <c r="N79" i="125" a="1"/>
  <c r="X63" i="125" a="1"/>
  <c r="AC83" i="125" a="1"/>
  <c r="I111" i="125" a="1"/>
  <c r="R128" i="125" a="1"/>
  <c r="P138" i="125" a="1"/>
  <c r="R152" i="125" a="1"/>
  <c r="L108" i="125" a="1"/>
  <c r="G61" i="125" a="1"/>
  <c r="D32" i="125" a="1"/>
  <c r="M90" i="125" a="1"/>
  <c r="T52" i="125" a="1"/>
  <c r="P85" i="125" a="1"/>
  <c r="AF108" i="125" a="1"/>
  <c r="X147" i="125" a="1"/>
  <c r="L27" i="125" a="1"/>
  <c r="E103" i="125" a="1"/>
  <c r="Z127" i="125" a="1"/>
  <c r="Z98" i="125" a="1"/>
  <c r="M91" i="125" a="1"/>
  <c r="I62" i="125" a="1"/>
  <c r="W42" i="125" a="1"/>
  <c r="C93" i="125" a="1"/>
  <c r="AC19" i="125" a="1"/>
  <c r="N132" i="125" a="1"/>
  <c r="W116" i="125" a="1"/>
  <c r="Z118" i="125" a="1"/>
  <c r="AF76" i="125" a="1"/>
  <c r="P105" i="125" a="1"/>
  <c r="V10" i="125" a="1"/>
  <c r="W73" i="125" a="1"/>
  <c r="H47" i="125" a="1"/>
  <c r="S90" i="125" a="1"/>
  <c r="X92" i="125" a="1"/>
  <c r="J41" i="125" a="1"/>
  <c r="V119" i="125" a="1"/>
  <c r="Q26" i="125" a="1"/>
  <c r="T46" i="125" a="1"/>
  <c r="S40" i="125" a="1"/>
  <c r="AE38" i="125" a="1"/>
  <c r="E67" i="125" a="1"/>
  <c r="M76" i="125" a="1"/>
  <c r="I34" i="125" a="1"/>
  <c r="O93" i="125" a="1"/>
  <c r="N21" i="125" a="1"/>
  <c r="F40" i="125" a="1"/>
  <c r="G5" i="125" a="1"/>
  <c r="C37" i="125" a="1"/>
  <c r="F57" i="125" a="1"/>
  <c r="N22" i="125" a="1"/>
  <c r="G16" i="125" a="1"/>
  <c r="U15" i="125" a="1"/>
  <c r="V54" i="125" a="1"/>
  <c r="I47" i="125" a="1"/>
  <c r="AE111" i="125" a="1"/>
  <c r="O153" i="125" a="1"/>
  <c r="V60" i="125" a="1"/>
  <c r="X87" i="125" a="1"/>
  <c r="V36" i="125" a="1"/>
  <c r="H37" i="125" a="1"/>
  <c r="H45" i="125" a="1"/>
  <c r="O131" i="125" a="1"/>
  <c r="S35" i="125" a="1"/>
  <c r="AD132" i="125" a="1"/>
  <c r="X115" i="125" a="1"/>
  <c r="F130" i="125" a="1"/>
  <c r="U55" i="125" a="1"/>
  <c r="G33" i="125" a="1"/>
  <c r="F73" i="125" a="1"/>
  <c r="J79" i="125" a="1"/>
  <c r="O54" i="125" a="1"/>
  <c r="W10" i="125" a="1"/>
  <c r="L33" i="125" a="1"/>
  <c r="P128" i="125" a="1"/>
  <c r="N78" i="125" a="1"/>
  <c r="L82" i="125" a="1"/>
  <c r="Q139" i="125" a="1"/>
  <c r="J106" i="125" a="1"/>
  <c r="P68" i="125" a="1"/>
  <c r="C127" i="125" a="1"/>
  <c r="S84" i="125" a="1"/>
  <c r="V85" i="125" a="1"/>
  <c r="D146" i="125" a="1"/>
  <c r="U36" i="125" a="1"/>
  <c r="V37" i="125" a="1"/>
  <c r="H135" i="125" a="1"/>
  <c r="AD150" i="125" a="1"/>
  <c r="I32" i="125" a="1"/>
  <c r="Y30" i="125" a="1"/>
  <c r="O75" i="125" a="1"/>
  <c r="Q145" i="125" a="1"/>
  <c r="K111" i="125" a="1"/>
  <c r="K121" i="125" a="1"/>
  <c r="M86" i="125" a="1"/>
  <c r="K48" i="125" a="1"/>
  <c r="X6" i="125" a="1"/>
  <c r="AB122" i="125" a="1"/>
  <c r="S14" i="125" a="1"/>
  <c r="Y61" i="125" a="1"/>
  <c r="O63" i="125" a="1"/>
  <c r="I114" i="125" a="1"/>
  <c r="F86" i="125" a="1"/>
  <c r="Y65" i="125" a="1"/>
  <c r="AA27" i="125" a="1"/>
  <c r="M123" i="125" a="1"/>
  <c r="AD149" i="125" a="1"/>
  <c r="N103" i="125" a="1"/>
  <c r="G143" i="125" a="1"/>
  <c r="T82" i="125" a="1"/>
  <c r="H36" i="125" a="1"/>
  <c r="AC74" i="125" a="1"/>
  <c r="K130" i="125" a="1"/>
  <c r="I126" i="125" a="1"/>
  <c r="U42" i="125" a="1"/>
  <c r="X53" i="125" a="1"/>
  <c r="Y15" i="125" a="1"/>
  <c r="Z57" i="125" a="1"/>
  <c r="Q54" i="125" a="1"/>
  <c r="N135" i="125" a="1"/>
  <c r="H117" i="125" a="1"/>
  <c r="U11" i="125" a="1"/>
  <c r="AF112" i="125" a="1"/>
  <c r="L120" i="125" a="1"/>
  <c r="W22" i="125" a="1"/>
  <c r="K117" i="125" a="1"/>
  <c r="C126" i="125" a="1"/>
  <c r="T27" i="125" a="1"/>
  <c r="K35" i="125" a="1"/>
  <c r="H6" i="125" a="1"/>
  <c r="N55" i="125" a="1"/>
  <c r="F103" i="125" a="1"/>
  <c r="Y111" i="125" a="1"/>
  <c r="AA39" i="125" a="1"/>
  <c r="H109" i="125" a="1"/>
  <c r="J64" i="125" a="1"/>
  <c r="S109" i="125" a="1"/>
  <c r="K9" i="125" a="1"/>
  <c r="I107" i="125" a="1"/>
  <c r="AD31" i="125" a="1"/>
  <c r="AC55" i="125" a="1"/>
  <c r="F131" i="125" a="1"/>
  <c r="AD128" i="125" a="1"/>
  <c r="R33" i="125" a="1"/>
  <c r="H27" i="125" a="1"/>
  <c r="Z19" i="125" a="1"/>
  <c r="T91" i="125" a="1"/>
  <c r="K61" i="125" a="1"/>
  <c r="Q107" i="125" a="1"/>
  <c r="T6" i="125" a="1"/>
  <c r="X22" i="125" a="1"/>
  <c r="S85" i="125" a="1"/>
  <c r="P29" i="125" a="1"/>
  <c r="F49" i="125" a="1"/>
  <c r="Q129" i="125" a="1"/>
  <c r="R46" i="125" a="1"/>
  <c r="J56" i="125" a="1"/>
  <c r="T45" i="125" a="1"/>
  <c r="H137" i="125" a="1"/>
  <c r="M59" i="125" a="1"/>
  <c r="J116" i="125" a="1"/>
  <c r="AF102" i="125" a="1"/>
  <c r="Z120" i="125" a="1"/>
  <c r="L104" i="125" a="1"/>
  <c r="C110" i="125" a="1"/>
  <c r="V76" i="125" a="1"/>
  <c r="Y18" i="125" a="1"/>
  <c r="J91" i="125" a="1"/>
  <c r="Z114" i="125" a="1"/>
  <c r="Y9" i="125" a="1"/>
  <c r="Y23" i="125" a="1"/>
  <c r="D42" i="125" a="1"/>
  <c r="T105" i="125" a="1"/>
  <c r="AB27" i="125" a="1"/>
  <c r="J59" i="125" a="1"/>
  <c r="H77" i="125" a="1"/>
  <c r="G133" i="125" a="1"/>
  <c r="N81" i="125" a="1"/>
  <c r="J17" i="125" a="1"/>
  <c r="C91" i="125" a="1"/>
  <c r="F12" i="125" a="1"/>
  <c r="S93" i="125" a="1"/>
  <c r="AA68" i="125" a="1"/>
  <c r="N19" i="125" a="1"/>
  <c r="E85" i="125" a="1"/>
  <c r="E53" i="125" a="1"/>
  <c r="AC39" i="125" a="1"/>
  <c r="V100" i="125" a="1"/>
  <c r="V23" i="125" a="1"/>
  <c r="W60" i="125" a="1"/>
  <c r="Y79" i="125" a="1"/>
  <c r="E62" i="125" a="1"/>
  <c r="AA34" i="125" a="1"/>
  <c r="R74" i="125" a="1"/>
  <c r="I5" i="125" a="1"/>
  <c r="H57" i="125" a="1"/>
  <c r="O34" i="125" a="1"/>
  <c r="AB79" i="125" a="1"/>
  <c r="AA80" i="125" a="1"/>
  <c r="W9" i="125" a="1"/>
  <c r="M14" i="125" a="1"/>
  <c r="D135" i="125" a="1"/>
  <c r="N101" i="125" a="1"/>
  <c r="Z113" i="125" a="1"/>
  <c r="AC57" i="125" a="1"/>
  <c r="F80" i="125" a="1"/>
  <c r="X19" i="125" a="1"/>
  <c r="Q77" i="125" a="1"/>
  <c r="S36" i="125" a="1"/>
  <c r="V127" i="125" a="1"/>
  <c r="C148" i="125" a="1"/>
  <c r="O130" i="125" a="1"/>
  <c r="T85" i="125" a="1"/>
  <c r="E73" i="125" a="1"/>
  <c r="Y64" i="125" a="1"/>
  <c r="M39" i="125" a="1"/>
  <c r="U48" i="125" a="1"/>
  <c r="N34" i="125" a="1"/>
  <c r="AA122" i="125" a="1"/>
  <c r="O38" i="125" a="1"/>
  <c r="I113" i="125" a="1"/>
  <c r="K20" i="125" a="1"/>
  <c r="J39" i="125" a="1"/>
  <c r="F74" i="125" a="1"/>
  <c r="AC46" i="125" a="1"/>
  <c r="V84" i="125" a="1"/>
  <c r="Q64" i="125" a="1"/>
  <c r="AD117" i="125" a="1"/>
  <c r="J119" i="125" a="1"/>
  <c r="S9" i="125" a="1"/>
  <c r="Y5" i="125" a="1"/>
  <c r="W11" i="125" a="1"/>
  <c r="Z76" i="125" a="1"/>
  <c r="T120" i="125" a="1"/>
  <c r="M55" i="125" a="1"/>
  <c r="D82" i="125" a="1"/>
  <c r="Q23" i="125" a="1"/>
  <c r="AA88" i="125" a="1"/>
  <c r="AA31" i="125" a="1"/>
  <c r="U63" i="125" a="1"/>
  <c r="U32" i="125" a="1"/>
  <c r="T35" i="125" a="1"/>
  <c r="L37" i="125" a="1"/>
  <c r="J19" i="125" a="1"/>
  <c r="Z32" i="125" a="1"/>
  <c r="M34" i="125" a="1"/>
  <c r="M35" i="125" a="1"/>
  <c r="N118" i="125" a="1"/>
  <c r="C57" i="125" a="1"/>
  <c r="M31" i="125" a="1"/>
  <c r="T25" i="125" a="1"/>
  <c r="D29" i="125" a="1"/>
  <c r="AE77" i="125" a="1"/>
  <c r="H83" i="125" a="1"/>
  <c r="F153" i="125" a="1"/>
  <c r="D17" i="125" a="1"/>
  <c r="I82" i="125" a="1"/>
  <c r="Q24" i="125" a="1"/>
  <c r="O118" i="125" a="1"/>
  <c r="AF63" i="125" a="1"/>
  <c r="AB74" i="125" a="1"/>
  <c r="U5" i="125" a="1"/>
  <c r="C53" i="125" a="1"/>
  <c r="Q99" i="125" a="1"/>
  <c r="D75" i="125" a="1"/>
  <c r="N11" i="125" a="1"/>
  <c r="M37" i="125" a="1"/>
  <c r="D139" i="125" a="1"/>
  <c r="S37" i="125" a="1"/>
  <c r="O129" i="125" a="1"/>
  <c r="H9" i="125" a="1"/>
  <c r="AA113" i="125" a="1"/>
  <c r="X24" i="125" a="1"/>
  <c r="L135" i="125" a="1"/>
  <c r="Q61" i="125" a="1"/>
  <c r="AC36" i="125" a="1"/>
  <c r="O113" i="125" a="1"/>
  <c r="X35" i="125" a="1"/>
  <c r="AA45" i="125" a="1"/>
  <c r="Y67" i="125" a="1"/>
  <c r="M45" i="125" a="1"/>
  <c r="S114" i="125" a="1"/>
  <c r="L112" i="125" a="1"/>
  <c r="G84" i="125" a="1"/>
  <c r="I41" i="125" a="1"/>
  <c r="AA44" i="125" a="1"/>
  <c r="V44" i="125" a="1"/>
  <c r="C46" i="125" a="1"/>
  <c r="T78" i="125" a="1"/>
  <c r="N39" i="125" a="1"/>
  <c r="Z103" i="125" a="1"/>
  <c r="T31" i="125" a="1"/>
  <c r="AE82" i="125" a="1"/>
  <c r="AA82" i="125" a="1"/>
  <c r="AE14" i="125" a="1"/>
  <c r="P67" i="125" a="1"/>
  <c r="S67" i="125" a="1"/>
  <c r="L36" i="125" a="1"/>
  <c r="C102" i="125" a="1"/>
  <c r="M135" i="125" a="1"/>
  <c r="D101" i="125" a="1"/>
  <c r="I37" i="125" a="1"/>
  <c r="H20" i="125" a="1"/>
  <c r="Y22" i="125" a="1"/>
  <c r="F100" i="125" a="1"/>
  <c r="V132" i="125" a="1"/>
  <c r="Z110" i="125" a="1"/>
  <c r="AC125" i="125" a="1"/>
  <c r="V22" i="125" a="1"/>
  <c r="D13" i="125" a="1"/>
  <c r="F83" i="125" a="1"/>
  <c r="S27" i="125" a="1"/>
  <c r="I90" i="125" a="1"/>
  <c r="M82" i="125" a="1"/>
  <c r="K103" i="125" a="1"/>
  <c r="AA9" i="125" a="1"/>
  <c r="R39" i="125" a="1"/>
  <c r="N99" i="125" a="1"/>
  <c r="AD115" i="125" a="1"/>
  <c r="S131" i="125" a="1"/>
  <c r="O88" i="125" a="1"/>
  <c r="AF24" i="125" a="1"/>
  <c r="AF17" i="125" a="1"/>
  <c r="X90" i="125" a="1"/>
  <c r="X144" i="125" a="1"/>
  <c r="E111" i="125" a="1"/>
  <c r="F147" i="125" a="1"/>
  <c r="H130" i="125" a="1"/>
  <c r="AD15" i="125" a="1"/>
  <c r="E39" i="125" a="1"/>
  <c r="E145" i="125" a="1"/>
  <c r="H41" i="125" a="1"/>
  <c r="L111" i="125" a="1"/>
  <c r="I86" i="125" a="1"/>
  <c r="M122" i="125" a="1"/>
  <c r="U151" i="125" a="1"/>
  <c r="Z38" i="125" a="1"/>
  <c r="I58" i="125" a="1"/>
  <c r="Y112" i="125" a="1"/>
  <c r="D52" i="125" a="1"/>
  <c r="D87" i="125" a="1"/>
  <c r="I38" i="125" a="1"/>
  <c r="C151" i="125" a="1"/>
  <c r="G87" i="125" a="1"/>
  <c r="W61" i="125" a="1"/>
  <c r="Q136" i="125" a="1"/>
  <c r="AF124" i="125" a="1"/>
  <c r="I105" i="125" a="1"/>
  <c r="M6" i="125" a="1"/>
  <c r="P41" i="125" a="1"/>
  <c r="AE143" i="125" a="1"/>
  <c r="F102" i="125" a="1"/>
  <c r="E119" i="125" a="1"/>
  <c r="E100" i="125" a="1"/>
  <c r="L110" i="125" a="1"/>
  <c r="X130" i="125" a="1"/>
  <c r="AC62" i="125" a="1"/>
  <c r="W56" i="125" a="1"/>
  <c r="AB15" i="125" a="1"/>
  <c r="F67" i="125" a="1"/>
  <c r="K153" i="125" a="1"/>
  <c r="Q147" i="125" a="1"/>
  <c r="G25" i="125" a="1"/>
  <c r="Z111" i="125" a="1"/>
  <c r="F23" i="125" a="1"/>
  <c r="H84" i="125" a="1"/>
  <c r="AD131" i="125" a="1"/>
  <c r="U113" i="125" a="1"/>
  <c r="Y48" i="125" a="1"/>
  <c r="R31" i="125" a="1"/>
  <c r="C31" i="125" a="1"/>
  <c r="AB111" i="125" a="1"/>
  <c r="P151" i="125" a="1"/>
  <c r="V28" i="125" a="1"/>
  <c r="O27" i="125" a="1"/>
  <c r="T117" i="125" a="1"/>
  <c r="AC145" i="125" a="1"/>
  <c r="I66" i="125" a="1"/>
  <c r="F18" i="125" a="1"/>
  <c r="E127" i="125" a="1"/>
  <c r="X46" i="125" a="1"/>
  <c r="K47" i="125" a="1"/>
  <c r="K110" i="125" a="1"/>
  <c r="V29" i="125" a="1"/>
  <c r="T145" i="125" a="1"/>
  <c r="F32" i="125" a="1"/>
  <c r="V104" i="125" a="1"/>
  <c r="M73" i="125" a="1"/>
  <c r="R114" i="125" a="1"/>
  <c r="P57" i="125" a="1"/>
  <c r="P46" i="125" a="1"/>
  <c r="I153" i="125" a="1"/>
  <c r="H55" i="125" a="1"/>
  <c r="W89" i="125" a="1"/>
  <c r="P18" i="125" a="1"/>
  <c r="F26" i="125" a="1"/>
  <c r="L117" i="125" a="1"/>
  <c r="O102" i="125" a="1"/>
  <c r="M32" i="125" a="1"/>
  <c r="D105" i="125" a="1"/>
  <c r="H53" i="125" a="1"/>
  <c r="F27" i="125" a="1"/>
  <c r="H13" i="125" a="1"/>
  <c r="N89" i="125" a="1"/>
  <c r="F13" i="125" a="1"/>
  <c r="T107" i="125" a="1"/>
  <c r="X106" i="125" a="1"/>
  <c r="F58" i="125" a="1"/>
  <c r="J149" i="125" a="1"/>
  <c r="AC80" i="125" a="1"/>
  <c r="J94" i="125" a="1"/>
  <c r="G104" i="125" a="1"/>
  <c r="K92" i="125" a="1"/>
  <c r="K22" i="125" a="1"/>
  <c r="N138" i="125" a="1"/>
  <c r="X62" i="125" a="1"/>
  <c r="D136" i="125" a="1"/>
  <c r="Q40" i="125" a="1"/>
  <c r="T10" i="125" a="1"/>
  <c r="C29" i="125" a="1"/>
  <c r="P112" i="125" a="1"/>
  <c r="C9" i="125" a="1"/>
  <c r="X132" i="125" a="1"/>
  <c r="AF37" i="125" a="1"/>
  <c r="G62" i="125" a="1"/>
  <c r="C21" i="125" a="1"/>
  <c r="K116" i="125" a="1"/>
  <c r="Q104" i="125" a="1"/>
  <c r="O80" i="125" a="1"/>
  <c r="G140" i="125" a="1"/>
  <c r="S130" i="125" a="1"/>
  <c r="F6" i="125" a="1"/>
  <c r="V25" i="125" a="1"/>
  <c r="Q80" i="125" a="1"/>
  <c r="D11" i="125" a="1"/>
  <c r="E42" i="125" a="1"/>
  <c r="T135" i="125" a="1"/>
  <c r="J108" i="125" a="1"/>
  <c r="AA75" i="125" a="1"/>
  <c r="K16" i="125" a="1"/>
  <c r="H128" i="125" a="1"/>
  <c r="O66" i="125" a="1"/>
  <c r="D84" i="125" a="1"/>
  <c r="X65" i="125" a="1"/>
  <c r="X133" i="125" a="1"/>
  <c r="U58" i="125" a="1"/>
  <c r="X13" i="125" a="1"/>
  <c r="M20" i="125" a="1"/>
  <c r="N42" i="125" a="1"/>
  <c r="S113" i="125" a="1"/>
  <c r="J46" i="125" a="1"/>
  <c r="Y129" i="125" a="1"/>
  <c r="L46" i="125" a="1"/>
  <c r="J133" i="125" a="1"/>
  <c r="H121" i="125" a="1"/>
  <c r="U128" i="125" a="1"/>
  <c r="T132" i="125" a="1"/>
  <c r="V106" i="125" a="1"/>
  <c r="Z102" i="125" a="1"/>
  <c r="D60" i="125" a="1"/>
  <c r="L40" i="125" a="1"/>
  <c r="Y17" i="125" a="1"/>
  <c r="L114" i="125" a="1"/>
  <c r="T89" i="125" a="1"/>
  <c r="I87" i="125" a="1"/>
  <c r="AC129" i="125" a="1"/>
  <c r="K57" i="125" a="1"/>
  <c r="S92" i="125" a="1"/>
  <c r="O9" i="125" a="1"/>
  <c r="Y58" i="125" a="1"/>
  <c r="R116" i="125" a="1"/>
  <c r="F46" i="125" a="1"/>
  <c r="V113" i="125" a="1"/>
  <c r="X68" i="125" a="1"/>
  <c r="C32" i="125" a="1"/>
  <c r="AA89" i="125" a="1"/>
  <c r="M112" i="125" a="1"/>
  <c r="C35" i="125" a="1"/>
  <c r="I25" i="125" a="1"/>
  <c r="M103" i="125" a="1"/>
  <c r="S11" i="125" a="1"/>
  <c r="S17" i="125" a="1"/>
  <c r="H17" i="125" a="1"/>
  <c r="L65" i="125" a="1"/>
  <c r="O47" i="125" a="1"/>
  <c r="T127" i="125" a="1"/>
  <c r="W64" i="125" a="1"/>
  <c r="M127" i="125" a="1"/>
  <c r="Y89" i="125" a="1"/>
  <c r="E153" i="125" a="1"/>
  <c r="T20" i="125" a="1"/>
  <c r="U22" i="125" a="1"/>
  <c r="J26" i="125" a="1"/>
  <c r="O73" i="125" a="1"/>
  <c r="Y115" i="125" a="1"/>
  <c r="Z116" i="125" a="1"/>
  <c r="J75" i="125" a="1"/>
  <c r="O42" i="125" a="1"/>
  <c r="U149" i="125" a="1"/>
  <c r="G85" i="125" a="1"/>
  <c r="X39" i="125" a="1"/>
  <c r="Q65" i="125" a="1"/>
  <c r="M5" i="125" a="1"/>
  <c r="W83" i="125" a="1"/>
  <c r="N122" i="125" a="1"/>
  <c r="P25" i="125" a="1"/>
  <c r="AA153" i="125" a="1"/>
  <c r="I20" i="125" a="1"/>
  <c r="F52" i="125" a="1"/>
  <c r="AC146" i="125" a="1"/>
  <c r="G111" i="125" a="1"/>
  <c r="AF87" i="125" a="1"/>
  <c r="J20" i="125" a="1"/>
  <c r="I60" i="125" a="1"/>
  <c r="N76" i="125" a="1"/>
  <c r="AA24" i="125" a="1"/>
  <c r="I39" i="125" a="1"/>
  <c r="M115" i="125" a="1"/>
  <c r="R44" i="125" a="1"/>
  <c r="G68" i="125" a="1"/>
  <c r="K108" i="125" a="1"/>
  <c r="L101" i="125" a="1"/>
  <c r="T49" i="125" a="1"/>
  <c r="L32" i="125" a="1"/>
  <c r="H102" i="125" a="1"/>
  <c r="J82" i="125" a="1"/>
  <c r="O5" i="125" a="1"/>
  <c r="S18" i="125" a="1"/>
  <c r="F41" i="125" a="1"/>
  <c r="AA138" i="125" a="1"/>
  <c r="H21" i="125" a="1"/>
  <c r="AD9" i="125" a="1"/>
  <c r="U46" i="125" a="1"/>
  <c r="Q131" i="125" a="1"/>
  <c r="W55" i="125" a="1"/>
  <c r="Q33" i="125" a="1"/>
  <c r="S54" i="125" a="1"/>
  <c r="E91" i="125" a="1"/>
  <c r="Y126" i="125" a="1"/>
  <c r="W63" i="125" a="1"/>
  <c r="AF118" i="125" a="1"/>
  <c r="N66" i="125" a="1"/>
  <c r="S119" i="125" a="1"/>
  <c r="W65" i="125" a="1"/>
  <c r="D104" i="125" a="1"/>
  <c r="K91" i="125" a="1"/>
  <c r="C59" i="125" a="1"/>
  <c r="H34" i="125" a="1"/>
  <c r="W15" i="125" a="1"/>
  <c r="U150" i="125" a="1"/>
  <c r="P30" i="125" a="1"/>
  <c r="G38" i="125" a="1"/>
  <c r="F138" i="125" a="1"/>
  <c r="K24" i="125" a="1"/>
  <c r="Z49" i="125" a="1"/>
  <c r="W132" i="125" a="1"/>
  <c r="AA150" i="125" a="1"/>
  <c r="E104" i="125" a="1"/>
  <c r="C34" i="125" a="1"/>
  <c r="Q123" i="125" a="1"/>
  <c r="H99" i="125" a="1"/>
  <c r="AF52" i="125" a="1"/>
  <c r="G82" i="125" a="1"/>
  <c r="I144" i="125" a="1"/>
  <c r="Q137" i="125" a="1"/>
  <c r="AF27" i="125" a="1"/>
  <c r="AD103" i="125" a="1"/>
  <c r="V47" i="125" a="1"/>
  <c r="I135" i="125" a="1"/>
  <c r="N119" i="125" a="1"/>
  <c r="M104" i="125" a="1"/>
  <c r="U19" i="125" a="1"/>
  <c r="I79" i="125" a="1"/>
  <c r="M13" i="125" a="1"/>
  <c r="O150" i="125" a="1"/>
  <c r="C55" i="125" a="1"/>
  <c r="E43" i="125" a="1"/>
  <c r="F56" i="125" a="1"/>
  <c r="D76" i="125" a="1"/>
  <c r="U130" i="125" a="1"/>
  <c r="J107" i="125" a="1"/>
  <c r="H113" i="125" a="1"/>
  <c r="C125" i="125" a="1"/>
  <c r="O17" i="125" a="1"/>
  <c r="Z20" i="125" a="1"/>
  <c r="E90" i="125" a="1"/>
  <c r="S111" i="125" a="1"/>
  <c r="R36" i="125" a="1"/>
  <c r="H80" i="125" a="1"/>
  <c r="C33" i="125" a="1"/>
  <c r="H26" i="125" a="1"/>
  <c r="X36" i="125" a="1"/>
  <c r="F45" i="125" a="1"/>
  <c r="AF30" i="125" a="1"/>
  <c r="P38" i="125" a="1"/>
  <c r="Q103" i="125" a="1"/>
  <c r="P60" i="125" a="1"/>
  <c r="D54" i="125" a="1"/>
  <c r="R18" i="125" a="1"/>
  <c r="Z89" i="125" a="1"/>
  <c r="N25" i="125" a="1"/>
  <c r="V92" i="125" a="1"/>
  <c r="D118" i="125" a="1"/>
  <c r="W111" i="125" a="1"/>
  <c r="S75" i="125" a="1"/>
  <c r="H78" i="125" a="1"/>
  <c r="AB117" i="125" a="1"/>
  <c r="I75" i="125" a="1"/>
  <c r="D109" i="125" a="1"/>
  <c r="V120" i="125" a="1"/>
  <c r="Q74" i="125" a="1"/>
  <c r="P40" i="125" a="1"/>
  <c r="S38" i="125" a="1"/>
  <c r="F151" i="125" a="1"/>
  <c r="P102" i="125" a="1"/>
  <c r="F29" i="125" a="1"/>
  <c r="V139" i="125" a="1"/>
  <c r="P94" i="125" a="1"/>
  <c r="D106" i="125" a="1"/>
  <c r="R146" i="125" a="1"/>
  <c r="J109" i="125" a="1"/>
  <c r="X121" i="125" a="1"/>
  <c r="D44" i="125" a="1"/>
  <c r="Y120" i="125" a="1"/>
  <c r="O14" i="125" a="1"/>
  <c r="F15" i="125" a="1"/>
  <c r="J58" i="125" a="1"/>
  <c r="X25" i="125" a="1"/>
  <c r="I106" i="125" a="1"/>
  <c r="G59" i="125" a="1"/>
  <c r="K133" i="125" a="1"/>
  <c r="N53" i="125" a="1"/>
  <c r="P55" i="125" a="1"/>
  <c r="R37" i="125" a="1"/>
  <c r="D114" i="125" a="1"/>
  <c r="I115" i="125" a="1"/>
  <c r="B2" i="125" a="1"/>
  <c r="G125" i="125" a="1"/>
  <c r="C68" i="125" a="1"/>
  <c r="N86" i="125" a="1"/>
  <c r="AA123" i="125" a="1"/>
  <c r="N93" i="125" a="1"/>
  <c r="W25" i="125" a="1"/>
  <c r="T92" i="125" a="1"/>
  <c r="W150" i="125" a="1"/>
  <c r="R119" i="125" a="1"/>
  <c r="V59" i="125" a="1"/>
  <c r="AE129" i="125" a="1"/>
  <c r="S28" i="125" a="1"/>
  <c r="E47" i="125" a="1"/>
  <c r="Y11" i="125" a="1"/>
  <c r="AF6" i="125" a="1"/>
  <c r="G18" i="125" a="1"/>
  <c r="J44" i="125" a="1"/>
  <c r="L52" i="125" a="1"/>
  <c r="Q42" i="125" a="1"/>
  <c r="M109" i="125" a="1"/>
  <c r="K146" i="125" a="1"/>
  <c r="R131" i="125" a="1"/>
  <c r="W117" i="125" a="1"/>
  <c r="AA32" i="125" a="1"/>
  <c r="AA85" i="125" a="1"/>
  <c r="AD49" i="125" a="1"/>
  <c r="R77" i="125" a="1"/>
  <c r="I6" i="125" a="1"/>
  <c r="D125" i="125" a="1"/>
  <c r="Z67" i="125" a="1"/>
  <c r="Y107" i="125" a="1"/>
  <c r="AF86" i="125" a="1"/>
  <c r="U57" i="125" a="1"/>
  <c r="K36" i="125" a="1"/>
  <c r="R97" i="125" a="1"/>
  <c r="H150" i="125" a="1"/>
  <c r="AB43" i="125" a="1"/>
  <c r="AC93" i="125" a="1"/>
  <c r="AA12" i="125" a="1"/>
  <c r="AB93" i="125" a="1"/>
  <c r="N108" i="125" a="1"/>
  <c r="V80" i="125" a="1"/>
  <c r="X16" i="125" a="1"/>
  <c r="Z126" i="125" a="1"/>
  <c r="L24" i="125" a="1"/>
  <c r="Z146" i="125" a="1"/>
  <c r="M24" i="125" a="1"/>
  <c r="D40" i="125" a="1"/>
  <c r="AA147" i="125" a="1"/>
  <c r="W33" i="125" a="1"/>
  <c r="AF44" i="125" a="1"/>
  <c r="U20" i="125" a="1"/>
  <c r="M22" i="125" a="1"/>
  <c r="C40" i="125" a="1"/>
  <c r="X116" i="125" a="1"/>
  <c r="R58" i="125" a="1"/>
  <c r="K58" i="125" a="1"/>
  <c r="AF147" i="125" a="1"/>
  <c r="Q116" i="125" a="1"/>
  <c r="C61" i="125" a="1"/>
  <c r="Z88" i="125" a="1"/>
  <c r="R16" i="125" a="1"/>
  <c r="R56" i="125" a="1"/>
  <c r="G76" i="125" a="1"/>
  <c r="L85" i="125" a="1"/>
  <c r="AD27" i="125" a="1"/>
  <c r="F81" i="125" a="1"/>
  <c r="R26" i="125" a="1"/>
  <c r="X112" i="125" a="1"/>
  <c r="C83" i="125" a="1"/>
  <c r="L47" i="125" a="1"/>
  <c r="G100" i="125" a="1"/>
  <c r="O101" i="125" a="1"/>
  <c r="Q27" i="125" a="1"/>
  <c r="N77" i="125" a="1"/>
  <c r="AA22" i="125" a="1"/>
  <c r="D45" i="125" a="1"/>
  <c r="Y109" i="125" a="1"/>
  <c r="X148" i="125" a="1"/>
  <c r="W13" i="125" a="1"/>
  <c r="U67" i="125" a="1"/>
  <c r="L143" i="125" a="1"/>
  <c r="AE102" i="125" a="1"/>
  <c r="P10" i="125" a="1"/>
  <c r="K131" i="125" a="1"/>
  <c r="T54" i="125" a="1"/>
  <c r="AA67" i="125" a="1"/>
  <c r="L26" i="125" a="1"/>
  <c r="R111" i="125" a="1"/>
  <c r="N61" i="125" a="1"/>
  <c r="S107" i="125" a="1"/>
  <c r="S79" i="125" a="1"/>
  <c r="N140" i="125" a="1"/>
  <c r="G30" i="125" a="1"/>
  <c r="G46" i="125" a="1"/>
  <c r="V81" i="125" a="1"/>
  <c r="AE49" i="125" a="1"/>
  <c r="D62" i="125" a="1"/>
  <c r="V43" i="125" a="1"/>
  <c r="L9" i="125" a="1"/>
  <c r="L22" i="125" a="1"/>
  <c r="U146" i="125" a="1"/>
  <c r="W133" i="125" a="1"/>
  <c r="K73" i="125" a="1"/>
  <c r="Q9" i="125" a="1"/>
  <c r="X79" i="125" a="1"/>
  <c r="M29" i="125" a="1"/>
  <c r="Y28" i="125" a="1"/>
  <c r="Y33" i="125" a="1"/>
  <c r="X44" i="125" a="1"/>
  <c r="Q118" i="125" a="1"/>
  <c r="N94" i="125" a="1"/>
  <c r="K80" i="125" a="1"/>
  <c r="C118" i="125" a="1"/>
  <c r="O83" i="125" a="1"/>
  <c r="R87" i="125" a="1"/>
  <c r="AC151" i="125" a="1"/>
  <c r="S57" i="125" a="1"/>
  <c r="C44" i="125" a="1"/>
  <c r="AB20" i="125" a="1"/>
  <c r="Y125" i="125" a="1"/>
  <c r="G54" i="125" a="1"/>
  <c r="H101" i="125" a="1"/>
  <c r="AF97" i="125" a="1"/>
  <c r="AB16" i="125" a="1"/>
  <c r="AB34" i="125" a="1"/>
  <c r="T67" i="125" a="1"/>
  <c r="T48" i="125" a="1"/>
  <c r="Q94" i="125" a="1"/>
  <c r="Z23" i="125" a="1"/>
  <c r="AF93" i="125" a="1"/>
  <c r="F90" i="125" a="1"/>
  <c r="M44" i="125" a="1"/>
  <c r="F78" i="125" a="1"/>
  <c r="AB58" i="125" a="1"/>
  <c r="O126" i="125" a="1"/>
  <c r="L132" i="125" a="1"/>
  <c r="AA98" i="125" a="1"/>
  <c r="K15" i="125" a="1"/>
  <c r="I94" i="125" a="1"/>
  <c r="X146" i="125" a="1"/>
  <c r="I42" i="125" a="1"/>
  <c r="G52" i="125" a="1"/>
  <c r="T39" i="125" a="1"/>
  <c r="W112" i="125" a="1"/>
  <c r="N110" i="125" a="1"/>
  <c r="E55" i="125" a="1"/>
  <c r="AE94" i="125" a="1"/>
  <c r="X40" i="125" a="1"/>
  <c r="C73" i="125" a="1"/>
  <c r="Q91" i="125" a="1"/>
  <c r="N41" i="125" a="1"/>
  <c r="U116" i="125" a="1"/>
  <c r="F89" i="125" a="1"/>
  <c r="G28" i="125" a="1"/>
  <c r="M47" i="125" a="1"/>
  <c r="F101" i="125" a="1"/>
  <c r="R57" i="125" a="1"/>
  <c r="H54" i="125" a="1"/>
  <c r="V64" i="125" a="1"/>
  <c r="L30" i="125" a="1"/>
  <c r="AE116" i="125" a="1"/>
  <c r="J12" i="125" a="1"/>
  <c r="F9" i="125" a="1"/>
  <c r="I26" i="125" a="1"/>
  <c r="AD112" i="125" a="1"/>
  <c r="O16" i="125" a="1"/>
  <c r="D39" i="125" a="1"/>
  <c r="G109" i="125" a="1"/>
  <c r="C145" i="125" a="1"/>
  <c r="G150" i="125" a="1"/>
  <c r="J114" i="125" a="1"/>
  <c r="Q112" i="125" a="1"/>
  <c r="E48" i="125" a="1"/>
  <c r="I102" i="125" a="1"/>
  <c r="P61" i="125" a="1"/>
  <c r="AD26" i="125" a="1"/>
  <c r="S115" i="125" a="1"/>
  <c r="AF129" i="125" a="1"/>
  <c r="L94" i="125" a="1"/>
  <c r="O91" i="125" a="1"/>
  <c r="C15" i="125" a="1"/>
  <c r="E106" i="125" a="1"/>
  <c r="W99" i="125" a="1"/>
  <c r="AA112" i="125" a="1"/>
  <c r="F62" i="125" a="1"/>
  <c r="C74" i="125" a="1"/>
  <c r="W123" i="125" a="1"/>
  <c r="T94" i="125" a="1"/>
  <c r="T97" i="125" a="1"/>
  <c r="M75" i="125" a="1"/>
  <c r="Z26" i="125" a="1"/>
  <c r="K101" i="125" a="1"/>
  <c r="Y76" i="125" a="1"/>
  <c r="L19" i="125" a="1"/>
  <c r="U13" i="125" a="1"/>
  <c r="N68" i="125" a="1"/>
  <c r="U153" i="125" a="1"/>
  <c r="V74" i="125" a="1"/>
  <c r="W130" i="125" a="1"/>
  <c r="S121" i="125" a="1"/>
  <c r="Z123" i="125" a="1"/>
  <c r="U139" i="125" a="1"/>
  <c r="M67" i="125" a="1"/>
  <c r="AD133" i="125" a="1"/>
  <c r="D131" i="125" a="1"/>
  <c r="AA26" i="125" a="1"/>
  <c r="R19" i="125" a="1"/>
  <c r="AB66" i="125" a="1"/>
  <c r="R65" i="125" a="1"/>
  <c r="X38" i="125" a="1"/>
  <c r="V18" i="125" a="1"/>
  <c r="Q63" i="125" a="1"/>
  <c r="Q21" i="125" a="1"/>
  <c r="Y32" i="125" a="1"/>
  <c r="O31" i="125" a="1"/>
  <c r="H85" i="125" a="1"/>
  <c r="D119" i="125" a="1"/>
  <c r="S89" i="125" a="1"/>
  <c r="D81" i="125" a="1"/>
  <c r="D116" i="125" a="1"/>
  <c r="J100" i="125" a="1"/>
  <c r="AD130" i="125" a="1"/>
  <c r="AE15" i="125" a="1"/>
  <c r="Z112" i="125" a="1"/>
  <c r="F145" i="125" a="1"/>
  <c r="I27" i="125" a="1"/>
  <c r="M151" i="125" a="1"/>
  <c r="K30" i="125" a="1"/>
  <c r="AF15" i="125" a="1"/>
  <c r="AE22" i="125" a="1"/>
  <c r="G101" i="125" a="1"/>
  <c r="W80" i="125" a="1"/>
  <c r="N15" i="125" a="1"/>
  <c r="L80" i="125" a="1"/>
  <c r="Z105" i="125" a="1"/>
  <c r="C133" i="125" a="1"/>
  <c r="AA148" i="125" a="1"/>
  <c r="H151" i="125" a="1"/>
  <c r="K139" i="125" a="1"/>
  <c r="X102" i="125" a="1"/>
  <c r="P11" i="125" a="1"/>
  <c r="M83" i="125" a="1"/>
  <c r="V62" i="125" a="1"/>
  <c r="N13" i="125" a="1"/>
  <c r="U38" i="125" a="1"/>
  <c r="V57" i="125" a="1"/>
  <c r="Z36" i="125" a="1"/>
  <c r="AA35" i="125" a="1"/>
  <c r="H67" i="125" a="1"/>
  <c r="AF34" i="125" a="1"/>
  <c r="J11" i="125" a="1"/>
  <c r="V111" i="125" a="1"/>
  <c r="O128" i="125" a="1"/>
  <c r="Y105" i="125" a="1"/>
  <c r="C19" i="125" a="1"/>
  <c r="L58" i="125" a="1"/>
  <c r="W79" i="125" a="1"/>
  <c r="E87" i="125" a="1"/>
  <c r="W44" i="125" a="1"/>
  <c r="C41" i="125" a="1"/>
  <c r="W143" i="125" a="1"/>
  <c r="J24" i="125" a="1"/>
  <c r="W30" i="125" a="1"/>
  <c r="S10" i="125" a="1"/>
  <c r="U122" i="125" a="1"/>
  <c r="C77" i="125" a="1"/>
  <c r="C17" i="125" a="1"/>
  <c r="AD33" i="125" a="1"/>
  <c r="H16" i="125" a="1"/>
  <c r="G144" i="125" a="1"/>
  <c r="T61" i="125" a="1"/>
  <c r="Z90" i="125" a="1"/>
  <c r="AC147" i="125" a="1"/>
  <c r="R45" i="125" a="1"/>
  <c r="Q59" i="125" a="1"/>
  <c r="M117" i="125" a="1"/>
  <c r="Y29" i="125" a="1"/>
  <c r="M36" i="125" a="1"/>
  <c r="Y110" i="125" a="1"/>
  <c r="G151" i="125" a="1"/>
  <c r="R137" i="125" a="1"/>
  <c r="X94" i="125" a="1"/>
  <c r="E84" i="125" a="1"/>
  <c r="G60" i="125" a="1"/>
  <c r="S16" i="125" a="1"/>
  <c r="AC17" i="125" a="1"/>
  <c r="T137" i="125" a="1"/>
  <c r="F93" i="125" a="1"/>
  <c r="U134" i="125" a="1"/>
  <c r="L53" i="125" a="1"/>
  <c r="L87" i="125" a="1"/>
  <c r="Z41" i="125" a="1"/>
  <c r="AE52" i="125" a="1"/>
  <c r="P63" i="125" a="1"/>
  <c r="G86" i="125" a="1"/>
  <c r="P19" i="125" a="1"/>
  <c r="S98" i="125" a="1"/>
  <c r="V108" i="125" a="1"/>
  <c r="H97" i="125" a="1"/>
  <c r="W32" i="125" a="1"/>
  <c r="C25" i="125" a="1"/>
  <c r="Q43" i="125" a="1"/>
  <c r="Y99" i="125" a="1"/>
  <c r="J13" i="125" a="1"/>
  <c r="R102" i="125" a="1"/>
  <c r="V78" i="125" a="1"/>
  <c r="X129" i="125" a="1"/>
  <c r="AF146" i="125" a="1"/>
  <c r="AC14" i="125" a="1"/>
  <c r="Z10" i="125" a="1"/>
  <c r="H39" i="125" a="1"/>
  <c r="H10" i="125" a="1"/>
  <c r="U136" i="125" a="1"/>
  <c r="I109" i="125" a="1"/>
  <c r="K38" i="125" a="1"/>
  <c r="E105" i="125" a="1"/>
  <c r="AF152" i="125" a="1"/>
  <c r="F77" i="125" a="1"/>
  <c r="X109" i="125" a="1"/>
  <c r="N134" i="125" a="1"/>
  <c r="G119" i="125" a="1"/>
  <c r="Y94" i="125" a="1"/>
  <c r="AA79" i="125" a="1"/>
  <c r="T149" i="125" a="1"/>
  <c r="C147" i="125" a="1"/>
  <c r="T134" i="125" a="1"/>
  <c r="H91" i="125" a="1"/>
  <c r="U84" i="125" a="1"/>
  <c r="AA100" i="125" a="1"/>
  <c r="M100" i="125" a="1"/>
  <c r="C56" i="125" a="1"/>
  <c r="C14" i="125" a="1"/>
  <c r="Q41" i="125" a="1"/>
  <c r="H76" i="125" a="1"/>
  <c r="N43" i="125" a="1"/>
  <c r="C86" i="125" a="1"/>
  <c r="T36" i="125" a="1"/>
  <c r="W92" i="125" a="1"/>
  <c r="R27" i="125" a="1"/>
  <c r="L35" i="125" a="1"/>
  <c r="O135" i="125" a="1"/>
  <c r="C58" i="125" a="1"/>
  <c r="U77" i="125" a="1"/>
  <c r="S30" i="125" a="1"/>
  <c r="Z25" i="125" a="1"/>
  <c r="X124" i="125" a="1"/>
  <c r="Y108" i="125" a="1"/>
  <c r="M130" i="125" a="1"/>
  <c r="W52" i="125" a="1"/>
  <c r="J84" i="125" a="1"/>
  <c r="I123" i="125" a="1"/>
  <c r="O67" i="125" a="1"/>
  <c r="N18" i="125" a="1"/>
  <c r="M63" i="125" a="1"/>
  <c r="O81" i="125" a="1"/>
  <c r="Y73" i="125" a="1"/>
  <c r="H38" i="125" a="1"/>
  <c r="R120" i="125" a="1"/>
  <c r="R144" i="125" a="1"/>
  <c r="P39" i="125" a="1"/>
  <c r="S73" i="125" a="1"/>
  <c r="H73" i="125" a="1"/>
  <c r="Y13" i="125" a="1"/>
  <c r="R47" i="125" a="1"/>
  <c r="Y52" i="125" a="1"/>
  <c r="M56" i="125" a="1"/>
  <c r="S125" i="125" a="1"/>
  <c r="S118" i="125" a="1"/>
  <c r="S76" i="125" a="1"/>
  <c r="R55" i="125" a="1"/>
  <c r="I56" i="125" a="1"/>
  <c r="W26" i="125" a="1"/>
  <c r="AD129" i="125" a="1"/>
  <c r="H31" i="125" a="1"/>
  <c r="AC116" i="125" a="1"/>
  <c r="T133" i="125" a="1"/>
  <c r="J66" i="125" a="1"/>
  <c r="F68" i="125" a="1"/>
  <c r="E60" i="125" a="1"/>
  <c r="AB5" i="125" a="1"/>
  <c r="Z75" i="125" a="1"/>
  <c r="N57" i="125" a="1"/>
  <c r="T126" i="125" a="1"/>
  <c r="AB73" i="125" a="1"/>
  <c r="I84" i="125" a="1"/>
  <c r="D143" i="125" a="1"/>
  <c r="I125" i="125" a="1"/>
  <c r="Y31" i="125" a="1"/>
  <c r="W53" i="125" a="1"/>
  <c r="C78" i="125" a="1"/>
  <c r="Y6" i="125" a="1"/>
  <c r="R86" i="125" a="1"/>
  <c r="L86" i="125" a="1"/>
  <c r="AE149" i="125" a="1"/>
  <c r="P134" i="125" a="1"/>
  <c r="AD40" i="125" a="1"/>
  <c r="Z81" i="125" a="1"/>
  <c r="Z73" i="125" a="1"/>
  <c r="AD100" i="125" a="1"/>
  <c r="P32" i="125" a="1"/>
  <c r="H11" i="125" a="1"/>
  <c r="T108" i="125" a="1"/>
  <c r="M129" i="125" a="1"/>
  <c r="C81" i="125" a="1"/>
  <c r="AC87" i="125" a="1"/>
  <c r="D152" i="125" a="1"/>
  <c r="AC118" i="125" a="1"/>
  <c r="Z150" i="125" a="1"/>
  <c r="P106" i="125" a="1"/>
  <c r="W124" i="125" a="1"/>
  <c r="N148" i="125" a="1"/>
  <c r="L107" i="125" a="1"/>
  <c r="Q18" i="125" a="1"/>
  <c r="U78" i="125" a="1"/>
  <c r="W29" i="125" a="1"/>
  <c r="Z56" i="125" a="1"/>
  <c r="O151" i="125" a="1"/>
  <c r="U119" i="125" a="1"/>
  <c r="X93" i="125" a="1"/>
  <c r="C117" i="125" a="1"/>
  <c r="O15" i="125" a="1"/>
  <c r="AF122" i="125" a="1"/>
  <c r="V130" i="125" a="1"/>
  <c r="P43" i="125" a="1"/>
  <c r="T66" i="125" a="1"/>
  <c r="AD110" i="125" a="1"/>
  <c r="Z16" i="125" a="1"/>
  <c r="P64" i="125" a="1"/>
  <c r="D144" i="125" a="1"/>
  <c r="H89" i="125" a="1"/>
  <c r="T109" i="125" a="1"/>
  <c r="E109" i="125" a="1"/>
  <c r="X60" i="125" a="1"/>
  <c r="U60" i="125" a="1"/>
  <c r="O116" i="125" a="1"/>
  <c r="Q108" i="125" a="1"/>
  <c r="F38" i="125" a="1"/>
  <c r="M54" i="125" a="1"/>
  <c r="I52" i="125" a="1"/>
  <c r="AF39" i="125" a="1"/>
  <c r="C79" i="125" a="1"/>
  <c r="R91" i="125" a="1"/>
  <c r="K45" i="125" a="1"/>
  <c r="Q98" i="125" a="1"/>
  <c r="Q39" i="125" a="1"/>
  <c r="I35" i="125" a="1"/>
  <c r="H19" i="125" a="1"/>
  <c r="K43" i="125" a="1"/>
  <c r="L91" i="125" a="1"/>
  <c r="I14" i="125" a="1"/>
  <c r="D61" i="125" a="1"/>
  <c r="E24" i="125" a="1"/>
  <c r="AA110" i="125" a="1"/>
  <c r="O61" i="125" a="1"/>
  <c r="K41" i="125" a="1"/>
  <c r="Z122" i="125" a="1"/>
  <c r="R108" i="125" a="1"/>
  <c r="H25" i="125" a="1"/>
  <c r="J90" i="125" a="1"/>
  <c r="I40" i="125" a="1"/>
  <c r="N30" i="125" a="1"/>
  <c r="Y16" i="125" a="1"/>
  <c r="Z68" i="125" a="1"/>
  <c r="T118" i="125" a="1"/>
  <c r="Z78" i="125" a="1"/>
  <c r="AA62" i="125" a="1"/>
  <c r="AC112" i="125" a="1"/>
  <c r="AA83" i="125" a="1"/>
  <c r="Z39" i="125" a="1"/>
  <c r="F134" i="125" a="1"/>
  <c r="S91" i="125" a="1"/>
  <c r="X34" i="125" a="1"/>
  <c r="Q82" i="125" a="1"/>
  <c r="Q151" i="125" a="1"/>
  <c r="L134" i="125" a="1"/>
  <c r="K138" i="125" a="1"/>
  <c r="L128" i="125" a="1"/>
  <c r="C22" i="125" a="1"/>
  <c r="S45" i="125" a="1"/>
  <c r="T40" i="125" a="1"/>
  <c r="C27" i="125" a="1"/>
  <c r="Q73" i="125" a="1"/>
  <c r="AA5" i="125" a="1"/>
  <c r="Z58" i="125" a="1"/>
  <c r="H81" i="125" a="1"/>
  <c r="R126" i="125" a="1"/>
  <c r="U103" i="125" a="1"/>
  <c r="H106" i="125" a="1"/>
  <c r="R99" i="125" a="1"/>
  <c r="W19" i="125" a="1"/>
  <c r="U24" i="125" a="1"/>
  <c r="AE63" i="125" a="1"/>
  <c r="AE137" i="125" a="1"/>
  <c r="S31" i="125" a="1"/>
  <c r="G73" i="125" a="1"/>
  <c r="U25" i="125" a="1"/>
  <c r="L147" i="125" a="1"/>
  <c r="I104" i="125" a="1"/>
  <c r="K19" i="125" a="1"/>
  <c r="V137" i="125" a="1"/>
  <c r="Q29" i="125" a="1"/>
  <c r="U27" i="125" a="1"/>
  <c r="I18" i="125" a="1"/>
  <c r="O82" i="125" a="1"/>
  <c r="U75" i="125" a="1"/>
  <c r="I78" i="125" a="1"/>
  <c r="S29" i="125" a="1"/>
  <c r="N47" i="125" a="1"/>
  <c r="N145" i="125" a="1"/>
  <c r="X43" i="125" a="1"/>
  <c r="X108" i="125" a="1"/>
  <c r="AD32" i="125" a="1"/>
  <c r="K33" i="125" a="1"/>
  <c r="J89" i="125" a="1"/>
  <c r="N35" i="125" a="1"/>
  <c r="Z93" i="125" a="1"/>
  <c r="D23" i="125" a="1"/>
  <c r="M94" i="125" a="1"/>
  <c r="L144" i="125" a="1"/>
  <c r="R139" i="125" a="1"/>
  <c r="AC111" i="125" a="1"/>
  <c r="X104" i="125" a="1"/>
  <c r="AA137" i="125" a="1"/>
  <c r="E74" i="125" a="1"/>
  <c r="P145" i="125" a="1"/>
  <c r="R84" i="125" a="1"/>
  <c r="C54" i="125" a="1"/>
  <c r="AF138" i="125" a="1"/>
  <c r="C13" i="125" a="1"/>
  <c r="Z83" i="125" a="1"/>
  <c r="Y26" i="125" a="1"/>
  <c r="D112" i="125" a="1"/>
  <c r="H28" i="125" a="1"/>
  <c r="R105" i="125" a="1"/>
  <c r="C100" i="125" a="1"/>
  <c r="V110" i="125" a="1"/>
  <c r="T74" i="125" a="1"/>
  <c r="Z92" i="125" a="1"/>
  <c r="Z80" i="125" a="1"/>
  <c r="H119" i="125" a="1"/>
  <c r="D21" i="125" a="1"/>
  <c r="W39" i="125" a="1"/>
  <c r="U131" i="125" a="1"/>
  <c r="J153" i="125" a="1"/>
  <c r="F126" i="125" a="1"/>
  <c r="W21" i="125" a="1"/>
  <c r="I124" i="125" a="1"/>
  <c r="AE56" i="125" a="1"/>
  <c r="H52" i="125" a="1"/>
  <c r="R80" i="125" a="1"/>
  <c r="T62" i="125" a="1"/>
  <c r="P89" i="125" a="1"/>
  <c r="H32" i="125" a="1"/>
  <c r="S43" i="125" a="1"/>
  <c r="U93" i="125" a="1"/>
  <c r="M153" i="125" a="1"/>
  <c r="W85" i="125" a="1"/>
  <c r="Y60" i="125" a="1"/>
  <c r="H82" i="125" a="1"/>
  <c r="E25" i="125" a="1"/>
  <c r="F24" i="125" a="1"/>
  <c r="C18" i="125" a="1"/>
  <c r="AF133" i="125" a="1"/>
  <c r="V82" i="125" a="1"/>
  <c r="N153" i="125" a="1"/>
  <c r="W87" i="125" a="1"/>
  <c r="K54" i="125" a="1"/>
  <c r="V11" i="125" a="1"/>
  <c r="P21" i="125" a="1"/>
  <c r="E57" i="125" a="1"/>
  <c r="I103" i="125" a="1"/>
  <c r="AD37" i="125" a="1"/>
  <c r="A1" i="133"/>
  <c r="N120" i="125" a="1"/>
  <c r="O24" i="125" a="1"/>
  <c r="S22" i="125" a="1"/>
  <c r="U52" i="125" a="1"/>
  <c r="K66" i="125" a="1"/>
  <c r="AA94" i="125" a="1"/>
  <c r="E113" i="125" a="1"/>
  <c r="R43" i="125" a="1"/>
  <c r="Q105" i="125" a="1"/>
  <c r="N88" i="125" a="1"/>
  <c r="J140" i="125" a="1"/>
  <c r="AB144" i="125" a="1"/>
  <c r="I28" i="125" a="1"/>
  <c r="K68" i="125" a="1"/>
  <c r="C107" i="125" a="1"/>
  <c r="X21" i="125" a="1"/>
  <c r="F10" i="125" a="1"/>
  <c r="O115" i="125" a="1"/>
  <c r="X86" i="125" a="1"/>
  <c r="D68" i="125" a="1"/>
  <c r="D90" i="125" a="1"/>
  <c r="H15" i="125" a="1"/>
  <c r="F25" i="125" a="1"/>
  <c r="N129" i="125" a="1"/>
  <c r="AA151" i="125" a="1"/>
  <c r="N144" i="125" a="1"/>
  <c r="D63" i="125" a="1"/>
  <c r="AA134" i="125" a="1"/>
  <c r="I11" i="125" a="1"/>
  <c r="AD81" i="125" a="1"/>
  <c r="W46" i="125" a="1"/>
  <c r="E131" i="125" a="1"/>
  <c r="O74" i="125" a="1"/>
  <c r="C76" i="125" a="1"/>
  <c r="C137" i="125" a="1"/>
  <c r="R117" i="125" a="1"/>
  <c r="L34" i="125" a="1"/>
  <c r="Q34" i="125" a="1"/>
  <c r="D38" i="125" a="1"/>
  <c r="X88" i="125" a="1"/>
  <c r="O77" i="125" a="1"/>
  <c r="P65" i="125" a="1"/>
  <c r="F5" i="125" a="1"/>
  <c r="R82" i="125" a="1"/>
  <c r="E124" i="125" a="1"/>
  <c r="X118" i="125" a="1"/>
  <c r="AA87" i="125" a="1"/>
  <c r="L75" i="125" a="1"/>
  <c r="J35" i="125" a="1"/>
  <c r="K82" i="125" a="1"/>
  <c r="I13" i="125" a="1"/>
  <c r="N9" i="125" a="1"/>
  <c r="I31" i="125" a="1"/>
  <c r="U88" i="125" a="1"/>
  <c r="X58" i="125" a="1"/>
  <c r="U104" i="125" a="1"/>
  <c r="V89" i="125" a="1"/>
  <c r="O112" i="125" a="1"/>
  <c r="V102" i="125" a="1"/>
  <c r="AA57" i="125" a="1"/>
  <c r="M124" i="125" a="1"/>
  <c r="C84" i="125" a="1"/>
  <c r="E15" i="125" a="1"/>
  <c r="AC56" i="125" a="1"/>
  <c r="J29" i="125" a="1"/>
  <c r="Q60" i="125" a="1"/>
  <c r="O33" i="125" a="1"/>
  <c r="H110" i="125" a="1"/>
  <c r="L44" i="125" a="1"/>
  <c r="M9" i="125" a="1"/>
  <c r="Z21" i="125" a="1"/>
  <c r="L64" i="125" a="1"/>
  <c r="U65" i="125" a="1"/>
  <c r="I74" i="125" a="1"/>
  <c r="X150" i="125" a="1"/>
  <c r="H93" i="125" a="1"/>
  <c r="W84" i="125" a="1"/>
  <c r="R143" i="125" a="1"/>
  <c r="C122" i="125" a="1"/>
  <c r="K59" i="125" a="1"/>
  <c r="X20" i="125" a="1"/>
  <c r="W34" i="125" a="1"/>
  <c r="D86" i="125" a="1"/>
  <c r="Y85" i="125" a="1"/>
  <c r="J47" i="125" a="1"/>
  <c r="L116" i="125" a="1"/>
  <c r="N106" i="125" a="1"/>
  <c r="Z74" i="125" a="1"/>
  <c r="M27" i="125" a="1"/>
  <c r="U16" i="125" a="1"/>
  <c r="X52" i="125" a="1"/>
  <c r="X56" i="125" a="1"/>
  <c r="L137" i="125" a="1"/>
  <c r="L12" i="125" a="1"/>
  <c r="H68" i="125" a="1"/>
  <c r="D49" i="125" a="1"/>
  <c r="R13" i="125" a="1"/>
  <c r="AE30" i="125" a="1"/>
  <c r="K13" i="125" a="1"/>
  <c r="AF144" i="125" a="1"/>
  <c r="S117" i="125" a="1"/>
  <c r="H124" i="125" a="1"/>
  <c r="J73" i="125" a="1"/>
  <c r="L43" i="125" a="1"/>
  <c r="S129" i="125" a="1"/>
  <c r="O132" i="125" a="1"/>
  <c r="G90" i="125" a="1"/>
  <c r="I128" i="125" a="1"/>
  <c r="M33" i="125" a="1"/>
  <c r="L16" i="125" a="1"/>
  <c r="T76" i="125" a="1"/>
  <c r="V34" i="125" a="1"/>
  <c r="S41" i="125" a="1"/>
  <c r="G45" i="125" a="1"/>
  <c r="F124" i="125" a="1"/>
  <c r="N10" i="125" a="1"/>
  <c r="O106" i="125" a="1"/>
  <c r="R89" i="125" a="1"/>
  <c r="Y118" i="125" a="1"/>
  <c r="AB118" i="125" a="1"/>
  <c r="AE45" i="125" a="1"/>
  <c r="J55" i="125" a="1"/>
  <c r="J42" i="125" a="1"/>
  <c r="U45" i="125" a="1"/>
  <c r="AD124" i="125" a="1"/>
  <c r="N150" i="125" a="1"/>
  <c r="Y66" i="125" a="1"/>
  <c r="T47" i="125" a="1"/>
  <c r="AA65" i="125" a="1"/>
  <c r="N133" i="125" a="1"/>
  <c r="L42" i="125" a="1"/>
  <c r="G67" i="125" a="1"/>
  <c r="G88" i="125" a="1"/>
  <c r="AE27" i="125" a="1"/>
  <c r="U44" i="125" a="1"/>
  <c r="R25" i="125" a="1"/>
  <c r="Z43" i="125" a="1"/>
  <c r="D14" i="125" a="1"/>
  <c r="AE24" i="125" a="1"/>
  <c r="X107" i="125" a="1"/>
  <c r="K26" i="125" a="1"/>
  <c r="R112" i="125" a="1"/>
  <c r="AA10" i="125" a="1"/>
  <c r="J45" i="125" a="1"/>
  <c r="P109" i="125" a="1"/>
  <c r="L83" i="125" a="1"/>
  <c r="S47" i="125" a="1"/>
  <c r="Z115" i="125" a="1"/>
  <c r="H132" i="125" a="1"/>
  <c r="J120" i="125" a="1"/>
  <c r="J43" i="125" a="1"/>
  <c r="C89" i="125" a="1"/>
  <c r="N20" i="125" a="1"/>
  <c r="O52" i="125" a="1"/>
  <c r="P24" i="125" a="1"/>
  <c r="AD57" i="125" a="1"/>
  <c r="D66" i="125" a="1"/>
  <c r="P34" i="125" a="1"/>
  <c r="T140" i="125" a="1"/>
  <c r="E81" i="125" a="1"/>
  <c r="E12" i="125" a="1"/>
  <c r="AA54" i="125" a="1"/>
  <c r="M149" i="125" a="1"/>
  <c r="AB124" i="125" a="1"/>
  <c r="I122" i="125" a="1"/>
  <c r="M30" i="125" a="1"/>
  <c r="Y21" i="125" a="1"/>
  <c r="M43" i="125" a="1"/>
  <c r="AE128" i="125" a="1"/>
  <c r="AE104" i="125" a="1"/>
  <c r="R79" i="125" a="1"/>
  <c r="X15" i="125" a="1"/>
  <c r="U140" i="125" a="1"/>
  <c r="K125" i="125" a="1"/>
  <c r="AA99" i="125" a="1"/>
  <c r="AE16" i="125" a="1"/>
  <c r="F39" i="125" a="1"/>
  <c r="Y144" i="125" a="1"/>
  <c r="Y82" i="125" a="1"/>
  <c r="P54" i="125" a="1"/>
  <c r="J105" i="125" a="1"/>
  <c r="Z136" i="125" a="1"/>
  <c r="H24" i="125" a="1"/>
  <c r="D151" i="125" a="1"/>
  <c r="N149" i="125" a="1"/>
  <c r="AD21" i="125" a="1"/>
  <c r="AE114" i="125" a="1"/>
  <c r="AF14" i="125" a="1"/>
  <c r="R20" i="125" a="1"/>
  <c r="AF42" i="125" a="1"/>
  <c r="Y119" i="125" a="1"/>
  <c r="Z77" i="125" a="1"/>
  <c r="L100" i="125" a="1"/>
  <c r="T53" i="125" a="1"/>
  <c r="T136" i="125" a="1"/>
  <c r="O137" i="125" a="1"/>
  <c r="X76" i="125" a="1"/>
  <c r="L148" i="125" a="1"/>
  <c r="G23" i="125" a="1"/>
  <c r="K81" i="125" a="1"/>
  <c r="N146" i="125" a="1"/>
  <c r="U9" i="125" a="1"/>
  <c r="T87" i="125" a="1"/>
  <c r="K75" i="125" a="1"/>
  <c r="P13" i="125" a="1"/>
  <c r="AA53" i="125" a="1"/>
  <c r="D64" i="125" a="1"/>
  <c r="P35" i="125" a="1"/>
  <c r="N114" i="125" a="1"/>
  <c r="G127" i="125" a="1"/>
  <c r="K140" i="125" a="1"/>
  <c r="S25" i="125" a="1"/>
  <c r="V40" i="125" a="1"/>
  <c r="O57" i="125" a="1"/>
  <c r="D127" i="125" a="1"/>
  <c r="AA106" i="125" a="1"/>
  <c r="E13" i="125" a="1"/>
  <c r="O12" i="125" a="1"/>
  <c r="T38" i="125" a="1"/>
  <c r="J138" i="125" a="1"/>
  <c r="T18" i="125" a="1"/>
  <c r="U90" i="125" a="1"/>
  <c r="D30" i="125" a="1"/>
  <c r="T56" i="125" a="1"/>
  <c r="H58" i="125" a="1"/>
  <c r="S5" i="125" a="1"/>
  <c r="E30" i="125" a="1"/>
  <c r="D74" i="125" a="1"/>
  <c r="H42" i="125" a="1"/>
  <c r="Z22" i="125" a="1"/>
  <c r="R93" i="125" a="1"/>
  <c r="Q78" i="125" a="1"/>
  <c r="C115" i="125" a="1"/>
  <c r="K93" i="125" a="1"/>
  <c r="AF104" i="125" a="1"/>
  <c r="AE67" i="125" a="1"/>
  <c r="E123" i="125" a="1"/>
  <c r="Y149" i="125" a="1"/>
  <c r="W54" i="125" a="1"/>
  <c r="Y87" i="125" a="1"/>
  <c r="V35" i="125" a="1"/>
  <c r="F11" i="125" a="1"/>
  <c r="AC120" i="125" a="1"/>
  <c r="J76" i="125" a="1"/>
  <c r="Y20" i="125" a="1"/>
  <c r="T57" i="125" a="1"/>
  <c r="V52" i="125" a="1"/>
  <c r="O114" i="125" a="1"/>
  <c r="E20" i="125" a="1"/>
  <c r="O144" i="125" a="1"/>
  <c r="Z11" i="125" a="1"/>
  <c r="Z60" i="125" a="1"/>
  <c r="K14" i="125" a="1"/>
  <c r="U29" i="125" a="1"/>
  <c r="W145" i="125" a="1"/>
  <c r="S144" i="125" a="1"/>
  <c r="F149" i="125" a="1"/>
  <c r="M113" i="125" a="1"/>
  <c r="L56" i="125" a="1"/>
  <c r="M87" i="125" a="1"/>
  <c r="E114" i="125" a="1"/>
  <c r="C94" i="125" a="1"/>
  <c r="AE119" i="125" a="1"/>
  <c r="H29" i="125" a="1"/>
  <c r="U73" i="125" a="1"/>
  <c r="N84" i="125" a="1"/>
  <c r="Q87" i="125" a="1"/>
  <c r="Q92" i="125" a="1"/>
  <c r="P79" i="125" a="1"/>
  <c r="F59" i="125" a="1"/>
  <c r="C146" i="125" a="1"/>
  <c r="S106" i="125" a="1"/>
  <c r="E21" i="125" a="1"/>
  <c r="G21" i="125" a="1"/>
  <c r="V21" i="125" a="1"/>
  <c r="U74" i="125" a="1"/>
  <c r="Y37" i="125" a="1"/>
  <c r="X151" i="125" a="1"/>
  <c r="V58" i="125" a="1"/>
  <c r="U18" i="125" a="1"/>
  <c r="AD104" i="125" a="1"/>
  <c r="S101" i="125" a="1"/>
  <c r="P87" i="125" a="1"/>
  <c r="L31" i="125" a="1"/>
  <c r="AA36" i="125" a="1"/>
  <c r="U106" i="125" a="1"/>
  <c r="AE146" i="125" a="1"/>
  <c r="X30" i="125" a="1"/>
  <c r="E79" i="125" a="1"/>
  <c r="F110" i="125" a="1"/>
  <c r="M120" i="125" a="1"/>
  <c r="D18" i="125" a="1"/>
  <c r="S102" i="125" a="1"/>
  <c r="J92" i="125" a="1"/>
  <c r="V125" i="125" a="1"/>
  <c r="O111" i="125" a="1"/>
  <c r="E97" i="125" a="1"/>
  <c r="I73" i="125" a="1"/>
  <c r="O44" i="125" a="1"/>
  <c r="U30" i="125" a="1"/>
  <c r="H79" i="125" a="1"/>
  <c r="E92" i="125" a="1"/>
  <c r="L66" i="125" a="1"/>
  <c r="T68" i="125" a="1"/>
  <c r="AA37" i="125" a="1"/>
  <c r="O25" i="125" a="1"/>
  <c r="F152" i="125" a="1"/>
  <c r="AB148" i="125" a="1"/>
  <c r="S64" i="125" a="1"/>
  <c r="Q90" i="125" a="1"/>
  <c r="J123" i="125" a="1"/>
  <c r="W100" i="125" a="1"/>
  <c r="O117" i="125" a="1"/>
  <c r="D24" i="125" a="1"/>
  <c r="Z109" i="125" a="1"/>
  <c r="T84" i="125" a="1"/>
  <c r="K127" i="125" a="1"/>
  <c r="C12" i="125" a="1"/>
  <c r="F109" i="125" a="1"/>
  <c r="Y137" i="125" a="1"/>
  <c r="G9" i="125" a="1"/>
  <c r="W113" i="125" a="1"/>
  <c r="W119" i="125" a="1"/>
  <c r="AC143" i="125" a="1"/>
  <c r="J32" i="125" a="1"/>
  <c r="V117" i="125" a="1"/>
  <c r="AB126" i="125" a="1"/>
  <c r="T44" i="125" a="1"/>
  <c r="AF128" i="125" a="1"/>
  <c r="X28" i="125" a="1"/>
  <c r="V87" i="125" a="1"/>
  <c r="J134" i="125" a="1"/>
  <c r="O121" i="125" a="1"/>
  <c r="O104" i="125" a="1"/>
  <c r="C26" i="125" a="1"/>
  <c r="AC82" i="125" a="1"/>
  <c r="V9" i="125" a="1"/>
  <c r="AD63" i="125" a="1"/>
  <c r="Q17" i="125" a="1"/>
  <c r="H75" i="125" a="1"/>
  <c r="G44" i="125" a="1"/>
  <c r="AC128" i="125" a="1"/>
  <c r="U109" i="125" a="1"/>
  <c r="V147" i="125" a="1"/>
  <c r="X100" i="125" a="1"/>
  <c r="J30" i="125" a="1"/>
  <c r="D107" i="125" a="1"/>
  <c r="U114" i="125" a="1"/>
  <c r="F33" i="125" a="1"/>
  <c r="P146" i="125" a="1"/>
  <c r="AE103" i="125" a="1"/>
  <c r="Z137" i="125" a="1"/>
  <c r="AC137" i="125" a="1"/>
  <c r="L118" i="125" a="1"/>
  <c r="N6" i="125" a="1"/>
  <c r="V65" i="125" a="1"/>
  <c r="U147" i="125" a="1"/>
  <c r="D47" i="125" a="1"/>
  <c r="C111" i="125" a="1"/>
  <c r="S136" i="125" a="1"/>
  <c r="O41" i="125" a="1"/>
  <c r="O84" i="125" a="1"/>
  <c r="G42" i="125" a="1"/>
  <c r="J15" i="125" a="1"/>
  <c r="K46" i="125" a="1"/>
  <c r="E78" i="125" a="1"/>
  <c r="D117" i="125" a="1"/>
  <c r="W12" i="125" a="1"/>
  <c r="W66" i="125" a="1"/>
  <c r="T28" i="125" a="1"/>
  <c r="S126" i="125" a="1"/>
  <c r="R121" i="125" a="1"/>
  <c r="O149" i="125" a="1"/>
  <c r="X23" i="125" a="1"/>
  <c r="H56" i="125" a="1"/>
  <c r="G129" i="125" a="1"/>
  <c r="J93" i="125" a="1"/>
  <c r="L149" i="125" a="1"/>
  <c r="H74" i="125" a="1"/>
  <c r="AA104" i="125" a="1"/>
  <c r="AC117" i="125" a="1"/>
  <c r="R32" i="125" a="1"/>
  <c r="AF116" i="125" a="1"/>
  <c r="J130" i="125" a="1"/>
  <c r="T75" i="125" a="1"/>
  <c r="S21" i="125" a="1"/>
  <c r="X32" i="125" a="1"/>
  <c r="P22" i="125" a="1"/>
  <c r="D57" i="125" a="1"/>
  <c r="G6" i="125" a="1"/>
  <c r="AE118" i="125" a="1"/>
  <c r="N26" i="125" a="1"/>
  <c r="S127" i="125" a="1"/>
  <c r="H90" i="125" a="1"/>
  <c r="H62" i="125" a="1"/>
  <c r="M78" i="125" a="1"/>
  <c r="AF75" i="125" a="1"/>
  <c r="J57" i="125" a="1"/>
  <c r="M132" i="125" a="1"/>
  <c r="R90" i="125" a="1"/>
  <c r="E31" i="125" a="1"/>
  <c r="R149" i="125" a="1"/>
  <c r="M136" i="125" a="1"/>
  <c r="F148" i="125" a="1"/>
  <c r="W77" i="125" a="1"/>
  <c r="E27" i="125" a="1"/>
  <c r="U82" i="125" a="1"/>
  <c r="I24" i="125" a="1"/>
  <c r="AE37" i="125" a="1"/>
  <c r="Z124" i="125" a="1"/>
  <c r="H122" i="125" a="1"/>
  <c r="I129" i="125" a="1"/>
  <c r="M85" i="125" a="1"/>
  <c r="P31" i="125" a="1"/>
  <c r="Y34" i="125" a="1"/>
  <c r="Q10" i="125" a="1"/>
  <c r="E65" i="125" a="1"/>
  <c r="G75" i="125" a="1"/>
  <c r="O23" i="125" a="1"/>
  <c r="H87" i="125" a="1"/>
  <c r="J28" i="125" a="1"/>
  <c r="K119" i="125" a="1"/>
  <c r="R52" i="125" a="1"/>
  <c r="U100" i="125" a="1"/>
  <c r="P78" i="125" a="1"/>
  <c r="W59" i="125" a="1"/>
  <c r="W31" i="125" a="1"/>
  <c r="S15" i="125" a="1"/>
  <c r="AE6" i="125" a="1"/>
  <c r="Z18" i="125" a="1"/>
  <c r="AB87" i="125" a="1"/>
  <c r="G41" i="125" a="1"/>
  <c r="R14" i="125" a="1"/>
  <c r="D137" i="125" a="1"/>
  <c r="AE136" i="125" a="1"/>
  <c r="V136" i="125" a="1"/>
  <c r="Q111" i="125" a="1"/>
  <c r="AB109" i="125" a="1"/>
  <c r="O124" i="125" a="1"/>
  <c r="C28" i="125" a="1"/>
  <c r="V90" i="125" a="1"/>
  <c r="G17" i="125" a="1"/>
  <c r="Q52" i="125" a="1"/>
  <c r="H149" i="125" a="1"/>
  <c r="L68" i="125" a="1"/>
  <c r="AB105" i="125" a="1"/>
  <c r="O152" i="125" a="1"/>
  <c r="P136" i="125" a="1"/>
  <c r="E136" i="125" a="1"/>
  <c r="U76" i="125" a="1"/>
  <c r="T123" i="125" a="1"/>
  <c r="S26" i="125" a="1"/>
  <c r="D89" i="125" a="1"/>
  <c r="K97" i="125" a="1"/>
  <c r="Q113" i="125" a="1"/>
  <c r="W103" i="125" a="1"/>
  <c r="V115" i="125" a="1"/>
  <c r="AA15" i="125" a="1"/>
  <c r="G121" i="125" a="1"/>
  <c r="P23" i="125" a="1"/>
  <c r="P47" i="125" a="1"/>
  <c r="N45" i="125" a="1"/>
  <c r="G66" i="125" a="1"/>
  <c r="O18" i="125" a="1"/>
  <c r="G91" i="125" a="1"/>
  <c r="V14" i="125" a="1"/>
  <c r="T13" i="125" a="1"/>
  <c r="P140" i="125" a="1"/>
  <c r="P59" i="125" a="1"/>
  <c r="AA132" i="125" a="1"/>
  <c r="W108" i="125" a="1"/>
  <c r="O89" i="125" a="1"/>
  <c r="V13" i="125" a="1"/>
  <c r="Y128" i="125" a="1"/>
  <c r="U123" i="125" a="1"/>
  <c r="W109" i="125" a="1"/>
  <c r="G35" i="125" a="1"/>
  <c r="J125" i="125" a="1"/>
  <c r="U35" i="125" a="1"/>
  <c r="T26" i="125" a="1"/>
  <c r="K106" i="125" a="1"/>
  <c r="G110" i="125" a="1"/>
  <c r="L10" i="125" a="1"/>
  <c r="E10" i="125" a="1"/>
  <c r="M68" i="125" a="1"/>
  <c r="I30" i="125" a="1"/>
  <c r="W17" i="125" a="1"/>
  <c r="L1" i="133"/>
  <c r="AF81" i="125" a="1"/>
  <c r="H46" i="125" a="1"/>
  <c r="AC106" i="125" a="1"/>
  <c r="J146" i="125" a="1"/>
  <c r="Q149" i="125" a="1"/>
  <c r="D56" i="125" a="1"/>
  <c r="F37" i="125" a="1"/>
  <c r="J27" i="125" a="1"/>
  <c r="R42" i="125" a="1"/>
  <c r="AA140" i="125" a="1"/>
  <c r="O59" i="125" a="1"/>
  <c r="W149" i="125" a="1"/>
  <c r="X42" i="125" a="1"/>
  <c r="L54" i="125" a="1"/>
  <c r="X91" i="125" a="1"/>
  <c r="L59" i="125" a="1"/>
  <c r="I43" i="125" a="1"/>
  <c r="L88" i="125" a="1"/>
  <c r="W76" i="125" a="1"/>
  <c r="P135" i="125" a="1"/>
  <c r="O85" i="125" a="1"/>
  <c r="AA58" i="125" a="1"/>
  <c r="L17" i="125" a="1"/>
  <c r="Y43" i="125" a="1"/>
  <c r="CD103" i="1" l="1"/>
  <c r="CE103" i="1" s="1"/>
  <c r="CF103" i="1" s="1"/>
  <c r="CG103" i="1" s="1"/>
  <c r="AC103" i="1" s="1"/>
  <c r="AA103" i="1"/>
  <c r="CH103" i="1"/>
  <c r="CI103" i="1" s="1"/>
  <c r="CJ103" i="1" s="1"/>
  <c r="CK103" i="1" s="1"/>
  <c r="X46" i="1" s="1"/>
  <c r="K123" i="1" s="1"/>
  <c r="H46" i="1" s="1"/>
  <c r="W45" i="1" s="1"/>
  <c r="Q45" i="1" s="1"/>
  <c r="I30" i="1" s="1"/>
  <c r="U27" i="1" s="1"/>
  <c r="N33" i="1" s="1"/>
  <c r="M51" i="1" s="1"/>
  <c r="O41" i="1" s="1"/>
  <c r="N65" i="1" s="1"/>
  <c r="Q27" i="1" s="1"/>
  <c r="Y33" i="1" s="1"/>
  <c r="V35" i="1" s="1"/>
  <c r="T102" i="1" s="1"/>
  <c r="N41" i="1" s="1"/>
  <c r="O35" i="1" s="1"/>
  <c r="D30" i="1" s="1"/>
  <c r="V95" i="1" s="1"/>
  <c r="D35" i="1" s="1"/>
  <c r="O36" i="1" s="1"/>
  <c r="I124" i="1" s="1"/>
  <c r="W41" i="1" s="1"/>
  <c r="F45" i="1" s="1"/>
  <c r="W102" i="1" s="1"/>
  <c r="V102" i="1" s="1"/>
  <c r="E65" i="1" s="1"/>
  <c r="C33" i="1" s="1"/>
  <c r="Z43" i="1" s="1"/>
  <c r="K35" i="1" s="1"/>
  <c r="T33" i="1" s="1"/>
  <c r="W64" i="1" s="1"/>
  <c r="O96" i="1" s="1"/>
  <c r="G28" i="1" s="1"/>
  <c r="T28" i="1" s="1"/>
  <c r="J27" i="1" s="1"/>
  <c r="Y36" i="1" s="1"/>
  <c r="G45" i="1" s="1"/>
  <c r="S33" i="1" s="1"/>
  <c r="J99" i="1" s="1"/>
  <c r="F41" i="1" s="1"/>
  <c r="K102" i="1" s="1"/>
  <c r="Y95" i="1" s="1"/>
  <c r="C64" i="1" s="1"/>
  <c r="L46" i="1" s="1"/>
  <c r="D99" i="1" s="1"/>
  <c r="I46" i="1" s="1"/>
  <c r="I51" i="1" s="1"/>
  <c r="C27" i="1" s="1"/>
  <c r="Y46" i="1" s="1"/>
  <c r="F123" i="1" s="1"/>
  <c r="K45" i="1" s="1"/>
  <c r="T51" i="1" s="1"/>
  <c r="I45" i="1" s="1"/>
  <c r="F51" i="1" s="1"/>
  <c r="K46" i="1" s="1"/>
  <c r="L30" i="1" s="1"/>
  <c r="K113" i="1" s="1"/>
  <c r="I28" i="1" s="1"/>
  <c r="T123" i="1" s="1"/>
  <c r="H35" i="1" s="1"/>
  <c r="N95" i="1" s="1"/>
  <c r="W123" i="1" s="1"/>
  <c r="Z64" i="1" s="1"/>
  <c r="M123" i="1" s="1"/>
  <c r="Q46" i="1" s="1"/>
  <c r="R36" i="1" s="1"/>
  <c r="B33" i="1" s="1"/>
  <c r="R46" i="1" s="1"/>
  <c r="B102" i="1" s="1"/>
  <c r="C41" i="1" s="1"/>
  <c r="W46" i="1" s="1"/>
  <c r="R28" i="1" s="1"/>
  <c r="H33" i="1" s="1"/>
  <c r="T30" i="1" s="1"/>
  <c r="P28" i="1" s="1"/>
  <c r="R35" i="1" s="1"/>
  <c r="G99" i="1" s="1"/>
  <c r="B30" i="1" s="1"/>
  <c r="R51" i="1" s="1"/>
  <c r="B36" i="1" s="1"/>
  <c r="P64" i="1" s="1"/>
  <c r="H27" i="1" s="1"/>
  <c r="J46" i="1" s="1"/>
  <c r="J51" i="1" s="1"/>
  <c r="N113" i="1" s="1"/>
  <c r="O46" i="1" s="1"/>
  <c r="U124" i="1" s="1"/>
  <c r="N64" i="1" s="1"/>
  <c r="V28" i="1" s="1"/>
  <c r="P33" i="1" s="1"/>
  <c r="C65" i="1" s="1"/>
  <c r="B99" i="1" s="1"/>
  <c r="Y99" i="1" s="1"/>
  <c r="X35" i="1" s="1"/>
  <c r="G35" i="1" s="1"/>
  <c r="N99" i="1" s="1"/>
  <c r="M33" i="1" s="1"/>
  <c r="L124" i="1" s="1"/>
  <c r="T95" i="1" s="1"/>
  <c r="Q30" i="1" s="1"/>
  <c r="S43" i="1" s="1"/>
  <c r="M46" i="1" s="1"/>
  <c r="B27" i="1" s="1"/>
  <c r="L102" i="1" s="1"/>
  <c r="Z102" i="1" s="1"/>
  <c r="E95" i="1" s="1"/>
  <c r="P46" i="1" s="1"/>
  <c r="F64" i="1" s="1"/>
  <c r="L43" i="1" s="1"/>
  <c r="X28" i="1" s="1"/>
  <c r="Q51" i="1" s="1"/>
  <c r="B95" i="1" s="1"/>
  <c r="Y43" i="1" s="1"/>
  <c r="W119" i="1" s="1"/>
  <c r="G64" i="1" s="1"/>
  <c r="L64" i="1" s="1"/>
  <c r="H30" i="1" s="1"/>
  <c r="Y111" i="1" s="1"/>
  <c r="I102" i="1" s="1"/>
  <c r="C113" i="1" s="1"/>
  <c r="C99" i="1" s="1"/>
  <c r="N35" i="1" s="1"/>
  <c r="U33" i="1" s="1"/>
  <c r="V124" i="1" s="1"/>
  <c r="T113" i="1" s="1"/>
  <c r="H45" i="1" s="1"/>
  <c r="Y41" i="1" s="1"/>
  <c r="L28" i="1" s="1"/>
  <c r="K36" i="1" s="1"/>
  <c r="U46" i="1" s="1"/>
  <c r="U99" i="1" s="1"/>
  <c r="C51" i="1" s="1"/>
  <c r="Z36" i="1" s="1"/>
  <c r="M95" i="1" s="1"/>
  <c r="P30" i="1" s="1"/>
  <c r="F102" i="1" s="1"/>
  <c r="E99" i="1" s="1"/>
  <c r="Y123" i="1" s="1"/>
  <c r="P113" i="1" s="1"/>
  <c r="W113" i="1" s="1"/>
  <c r="L36" i="1" s="1"/>
  <c r="J43" i="1" s="1"/>
  <c r="C109" i="1" s="1"/>
  <c r="C69" i="1" s="1"/>
  <c r="Q95" i="1" s="1"/>
  <c r="P45" i="1" s="1"/>
  <c r="F33" i="1" s="1"/>
  <c r="M119" i="1" s="1"/>
  <c r="A1" i="1" s="1"/>
  <c r="N27" i="1" s="1"/>
  <c r="E28" i="1" s="1"/>
  <c r="E64" i="1" s="1"/>
  <c r="Q33" i="1" s="1"/>
  <c r="E51" i="1" s="1"/>
  <c r="W43" i="1" s="1"/>
  <c r="Q43" i="1" s="1"/>
  <c r="T124" i="1" s="1"/>
  <c r="D46" i="1" s="1"/>
  <c r="R33" i="1" s="1"/>
  <c r="N45" i="1" s="1"/>
  <c r="Y113" i="1" s="1"/>
  <c r="T36" i="1" s="1"/>
  <c r="Q113" i="1" s="1"/>
  <c r="M45" i="1" s="1"/>
  <c r="D45" i="1" s="1"/>
  <c r="R124" i="1" s="1"/>
  <c r="J113" i="1" s="1"/>
  <c r="B28" i="1" s="1"/>
  <c r="J36" i="1" s="1"/>
  <c r="E30" i="1" s="1"/>
  <c r="O33" i="1" s="1"/>
  <c r="U28" i="1" s="1"/>
  <c r="E33" i="1" s="1"/>
  <c r="N30" i="1" s="1"/>
  <c r="O64" i="1" s="1"/>
  <c r="B35" i="1" s="1"/>
  <c r="Q35" i="1" s="1"/>
  <c r="E41" i="1" s="1"/>
  <c r="W124" i="1" s="1"/>
  <c r="D102" i="1" s="1"/>
  <c r="B64" i="1" s="1"/>
  <c r="T64" i="1" s="1"/>
  <c r="G124" i="1" s="1"/>
  <c r="N123" i="1" s="1"/>
  <c r="R30" i="1" s="1"/>
  <c r="U36" i="1" s="1"/>
  <c r="E102" i="1" s="1"/>
  <c r="X36" i="1" s="1"/>
  <c r="K43" i="1" s="1"/>
  <c r="S35" i="1" s="1"/>
  <c r="L51" i="1" s="1"/>
  <c r="Z51" i="1" s="1"/>
  <c r="P34" i="1" s="1"/>
  <c r="G101" i="1" s="1"/>
  <c r="AA104" i="1"/>
  <c r="BZ104" i="1"/>
  <c r="CA104" i="1" s="1"/>
  <c r="CB104" i="1" s="1"/>
  <c r="CC104" i="1" s="1"/>
  <c r="C34" i="1"/>
  <c r="W34" i="1"/>
  <c r="B116" i="1"/>
  <c r="Z115" i="1"/>
  <c r="B111" i="1"/>
  <c r="E118" i="1"/>
  <c r="R101" i="1"/>
  <c r="N47" i="1"/>
  <c r="C101" i="1"/>
  <c r="G118" i="1"/>
  <c r="W118" i="1"/>
  <c r="V47" i="1"/>
  <c r="K111" i="1"/>
  <c r="T119" i="1"/>
  <c r="D101" i="1"/>
  <c r="H109" i="1"/>
  <c r="H101" i="1"/>
  <c r="V101" i="1"/>
  <c r="B119" i="1"/>
  <c r="D119" i="1"/>
  <c r="C96" i="1"/>
  <c r="H96" i="1"/>
  <c r="K101" i="1"/>
  <c r="L101" i="1"/>
  <c r="B101" i="1"/>
  <c r="N101" i="1"/>
  <c r="H34" i="1"/>
  <c r="Z118" i="1"/>
  <c r="J96" i="1"/>
  <c r="T101" i="1"/>
  <c r="T105" i="1" s="1"/>
  <c r="P101" i="1"/>
  <c r="C47" i="1"/>
  <c r="N34" i="1"/>
  <c r="CL103" i="1"/>
  <c r="CM103" i="1" s="1"/>
  <c r="CN103" i="1" s="1"/>
  <c r="CO103" i="1" s="1"/>
  <c r="AE103" i="1" s="1"/>
  <c r="AD103" i="1"/>
  <c r="P70" i="125"/>
  <c r="X111" i="1"/>
  <c r="M109" i="1"/>
  <c r="L109" i="1"/>
  <c r="V119" i="1"/>
  <c r="M111" i="1"/>
  <c r="B47" i="1"/>
  <c r="G34" i="1"/>
  <c r="P111" i="1"/>
  <c r="U115" i="1"/>
  <c r="F111" i="1"/>
  <c r="K119" i="1"/>
  <c r="M115" i="1"/>
  <c r="E116" i="1"/>
  <c r="D96" i="1"/>
  <c r="AD120" i="1"/>
  <c r="D105" i="1" l="1"/>
  <c r="K105" i="1"/>
  <c r="L105" i="1"/>
  <c r="B105" i="1"/>
  <c r="L68" i="1"/>
  <c r="AC71" i="125"/>
  <c r="AC70" i="125"/>
  <c r="V71" i="125"/>
  <c r="O115" i="1"/>
  <c r="Q70" i="125"/>
  <c r="AD70" i="125"/>
  <c r="X119" i="1"/>
  <c r="E47" i="1"/>
  <c r="S96" i="1"/>
  <c r="Z34" i="1"/>
  <c r="T115" i="1"/>
  <c r="L115" i="1"/>
  <c r="D115" i="1"/>
  <c r="U70" i="125"/>
  <c r="X70" i="125"/>
  <c r="R71" i="125"/>
  <c r="AE71" i="125"/>
  <c r="F34" i="1"/>
  <c r="L71" i="125"/>
  <c r="J115" i="1"/>
  <c r="H116" i="1"/>
  <c r="M47" i="1"/>
  <c r="Z47" i="1"/>
  <c r="AA71" i="125"/>
  <c r="V118" i="1"/>
  <c r="T70" i="125"/>
  <c r="R111" i="1"/>
  <c r="X34" i="1"/>
  <c r="J71" i="125"/>
  <c r="H71" i="125"/>
  <c r="U116" i="1"/>
  <c r="I47" i="1"/>
  <c r="Q115" i="1"/>
  <c r="P119" i="1"/>
  <c r="J119" i="1"/>
  <c r="Y118" i="1"/>
  <c r="E119" i="1"/>
  <c r="R115" i="1"/>
  <c r="C70" i="125"/>
  <c r="D34" i="1"/>
  <c r="Y116" i="1"/>
  <c r="H47" i="1"/>
  <c r="S115" i="1"/>
  <c r="Z101" i="1"/>
  <c r="Z105" i="1" s="1"/>
  <c r="W47" i="1"/>
  <c r="G109" i="1"/>
  <c r="C111" i="1"/>
  <c r="G111" i="1"/>
  <c r="G119" i="1"/>
  <c r="Y115" i="1"/>
  <c r="B118" i="1"/>
  <c r="B120" i="1" s="1"/>
  <c r="N115" i="1"/>
  <c r="S47" i="1"/>
  <c r="L96" i="1"/>
  <c r="Q118" i="1"/>
  <c r="Y117" i="1"/>
  <c r="N111" i="1"/>
  <c r="Y71" i="125"/>
  <c r="Q96" i="1"/>
  <c r="N70" i="125"/>
  <c r="F96" i="1"/>
  <c r="J118" i="1"/>
  <c r="E34" i="1"/>
  <c r="H118" i="1"/>
  <c r="V111" i="1"/>
  <c r="B34" i="1"/>
  <c r="B38" i="1" s="1"/>
  <c r="Y47" i="1"/>
  <c r="I119" i="1"/>
  <c r="Q47" i="1"/>
  <c r="N118" i="1"/>
  <c r="B109" i="1"/>
  <c r="O118" i="1"/>
  <c r="B96" i="1"/>
  <c r="K71" i="125"/>
  <c r="K96" i="1"/>
  <c r="U47" i="1"/>
  <c r="P96" i="1"/>
  <c r="V120" i="1"/>
  <c r="I34" i="1"/>
  <c r="O119" i="1"/>
  <c r="O120" i="1" s="1"/>
  <c r="X109" i="1"/>
  <c r="P109" i="1"/>
  <c r="W115" i="1"/>
  <c r="X47" i="1"/>
  <c r="N96" i="1"/>
  <c r="C71" i="125"/>
  <c r="O101" i="1"/>
  <c r="X118" i="1"/>
  <c r="S101" i="1"/>
  <c r="W109" i="1"/>
  <c r="N119" i="1"/>
  <c r="H119" i="1"/>
  <c r="F116" i="1"/>
  <c r="Y70" i="125"/>
  <c r="K116" i="1"/>
  <c r="U71" i="125"/>
  <c r="H70" i="125"/>
  <c r="G116" i="1"/>
  <c r="U34" i="1"/>
  <c r="C119" i="1"/>
  <c r="G70" i="125"/>
  <c r="V116" i="1"/>
  <c r="E71" i="125"/>
  <c r="P116" i="1"/>
  <c r="AB70" i="125"/>
  <c r="J111" i="1"/>
  <c r="AB71" i="125"/>
  <c r="L70" i="125"/>
  <c r="O34" i="1"/>
  <c r="O38" i="1" s="1"/>
  <c r="Y34" i="1"/>
  <c r="P115" i="1"/>
  <c r="M34" i="1"/>
  <c r="Q71" i="125"/>
  <c r="W71" i="125"/>
  <c r="M71" i="125"/>
  <c r="U118" i="1"/>
  <c r="R70" i="125"/>
  <c r="AD71" i="125"/>
  <c r="S119" i="1"/>
  <c r="F70" i="125"/>
  <c r="W116" i="1"/>
  <c r="S111" i="1"/>
  <c r="L34" i="1"/>
  <c r="AA70" i="125"/>
  <c r="M70" i="125"/>
  <c r="AF71" i="125"/>
  <c r="T118" i="1"/>
  <c r="T120" i="1" s="1"/>
  <c r="AF70" i="125"/>
  <c r="Q116" i="1"/>
  <c r="Q117" i="1" s="1"/>
  <c r="I70" i="125"/>
  <c r="M118" i="1"/>
  <c r="V70" i="125"/>
  <c r="Q119" i="1"/>
  <c r="Q120" i="1" s="1"/>
  <c r="V34" i="1"/>
  <c r="O116" i="1"/>
  <c r="C116" i="1"/>
  <c r="I111" i="1"/>
  <c r="K70" i="125"/>
  <c r="E109" i="1"/>
  <c r="E133" i="1" s="1"/>
  <c r="D70" i="125"/>
  <c r="Z71" i="125"/>
  <c r="X120" i="1"/>
  <c r="K109" i="1"/>
  <c r="L119" i="1"/>
  <c r="B133" i="1"/>
  <c r="B68" i="1"/>
  <c r="P73" i="1"/>
  <c r="X131" i="1"/>
  <c r="O71" i="125"/>
  <c r="J70" i="125"/>
  <c r="Z109" i="1"/>
  <c r="Z68" i="1" s="1"/>
  <c r="E70" i="125"/>
  <c r="S71" i="125"/>
  <c r="D71" i="125"/>
  <c r="G71" i="125"/>
  <c r="W120" i="1"/>
  <c r="U119" i="1"/>
  <c r="U120" i="1" s="1"/>
  <c r="X115" i="1"/>
  <c r="H115" i="1"/>
  <c r="H117" i="1" s="1"/>
  <c r="U111" i="1"/>
  <c r="V115" i="1"/>
  <c r="B115" i="1"/>
  <c r="Z111" i="1"/>
  <c r="R109" i="1"/>
  <c r="G96" i="1"/>
  <c r="T71" i="125"/>
  <c r="P71" i="125"/>
  <c r="U117" i="1"/>
  <c r="F71" i="125"/>
  <c r="X71" i="125"/>
  <c r="K115" i="1"/>
  <c r="K117" i="1" s="1"/>
  <c r="P47" i="1"/>
  <c r="I118" i="1"/>
  <c r="I120" i="1" s="1"/>
  <c r="U29" i="1"/>
  <c r="AB104" i="1"/>
  <c r="CD104" i="1"/>
  <c r="CE104" i="1" s="1"/>
  <c r="CF104" i="1" s="1"/>
  <c r="CG104" i="1" s="1"/>
  <c r="U109" i="1"/>
  <c r="C73" i="1"/>
  <c r="C68" i="1"/>
  <c r="L133" i="1"/>
  <c r="L132" i="1"/>
  <c r="V105" i="1"/>
  <c r="M131" i="1"/>
  <c r="AE120" i="1"/>
  <c r="W117" i="1" l="1"/>
  <c r="W121" i="1" s="1"/>
  <c r="J120" i="1"/>
  <c r="H120" i="1"/>
  <c r="H121" i="1" s="1"/>
  <c r="B117" i="1"/>
  <c r="B121" i="1" s="1"/>
  <c r="G68" i="1"/>
  <c r="E68" i="1"/>
  <c r="M120" i="1"/>
  <c r="C131" i="1"/>
  <c r="O117" i="1"/>
  <c r="O121" i="1" s="1"/>
  <c r="G120" i="1"/>
  <c r="H131" i="1"/>
  <c r="P68" i="1"/>
  <c r="E120" i="1"/>
  <c r="U121" i="1"/>
  <c r="Z133" i="1"/>
  <c r="Q121" i="1"/>
  <c r="W68" i="1"/>
  <c r="W73" i="1"/>
  <c r="W133" i="1"/>
  <c r="N120" i="1"/>
  <c r="V117" i="1"/>
  <c r="V121" i="1" s="1"/>
  <c r="K133" i="1"/>
  <c r="E69" i="1"/>
  <c r="K73" i="1"/>
  <c r="L131" i="1"/>
  <c r="P117" i="1"/>
  <c r="CH104" i="1"/>
  <c r="CI104" i="1" s="1"/>
  <c r="CJ104" i="1" s="1"/>
  <c r="CK104" i="1" s="1"/>
  <c r="AC104" i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J82" i="1"/>
  <c r="H82" i="1"/>
  <c r="H83" i="1"/>
  <c r="C82" i="1"/>
  <c r="G83" i="1"/>
  <c r="I81" i="1"/>
  <c r="N83" i="1"/>
  <c r="D82" i="1"/>
  <c r="K83" i="1"/>
  <c r="T81" i="1"/>
  <c r="O83" i="1"/>
  <c r="E83" i="1"/>
  <c r="B82" i="1"/>
  <c r="CL104" i="1" l="1"/>
  <c r="CM104" i="1" s="1"/>
  <c r="CN104" i="1" s="1"/>
  <c r="CO104" i="1" s="1"/>
  <c r="AE104" i="1" s="1"/>
  <c r="AD104" i="1"/>
  <c r="AO124" i="1"/>
  <c r="AQ124" i="1"/>
  <c r="BS124" i="1"/>
  <c r="BK124" i="1"/>
  <c r="BA123" i="1"/>
  <c r="BB123" i="1" s="1"/>
  <c r="AM124" i="1"/>
  <c r="BS123" i="1"/>
  <c r="BT123" i="1" s="1"/>
  <c r="AW124" i="1"/>
  <c r="AM123" i="1"/>
  <c r="AN123" i="1" s="1"/>
  <c r="AK123" i="1"/>
  <c r="AL123" i="1" s="1"/>
  <c r="BY124" i="1"/>
  <c r="AH124" i="1"/>
  <c r="AY123" i="1"/>
  <c r="AZ123" i="1" s="1"/>
  <c r="AS124" i="1"/>
  <c r="AS123" i="1"/>
  <c r="AT123" i="1" s="1"/>
  <c r="AW123" i="1"/>
  <c r="AX123" i="1" s="1"/>
  <c r="BW123" i="1"/>
  <c r="BX123" i="1" s="1"/>
  <c r="BA124" i="1"/>
  <c r="BE124" i="1"/>
  <c r="BC123" i="1"/>
  <c r="BD123" i="1" s="1"/>
  <c r="BI124" i="1"/>
  <c r="BY123" i="1"/>
  <c r="BK123" i="1"/>
  <c r="BL123" i="1" s="1"/>
  <c r="BO123" i="1"/>
  <c r="BP123" i="1" s="1"/>
  <c r="BM124" i="1"/>
  <c r="AU123" i="1"/>
  <c r="AV123" i="1" s="1"/>
  <c r="BE123" i="1"/>
  <c r="BF123" i="1" s="1"/>
  <c r="AY124" i="1"/>
  <c r="BQ123" i="1"/>
  <c r="BR123" i="1" s="1"/>
  <c r="BG124" i="1"/>
  <c r="BQ124" i="1"/>
  <c r="BI123" i="1"/>
  <c r="BJ123" i="1" s="1"/>
  <c r="BC124" i="1"/>
  <c r="AK124" i="1"/>
  <c r="AI124" i="1"/>
  <c r="AU124" i="1"/>
  <c r="AH123" i="1"/>
  <c r="BO124" i="1"/>
  <c r="AI123" i="1"/>
  <c r="AJ123" i="1" s="1"/>
  <c r="BG123" i="1"/>
  <c r="BH123" i="1" s="1"/>
  <c r="BM123" i="1"/>
  <c r="BN123" i="1" s="1"/>
  <c r="BU124" i="1"/>
  <c r="AQ123" i="1"/>
  <c r="AR123" i="1" s="1"/>
  <c r="BU123" i="1"/>
  <c r="BV123" i="1" s="1"/>
  <c r="BW124" i="1"/>
  <c r="AO123" i="1"/>
  <c r="AP123" i="1" s="1"/>
  <c r="B97" i="1"/>
  <c r="B129" i="1" s="1"/>
  <c r="B29" i="1"/>
  <c r="B31" i="1" s="1"/>
  <c r="N97" i="1"/>
  <c r="Q97" i="1"/>
  <c r="AA123" i="1" l="1"/>
  <c r="BZ123" i="1"/>
  <c r="CA123" i="1" s="1"/>
  <c r="CB123" i="1" s="1"/>
  <c r="CC123" i="1" s="1"/>
  <c r="B39" i="1"/>
  <c r="B106" i="1"/>
  <c r="D8" i="132" a="1"/>
  <c r="GS12" i="132" a="1"/>
  <c r="FJ8" i="132" a="1"/>
  <c r="CO5" i="132" a="1"/>
  <c r="AV11" i="132" a="1"/>
  <c r="BH13" i="132" a="1"/>
  <c r="GG14" i="132" a="1"/>
  <c r="AY15" i="132" a="1"/>
  <c r="DO13" i="132" a="1"/>
  <c r="CY9" i="132" a="1"/>
  <c r="FQ12" i="132" a="1"/>
  <c r="DW14" i="132" a="1"/>
  <c r="AT15" i="132" a="1"/>
  <c r="P7" i="132" a="1"/>
  <c r="GE6" i="132" a="1"/>
  <c r="GE7" i="132" a="1"/>
  <c r="ED5" i="132" a="1"/>
  <c r="D12" i="132" a="1"/>
  <c r="Y12" i="132" a="1"/>
  <c r="GN16" i="132" a="1"/>
  <c r="I11" i="132" a="1"/>
  <c r="EP5" i="132" a="1"/>
  <c r="M5" i="132" a="1"/>
  <c r="FO16" i="132" a="1"/>
  <c r="GI11" i="132" a="1"/>
  <c r="FU11" i="132" a="1"/>
  <c r="EH7" i="132" a="1"/>
  <c r="H12" i="132" a="1"/>
  <c r="EV14" i="132" a="1"/>
  <c r="T41" i="130" a="1"/>
  <c r="FE8" i="132" a="1"/>
  <c r="EA5" i="132" a="1"/>
  <c r="N16" i="132" a="1"/>
  <c r="FY15" i="132" a="1"/>
  <c r="AS13" i="132" a="1"/>
  <c r="GS9" i="132" a="1"/>
  <c r="AI14" i="132" a="1"/>
  <c r="GD15" i="132" a="1"/>
  <c r="DU9" i="132" a="1"/>
  <c r="EY7" i="132" a="1"/>
  <c r="GJ5" i="132" a="1"/>
  <c r="GI15" i="132" a="1"/>
  <c r="AV13" i="132" a="1"/>
  <c r="AS15" i="132" a="1"/>
  <c r="BW5" i="132" a="1"/>
  <c r="GN14" i="132" a="1"/>
  <c r="EL14" i="132" a="1"/>
  <c r="DX14" i="132" a="1"/>
  <c r="EQ7" i="132" a="1"/>
  <c r="BZ15" i="132" a="1"/>
  <c r="EG6" i="132" a="1"/>
  <c r="BN7" i="132" a="1"/>
  <c r="BE11" i="132" a="1"/>
  <c r="ED16" i="132" a="1"/>
  <c r="EC16" i="132" a="1"/>
  <c r="BO12" i="132" a="1"/>
  <c r="FF14" i="132" a="1"/>
  <c r="GS13" i="132" a="1"/>
  <c r="FF15" i="132" a="1"/>
  <c r="GM13" i="132" a="1"/>
  <c r="DN5" i="132" a="1"/>
  <c r="CS9" i="132" a="1"/>
  <c r="EZ16" i="132" a="1"/>
  <c r="FJ7" i="132" a="1"/>
  <c r="L13" i="130" a="1"/>
  <c r="CN12" i="132" a="1"/>
  <c r="DC15" i="132" a="1"/>
  <c r="GR9" i="132" a="1"/>
  <c r="FM8" i="132" a="1"/>
  <c r="FH7" i="132" a="1"/>
  <c r="DE5" i="132" a="1"/>
  <c r="C8" i="132" a="1"/>
  <c r="DY16" i="132" a="1"/>
  <c r="EK16" i="132" a="1"/>
  <c r="AZ11" i="132" a="1"/>
  <c r="EN6" i="132" a="1"/>
  <c r="GF11" i="132" a="1"/>
  <c r="HB16" i="132" a="1"/>
  <c r="GE11" i="132" a="1"/>
  <c r="DJ14" i="132" a="1"/>
  <c r="AF16" i="132" a="1"/>
  <c r="BR14" i="132" a="1"/>
  <c r="BU8" i="132" a="1"/>
  <c r="AJ13" i="132" a="1"/>
  <c r="N6" i="132" a="1"/>
  <c r="EY12" i="132" a="1"/>
  <c r="FU9" i="132" a="1"/>
  <c r="BQ6" i="132" a="1"/>
  <c r="AB8" i="132" a="1"/>
  <c r="AJ7" i="132" a="1"/>
  <c r="HA14" i="132" a="1"/>
  <c r="C15" i="132" a="1"/>
  <c r="CL16" i="132" a="1"/>
  <c r="BN9" i="132" a="1"/>
  <c r="AY12" i="132" a="1"/>
  <c r="R13" i="132" a="1"/>
  <c r="CI12" i="132" a="1"/>
  <c r="DW16" i="132" a="1"/>
  <c r="CA11" i="132" a="1"/>
  <c r="Z33" i="130" a="1"/>
  <c r="AV7" i="132" a="1"/>
  <c r="GE16" i="132" a="1"/>
  <c r="BW12" i="132" a="1"/>
  <c r="DT9" i="132" a="1"/>
  <c r="BF8" i="132" a="1"/>
  <c r="GT16" i="132" a="1"/>
  <c r="FZ5" i="132" a="1"/>
  <c r="AT9" i="132" a="1"/>
  <c r="BG13" i="132" a="1"/>
  <c r="DM7" i="132" a="1"/>
  <c r="AN13" i="132" a="1"/>
  <c r="GU9" i="132" a="1"/>
  <c r="AO5" i="132" a="1"/>
  <c r="E6" i="132" a="1"/>
  <c r="EV15" i="132" a="1"/>
  <c r="FE13" i="132" a="1"/>
  <c r="V8" i="132" a="1"/>
  <c r="DS13" i="132" a="1"/>
  <c r="GC8" i="132" a="1"/>
  <c r="DW5" i="132" a="1"/>
  <c r="DT12" i="132" a="1"/>
  <c r="CN15" i="132" a="1"/>
  <c r="AI8" i="132" a="1"/>
  <c r="I5" i="132" a="1"/>
  <c r="CX12" i="132" a="1"/>
  <c r="P14" i="132" a="1"/>
  <c r="FT16" i="132" a="1"/>
  <c r="GH14" i="132" a="1"/>
  <c r="GO13" i="132" a="1"/>
  <c r="FB11" i="132" a="1"/>
  <c r="DO11" i="132" a="1"/>
  <c r="CP13" i="132" a="1"/>
  <c r="FW12" i="132" a="1"/>
  <c r="FD11" i="132" a="1"/>
  <c r="AI13" i="132" a="1"/>
  <c r="EI9" i="132" a="1"/>
  <c r="E11" i="132" a="1"/>
  <c r="CX7" i="132" a="1"/>
  <c r="EB5" i="132" a="1"/>
  <c r="FN14" i="132" a="1"/>
  <c r="FT9" i="132" a="1"/>
  <c r="H5" i="132" a="1"/>
  <c r="AJ22" i="130" a="1"/>
  <c r="EU16" i="132" a="1"/>
  <c r="CV11" i="132" a="1"/>
  <c r="EC8" i="132" a="1"/>
  <c r="CJ7" i="132" a="1"/>
  <c r="CL8" i="132" a="1"/>
  <c r="BJ5" i="132" a="1"/>
  <c r="CI16" i="132" a="1"/>
  <c r="BB14" i="132" a="1"/>
  <c r="GY16" i="132" a="1"/>
  <c r="L9" i="132" a="1"/>
  <c r="BB8" i="132" a="1"/>
  <c r="FV6" i="132" a="1"/>
  <c r="BC12" i="132" a="1"/>
  <c r="FO9" i="132" a="1"/>
  <c r="EE16" i="132" a="1"/>
  <c r="GO11" i="132" a="1"/>
  <c r="HD13" i="132" a="1"/>
  <c r="DM5" i="132" a="1"/>
  <c r="GN15" i="132" a="1"/>
  <c r="EJ15" i="132" a="1"/>
  <c r="CM16" i="132" a="1"/>
  <c r="AA16" i="132" a="1"/>
  <c r="DI6" i="132" a="1"/>
  <c r="FG9" i="132" a="1"/>
  <c r="FG5" i="132" a="1"/>
  <c r="BT6" i="132" a="1"/>
  <c r="BG5" i="132" a="1"/>
  <c r="K11" i="132" a="1"/>
  <c r="GE9" i="132" a="1"/>
  <c r="HC14" i="132" a="1"/>
  <c r="H7" i="132" a="1"/>
  <c r="CJ5" i="132" a="1"/>
  <c r="GB14" i="132" a="1"/>
  <c r="AF13" i="132" a="1"/>
  <c r="DD6" i="132" a="1"/>
  <c r="GT8" i="132" a="1"/>
  <c r="FV16" i="132" a="1"/>
  <c r="AF14" i="132" a="1"/>
  <c r="AB13" i="132" a="1"/>
  <c r="CX15" i="132" a="1"/>
  <c r="DU12" i="132" a="1"/>
  <c r="GX7" i="132" a="1"/>
  <c r="HB13" i="132" a="1"/>
  <c r="AK11" i="132" a="1"/>
  <c r="FR11" i="132" a="1"/>
  <c r="DR9" i="132" a="1"/>
  <c r="AH13" i="132" a="1"/>
  <c r="W5" i="132" a="1"/>
  <c r="BN8" i="132" a="1"/>
  <c r="DZ5" i="132" a="1"/>
  <c r="BU9" i="132" a="1"/>
  <c r="AS9" i="130" a="1"/>
  <c r="CN13" i="132" a="1"/>
  <c r="GR16" i="132" a="1"/>
  <c r="EB16" i="132" a="1"/>
  <c r="EX13" i="132" a="1"/>
  <c r="U6" i="132" a="1"/>
  <c r="FN5" i="132" a="1"/>
  <c r="BN11" i="132" a="1"/>
  <c r="GH11" i="132" a="1"/>
  <c r="BO9" i="132" a="1"/>
  <c r="CF11" i="132" a="1"/>
  <c r="GL16" i="132" a="1"/>
  <c r="CO11" i="132" a="1"/>
  <c r="GP13" i="132" a="1"/>
  <c r="BG14" i="132" a="1"/>
  <c r="DN9" i="132" a="1"/>
  <c r="FL13" i="132" a="1"/>
  <c r="GP9" i="132" a="1"/>
  <c r="GM11" i="132" a="1"/>
  <c r="EF16" i="132" a="1"/>
  <c r="EZ6" i="132" a="1"/>
  <c r="CE9" i="132" a="1"/>
  <c r="EU13" i="132" a="1"/>
  <c r="DG15" i="132" a="1"/>
  <c r="FK5" i="132" a="1"/>
  <c r="EH12" i="132" a="1"/>
  <c r="BG9" i="132" a="1"/>
  <c r="R9" i="132" a="1"/>
  <c r="BB12" i="132" a="1"/>
  <c r="EN9" i="132" a="1"/>
  <c r="DO16" i="132" a="1"/>
  <c r="BI6" i="132" a="1"/>
  <c r="G16" i="132" a="1"/>
  <c r="HD9" i="132" a="1"/>
  <c r="EY11" i="132" a="1"/>
  <c r="ER9" i="132" a="1"/>
  <c r="BS13" i="132" a="1"/>
  <c r="CR16" i="132" a="1"/>
  <c r="DQ5" i="132" a="1"/>
  <c r="FX11" i="132" a="1"/>
  <c r="AN5" i="132" a="1"/>
  <c r="BT15" i="132" a="1"/>
  <c r="AI12" i="132" a="1"/>
  <c r="ET7" i="132" a="1"/>
  <c r="GY8" i="132" a="1"/>
  <c r="GC5" i="132" a="1"/>
  <c r="AH12" i="132" a="1"/>
  <c r="EB8" i="132" a="1"/>
  <c r="HE5" i="132" a="1"/>
  <c r="BS9" i="132" a="1"/>
  <c r="GY15" i="132" a="1"/>
  <c r="AC16" i="132" a="1"/>
  <c r="M15" i="132" a="1"/>
  <c r="FD7" i="132" a="1"/>
  <c r="EE15" i="132" a="1"/>
  <c r="FC16" i="132" a="1"/>
  <c r="BF15" i="132" a="1"/>
  <c r="GG6" i="132" a="1"/>
  <c r="BZ8" i="132" a="1"/>
  <c r="FG15" i="132" a="1"/>
  <c r="EO13" i="132" a="1"/>
  <c r="FZ16" i="132" a="1"/>
  <c r="CH8" i="132" a="1"/>
  <c r="BZ13" i="132" a="1"/>
  <c r="AB77" i="130" a="1"/>
  <c r="CW9" i="132" a="1"/>
  <c r="N8" i="132" a="1"/>
  <c r="DD12" i="132" a="1"/>
  <c r="CF12" i="132" a="1"/>
  <c r="EM6" i="132" a="1"/>
  <c r="FE5" i="132" a="1"/>
  <c r="DL9" i="132" a="1"/>
  <c r="FV15" i="132" a="1"/>
  <c r="D7" i="132" a="1"/>
  <c r="GK8" i="132" a="1"/>
  <c r="AL7" i="132" a="1"/>
  <c r="EE8" i="132" a="1"/>
  <c r="GP8" i="132" a="1"/>
  <c r="EV16" i="132" a="1"/>
  <c r="FB8" i="132" a="1"/>
  <c r="FA9" i="132" a="1"/>
  <c r="GH7" i="132" a="1"/>
  <c r="AI16" i="132" a="1"/>
  <c r="CS12" i="132" a="1"/>
  <c r="CO8" i="132" a="1"/>
  <c r="K7" i="132" a="1"/>
  <c r="AB5" i="132" a="1"/>
  <c r="AS14" i="132" a="1"/>
  <c r="FL6" i="132" a="1"/>
  <c r="C13" i="132" a="1"/>
  <c r="CI14" i="132" a="1"/>
  <c r="CW7" i="132" a="1"/>
  <c r="GF16" i="132" a="1"/>
  <c r="DZ12" i="132" a="1"/>
  <c r="EE6" i="132" a="1"/>
  <c r="N5" i="132" a="1"/>
  <c r="CR13" i="132" a="1"/>
  <c r="FH13" i="132" a="1"/>
  <c r="BK14" i="132" a="1"/>
  <c r="BD11" i="132" a="1"/>
  <c r="EJ14" i="132" a="1"/>
  <c r="DL8" i="132" a="1"/>
  <c r="AO12" i="132" a="1"/>
  <c r="CZ11" i="132" a="1"/>
  <c r="GR12" i="132" a="1"/>
  <c r="FF12" i="132" a="1"/>
  <c r="AV30" i="130" a="1"/>
  <c r="EZ8" i="132" a="1"/>
  <c r="GQ15" i="132" a="1"/>
  <c r="O5" i="132" a="1"/>
  <c r="FU8" i="132" a="1"/>
  <c r="BD16" i="132" a="1"/>
  <c r="DW15" i="132" a="1"/>
  <c r="DE7" i="132" a="1"/>
  <c r="HH13" i="132" a="1"/>
  <c r="FG7" i="132" a="1"/>
  <c r="BK41" i="130" a="1"/>
  <c r="AB15" i="132" a="1"/>
  <c r="FU5" i="132" a="1"/>
  <c r="FM11" i="132" a="1"/>
  <c r="DC16" i="132" a="1"/>
  <c r="FG6" i="132" a="1"/>
  <c r="BW15" i="132" a="1"/>
  <c r="HC15" i="132" a="1"/>
  <c r="GH6" i="132" a="1"/>
  <c r="CP14" i="132" a="1"/>
  <c r="W9" i="132" a="1"/>
  <c r="AC14" i="132" a="1"/>
  <c r="CO7" i="132" a="1"/>
  <c r="GO12" i="132" a="1"/>
  <c r="BH6" i="132" a="1"/>
  <c r="AP88" i="130" a="1"/>
  <c r="CI9" i="132" a="1"/>
  <c r="BW7" i="132" a="1"/>
  <c r="CH6" i="132" a="1"/>
  <c r="GH12" i="132" a="1"/>
  <c r="DY14" i="132" a="1"/>
  <c r="BQ16" i="132" a="1"/>
  <c r="AL13" i="132" a="1"/>
  <c r="AA9" i="132" a="1"/>
  <c r="AV14" i="132" a="1"/>
  <c r="EL5" i="132" a="1"/>
  <c r="DM13" i="132" a="1"/>
  <c r="HF16" i="132" a="1"/>
  <c r="EU11" i="132" a="1"/>
  <c r="DH9" i="132" a="1"/>
  <c r="CX11" i="132" a="1"/>
  <c r="D14" i="132" a="1"/>
  <c r="GP7" i="132" a="1"/>
  <c r="EK7" i="132" a="1"/>
  <c r="J7" i="132" a="1"/>
  <c r="EI12" i="132" a="1"/>
  <c r="BB11" i="132" a="1"/>
  <c r="AG7" i="132" a="1"/>
  <c r="V6" i="132" a="1"/>
  <c r="CV16" i="132" a="1"/>
  <c r="EC5" i="132" a="1"/>
  <c r="FP14" i="132" a="1"/>
  <c r="HD8" i="132" a="1"/>
  <c r="DX9" i="132" a="1"/>
  <c r="AQ8" i="132" a="1"/>
  <c r="GW11" i="132" a="1"/>
  <c r="GS11" i="132" a="1"/>
  <c r="GP15" i="132" a="1"/>
  <c r="CU13" i="132" a="1"/>
  <c r="G13" i="132" a="1"/>
  <c r="GI7" i="132" a="1"/>
  <c r="GW6" i="132" a="1"/>
  <c r="C32" i="130" a="1"/>
  <c r="CQ5" i="132" a="1"/>
  <c r="BX5" i="132" a="1"/>
  <c r="X6" i="132" a="1"/>
  <c r="FF8" i="132" a="1"/>
  <c r="EJ16" i="132" a="1"/>
  <c r="GE8" i="132" a="1"/>
  <c r="T11" i="132" a="1"/>
  <c r="BJ7" i="132" a="1"/>
  <c r="Z11" i="132" a="1"/>
  <c r="G9" i="132" a="1"/>
  <c r="CT8" i="132" a="1"/>
  <c r="AX8" i="132" a="1"/>
  <c r="FJ5" i="132" a="1"/>
  <c r="AA14" i="132" a="1"/>
  <c r="FO6" i="132" a="1"/>
  <c r="Z8" i="132" a="1"/>
  <c r="FC13" i="132" a="1"/>
  <c r="S8" i="132" a="1"/>
  <c r="CA13" i="132" a="1"/>
  <c r="CE15" i="132" a="1"/>
  <c r="AY5" i="132" a="1"/>
  <c r="GO14" i="132" a="1"/>
  <c r="AO11" i="132" a="1"/>
  <c r="DU15" i="132" a="1"/>
  <c r="BE12" i="132" a="1"/>
  <c r="BD15" i="132" a="1"/>
  <c r="DG12" i="132" a="1"/>
  <c r="CH12" i="132" a="1"/>
  <c r="T16" i="132" a="1"/>
  <c r="D9" i="132" a="1"/>
  <c r="DK7" i="132" a="1"/>
  <c r="EH5" i="132" a="1"/>
  <c r="R12" i="132" a="1"/>
  <c r="DB11" i="132" a="1"/>
  <c r="BD55" i="130" a="1"/>
  <c r="CX13" i="132" a="1"/>
  <c r="HH8" i="132" a="1"/>
  <c r="AV6" i="132" a="1"/>
  <c r="AZ13" i="132" a="1"/>
  <c r="N9" i="132" a="1"/>
  <c r="CM11" i="132" a="1"/>
  <c r="HB8" i="132" a="1"/>
  <c r="BH14" i="132" a="1"/>
  <c r="CE11" i="132" a="1"/>
  <c r="GQ5" i="132" a="1"/>
  <c r="HC8" i="132" a="1"/>
  <c r="EF5" i="132" a="1"/>
  <c r="D13" i="132" a="1"/>
  <c r="FM5" i="132" a="1"/>
  <c r="AM14" i="132" a="1"/>
  <c r="CV8" i="132" a="1"/>
  <c r="DH13" i="132" a="1"/>
  <c r="AM12" i="132" a="1"/>
  <c r="GI14" i="132" a="1"/>
  <c r="EX16" i="132" a="1"/>
  <c r="DQ14" i="132" a="1"/>
  <c r="EK6" i="132" a="1"/>
  <c r="BP5" i="132" a="1"/>
  <c r="BA8" i="132" a="1"/>
  <c r="DV12" i="132" a="1"/>
  <c r="CP9" i="132" a="1"/>
  <c r="ES15" i="132" a="1"/>
  <c r="CK6" i="132" a="1"/>
  <c r="DD15" i="132" a="1"/>
  <c r="AH9" i="132" a="1"/>
  <c r="EH16" i="132" a="1"/>
  <c r="Y11" i="132" a="1"/>
  <c r="BY6" i="132" a="1"/>
  <c r="ER13" i="132" a="1"/>
  <c r="EF6" i="132" a="1"/>
  <c r="AR72" i="130" a="1"/>
  <c r="K16" i="132" a="1"/>
  <c r="BP11" i="132" a="1"/>
  <c r="GI12" i="132" a="1"/>
  <c r="DP11" i="132" a="1"/>
  <c r="DD5" i="132" a="1"/>
  <c r="ER11" i="132" a="1"/>
  <c r="BM7" i="132" a="1"/>
  <c r="DE14" i="132" a="1"/>
  <c r="DP5" i="132" a="1"/>
  <c r="ER7" i="132" a="1"/>
  <c r="EJ11" i="132" a="1"/>
  <c r="M13" i="132" a="1"/>
  <c r="CE13" i="132" a="1"/>
  <c r="BA9" i="132" a="1"/>
  <c r="CS16" i="132" a="1"/>
  <c r="DQ6" i="132" a="1"/>
  <c r="CD6" i="132" a="1"/>
  <c r="FR5" i="132" a="1"/>
  <c r="AA8" i="132" a="1"/>
  <c r="AM5" i="132" a="1"/>
  <c r="EL11" i="132" a="1"/>
  <c r="U12" i="132" a="1"/>
  <c r="DS11" i="132" a="1"/>
  <c r="BT7" i="132" a="1"/>
  <c r="AJ6" i="132" a="1"/>
  <c r="AA15" i="132" a="1"/>
  <c r="BR13" i="132" a="1"/>
  <c r="GQ13" i="132" a="1"/>
  <c r="ET12" i="132" a="1"/>
  <c r="AW12" i="132" a="1"/>
  <c r="BL12" i="132" a="1"/>
  <c r="FV7" i="132" a="1"/>
  <c r="DO15" i="132" a="1"/>
  <c r="D5" i="132" a="1"/>
  <c r="GZ5" i="132" a="1"/>
  <c r="FI8" i="132" a="1"/>
  <c r="AO14" i="132" a="1"/>
  <c r="HD12" i="132" a="1"/>
  <c r="AJ5" i="132" a="1"/>
  <c r="O15" i="132" a="1"/>
  <c r="HF11" i="132" a="1"/>
  <c r="DA7" i="132" a="1"/>
  <c r="AE13" i="130" a="1"/>
  <c r="GA7" i="132" a="1"/>
  <c r="DY8" i="132" a="1"/>
  <c r="CV15" i="132" a="1"/>
  <c r="EG11" i="132" a="1"/>
  <c r="FB14" i="132" a="1"/>
  <c r="FC5" i="132" a="1"/>
  <c r="R7" i="132" a="1"/>
  <c r="T12" i="132" a="1"/>
  <c r="ED11" i="132" a="1"/>
  <c r="HG11" i="132" a="1"/>
  <c r="GZ8" i="132" a="1"/>
  <c r="CE5" i="132" a="1"/>
  <c r="HB6" i="132" a="1"/>
  <c r="CE12" i="132" a="1"/>
  <c r="BI15" i="132" a="1"/>
  <c r="GN7" i="132" a="1"/>
  <c r="O16" i="132" a="1"/>
  <c r="DI16" i="132" a="1"/>
  <c r="AE6" i="132" a="1"/>
  <c r="GC15" i="132" a="1"/>
  <c r="HD7" i="132" a="1"/>
  <c r="AI15" i="132" a="1"/>
  <c r="CG9" i="132" a="1"/>
  <c r="AZ12" i="132" a="1"/>
  <c r="HC5" i="132" a="1"/>
  <c r="FZ14" i="132" a="1"/>
  <c r="CC5" i="132" a="1"/>
  <c r="Z14" i="132" a="1"/>
  <c r="FS6" i="132" a="1"/>
  <c r="EG14" i="132" a="1"/>
  <c r="C7" i="132" a="1"/>
  <c r="AN7" i="132" a="1"/>
  <c r="FB9" i="132" a="1"/>
  <c r="GD13" i="132" a="1"/>
  <c r="GY13" i="132" a="1"/>
  <c r="CK7" i="132" a="1"/>
  <c r="BW9" i="132" a="1"/>
  <c r="DZ11" i="132" a="1"/>
  <c r="AO6" i="132" a="1"/>
  <c r="AR5" i="132" a="1"/>
  <c r="BX6" i="132" a="1"/>
  <c r="EW8" i="132" a="1"/>
  <c r="CS15" i="132" a="1"/>
  <c r="EI16" i="132" a="1"/>
  <c r="AP8" i="132" a="1"/>
  <c r="EK5" i="132" a="1"/>
  <c r="GT11" i="132" a="1"/>
  <c r="CT12" i="132" a="1"/>
  <c r="FP16" i="132" a="1"/>
  <c r="BD14" i="132" a="1"/>
  <c r="S5" i="132" a="1"/>
  <c r="BA62" i="130" a="1"/>
  <c r="DR14" i="132" a="1"/>
  <c r="ES11" i="132" a="1"/>
  <c r="EC14" i="132" a="1"/>
  <c r="FE12" i="132" a="1"/>
  <c r="EW9" i="132" a="1"/>
  <c r="CG13" i="132" a="1"/>
  <c r="AP5" i="132" a="1"/>
  <c r="AN11" i="132" a="1"/>
  <c r="CQ14" i="132" a="1"/>
  <c r="FO14" i="132" a="1"/>
  <c r="BJ11" i="132" a="1"/>
  <c r="BL16" i="132" a="1"/>
  <c r="GN9" i="132" a="1"/>
  <c r="AN15" i="132" a="1"/>
  <c r="GC7" i="132" a="1"/>
  <c r="AR11" i="132" a="1"/>
  <c r="FB6" i="132" a="1"/>
  <c r="BC15" i="132" a="1"/>
  <c r="DY13" i="132" a="1"/>
  <c r="EV7" i="132" a="1"/>
  <c r="AJ12" i="132" a="1"/>
  <c r="C12" i="132" a="1"/>
  <c r="CQ15" i="132" a="1"/>
  <c r="FT8" i="132" a="1"/>
  <c r="BY9" i="132" a="1"/>
  <c r="BO15" i="132" a="1"/>
  <c r="G8" i="132" a="1"/>
  <c r="DR11" i="132" a="1"/>
  <c r="GI5" i="132" a="1"/>
  <c r="GV12" i="132" a="1"/>
  <c r="GF8" i="132" a="1"/>
  <c r="I16" i="132" a="1"/>
  <c r="GU16" i="132" a="1"/>
  <c r="BZ9" i="132" a="1"/>
  <c r="I8" i="132" a="1"/>
  <c r="AE41" i="130" a="1"/>
  <c r="U9" i="132" a="1"/>
  <c r="AR13" i="132" a="1"/>
  <c r="AT7" i="132" a="1"/>
  <c r="AE11" i="132" a="1"/>
  <c r="CD7" i="132" a="1"/>
  <c r="BH7" i="132" a="1"/>
  <c r="AH7" i="132" a="1"/>
  <c r="GK13" i="132" a="1"/>
  <c r="AQ16" i="132" a="1"/>
  <c r="CV5" i="132" a="1"/>
  <c r="GS5" i="132" a="1"/>
  <c r="J12" i="132" a="1"/>
  <c r="CZ5" i="132" a="1"/>
  <c r="HA9" i="132" a="1"/>
  <c r="FH11" i="132" a="1"/>
  <c r="FE14" i="132" a="1"/>
  <c r="CB11" i="132" a="1"/>
  <c r="BX16" i="132" a="1"/>
  <c r="L6" i="132" a="1"/>
  <c r="DJ16" i="132" a="1"/>
  <c r="I13" i="132" a="1"/>
  <c r="GM16" i="132" a="1"/>
  <c r="BD13" i="132" a="1"/>
  <c r="DW8" i="132" a="1"/>
  <c r="AJ14" i="132" a="1"/>
  <c r="DJ8" i="132" a="1"/>
  <c r="EI11" i="132" a="1"/>
  <c r="C10" i="130" a="1"/>
  <c r="EA12" i="132" a="1"/>
  <c r="ES6" i="132" a="1"/>
  <c r="FI15" i="132" a="1"/>
  <c r="ED13" i="132" a="1"/>
  <c r="FU13" i="132" a="1"/>
  <c r="BV15" i="132" a="1"/>
  <c r="AW13" i="132" a="1"/>
  <c r="DM9" i="132" a="1"/>
  <c r="C11" i="132" a="1"/>
  <c r="EJ5" i="132" a="1"/>
  <c r="BN13" i="132" a="1"/>
  <c r="GB7" i="132" a="1"/>
  <c r="EN11" i="132" a="1"/>
  <c r="BB13" i="132" a="1"/>
  <c r="EM15" i="132" a="1"/>
  <c r="AK15" i="132" a="1"/>
  <c r="CQ11" i="132" a="1"/>
  <c r="EI14" i="132" a="1"/>
  <c r="EF14" i="132" a="1"/>
  <c r="F5" i="132" a="1"/>
  <c r="O7" i="132" a="1"/>
  <c r="DG7" i="132" a="1"/>
  <c r="U11" i="132" a="1"/>
  <c r="Q13" i="132" a="1"/>
  <c r="BM13" i="132" a="1"/>
  <c r="FA5" i="132" a="1"/>
  <c r="DX5" i="132" a="1"/>
  <c r="FA16" i="132" a="1"/>
  <c r="GY12" i="132" a="1"/>
  <c r="I6" i="132" a="1"/>
  <c r="ET11" i="132" a="1"/>
  <c r="EQ8" i="132" a="1"/>
  <c r="FO15" i="132" a="1"/>
  <c r="FH6" i="132" a="1"/>
  <c r="BX13" i="132" a="1"/>
  <c r="DC11" i="132" a="1"/>
  <c r="GO15" i="132" a="1"/>
  <c r="CQ16" i="132" a="1"/>
  <c r="GZ6" i="132" a="1"/>
  <c r="EQ15" i="132" a="1"/>
  <c r="BE18" i="130" a="1"/>
  <c r="AR20" i="130" a="1"/>
  <c r="P8" i="132" a="1"/>
  <c r="FO13" i="132" a="1"/>
  <c r="FK12" i="132" a="1"/>
  <c r="DN12" i="132" a="1"/>
  <c r="HH16" i="132" a="1"/>
  <c r="DI9" i="132" a="1"/>
  <c r="EP9" i="132" a="1"/>
  <c r="CD15" i="132" a="1"/>
  <c r="EB13" i="132" a="1"/>
  <c r="BD78" i="130" a="1"/>
  <c r="FF9" i="132" a="1"/>
  <c r="HC16" i="132" a="1"/>
  <c r="GT12" i="132" a="1"/>
  <c r="BC6" i="132" a="1"/>
  <c r="AF9" i="132" a="1"/>
  <c r="DC8" i="132" a="1"/>
  <c r="EG12" i="132" a="1"/>
  <c r="CU9" i="132" a="1"/>
  <c r="AE12" i="132" a="1"/>
  <c r="CA14" i="132" a="1"/>
  <c r="AQ14" i="132" a="1"/>
  <c r="BX7" i="132" a="1"/>
  <c r="DF7" i="132" a="1"/>
  <c r="M6" i="132" a="1"/>
  <c r="X55" i="130" a="1"/>
  <c r="AQ11" i="132" a="1"/>
  <c r="EI6" i="132" a="1"/>
  <c r="AF11" i="132" a="1"/>
  <c r="DI12" i="132" a="1"/>
  <c r="HA6" i="132" a="1"/>
  <c r="FG16" i="132" a="1"/>
  <c r="GW8" i="132" a="1"/>
  <c r="DG8" i="132" a="1"/>
  <c r="G12" i="132" a="1"/>
  <c r="CA16" i="132" a="1"/>
  <c r="BY11" i="132" a="1"/>
  <c r="BM12" i="132" a="1"/>
  <c r="CO15" i="132" a="1"/>
  <c r="DS6" i="132" a="1"/>
  <c r="GR8" i="132" a="1"/>
  <c r="BT13" i="132" a="1"/>
  <c r="GF5" i="132" a="1"/>
  <c r="ET6" i="132" a="1"/>
  <c r="CU11" i="132" a="1"/>
  <c r="CL6" i="132" a="1"/>
  <c r="GN6" i="132" a="1"/>
  <c r="AS9" i="132" a="1"/>
  <c r="J8" i="132" a="1"/>
  <c r="BF8" i="130" a="1"/>
  <c r="DQ8" i="132" a="1"/>
  <c r="L5" i="132" a="1"/>
  <c r="GR7" i="132" a="1"/>
  <c r="GD16" i="132" a="1"/>
  <c r="AT11" i="132" a="1"/>
  <c r="FE7" i="132" a="1"/>
  <c r="CN11" i="132" a="1"/>
  <c r="AR6" i="132" a="1"/>
  <c r="AT13" i="132" a="1"/>
  <c r="FU7" i="132" a="1"/>
  <c r="CX16" i="132" a="1"/>
  <c r="DW13" i="132" a="1"/>
  <c r="BG8" i="132" a="1"/>
  <c r="BQ9" i="132" a="1"/>
  <c r="FI6" i="132" a="1"/>
  <c r="X14" i="132" a="1"/>
  <c r="GI6" i="132" a="1"/>
  <c r="CB7" i="132" a="1"/>
  <c r="FI16" i="132" a="1"/>
  <c r="GC6" i="132" a="1"/>
  <c r="AX6" i="132" a="1"/>
  <c r="EV5" i="132" a="1"/>
  <c r="AB7" i="132" a="1"/>
  <c r="AX13" i="132" a="1"/>
  <c r="ET16" i="132" a="1"/>
  <c r="EY6" i="132" a="1"/>
  <c r="GS7" i="132" a="1"/>
  <c r="DP16" i="132" a="1"/>
  <c r="EX9" i="132" a="1"/>
  <c r="DC13" i="132" a="1"/>
  <c r="I41" i="130" a="1"/>
  <c r="EG5" i="132" a="1"/>
  <c r="N14" i="132" a="1"/>
  <c r="P18" i="130" a="1"/>
  <c r="CV9" i="132" a="1"/>
  <c r="CM6" i="132" a="1"/>
  <c r="BB63" i="130" a="1"/>
  <c r="BJ12" i="130" a="1"/>
  <c r="BE84" i="130" a="1"/>
  <c r="N11" i="132" a="1"/>
  <c r="O12" i="132" a="1"/>
  <c r="EB6" i="132" a="1"/>
  <c r="FY11" i="132" a="1"/>
  <c r="ED12" i="132" a="1"/>
  <c r="G6" i="132" a="1"/>
  <c r="CO13" i="132" a="1"/>
  <c r="EQ12" i="132" a="1"/>
  <c r="G11" i="132" a="1"/>
  <c r="FO7" i="132" a="1"/>
  <c r="AR9" i="132" a="1"/>
  <c r="EV11" i="132" a="1"/>
  <c r="BK8" i="132" a="1"/>
  <c r="F16" i="132" a="1"/>
  <c r="FZ9" i="132" a="1"/>
  <c r="FB7" i="132" a="1"/>
  <c r="CB12" i="132" a="1"/>
  <c r="GV5" i="132" a="1"/>
  <c r="FK11" i="132" a="1"/>
  <c r="AY7" i="132" a="1"/>
  <c r="HA13" i="132" a="1"/>
  <c r="DB14" i="132" a="1"/>
  <c r="CA6" i="132" a="1"/>
  <c r="K5" i="132" a="1"/>
  <c r="AV64" i="130" a="1"/>
  <c r="FM6" i="132" a="1"/>
  <c r="GL8" i="132" a="1"/>
  <c r="HB14" i="132" a="1"/>
  <c r="HH7" i="132" a="1"/>
  <c r="EH11" i="132" a="1"/>
  <c r="BF5" i="132" a="1"/>
  <c r="CF8" i="132" a="1"/>
  <c r="T5" i="132" a="1"/>
  <c r="DG16" i="132" a="1"/>
  <c r="W13" i="132" a="1"/>
  <c r="EZ7" i="132" a="1"/>
  <c r="GG8" i="132" a="1"/>
  <c r="DS12" i="132" a="1"/>
  <c r="G5" i="132" a="1"/>
  <c r="CE16" i="132" a="1"/>
  <c r="BJ12" i="132" a="1"/>
  <c r="BY12" i="132" a="1"/>
  <c r="EE12" i="132" a="1"/>
  <c r="CC15" i="132" a="1"/>
  <c r="BN12" i="132" a="1"/>
  <c r="BM9" i="132" a="1"/>
  <c r="GT14" i="132" a="1"/>
  <c r="BV6" i="132" a="1"/>
  <c r="FZ12" i="132" a="1"/>
  <c r="FA13" i="132" a="1"/>
  <c r="CZ6" i="132" a="1"/>
  <c r="BG15" i="132" a="1"/>
  <c r="S7" i="132" a="1"/>
  <c r="ES12" i="132" a="1"/>
  <c r="R5" i="132" a="1"/>
  <c r="R10" i="130" a="1"/>
  <c r="AR16" i="132" a="1"/>
  <c r="FJ12" i="132" a="1"/>
  <c r="O73" i="130" a="1"/>
  <c r="AE13" i="132" a="1"/>
  <c r="BS12" i="132" a="1"/>
  <c r="U86" i="130" a="1"/>
  <c r="BX14" i="132" a="1"/>
  <c r="BL13" i="132" a="1"/>
  <c r="GI9" i="132" a="1"/>
  <c r="EG16" i="132" a="1"/>
  <c r="GE5" i="132" a="1"/>
  <c r="FS5" i="132" a="1"/>
  <c r="CZ15" i="132" a="1"/>
  <c r="E7" i="132" a="1"/>
  <c r="AC13" i="132" a="1"/>
  <c r="DM12" i="132" a="1"/>
  <c r="DC6" i="132" a="1"/>
  <c r="EK8" i="132" a="1"/>
  <c r="CS6" i="132" a="1"/>
  <c r="DI5" i="132" a="1"/>
  <c r="BF88" i="130" a="1"/>
  <c r="BK13" i="132" a="1"/>
  <c r="BE14" i="132" a="1"/>
  <c r="AK65" i="130" a="1"/>
  <c r="V58" i="130" a="1"/>
  <c r="Q9" i="132" a="1"/>
  <c r="BJ82" i="130" a="1"/>
  <c r="W63" i="130" a="1"/>
  <c r="AU26" i="130" a="1"/>
  <c r="GA16" i="132" a="1"/>
  <c r="BA87" i="130" a="1"/>
  <c r="AL59" i="130" a="1"/>
  <c r="BK47" i="130" a="1"/>
  <c r="J84" i="130" a="1"/>
  <c r="AY65" i="130" a="1"/>
  <c r="AX82" i="130" a="1"/>
  <c r="H65" i="130" a="1"/>
  <c r="AZ60" i="130" a="1"/>
  <c r="AW34" i="130" a="1"/>
  <c r="AX79" i="130" a="1"/>
  <c r="AE47" i="130" a="1"/>
  <c r="L40" i="130" a="1"/>
  <c r="Q68" i="130" a="1"/>
  <c r="AT70" i="130" a="1"/>
  <c r="X87" i="130" a="1"/>
  <c r="HF15" i="132" a="1"/>
  <c r="Q59" i="130" a="1"/>
  <c r="Y10" i="130" a="1"/>
  <c r="L80" i="130" a="1"/>
  <c r="AI7" i="132" a="1"/>
  <c r="BH47" i="130" a="1"/>
  <c r="EB14" i="132" a="1"/>
  <c r="Y14" i="132" a="1"/>
  <c r="AS13" i="130" a="1"/>
  <c r="F65" i="130" a="1"/>
  <c r="CH5" i="132" a="1"/>
  <c r="AY28" i="130" a="1"/>
  <c r="AC14" i="130" a="1"/>
  <c r="BK73" i="130" a="1"/>
  <c r="DO12" i="132" a="1"/>
  <c r="EV12" i="132" a="1"/>
  <c r="AM25" i="130" a="1"/>
  <c r="AZ5" i="130" a="1"/>
  <c r="AJ20" i="130" a="1"/>
  <c r="F88" i="130" a="1"/>
  <c r="Y55" i="130" a="1"/>
  <c r="BF33" i="130" a="1"/>
  <c r="AV44" i="130" a="1"/>
  <c r="AW56" i="130" a="1"/>
  <c r="E59" i="130" a="1"/>
  <c r="S7" i="130" a="1"/>
  <c r="AV62" i="130" a="1"/>
  <c r="AP20" i="130" a="1"/>
  <c r="AX56" i="130" a="1"/>
  <c r="BT16" i="132" a="1"/>
  <c r="CY5" i="132" a="1"/>
  <c r="FO11" i="132" a="1"/>
  <c r="FD15" i="132" a="1"/>
  <c r="EE9" i="132" a="1"/>
  <c r="BS5" i="132" a="1"/>
  <c r="FC6" i="132" a="1"/>
  <c r="S16" i="132" a="1"/>
  <c r="AY11" i="132" a="1"/>
  <c r="DE13" i="132" a="1"/>
  <c r="C14" i="132" a="1"/>
  <c r="AD8" i="132" a="1"/>
  <c r="GT15" i="132" a="1"/>
  <c r="DH12" i="132" a="1"/>
  <c r="DG14" i="132" a="1"/>
  <c r="W57" i="130" a="1"/>
  <c r="FL8" i="132" a="1"/>
  <c r="Q14" i="132" a="1"/>
  <c r="AC68" i="130" a="1"/>
  <c r="AV81" i="130" a="1"/>
  <c r="BC14" i="132" a="1"/>
  <c r="AG62" i="130" a="1"/>
  <c r="V60" i="130" a="1"/>
  <c r="S75" i="130" a="1"/>
  <c r="EY8" i="132" a="1"/>
  <c r="AI61" i="130" a="1"/>
  <c r="BJ44" i="130" a="1"/>
  <c r="W12" i="132" a="1"/>
  <c r="AI16" i="130" a="1"/>
  <c r="AU42" i="130" a="1"/>
  <c r="BE74" i="130" a="1"/>
  <c r="AR47" i="130" a="1"/>
  <c r="BB43" i="130" a="1"/>
  <c r="K12" i="132" a="1"/>
  <c r="AQ85" i="130" a="1"/>
  <c r="AD13" i="130" a="1"/>
  <c r="BB23" i="130" a="1"/>
  <c r="Y8" i="130" a="1"/>
  <c r="AI7" i="130" a="1"/>
  <c r="Z7" i="130" a="1"/>
  <c r="BK89" i="130" a="1"/>
  <c r="AJ19" i="130" a="1"/>
  <c r="BB82" i="130" a="1"/>
  <c r="BG71" i="130" a="1"/>
  <c r="AO39" i="130" a="1"/>
  <c r="GH9" i="132" a="1"/>
  <c r="EI15" i="132" a="1"/>
  <c r="U39" i="130" a="1"/>
  <c r="AD58" i="130" a="1"/>
  <c r="BJ38" i="130" a="1"/>
  <c r="EP15" i="132" a="1"/>
  <c r="O10" i="130" a="1"/>
  <c r="AY22" i="130" a="1"/>
  <c r="AT78" i="130" a="1"/>
  <c r="BU15" i="132" a="1"/>
  <c r="AJ87" i="130" a="1"/>
  <c r="P44" i="130" a="1"/>
  <c r="Y58" i="130" a="1"/>
  <c r="AT80" i="130" a="1"/>
  <c r="AG41" i="130" a="1"/>
  <c r="AF24" i="130" a="1"/>
  <c r="P56" i="130" a="1"/>
  <c r="D64" i="130" a="1"/>
  <c r="Z72" i="130" a="1"/>
  <c r="J78" i="130" a="1"/>
  <c r="BJ87" i="130" a="1"/>
  <c r="BI7" i="130" a="1"/>
  <c r="AQ52" i="130" a="1"/>
  <c r="C46" i="130" a="1"/>
  <c r="R52" i="130" a="1"/>
  <c r="CC8" i="132" a="1"/>
  <c r="AH73" i="130" a="1"/>
  <c r="AQ23" i="130" a="1"/>
  <c r="BG66" i="130" a="1"/>
  <c r="K65" i="130" a="1"/>
  <c r="BF40" i="130" a="1"/>
  <c r="O88" i="130" a="1"/>
  <c r="Q16" i="130" a="1"/>
  <c r="BF20" i="130" a="1"/>
  <c r="AO73" i="130" a="1"/>
  <c r="GO8" i="132" a="1"/>
  <c r="Z6" i="132" a="1"/>
  <c r="F85" i="130" a="1"/>
  <c r="AO40" i="130" a="1"/>
  <c r="V35" i="130" a="1"/>
  <c r="DB8" i="132" a="1"/>
  <c r="U51" i="130" a="1"/>
  <c r="BC81" i="130" a="1"/>
  <c r="BG33" i="130" a="1"/>
  <c r="CB15" i="132" a="1"/>
  <c r="U45" i="130" a="1"/>
  <c r="AZ42" i="130" a="1"/>
  <c r="AV73" i="130" a="1"/>
  <c r="AV32" i="130" a="1"/>
  <c r="BB74" i="130" a="1"/>
  <c r="BC65" i="130" a="1"/>
  <c r="AG27" i="130" a="1"/>
  <c r="BA85" i="130" a="1"/>
  <c r="AH88" i="130" a="1"/>
  <c r="AA29" i="130" a="1"/>
  <c r="U55" i="130" a="1"/>
  <c r="AP23" i="130" a="1"/>
  <c r="BC76" i="130" a="1"/>
  <c r="AE76" i="130" a="1"/>
  <c r="AP77" i="130" a="1"/>
  <c r="R16" i="132" a="1"/>
  <c r="AE22" i="130" a="1"/>
  <c r="AQ89" i="130" a="1"/>
  <c r="C87" i="130" a="1"/>
  <c r="AR24" i="130" a="1"/>
  <c r="AQ76" i="130" a="1"/>
  <c r="AK42" i="130" a="1"/>
  <c r="AS55" i="130" a="1"/>
  <c r="BI7" i="132" a="1"/>
  <c r="AY87" i="130" a="1"/>
  <c r="BC5" i="132" a="1"/>
  <c r="FZ11" i="132" a="1"/>
  <c r="BB87" i="130" a="1"/>
  <c r="BG31" i="130" a="1"/>
  <c r="DD14" i="132" a="1"/>
  <c r="F14" i="132" a="1"/>
  <c r="P32" i="130" a="1"/>
  <c r="AG81" i="130" a="1"/>
  <c r="AY34" i="130" a="1"/>
  <c r="DS8" i="132" a="1"/>
  <c r="X83" i="130" a="1"/>
  <c r="BB64" i="130" a="1"/>
  <c r="AA32" i="130" a="1"/>
  <c r="AC11" i="132" a="1"/>
  <c r="FC15" i="132" a="1"/>
  <c r="AD7" i="132" a="1"/>
  <c r="GA12" i="132" a="1"/>
  <c r="CX6" i="132" a="1"/>
  <c r="FH9" i="132" a="1"/>
  <c r="AJ9" i="132" a="1"/>
  <c r="AN8" i="132" a="1"/>
  <c r="AO13" i="132" a="1"/>
  <c r="DP12" i="132" a="1"/>
  <c r="GJ11" i="132" a="1"/>
  <c r="DR12" i="132" a="1"/>
  <c r="C16" i="132" a="1"/>
  <c r="Q16" i="132" a="1"/>
  <c r="CO12" i="132" a="1"/>
  <c r="FI7" i="132" a="1"/>
  <c r="X42" i="130" a="1"/>
  <c r="FJ14" i="132" a="1"/>
  <c r="R74" i="130" a="1"/>
  <c r="R78" i="130" a="1"/>
  <c r="AY80" i="130" a="1"/>
  <c r="BA47" i="130" a="1"/>
  <c r="BH37" i="130" a="1"/>
  <c r="EX14" i="132" a="1"/>
  <c r="DI13" i="132" a="1"/>
  <c r="BD33" i="130" a="1"/>
  <c r="AB5" i="130" a="1"/>
  <c r="AY7" i="130" a="1"/>
  <c r="AO87" i="130" a="1"/>
  <c r="Q13" i="130" a="1"/>
  <c r="BH16" i="130" a="1"/>
  <c r="AM67" i="130" a="1"/>
  <c r="BC80" i="130" a="1"/>
  <c r="AC52" i="130" a="1"/>
  <c r="AP75" i="130" a="1"/>
  <c r="AR84" i="130" a="1"/>
  <c r="U44" i="130" a="1"/>
  <c r="AY68" i="130" a="1"/>
  <c r="G8" i="130" a="1"/>
  <c r="G62" i="130" a="1"/>
  <c r="BA78" i="130" a="1"/>
  <c r="AV78" i="130" a="1"/>
  <c r="AD72" i="130" a="1"/>
  <c r="BQ15" i="132" a="1"/>
  <c r="I83" i="130" a="1"/>
  <c r="FF6" i="132" a="1"/>
  <c r="EL8" i="132" a="1"/>
  <c r="P57" i="130" a="1"/>
  <c r="N27" i="130" a="1"/>
  <c r="AN84" i="130" a="1"/>
  <c r="ED9" i="132" a="1"/>
  <c r="AX24" i="130" a="1"/>
  <c r="S88" i="130" a="1"/>
  <c r="BE10" i="130" a="1"/>
  <c r="FH8" i="132" a="1"/>
  <c r="H34" i="130" a="1"/>
  <c r="S56" i="130" a="1"/>
  <c r="CR7" i="132" a="1"/>
  <c r="BD86" i="130" a="1"/>
  <c r="BJ25" i="130" a="1"/>
  <c r="AG80" i="130" a="1"/>
  <c r="L61" i="130" a="1"/>
  <c r="BK68" i="130" a="1"/>
  <c r="BQ11" i="132" a="1"/>
  <c r="Z68" i="130" a="1"/>
  <c r="K61" i="130" a="1"/>
  <c r="AR7" i="130" a="1"/>
  <c r="N57" i="130" a="1"/>
  <c r="BA34" i="130" a="1"/>
  <c r="BD68" i="130" a="1"/>
  <c r="AN47" i="130" a="1"/>
  <c r="AP72" i="130" a="1"/>
  <c r="L33" i="130" a="1"/>
  <c r="U73" i="130" a="1"/>
  <c r="AG83" i="130" a="1"/>
  <c r="K41" i="130" a="1"/>
  <c r="P12" i="132" a="1"/>
  <c r="Z34" i="130" a="1"/>
  <c r="CK16" i="132" a="1"/>
  <c r="AD69" i="130" a="1"/>
  <c r="CJ12" i="132" a="1"/>
  <c r="W7" i="132" a="1"/>
  <c r="G84" i="130" a="1"/>
  <c r="AZ83" i="130" a="1"/>
  <c r="D29" i="130" a="1"/>
  <c r="DV14" i="132" a="1"/>
  <c r="M24" i="130" a="1"/>
  <c r="X76" i="130" a="1"/>
  <c r="P69" i="130" a="1"/>
  <c r="CB14" i="132" a="1"/>
  <c r="K39" i="130" a="1"/>
  <c r="AC76" i="130" a="1"/>
  <c r="W14" i="132" a="1"/>
  <c r="AV23" i="130" a="1"/>
  <c r="BI76" i="130" a="1"/>
  <c r="AM58" i="130" a="1"/>
  <c r="BD25" i="130" a="1"/>
  <c r="X9" i="130" a="1"/>
  <c r="FE9" i="132" a="1"/>
  <c r="BK35" i="130" a="1"/>
  <c r="W8" i="130" a="1"/>
  <c r="AD83" i="130" a="1"/>
  <c r="Q72" i="130" a="1"/>
  <c r="M70" i="130" a="1"/>
  <c r="X28" i="130" a="1"/>
  <c r="O24" i="130" a="1"/>
  <c r="AT62" i="130" a="1"/>
  <c r="BJ13" i="130" a="1"/>
  <c r="AX64" i="130" a="1"/>
  <c r="AZ37" i="130" a="1"/>
  <c r="Q41" i="130" a="1"/>
  <c r="FW9" i="132" a="1"/>
  <c r="O66" i="130" a="1"/>
  <c r="GY7" i="132" a="1"/>
  <c r="W87" i="130" a="1"/>
  <c r="AW11" i="132" a="1"/>
  <c r="DD13" i="132" a="1"/>
  <c r="AI47" i="130" a="1"/>
  <c r="AC43" i="130" a="1"/>
  <c r="DY11" i="132" a="1"/>
  <c r="AZ75" i="130" a="1"/>
  <c r="BH68" i="130" a="1"/>
  <c r="P77" i="130" a="1"/>
  <c r="FI5" i="132" a="1"/>
  <c r="BT11" i="132" a="1"/>
  <c r="E32" i="130" a="1"/>
  <c r="BD27" i="130" a="1"/>
  <c r="O6" i="132" a="1"/>
  <c r="FH12" i="132" a="1"/>
  <c r="Y15" i="132" a="1"/>
  <c r="GZ9" i="132" a="1"/>
  <c r="P15" i="132" a="1"/>
  <c r="AP51" i="130" a="1"/>
  <c r="AO74" i="130" a="1"/>
  <c r="AT26" i="130" a="1"/>
  <c r="BE47" i="130" a="1"/>
  <c r="AU78" i="130" a="1"/>
  <c r="W56" i="130" a="1"/>
  <c r="CM15" i="132" a="1"/>
  <c r="BB37" i="130" a="1"/>
  <c r="AO33" i="130" a="1"/>
  <c r="FT14" i="132" a="1"/>
  <c r="AL19" i="130" a="1"/>
  <c r="P89" i="130" a="1"/>
  <c r="E22" i="130" a="1"/>
  <c r="Z74" i="130" a="1"/>
  <c r="E77" i="130" a="1"/>
  <c r="G47" i="130" a="1"/>
  <c r="O60" i="130" a="1"/>
  <c r="AL9" i="132" a="1"/>
  <c r="W11" i="132" a="1"/>
  <c r="G69" i="130" a="1"/>
  <c r="BH16" i="132" a="1"/>
  <c r="BK62" i="130" a="1"/>
  <c r="P11" i="132" a="1"/>
  <c r="Y85" i="130" a="1"/>
  <c r="W28" i="130" a="1"/>
  <c r="AL47" i="130" a="1"/>
  <c r="N51" i="130" a="1"/>
  <c r="P21" i="130" a="1"/>
  <c r="AW82" i="130" a="1"/>
  <c r="L78" i="130" a="1"/>
  <c r="AS33" i="130" a="1"/>
  <c r="AV79" i="130" a="1"/>
  <c r="AU72" i="130" a="1"/>
  <c r="J69" i="130" a="1"/>
  <c r="P5" i="132" a="1"/>
  <c r="HH11" i="132" a="1"/>
  <c r="AB45" i="130" a="1"/>
  <c r="G24" i="130" a="1"/>
  <c r="AV80" i="130" a="1"/>
  <c r="AG72" i="130" a="1"/>
  <c r="BI20" i="130" a="1"/>
  <c r="CL7" i="132" a="1"/>
  <c r="AJ56" i="130" a="1"/>
  <c r="D45" i="130" a="1"/>
  <c r="R28" i="130" a="1"/>
  <c r="BE23" i="130" a="1"/>
  <c r="AH55" i="130" a="1"/>
  <c r="X45" i="130" a="1"/>
  <c r="AJ43" i="130" a="1"/>
  <c r="I21" i="130" a="1"/>
  <c r="N65" i="130" a="1"/>
  <c r="BI39" i="130" a="1"/>
  <c r="H77" i="130" a="1"/>
  <c r="AN80" i="130" a="1"/>
  <c r="BC43" i="130" a="1"/>
  <c r="AA86" i="130" a="1"/>
  <c r="BA82" i="130" a="1"/>
  <c r="P81" i="130" a="1"/>
  <c r="F67" i="130" a="1"/>
  <c r="C9" i="130" a="1"/>
  <c r="H36" i="130" a="1"/>
  <c r="BA23" i="130" a="1"/>
  <c r="G17" i="130" a="1"/>
  <c r="Y12" i="130" a="1"/>
  <c r="D27" i="130" a="1"/>
  <c r="AY18" i="130" a="1"/>
  <c r="Y38" i="130" a="1"/>
  <c r="AC58" i="130" a="1"/>
  <c r="W19" i="130" a="1"/>
  <c r="D83" i="130" a="1"/>
  <c r="BG69" i="130" a="1"/>
  <c r="AW45" i="130" a="1"/>
  <c r="BF18" i="130" a="1"/>
  <c r="BC32" i="130" a="1"/>
  <c r="AN61" i="130" a="1"/>
  <c r="AG5" i="130" a="1"/>
  <c r="AX52" i="130" a="1"/>
  <c r="AR57" i="130" a="1"/>
  <c r="C41" i="130" a="1"/>
  <c r="AI84" i="130" a="1"/>
  <c r="AB17" i="130" a="1"/>
  <c r="AG26" i="130" a="1"/>
  <c r="BJ85" i="130" a="1"/>
  <c r="AR64" i="130" a="1"/>
  <c r="AN24" i="130" a="1"/>
  <c r="BG27" i="130" a="1"/>
  <c r="M15" i="130" a="1"/>
  <c r="S59" i="130" a="1"/>
  <c r="K45" i="130" a="1"/>
  <c r="AW31" i="130" a="1"/>
  <c r="AQ36" i="130" a="1"/>
  <c r="AK51" i="130" a="1"/>
  <c r="AF46" i="130" a="1"/>
  <c r="AV57" i="130" a="1"/>
  <c r="AX76" i="130" a="1"/>
  <c r="M27" i="130" a="1"/>
  <c r="N13" i="130" a="1"/>
  <c r="BA24" i="130" a="1"/>
  <c r="BF76" i="130" a="1"/>
  <c r="BE58" i="130" a="1"/>
  <c r="AQ5" i="130" a="1"/>
  <c r="O19" i="130" a="1"/>
  <c r="L37" i="130" a="1"/>
  <c r="AD89" i="130" a="1"/>
  <c r="Z75" i="130" a="1"/>
  <c r="AO9" i="130" a="1"/>
  <c r="AM41" i="130" a="1"/>
  <c r="S57" i="130" a="1"/>
  <c r="P46" i="130" a="1"/>
  <c r="K13" i="130" a="1"/>
  <c r="E67" i="130" a="1"/>
  <c r="Z19" i="130" a="1"/>
  <c r="AO28" i="130" a="1"/>
  <c r="F66" i="130" a="1"/>
  <c r="AG78" i="130" a="1"/>
  <c r="AW23" i="130" a="1"/>
  <c r="Z42" i="130" a="1"/>
  <c r="AD86" i="130" a="1"/>
  <c r="D9" i="130" a="1"/>
  <c r="S26" i="130" a="1"/>
  <c r="AK41" i="130" a="1"/>
  <c r="BG26" i="130" a="1"/>
  <c r="F71" i="130" a="1"/>
  <c r="CV6" i="132" a="1"/>
  <c r="FQ14" i="132" a="1"/>
  <c r="BK6" i="132" a="1"/>
  <c r="L7" i="132" a="1"/>
  <c r="U79" i="130" a="1"/>
  <c r="T30" i="130" a="1"/>
  <c r="X17" i="130" a="1"/>
  <c r="AK38" i="130" a="1"/>
  <c r="G16" i="130" a="1"/>
  <c r="AW77" i="130" a="1"/>
  <c r="Y89" i="130" a="1"/>
  <c r="V11" i="132" a="1"/>
  <c r="DE6" i="132" a="1"/>
  <c r="FJ11" i="132" a="1"/>
  <c r="AD29" i="130" a="1"/>
  <c r="AB43" i="130" a="1"/>
  <c r="AY23" i="130" a="1"/>
  <c r="BJ37" i="130" a="1"/>
  <c r="S40" i="130" a="1"/>
  <c r="W61" i="130" a="1"/>
  <c r="AS60" i="130" a="1"/>
  <c r="AO55" i="130" a="1"/>
  <c r="AK34" i="130" a="1"/>
  <c r="GA8" i="132" a="1"/>
  <c r="O35" i="130" a="1"/>
  <c r="EA7" i="132" a="1"/>
  <c r="AO36" i="130" a="1"/>
  <c r="FP11" i="132" a="1"/>
  <c r="BI55" i="130" a="1"/>
  <c r="BG44" i="130" a="1"/>
  <c r="BK61" i="130" a="1"/>
  <c r="T39" i="130" a="1"/>
  <c r="N60" i="130" a="1"/>
  <c r="AS58" i="130" a="1"/>
  <c r="X73" i="130" a="1"/>
  <c r="BI88" i="130" a="1"/>
  <c r="U71" i="130" a="1"/>
  <c r="BD88" i="130" a="1"/>
  <c r="AT72" i="130" a="1"/>
  <c r="FK8" i="132" a="1"/>
  <c r="AF12" i="132" a="1"/>
  <c r="X29" i="130" a="1"/>
  <c r="BT14" i="132" a="1"/>
  <c r="L84" i="130" a="1"/>
  <c r="FD5" i="132" a="1"/>
  <c r="BA27" i="130" a="1"/>
  <c r="Y30" i="130" a="1"/>
  <c r="AD74" i="130" a="1"/>
  <c r="BC40" i="130" a="1"/>
  <c r="AK28" i="130" a="1"/>
  <c r="BJ77" i="130" a="1"/>
  <c r="BA21" i="130" a="1"/>
  <c r="I24" i="130" a="1"/>
  <c r="AL70" i="130" a="1"/>
  <c r="AT63" i="130" a="1"/>
  <c r="P71" i="130" a="1"/>
  <c r="AN55" i="130" a="1"/>
  <c r="AP16" i="130" a="1"/>
  <c r="AP78" i="130" a="1"/>
  <c r="F21" i="130" a="1"/>
  <c r="L45" i="130" a="1"/>
  <c r="AD64" i="130" a="1"/>
  <c r="AX33" i="130" a="1"/>
  <c r="AR88" i="130" a="1"/>
  <c r="AN11" i="130" a="1"/>
  <c r="L35" i="130" a="1"/>
  <c r="Z46" i="130" a="1"/>
  <c r="D36" i="130" a="1"/>
  <c r="D89" i="130" a="1"/>
  <c r="P67" i="130" a="1"/>
  <c r="Q69" i="130" a="1"/>
  <c r="AJ74" i="130" a="1"/>
  <c r="AD66" i="130" a="1"/>
  <c r="AQ46" i="130" a="1"/>
  <c r="D15" i="130" a="1"/>
  <c r="BE22" i="130" a="1"/>
  <c r="AS8" i="130" a="1"/>
  <c r="AI43" i="130" a="1"/>
  <c r="BK79" i="130" a="1"/>
  <c r="H74" i="130" a="1"/>
  <c r="AI59" i="130" a="1"/>
  <c r="E24" i="130" a="1"/>
  <c r="M51" i="130" a="1"/>
  <c r="AM10" i="130" a="1"/>
  <c r="BF70" i="130" a="1"/>
  <c r="W36" i="130" a="1"/>
  <c r="BJ21" i="130" a="1"/>
  <c r="R84" i="130" a="1"/>
  <c r="C31" i="130" a="1"/>
  <c r="AF17" i="130" a="1"/>
  <c r="N61" i="130" a="1"/>
  <c r="J28" i="130" a="1"/>
  <c r="AV85" i="130" a="1"/>
  <c r="V76" i="130" a="1"/>
  <c r="BA57" i="130" a="1"/>
  <c r="D16" i="130" a="1"/>
  <c r="L30" i="130" a="1"/>
  <c r="AS5" i="130" a="1"/>
  <c r="K59" i="130" a="1"/>
  <c r="C52" i="130" a="1"/>
  <c r="W67" i="130" a="1"/>
  <c r="M66" i="130" a="1"/>
  <c r="AB9" i="130" a="1"/>
  <c r="AO78" i="130" a="1"/>
  <c r="BF41" i="130" a="1"/>
  <c r="BC23" i="130" a="1"/>
  <c r="I38" i="130" a="1"/>
  <c r="BB21" i="130" a="1"/>
  <c r="BJ11" i="130" a="1"/>
  <c r="BC31" i="130" a="1"/>
  <c r="R15" i="132" a="1"/>
  <c r="BX9" i="132" a="1"/>
  <c r="V7" i="132" a="1"/>
  <c r="CX14" i="132" a="1"/>
  <c r="EO6" i="132" a="1"/>
  <c r="FA11" i="132" a="1"/>
  <c r="HB12" i="132" a="1"/>
  <c r="BZ6" i="132" a="1"/>
  <c r="GS8" i="132" a="1"/>
  <c r="EJ6" i="132" a="1"/>
  <c r="U13" i="132" a="1"/>
  <c r="FM16" i="132" a="1"/>
  <c r="FK6" i="132" a="1"/>
  <c r="EG7" i="132" a="1"/>
  <c r="FT13" i="132" a="1"/>
  <c r="HE9" i="132" a="1"/>
  <c r="FN15" i="132" a="1"/>
  <c r="AO7" i="132" a="1"/>
  <c r="DT14" i="132" a="1"/>
  <c r="CG16" i="132" a="1"/>
  <c r="CD5" i="132" a="1"/>
  <c r="AA11" i="132" a="1"/>
  <c r="CK15" i="132" a="1"/>
  <c r="DJ15" i="132" a="1"/>
  <c r="CF15" i="132" a="1"/>
  <c r="GN8" i="132" a="1"/>
  <c r="H6" i="132" a="1"/>
  <c r="BE8" i="132" a="1"/>
  <c r="AR70" i="130" a="1"/>
  <c r="FX12" i="132" a="1"/>
  <c r="J15" i="132" a="1"/>
  <c r="BS6" i="132" a="1"/>
  <c r="CU6" i="132" a="1"/>
  <c r="AZ14" i="132" a="1"/>
  <c r="BQ13" i="132" a="1"/>
  <c r="FL15" i="132" a="1"/>
  <c r="DB6" i="132" a="1"/>
  <c r="FW15" i="132" a="1"/>
  <c r="CA9" i="132" a="1"/>
  <c r="EE5" i="132" a="1"/>
  <c r="DH7" i="132" a="1"/>
  <c r="AD11" i="132" a="1"/>
  <c r="AL8" i="132" a="1"/>
  <c r="FY12" i="132" a="1"/>
  <c r="FQ9" i="132" a="1"/>
  <c r="GP16" i="132" a="1"/>
  <c r="FW14" i="132" a="1"/>
  <c r="U16" i="132" a="1"/>
  <c r="DH14" i="132" a="1"/>
  <c r="EX11" i="132" a="1"/>
  <c r="CG15" i="132" a="1"/>
  <c r="BB15" i="132" a="1"/>
  <c r="AK5" i="132" a="1"/>
  <c r="EC9" i="132" a="1"/>
  <c r="AA7" i="132" a="1"/>
  <c r="FB5" i="132" a="1"/>
  <c r="FQ15" i="132" a="1"/>
  <c r="O14" i="132" a="1"/>
  <c r="HE15" i="132" a="1"/>
  <c r="CT5" i="132" a="1"/>
  <c r="HD16" i="132" a="1"/>
  <c r="P16" i="132" a="1"/>
  <c r="CZ16" i="132" a="1"/>
  <c r="H27" i="130" a="1"/>
  <c r="G14" i="132" a="1"/>
  <c r="EL9" i="132" a="1"/>
  <c r="BK16" i="132" a="1"/>
  <c r="CZ12" i="132" a="1"/>
  <c r="CU14" i="132" a="1"/>
  <c r="DP7" i="132" a="1"/>
  <c r="CX8" i="132" a="1"/>
  <c r="FJ13" i="132" a="1"/>
  <c r="FV13" i="132" a="1"/>
  <c r="BZ5" i="132" a="1"/>
  <c r="AG13" i="132" a="1"/>
  <c r="FP9" i="132" a="1"/>
  <c r="V5" i="132" a="1"/>
  <c r="AG8" i="132" a="1"/>
  <c r="AY8" i="132" a="1"/>
  <c r="HG9" i="132" a="1"/>
  <c r="GV8" i="132" a="1"/>
  <c r="FC7" i="132" a="1"/>
  <c r="AE5" i="132" a="1"/>
  <c r="AT16" i="132" a="1"/>
  <c r="CR5" i="132" a="1"/>
  <c r="DK12" i="132" a="1"/>
  <c r="EZ14" i="132" a="1"/>
  <c r="EL13" i="132" a="1"/>
  <c r="BW8" i="132" a="1"/>
  <c r="CC7" i="132" a="1"/>
  <c r="T7" i="132" a="1"/>
  <c r="J16" i="132" a="1"/>
  <c r="EX7" i="132" a="1"/>
  <c r="DU16" i="132" a="1"/>
  <c r="FS11" i="132" a="1"/>
  <c r="BN5" i="132" a="1"/>
  <c r="Y16" i="132" a="1"/>
  <c r="AU5" i="132" a="1"/>
  <c r="V14" i="132" a="1"/>
  <c r="AI66" i="130" a="1"/>
  <c r="DP15" i="132" a="1"/>
  <c r="AZ8" i="132" a="1"/>
  <c r="FF5" i="132" a="1"/>
  <c r="BZ7" i="132" a="1"/>
  <c r="FA12" i="132" a="1"/>
  <c r="GW12" i="132" a="1"/>
  <c r="Y9" i="132" a="1"/>
  <c r="FD13" i="132" a="1"/>
  <c r="GZ15" i="132" a="1"/>
  <c r="DI8" i="132" a="1"/>
  <c r="HA12" i="132" a="1"/>
  <c r="BC13" i="132" a="1"/>
  <c r="DM8" i="132" a="1"/>
  <c r="AP7" i="132" a="1"/>
  <c r="AD15" i="132" a="1"/>
  <c r="HG6" i="132" a="1"/>
  <c r="GG5" i="132" a="1"/>
  <c r="GZ11" i="132" a="1"/>
  <c r="DW6" i="132" a="1"/>
  <c r="BE7" i="132" a="1"/>
  <c r="GZ12" i="132" a="1"/>
  <c r="BH8" i="132" a="1"/>
  <c r="GJ12" i="132" a="1"/>
  <c r="HC9" i="132" a="1"/>
  <c r="CD12" i="132" a="1"/>
  <c r="BV14" i="132" a="1"/>
  <c r="CN6" i="132" a="1"/>
  <c r="GV15" i="132" a="1"/>
  <c r="DE11" i="132" a="1"/>
  <c r="FU16" i="132" a="1"/>
  <c r="DL7" i="132" a="1"/>
  <c r="HF8" i="132" a="1"/>
  <c r="CM9" i="132" a="1"/>
  <c r="GJ6" i="132" a="1"/>
  <c r="BG6" i="132" a="1"/>
  <c r="FJ9" i="132" a="1"/>
  <c r="AL14" i="132" a="1"/>
  <c r="AJ8" i="132" a="1"/>
  <c r="BB7" i="132" a="1"/>
  <c r="GG9" i="132" a="1"/>
  <c r="CW13" i="132" a="1"/>
  <c r="HF14" i="132" a="1"/>
  <c r="X82" i="130" a="1"/>
  <c r="Q8" i="132" a="1"/>
  <c r="GX8" i="132" a="1"/>
  <c r="DA5" i="132" a="1"/>
  <c r="DV15" i="132" a="1"/>
  <c r="AS7" i="132" a="1"/>
  <c r="FW7" i="132" a="1"/>
  <c r="FI11" i="132" a="1"/>
  <c r="CU12" i="132" a="1"/>
  <c r="ES5" i="132" a="1"/>
  <c r="AD5" i="132" a="1"/>
  <c r="T9" i="132" a="1"/>
  <c r="AF7" i="132" a="1"/>
  <c r="HC13" i="132" a="1"/>
  <c r="BF9" i="132" a="1"/>
  <c r="GJ16" i="132" a="1"/>
  <c r="D11" i="132" a="1"/>
  <c r="DC14" i="132" a="1"/>
  <c r="BT5" i="132" a="1"/>
  <c r="DI7" i="132" a="1"/>
  <c r="P13" i="132" a="1"/>
  <c r="CC11" i="132" a="1"/>
  <c r="FN11" i="132" a="1"/>
  <c r="DE16" i="132" a="1"/>
  <c r="AI13" i="130" a="1"/>
  <c r="BW11" i="132" a="1"/>
  <c r="AQ13" i="132" a="1"/>
  <c r="Q6" i="132" a="1"/>
  <c r="AC6" i="132" a="1"/>
  <c r="BY7" i="132" a="1"/>
  <c r="FQ13" i="132" a="1"/>
  <c r="D15" i="132" a="1"/>
  <c r="AQ6" i="132" a="1"/>
  <c r="AT6" i="132" a="1"/>
  <c r="F6" i="132" a="1"/>
  <c r="GI8" i="132" a="1"/>
  <c r="DV8" i="132" a="1"/>
  <c r="FD9" i="132" a="1"/>
  <c r="BA16" i="132" a="1"/>
  <c r="AM13" i="132" a="1"/>
  <c r="AX7" i="132" a="1"/>
  <c r="AU12" i="132" a="1"/>
  <c r="HB5" i="132" a="1"/>
  <c r="CA7" i="132" a="1"/>
  <c r="AG5" i="132" a="1"/>
  <c r="AC7" i="132" a="1"/>
  <c r="AI5" i="132" a="1"/>
  <c r="BJ14" i="132" a="1"/>
  <c r="AW8" i="132" a="1"/>
  <c r="EX6" i="132" a="1"/>
  <c r="FH15" i="132" a="1"/>
  <c r="EG13" i="132" a="1"/>
  <c r="AI8" i="130" a="1"/>
  <c r="BZ16" i="132" a="1"/>
  <c r="FY7" i="132" a="1"/>
  <c r="AK14" i="132" a="1"/>
  <c r="BP13" i="132" a="1"/>
  <c r="GC11" i="132" a="1"/>
  <c r="CY11" i="132" a="1"/>
  <c r="BJ15" i="132" a="1"/>
  <c r="EK14" i="132" a="1"/>
  <c r="DD7" i="132" a="1"/>
  <c r="GG13" i="132" a="1"/>
  <c r="HG15" i="132" a="1"/>
  <c r="DO9" i="132" a="1"/>
  <c r="FF11" i="132" a="1"/>
  <c r="AY14" i="132" a="1"/>
  <c r="HH12" i="132" a="1"/>
  <c r="DP14" i="132" a="1"/>
  <c r="DF16" i="132" a="1"/>
  <c r="M11" i="132" a="1"/>
  <c r="BF14" i="132" a="1"/>
  <c r="BA12" i="132" a="1"/>
  <c r="CB6" i="132" a="1"/>
  <c r="AJ15" i="132" a="1"/>
  <c r="GO9" i="132" a="1"/>
  <c r="DZ15" i="132" a="1"/>
  <c r="ET8" i="132" a="1"/>
  <c r="HA15" i="132" a="1"/>
  <c r="GL15" i="132" a="1"/>
  <c r="BO11" i="132" a="1"/>
  <c r="CQ13" i="132" a="1"/>
  <c r="CG14" i="132" a="1"/>
  <c r="DT5" i="132" a="1"/>
  <c r="DJ12" i="132" a="1"/>
  <c r="CW6" i="132" a="1"/>
  <c r="FQ6" i="132" a="1"/>
  <c r="CL11" i="132" a="1"/>
  <c r="EU12" i="132" a="1"/>
  <c r="HF7" i="132" a="1"/>
  <c r="FV14" i="132" a="1"/>
  <c r="HC11" i="132" a="1"/>
  <c r="GD7" i="132" a="1"/>
  <c r="AR8" i="132" a="1"/>
  <c r="FT15" i="132" a="1"/>
  <c r="HF12" i="132" a="1"/>
  <c r="FT6" i="132" a="1"/>
  <c r="GM15" i="132" a="1"/>
  <c r="GY5" i="132" a="1"/>
  <c r="GP11" i="132" a="1"/>
  <c r="DZ8" i="132" a="1"/>
  <c r="CR12" i="132" a="1"/>
  <c r="GK11" i="132" a="1"/>
  <c r="BV16" i="132" a="1"/>
  <c r="DT11" i="132" a="1"/>
  <c r="CD8" i="132" a="1"/>
  <c r="FW8" i="132" a="1"/>
  <c r="FO12" i="132" a="1"/>
  <c r="EC13" i="132" a="1"/>
  <c r="HA8" i="132" a="1"/>
  <c r="V9" i="132" a="1"/>
  <c r="DV5" i="132" a="1"/>
  <c r="EA11" i="132" a="1"/>
  <c r="BE15" i="132" a="1"/>
  <c r="BC11" i="132" a="1"/>
  <c r="BC52" i="130" a="1"/>
  <c r="BF77" i="130" a="1"/>
  <c r="GF13" i="132" a="1"/>
  <c r="AR14" i="132" a="1"/>
  <c r="H16" i="132" a="1"/>
  <c r="AP9" i="132" a="1"/>
  <c r="DJ13" i="132" a="1"/>
  <c r="GX5" i="132" a="1"/>
  <c r="DS9" i="132" a="1"/>
  <c r="CB16" i="132" a="1"/>
  <c r="DR5" i="132" a="1"/>
  <c r="GL11" i="132" a="1"/>
  <c r="GT5" i="132" a="1"/>
  <c r="M14" i="132" a="1"/>
  <c r="BJ13" i="132" a="1"/>
  <c r="EB7" i="132" a="1"/>
  <c r="CJ15" i="132" a="1"/>
  <c r="DB5" i="132" a="1"/>
  <c r="S9" i="132" a="1"/>
  <c r="EP13" i="132" a="1"/>
  <c r="DJ11" i="132" a="1"/>
  <c r="GU15" i="132" a="1"/>
  <c r="EJ13" i="132" a="1"/>
  <c r="AC12" i="132" a="1"/>
  <c r="ET15" i="132" a="1"/>
  <c r="DL6" i="132" a="1"/>
  <c r="AJ11" i="132" a="1"/>
  <c r="EX15" i="132" a="1"/>
  <c r="FS16" i="132" a="1"/>
  <c r="DB15" i="132" a="1"/>
  <c r="GA13" i="132" a="1"/>
  <c r="ES7" i="132" a="1"/>
  <c r="AU9" i="132" a="1"/>
  <c r="EW16" i="132" a="1"/>
  <c r="DQ12" i="132" a="1"/>
  <c r="EW11" i="132" a="1"/>
  <c r="CE14" i="132" a="1"/>
  <c r="FL12" i="132" a="1"/>
  <c r="GL7" i="132" a="1"/>
  <c r="BD8" i="132" a="1"/>
  <c r="DD8" i="132" a="1"/>
  <c r="BU5" i="132" a="1"/>
  <c r="BF31" i="130" a="1"/>
  <c r="BH5" i="132" a="1"/>
  <c r="X15" i="132" a="1"/>
  <c r="DX8" i="132" a="1"/>
  <c r="DF5" i="132" a="1"/>
  <c r="FT12" i="132" a="1"/>
  <c r="EL7" i="132" a="1"/>
  <c r="HG12" i="132" a="1"/>
  <c r="GY9" i="132" a="1"/>
  <c r="GK6" i="132" a="1"/>
  <c r="BH9" i="132" a="1"/>
  <c r="V16" i="132" a="1"/>
  <c r="CG5" i="132" a="1"/>
  <c r="GJ7" i="132" a="1"/>
  <c r="FB13" i="132" a="1"/>
  <c r="AP14" i="132" a="1"/>
  <c r="CT11" i="132" a="1"/>
  <c r="GR14" i="132" a="1"/>
  <c r="DT15" i="132" a="1"/>
  <c r="ER12" i="132" a="1"/>
  <c r="CW12" i="132" a="1"/>
  <c r="BR11" i="132" a="1"/>
  <c r="DH5" i="132" a="1"/>
  <c r="EN8" i="132" a="1"/>
  <c r="BT12" i="132" a="1"/>
  <c r="CA15" i="132" a="1"/>
  <c r="AW38" i="130" a="1"/>
  <c r="DS14" i="132" a="1"/>
  <c r="C6" i="132" a="1"/>
  <c r="ET5" i="132" a="1"/>
  <c r="CE8" i="132" a="1"/>
  <c r="AW7" i="132" a="1"/>
  <c r="AM16" i="132" a="1"/>
  <c r="BC8" i="132" a="1"/>
  <c r="DZ14" i="132" a="1"/>
  <c r="FL5" i="132" a="1"/>
  <c r="BV8" i="132" a="1"/>
  <c r="CL9" i="132" a="1"/>
  <c r="BD9" i="132" a="1"/>
  <c r="HA16" i="132" a="1"/>
  <c r="AV9" i="132" a="1"/>
  <c r="EW12" i="132" a="1"/>
  <c r="EM9" i="132" a="1"/>
  <c r="FM7" i="132" a="1"/>
  <c r="EO14" i="132" a="1"/>
  <c r="GY14" i="132" a="1"/>
  <c r="H8" i="132" a="1"/>
  <c r="FP15" i="132" a="1"/>
  <c r="CF5" i="132" a="1"/>
  <c r="CW16" i="132" a="1"/>
  <c r="BC27" i="130" a="1"/>
  <c r="FQ7" i="132" a="1"/>
  <c r="BI5" i="132" a="1"/>
  <c r="EY9" i="132" a="1"/>
  <c r="GF9" i="132" a="1"/>
  <c r="AX9" i="132" a="1"/>
  <c r="BA5" i="132" a="1"/>
  <c r="FX15" i="132" a="1"/>
  <c r="DH8" i="132" a="1"/>
  <c r="FM12" i="132" a="1"/>
  <c r="CT6" i="132" a="1"/>
  <c r="FI13" i="132" a="1"/>
  <c r="BX15" i="132" a="1"/>
  <c r="HD15" i="132" a="1"/>
  <c r="FM14" i="132" a="1"/>
  <c r="U15" i="132" a="1"/>
  <c r="EA9" i="132" a="1"/>
  <c r="FD14" i="132" a="1"/>
  <c r="GV7" i="132" a="1"/>
  <c r="BO14" i="132" a="1"/>
  <c r="EW5" i="132" a="1"/>
  <c r="H11" i="132" a="1"/>
  <c r="BX8" i="132" a="1"/>
  <c r="BC9" i="132" a="1"/>
  <c r="DC9" i="132" a="1"/>
  <c r="AS11" i="132" a="1"/>
  <c r="HF13" i="132" a="1"/>
  <c r="EY15" i="132" a="1"/>
  <c r="DO6" i="132" a="1"/>
  <c r="GP6" i="132" a="1"/>
  <c r="FA8" i="132" a="1"/>
  <c r="BI78" i="130" a="1"/>
  <c r="S12" i="132" a="1"/>
  <c r="CN7" i="132" a="1"/>
  <c r="G55" i="130" a="1"/>
  <c r="FY6" i="132" a="1"/>
  <c r="DU13" i="132" a="1"/>
  <c r="AW13" i="130" a="1"/>
  <c r="S42" i="130" a="1"/>
  <c r="HH15" i="132" a="1"/>
  <c r="CM5" i="132" a="1"/>
  <c r="G7" i="132" a="1"/>
  <c r="ES16" i="132" a="1"/>
  <c r="CQ12" i="132" a="1"/>
  <c r="GB12" i="132" a="1"/>
  <c r="DW12" i="132" a="1"/>
  <c r="DZ6" i="132" a="1"/>
  <c r="FP7" i="132" a="1"/>
  <c r="BM5" i="132" a="1"/>
  <c r="EQ14" i="132" a="1"/>
  <c r="EC11" i="132" a="1"/>
  <c r="E13" i="132" a="1"/>
  <c r="FC14" i="132" a="1"/>
  <c r="FX9" i="132" a="1"/>
  <c r="FP8" i="132" a="1"/>
  <c r="K14" i="132" a="1"/>
  <c r="DI11" i="132" a="1"/>
  <c r="BW6" i="132" a="1"/>
  <c r="CF6" i="132" a="1"/>
  <c r="ET14" i="132" a="1"/>
  <c r="FD8" i="132" a="1"/>
  <c r="AO8" i="132" a="1"/>
  <c r="GU13" i="132" a="1"/>
  <c r="AC42" i="130" a="1"/>
  <c r="AS5" i="132" a="1"/>
  <c r="HH6" i="132" a="1"/>
  <c r="E9" i="132" a="1"/>
  <c r="DP8" i="132" a="1"/>
  <c r="HE11" i="132" a="1"/>
  <c r="FR12" i="132" a="1"/>
  <c r="H13" i="132" a="1"/>
  <c r="AM6" i="132" a="1"/>
  <c r="DH6" i="132" a="1"/>
  <c r="EX12" i="132" a="1"/>
  <c r="FU14" i="132" a="1"/>
  <c r="G15" i="132" a="1"/>
  <c r="FZ15" i="132" a="1"/>
  <c r="BI13" i="132" a="1"/>
  <c r="FR7" i="132" a="1"/>
  <c r="CL13" i="132" a="1"/>
  <c r="R14" i="132" a="1"/>
  <c r="GL6" i="132" a="1"/>
  <c r="FR6" i="132" a="1"/>
  <c r="BW13" i="132" a="1"/>
  <c r="EU8" i="132" a="1"/>
  <c r="CC16" i="132" a="1"/>
  <c r="DZ16" i="132" a="1"/>
  <c r="DT7" i="132" a="1"/>
  <c r="FR15" i="132" a="1"/>
  <c r="EO7" i="132" a="1"/>
  <c r="CI7" i="132" a="1"/>
  <c r="FS13" i="132" a="1"/>
  <c r="M16" i="132" a="1"/>
  <c r="BS15" i="132" a="1"/>
  <c r="DU8" i="132" a="1"/>
  <c r="AS78" i="130" a="1"/>
  <c r="BL15" i="132" a="1"/>
  <c r="EF7" i="132" a="1"/>
  <c r="AA5" i="130" a="1"/>
  <c r="DW9" i="132" a="1"/>
  <c r="FE16" i="132" a="1"/>
  <c r="CI6" i="132" a="1"/>
  <c r="GR13" i="132" a="1"/>
  <c r="BI8" i="132" a="1"/>
  <c r="BS14" i="132" a="1"/>
  <c r="DZ13" i="132" a="1"/>
  <c r="BC7" i="132" a="1"/>
  <c r="EK12" i="132" a="1"/>
  <c r="DR7" i="132" a="1"/>
  <c r="ES8" i="132" a="1"/>
  <c r="EM5" i="132" a="1"/>
  <c r="AG6" i="132" a="1"/>
  <c r="CT9" i="132" a="1"/>
  <c r="EI5" i="132" a="1"/>
  <c r="O8" i="132" a="1"/>
  <c r="BV7" i="132" a="1"/>
  <c r="Z76" i="130" a="1"/>
  <c r="FX14" i="132" a="1"/>
  <c r="FC9" i="132" a="1"/>
  <c r="V64" i="130" a="1"/>
  <c r="AA87" i="130" a="1"/>
  <c r="GB11" i="132" a="1"/>
  <c r="BE39" i="130" a="1"/>
  <c r="AG74" i="130" a="1"/>
  <c r="AS68" i="130" a="1"/>
  <c r="CS5" i="132" a="1"/>
  <c r="H41" i="130" a="1"/>
  <c r="AP76" i="130" a="1"/>
  <c r="P6" i="132" a="1"/>
  <c r="K72" i="130" a="1"/>
  <c r="AQ31" i="130" a="1"/>
  <c r="AZ47" i="130" a="1"/>
  <c r="D40" i="130" a="1"/>
  <c r="BG38" i="130" a="1"/>
  <c r="BO5" i="132" a="1"/>
  <c r="AV39" i="130" a="1"/>
  <c r="J68" i="130" a="1"/>
  <c r="U16" i="130" a="1"/>
  <c r="AB29" i="130" a="1"/>
  <c r="BD61" i="130" a="1"/>
  <c r="V80" i="130" a="1"/>
  <c r="AT71" i="130" a="1"/>
  <c r="AN22" i="130" a="1"/>
  <c r="AU31" i="130" a="1"/>
  <c r="AC57" i="130" a="1"/>
  <c r="AG40" i="130" a="1"/>
  <c r="M87" i="130" a="1"/>
  <c r="FG13" i="132" a="1"/>
  <c r="AP15" i="132" a="1"/>
  <c r="Z41" i="130" a="1"/>
  <c r="S34" i="130" a="1"/>
  <c r="HD14" i="132" a="1"/>
  <c r="C57" i="130" a="1"/>
  <c r="AR78" i="130" a="1"/>
  <c r="C76" i="130" a="1"/>
  <c r="GP5" i="132" a="1"/>
  <c r="D77" i="130" a="1"/>
  <c r="K23" i="130" a="1"/>
  <c r="T88" i="130" a="1"/>
  <c r="BI56" i="130" a="1"/>
  <c r="BF23" i="130" a="1"/>
  <c r="R20" i="130" a="1"/>
  <c r="BB52" i="130" a="1"/>
  <c r="AD82" i="130" a="1"/>
  <c r="AT59" i="130" a="1"/>
  <c r="D70" i="130" a="1"/>
  <c r="X77" i="130" a="1"/>
  <c r="AT35" i="130" a="1"/>
  <c r="Z15" i="130" a="1"/>
  <c r="AH10" i="130" a="1"/>
  <c r="GC9" i="132" a="1"/>
  <c r="BU11" i="132" a="1"/>
  <c r="BF16" i="132" a="1"/>
  <c r="CT7" i="132" a="1"/>
  <c r="BL5" i="132" a="1"/>
  <c r="BU12" i="132" a="1"/>
  <c r="EJ9" i="132" a="1"/>
  <c r="S15" i="132" a="1"/>
  <c r="FV9" i="132" a="1"/>
  <c r="HE8" i="132" a="1"/>
  <c r="CF14" i="132" a="1"/>
  <c r="GZ13" i="132" a="1"/>
  <c r="FU6" i="132" a="1"/>
  <c r="CZ7" i="132" a="1"/>
  <c r="F12" i="132" a="1"/>
  <c r="BN6" i="132" a="1"/>
  <c r="S86" i="130" a="1"/>
  <c r="EQ11" i="132" a="1"/>
  <c r="AM78" i="130" a="1"/>
  <c r="M75" i="130" a="1"/>
  <c r="AI6" i="132" a="1"/>
  <c r="O86" i="130" a="1"/>
  <c r="J32" i="130" a="1"/>
  <c r="F42" i="130" a="1"/>
  <c r="AA6" i="132" a="1"/>
  <c r="AY69" i="130" a="1"/>
  <c r="S63" i="130" a="1"/>
  <c r="G78" i="130" a="1"/>
  <c r="AY64" i="130" a="1"/>
  <c r="S20" i="130" a="1"/>
  <c r="AS47" i="130" a="1"/>
  <c r="S84" i="130" a="1"/>
  <c r="AQ44" i="130" a="1"/>
  <c r="AY85" i="130" a="1"/>
  <c r="E47" i="130" a="1"/>
  <c r="X41" i="130" a="1"/>
  <c r="R34" i="130" a="1"/>
  <c r="AC35" i="130" a="1"/>
  <c r="AR19" i="130" a="1"/>
  <c r="P33" i="130" a="1"/>
  <c r="AP33" i="130" a="1"/>
  <c r="AT83" i="130" a="1"/>
  <c r="BG79" i="130" a="1"/>
  <c r="DA13" i="132" a="1"/>
  <c r="O44" i="130" a="1"/>
  <c r="GK16" i="132" a="1"/>
  <c r="CH16" i="132" a="1"/>
  <c r="AX51" i="130" a="1"/>
  <c r="X58" i="130" a="1"/>
  <c r="BC77" i="130" a="1"/>
  <c r="DK6" i="132" a="1"/>
  <c r="P61" i="130" a="1"/>
  <c r="AJ55" i="130" a="1"/>
  <c r="AU81" i="130" a="1"/>
  <c r="BD5" i="132" a="1"/>
  <c r="AU89" i="130" a="1"/>
  <c r="S8" i="130" a="1"/>
  <c r="BN16" i="132" a="1"/>
  <c r="M21" i="130" a="1"/>
  <c r="AP79" i="130" a="1"/>
  <c r="BD38" i="130" a="1"/>
  <c r="K11" i="130" a="1"/>
  <c r="D72" i="130" a="1"/>
  <c r="BW16" i="132" a="1"/>
  <c r="X70" i="130" a="1"/>
  <c r="AJ73" i="130" a="1"/>
  <c r="D34" i="130" a="1"/>
  <c r="X72" i="130" a="1"/>
  <c r="AC10" i="130" a="1"/>
  <c r="AR73" i="130" a="1"/>
  <c r="AF57" i="130" a="1"/>
  <c r="R40" i="130" a="1"/>
  <c r="N41" i="130" a="1"/>
  <c r="AY70" i="130" a="1"/>
  <c r="AY78" i="130" a="1"/>
  <c r="V62" i="130" a="1"/>
  <c r="DN16" i="132" a="1"/>
  <c r="BC84" i="130" a="1"/>
  <c r="AK9" i="132" a="1"/>
  <c r="AH83" i="130" a="1"/>
  <c r="FS12" i="132" a="1"/>
  <c r="FP5" i="132" a="1"/>
  <c r="BJ75" i="130" a="1"/>
  <c r="T18" i="130" a="1"/>
  <c r="AS36" i="130" a="1"/>
  <c r="F8" i="132" a="1"/>
  <c r="AJ84" i="130" a="1"/>
  <c r="BH82" i="130" a="1"/>
  <c r="AJ21" i="130" a="1"/>
  <c r="ER6" i="132" a="1"/>
  <c r="P84" i="130" a="1"/>
  <c r="BC64" i="130" a="1"/>
  <c r="AM7" i="132" a="1"/>
  <c r="AE58" i="130" a="1"/>
  <c r="AU64" i="130" a="1"/>
  <c r="AX21" i="130" a="1"/>
  <c r="Y71" i="130" a="1"/>
  <c r="AV76" i="130" a="1"/>
  <c r="AQ9" i="132" a="1"/>
  <c r="BB25" i="130" a="1"/>
  <c r="P11" i="130" a="1"/>
  <c r="V67" i="130" a="1"/>
  <c r="U33" i="130" a="1"/>
  <c r="AE62" i="130" a="1"/>
  <c r="AV70" i="130" a="1"/>
  <c r="S58" i="130" a="1"/>
  <c r="Y18" i="130" a="1"/>
  <c r="BC55" i="130" a="1"/>
  <c r="AL88" i="130" a="1"/>
  <c r="BB35" i="130" a="1"/>
  <c r="K43" i="130" a="1"/>
  <c r="AX16" i="132" a="1"/>
  <c r="AE31" i="130" a="1"/>
  <c r="CU7" i="132" a="1"/>
  <c r="AA42" i="130" a="1"/>
  <c r="AG16" i="132" a="1"/>
  <c r="GU12" i="132" a="1"/>
  <c r="AE35" i="130" a="1"/>
  <c r="AM13" i="130" a="1"/>
  <c r="EM14" i="132" a="1"/>
  <c r="L59" i="130" a="1"/>
  <c r="BH63" i="130" a="1"/>
  <c r="E69" i="130" a="1"/>
  <c r="HA5" i="132" a="1"/>
  <c r="AN14" i="132" a="1"/>
  <c r="AI79" i="130" a="1"/>
  <c r="BC82" i="130" a="1"/>
  <c r="BH59" i="130" a="1"/>
  <c r="EC12" i="132" a="1"/>
  <c r="DQ9" i="132" a="1"/>
  <c r="Y6" i="132" a="1"/>
  <c r="FX13" i="132" a="1"/>
  <c r="EL6" i="132" a="1"/>
  <c r="GN12" i="132" a="1"/>
  <c r="AH14" i="132" a="1"/>
  <c r="GM12" i="132" a="1"/>
  <c r="AU11" i="132" a="1"/>
  <c r="GE14" i="132" a="1"/>
  <c r="P9" i="132" a="1"/>
  <c r="FZ7" i="132" a="1"/>
  <c r="GT6" i="132" a="1"/>
  <c r="FV12" i="132" a="1"/>
  <c r="CG11" i="132" a="1"/>
  <c r="CK9" i="132" a="1"/>
  <c r="O51" i="130" a="1"/>
  <c r="EB11" i="132" a="1"/>
  <c r="G65" i="130" a="1"/>
  <c r="DL14" i="132" a="1"/>
  <c r="E38" i="130" a="1"/>
  <c r="BJ79" i="130" a="1"/>
  <c r="T36" i="130" a="1"/>
  <c r="FN9" i="132" a="1"/>
  <c r="AL78" i="130" a="1"/>
  <c r="BK63" i="130" a="1"/>
  <c r="F70" i="130" a="1"/>
  <c r="M65" i="130" a="1"/>
  <c r="AV51" i="130" a="1"/>
  <c r="AY61" i="130" a="1"/>
  <c r="AC25" i="130" a="1"/>
  <c r="AV40" i="130" a="1"/>
  <c r="AE5" i="130" a="1"/>
  <c r="AW22" i="130" a="1"/>
  <c r="G59" i="130" a="1"/>
  <c r="AX55" i="130" a="1"/>
  <c r="AB27" i="130" a="1"/>
  <c r="AL87" i="130" a="1"/>
  <c r="F18" i="130" a="1"/>
  <c r="AT27" i="130" a="1"/>
  <c r="D63" i="130" a="1"/>
  <c r="BB66" i="130" a="1"/>
  <c r="W74" i="130" a="1"/>
  <c r="BQ7" i="132" a="1"/>
  <c r="AI26" i="130" a="1"/>
  <c r="I15" i="132" a="1"/>
  <c r="FE6" i="132" a="1"/>
  <c r="AW79" i="130" a="1"/>
  <c r="Z80" i="130" a="1"/>
  <c r="HE7" i="132" a="1"/>
  <c r="AK16" i="132" a="1"/>
  <c r="BC5" i="130" a="1"/>
  <c r="AE59" i="130" a="1"/>
  <c r="GV14" i="132" a="1"/>
  <c r="CR14" i="132" a="1"/>
  <c r="V42" i="130" a="1"/>
  <c r="AA72" i="130" a="1"/>
  <c r="O74" i="130" a="1"/>
  <c r="AL86" i="130" a="1"/>
  <c r="AX35" i="130" a="1"/>
  <c r="BE59" i="130" a="1"/>
  <c r="AW29" i="130" a="1"/>
  <c r="G33" i="130" a="1"/>
  <c r="O89" i="130" a="1"/>
  <c r="S74" i="130" a="1"/>
  <c r="BI79" i="130" a="1"/>
  <c r="AG25" i="130" a="1"/>
  <c r="AQ87" i="130" a="1"/>
  <c r="G88" i="130" a="1"/>
  <c r="T23" i="130" a="1"/>
  <c r="L26" i="130" a="1"/>
  <c r="AC29" i="130" a="1"/>
  <c r="AU7" i="130" a="1"/>
  <c r="AM33" i="130" a="1"/>
  <c r="D43" i="130" a="1"/>
  <c r="AG10" i="130" a="1"/>
  <c r="AR62" i="130" a="1"/>
  <c r="AO81" i="130" a="1"/>
  <c r="DL15" i="132" a="1"/>
  <c r="AI33" i="130" a="1"/>
  <c r="EH8" i="132" a="1"/>
  <c r="J9" i="132" a="1"/>
  <c r="Q34" i="130" a="1"/>
  <c r="BD79" i="130" a="1"/>
  <c r="FG8" i="132" a="1"/>
  <c r="E40" i="130" a="1"/>
  <c r="AU67" i="130" a="1"/>
  <c r="AC33" i="130" a="1"/>
  <c r="FL7" i="132" a="1"/>
  <c r="CP6" i="132" a="1"/>
  <c r="BE75" i="130" a="1"/>
  <c r="K79" i="130" a="1"/>
  <c r="BH21" i="130" a="1"/>
  <c r="BD81" i="130" a="1"/>
  <c r="X16" i="130" a="1"/>
  <c r="AI19" i="130" a="1"/>
  <c r="O79" i="130" a="1"/>
  <c r="AE68" i="130" a="1"/>
  <c r="AP58" i="130" a="1"/>
  <c r="AI30" i="130" a="1"/>
  <c r="AD38" i="130" a="1"/>
  <c r="F13" i="130" a="1"/>
  <c r="AZ7" i="130" a="1"/>
  <c r="AT7" i="130" a="1"/>
  <c r="BF45" i="130" a="1"/>
  <c r="BE30" i="130" a="1"/>
  <c r="O43" i="130" a="1"/>
  <c r="I5" i="130" a="1"/>
  <c r="AI22" i="130" a="1"/>
  <c r="I84" i="130" a="1"/>
  <c r="BJ16" i="130" a="1"/>
  <c r="O45" i="130" a="1"/>
  <c r="G41" i="130" a="1"/>
  <c r="AK59" i="130" a="1"/>
  <c r="BM16" i="132" a="1"/>
  <c r="U5" i="132" a="1"/>
  <c r="AE77" i="130" a="1"/>
  <c r="AN73" i="130" a="1"/>
  <c r="AR35" i="130" a="1"/>
  <c r="GD14" i="132" a="1"/>
  <c r="BF52" i="130" a="1"/>
  <c r="AP68" i="130" a="1"/>
  <c r="BK57" i="130" a="1"/>
  <c r="CM13" i="132" a="1"/>
  <c r="I89" i="130" a="1"/>
  <c r="AT64" i="130" a="1"/>
  <c r="O40" i="130" a="1"/>
  <c r="DP6" i="132" a="1"/>
  <c r="FI12" i="132" a="1"/>
  <c r="FZ6" i="132" a="1"/>
  <c r="DG13" i="132" a="1"/>
  <c r="BE69" i="130" a="1"/>
  <c r="C51" i="130" a="1"/>
  <c r="U32" i="130" a="1"/>
  <c r="D84" i="130" a="1"/>
  <c r="O34" i="130" a="1"/>
  <c r="AU20" i="130" a="1"/>
  <c r="AZ24" i="130" a="1"/>
  <c r="AC15" i="132" a="1"/>
  <c r="Z9" i="132" a="1"/>
  <c r="FU12" i="132" a="1"/>
  <c r="AD42" i="130" a="1"/>
  <c r="BJ62" i="130" a="1"/>
  <c r="AD40" i="130" a="1"/>
  <c r="AW42" i="130" a="1"/>
  <c r="L8" i="130" a="1"/>
  <c r="AA64" i="130" a="1"/>
  <c r="AH51" i="130" a="1"/>
  <c r="BJ65" i="130" a="1"/>
  <c r="Q65" i="130" a="1"/>
  <c r="DJ5" i="132" a="1"/>
  <c r="U70" i="130" a="1"/>
  <c r="W15" i="132" a="1"/>
  <c r="AT60" i="130" a="1"/>
  <c r="GX12" i="132" a="1"/>
  <c r="D88" i="130" a="1"/>
  <c r="O77" i="130" a="1"/>
  <c r="T43" i="130" a="1"/>
  <c r="W40" i="130" a="1"/>
  <c r="BE61" i="130" a="1"/>
  <c r="AV43" i="130" a="1"/>
  <c r="R7" i="130" a="1"/>
  <c r="AR32" i="130" a="1"/>
  <c r="X56" i="130" a="1"/>
  <c r="AX57" i="130" a="1"/>
  <c r="AC65" i="130" a="1"/>
  <c r="AU16" i="132" a="1"/>
  <c r="DY15" i="132" a="1"/>
  <c r="V66" i="130" a="1"/>
  <c r="BA13" i="132" a="1"/>
  <c r="P60" i="130" a="1"/>
  <c r="FP13" i="132" a="1"/>
  <c r="AX43" i="130" a="1"/>
  <c r="AV88" i="130" a="1"/>
  <c r="BG77" i="130" a="1"/>
  <c r="AA80" i="130" a="1"/>
  <c r="BD43" i="130" a="1"/>
  <c r="AZ27" i="130" a="1"/>
  <c r="AO15" i="130" a="1"/>
  <c r="J73" i="130" a="1"/>
  <c r="BA74" i="130" a="1"/>
  <c r="AM84" i="130" a="1"/>
  <c r="AI55" i="130" a="1"/>
  <c r="BH66" i="130" a="1"/>
  <c r="D12" i="130" a="1"/>
  <c r="BG52" i="130" a="1"/>
  <c r="AF60" i="130" a="1"/>
  <c r="G74" i="130" a="1"/>
  <c r="AR59" i="130" a="1"/>
  <c r="K55" i="130" a="1"/>
  <c r="J67" i="130" a="1"/>
  <c r="R37" i="130" a="1"/>
  <c r="Q87" i="130" a="1"/>
  <c r="AL72" i="130" a="1"/>
  <c r="AV89" i="130" a="1"/>
  <c r="V8" i="130" a="1"/>
  <c r="AX9" i="130" a="1"/>
  <c r="AJ28" i="130" a="1"/>
  <c r="L42" i="130" a="1"/>
  <c r="Z59" i="130" a="1"/>
  <c r="W81" i="130" a="1"/>
  <c r="AT33" i="130" a="1"/>
  <c r="Q9" i="130" a="1"/>
  <c r="AQ63" i="130" a="1"/>
  <c r="BI23" i="130" a="1"/>
  <c r="BF28" i="130" a="1"/>
  <c r="BF7" i="130" a="1"/>
  <c r="AD87" i="130" a="1"/>
  <c r="AH22" i="130" a="1"/>
  <c r="O17" i="130" a="1"/>
  <c r="V55" i="130" a="1"/>
  <c r="AE71" i="130" a="1"/>
  <c r="J8" i="130" a="1"/>
  <c r="L29" i="130" a="1"/>
  <c r="BI70" i="130" a="1"/>
  <c r="AA47" i="130" a="1"/>
  <c r="AM22" i="130" a="1"/>
  <c r="U52" i="130" a="1"/>
  <c r="U41" i="130" a="1"/>
  <c r="BB17" i="130" a="1"/>
  <c r="I14" i="130" a="1"/>
  <c r="AI56" i="130" a="1"/>
  <c r="AT89" i="130" a="1"/>
  <c r="I43" i="130" a="1"/>
  <c r="I51" i="130" a="1"/>
  <c r="P15" i="130" a="1"/>
  <c r="Y43" i="130" a="1"/>
  <c r="F57" i="130" a="1"/>
  <c r="AP43" i="130" a="1"/>
  <c r="BF29" i="130" a="1"/>
  <c r="D86" i="130" a="1"/>
  <c r="AW89" i="130" a="1"/>
  <c r="BK13" i="130" a="1"/>
  <c r="R11" i="130" a="1"/>
  <c r="I42" i="130" a="1"/>
  <c r="BD10" i="130" a="1"/>
  <c r="BB20" i="130" a="1"/>
  <c r="AH33" i="130" a="1"/>
  <c r="T62" i="130" a="1"/>
  <c r="AY77" i="130" a="1"/>
  <c r="D60" i="130" a="1"/>
  <c r="BE77" i="130" a="1"/>
  <c r="BB76" i="130" a="1"/>
  <c r="I25" i="130" a="1"/>
  <c r="D52" i="130" a="1"/>
  <c r="BG61" i="130" a="1"/>
  <c r="BJ27" i="130" a="1"/>
  <c r="Z47" i="130" a="1"/>
  <c r="BH41" i="130" a="1"/>
  <c r="Y70" i="130" a="1"/>
  <c r="AO5" i="130" a="1"/>
  <c r="BB58" i="130" a="1"/>
  <c r="AN63" i="130" a="1"/>
  <c r="AL73" i="130" a="1"/>
  <c r="AS25" i="130" a="1"/>
  <c r="BZ14" i="132" a="1"/>
  <c r="BV11" i="132" a="1"/>
  <c r="DZ7" i="132" a="1"/>
  <c r="FK16" i="132" a="1"/>
  <c r="HA11" i="132" a="1"/>
  <c r="CD14" i="132" a="1"/>
  <c r="O87" i="130" a="1"/>
  <c r="J83" i="130" a="1"/>
  <c r="J7" i="130" a="1"/>
  <c r="U30" i="130" a="1"/>
  <c r="AX14" i="132" a="1"/>
  <c r="AB67" i="130" a="1"/>
  <c r="K88" i="130" a="1"/>
  <c r="AX71" i="130" a="1"/>
  <c r="BB73" i="130" a="1"/>
  <c r="Z28" i="130" a="1"/>
  <c r="F58" i="130" a="1"/>
  <c r="DL16" i="132" a="1"/>
  <c r="D8" i="130" a="1"/>
  <c r="AS30" i="130" a="1"/>
  <c r="BB69" i="130" a="1"/>
  <c r="BH14" i="130" a="1"/>
  <c r="AC9" i="132" a="1"/>
  <c r="Q82" i="130" a="1"/>
  <c r="AM9" i="130" a="1"/>
  <c r="AS59" i="130" a="1"/>
  <c r="BH62" i="130" a="1"/>
  <c r="BG82" i="130" a="1"/>
  <c r="BG5" i="130" a="1"/>
  <c r="AM55" i="130" a="1"/>
  <c r="AH46" i="130" a="1"/>
  <c r="I70" i="130" a="1"/>
  <c r="BH85" i="130" a="1"/>
  <c r="R68" i="130" a="1"/>
  <c r="AQ82" i="130" a="1"/>
  <c r="BH64" i="130" a="1"/>
  <c r="AO42" i="130" a="1"/>
  <c r="E31" i="130" a="1"/>
  <c r="V37" i="130" a="1"/>
  <c r="M61" i="130" a="1"/>
  <c r="EU5" i="132" a="1"/>
  <c r="N72" i="130" a="1"/>
  <c r="W16" i="132" a="1"/>
  <c r="AO32" i="130" a="1"/>
  <c r="BP16" i="132" a="1"/>
  <c r="AI34" i="130" a="1"/>
  <c r="C7" i="130" a="1"/>
  <c r="AU60" i="130" a="1"/>
  <c r="AP56" i="130" a="1"/>
  <c r="AM71" i="130" a="1"/>
  <c r="Y14" i="130" a="1"/>
  <c r="AO84" i="130" a="1"/>
  <c r="BK75" i="130" a="1"/>
  <c r="AU24" i="130" a="1"/>
  <c r="X20" i="130" a="1"/>
  <c r="E56" i="130" a="1"/>
  <c r="BB34" i="130" a="1"/>
  <c r="BJ64" i="130" a="1"/>
  <c r="CG8" i="132" a="1"/>
  <c r="BB61" i="130" a="1"/>
  <c r="AT37" i="130" a="1"/>
  <c r="AM42" i="130" a="1"/>
  <c r="AS72" i="130" a="1"/>
  <c r="BC44" i="130" a="1"/>
  <c r="DT16" i="132" a="1"/>
  <c r="AI52" i="130" a="1"/>
  <c r="AO70" i="130" a="1"/>
  <c r="AI78" i="130" a="1"/>
  <c r="BE29" i="130" a="1"/>
  <c r="BK14" i="130" a="1"/>
  <c r="AG67" i="130" a="1"/>
  <c r="Z11" i="130" a="1"/>
  <c r="Q35" i="130" a="1"/>
  <c r="BE56" i="130" a="1"/>
  <c r="AY52" i="130" a="1"/>
  <c r="AT30" i="130" a="1"/>
  <c r="AB89" i="130" a="1"/>
  <c r="H79" i="130" a="1"/>
  <c r="AY55" i="130" a="1"/>
  <c r="AV41" i="130" a="1"/>
  <c r="BK23" i="130" a="1"/>
  <c r="AY51" i="130" a="1"/>
  <c r="AN58" i="130" a="1"/>
  <c r="C82" i="130" a="1"/>
  <c r="BE24" i="130" a="1"/>
  <c r="E51" i="130" a="1"/>
  <c r="BK36" i="130" a="1"/>
  <c r="AY79" i="130" a="1"/>
  <c r="AI21" i="130" a="1"/>
  <c r="H75" i="130" a="1"/>
  <c r="Z25" i="130" a="1"/>
  <c r="AE14" i="130" a="1"/>
  <c r="R38" i="130" a="1"/>
  <c r="AR11" i="130" a="1"/>
  <c r="R64" i="130" a="1"/>
  <c r="AG13" i="130" a="1"/>
  <c r="AD7" i="130" a="1"/>
  <c r="V52" i="130" a="1"/>
  <c r="C60" i="130" a="1"/>
  <c r="AZ31" i="130" a="1"/>
  <c r="BG16" i="130" a="1"/>
  <c r="N88" i="130" a="1"/>
  <c r="AN45" i="130" a="1"/>
  <c r="AF63" i="130" a="1"/>
  <c r="AT85" i="130" a="1"/>
  <c r="K22" i="130" a="1"/>
  <c r="AR58" i="130" a="1"/>
  <c r="AO65" i="130" a="1"/>
  <c r="G23" i="130" a="1"/>
  <c r="U89" i="130" a="1"/>
  <c r="D73" i="130" a="1"/>
  <c r="AC69" i="130" a="1"/>
  <c r="E9" i="130" a="1"/>
  <c r="BG43" i="130" a="1"/>
  <c r="K87" i="130" a="1"/>
  <c r="AB62" i="130" a="1"/>
  <c r="AK89" i="130" a="1"/>
  <c r="AR74" i="130" a="1"/>
  <c r="AP62" i="130" a="1"/>
  <c r="N42" i="130" a="1"/>
  <c r="AJ89" i="130" a="1"/>
  <c r="AF52" i="130" a="1"/>
  <c r="AR7" i="132" a="1"/>
  <c r="HF9" i="132" a="1"/>
  <c r="DU11" i="132" a="1"/>
  <c r="AQ5" i="132" a="1"/>
  <c r="N7" i="132" a="1"/>
  <c r="DN14" i="132" a="1"/>
  <c r="CU15" i="132" a="1"/>
  <c r="BB5" i="132" a="1"/>
  <c r="FN7" i="132" a="1"/>
  <c r="EW7" i="132" a="1"/>
  <c r="AZ7" i="132" a="1"/>
  <c r="AQ12" i="132" a="1"/>
  <c r="AD13" i="132" a="1"/>
  <c r="FR13" i="132" a="1"/>
  <c r="BL11" i="132" a="1"/>
  <c r="EE11" i="132" a="1"/>
  <c r="CY15" i="132" a="1"/>
  <c r="GR11" i="132" a="1"/>
  <c r="DA8" i="132" a="1"/>
  <c r="BN15" i="132" a="1"/>
  <c r="AT14" i="132" a="1"/>
  <c r="CF9" i="132" a="1"/>
  <c r="DN11" i="132" a="1"/>
  <c r="EP11" i="132" a="1"/>
  <c r="BY5" i="132" a="1"/>
  <c r="AN16" i="132" a="1"/>
  <c r="GK15" i="132" a="1"/>
  <c r="AE8" i="132" a="1"/>
  <c r="AS42" i="130" a="1"/>
  <c r="ES9" i="132" a="1"/>
  <c r="CD13" i="132" a="1"/>
  <c r="CU8" i="132" a="1"/>
  <c r="O11" i="132" a="1"/>
  <c r="AT12" i="132" a="1"/>
  <c r="AW14" i="132" a="1"/>
  <c r="K6" i="132" a="1"/>
  <c r="AL5" i="132" a="1"/>
  <c r="DQ13" i="132" a="1"/>
  <c r="HH9" i="132" a="1"/>
  <c r="EQ13" i="132" a="1"/>
  <c r="Z12" i="132" a="1"/>
  <c r="BF7" i="132" a="1"/>
  <c r="BG16" i="132" a="1"/>
  <c r="FJ16" i="132" a="1"/>
  <c r="AD12" i="132" a="1"/>
  <c r="CN8" i="132" a="1"/>
  <c r="Q5" i="132" a="1"/>
  <c r="BO7" i="132" a="1"/>
  <c r="GB9" i="132" a="1"/>
  <c r="N12" i="132" a="1"/>
  <c r="EA13" i="132" a="1"/>
  <c r="S13" i="132" a="1"/>
  <c r="AT8" i="132" a="1"/>
  <c r="AB6" i="132" a="1"/>
  <c r="E12" i="132" a="1"/>
  <c r="DF14" i="132" a="1"/>
  <c r="DQ7" i="132" a="1"/>
  <c r="DA15" i="132" a="1"/>
  <c r="BE16" i="132" a="1"/>
  <c r="BM6" i="132" a="1"/>
  <c r="DC12" i="132" a="1"/>
  <c r="GX15" i="132" a="1"/>
  <c r="AU14" i="132" a="1"/>
  <c r="P78" i="130" a="1"/>
  <c r="BM8" i="132" a="1"/>
  <c r="DN13" i="132" a="1"/>
  <c r="FM9" i="132" a="1"/>
  <c r="AM15" i="132" a="1"/>
  <c r="FK9" i="132" a="1"/>
  <c r="FL11" i="132" a="1"/>
  <c r="GJ15" i="132" a="1"/>
  <c r="C5" i="132" a="1"/>
  <c r="CN14" i="132" a="1"/>
  <c r="DM14" i="132" a="1"/>
  <c r="DA12" i="132" a="1"/>
  <c r="AH15" i="132" a="1"/>
  <c r="HG8" i="132" a="1"/>
  <c r="FH5" i="132" a="1"/>
  <c r="GA11" i="132" a="1"/>
  <c r="GP12" i="132" a="1"/>
  <c r="EP6" i="132" a="1"/>
  <c r="DJ7" i="132" a="1"/>
  <c r="E8" i="132" a="1"/>
  <c r="U7" i="132" a="1"/>
  <c r="CY13" i="132" a="1"/>
  <c r="GV11" i="132" a="1"/>
  <c r="FV5" i="132" a="1"/>
  <c r="CW8" i="132" a="1"/>
  <c r="DM6" i="132" a="1"/>
  <c r="GF12" i="132" a="1"/>
  <c r="GO5" i="132" a="1"/>
  <c r="BV13" i="132" a="1"/>
  <c r="DX11" i="132" a="1"/>
  <c r="X16" i="132" a="1"/>
  <c r="AN6" i="132" a="1"/>
  <c r="FL16" i="132" a="1"/>
  <c r="GQ11" i="132" a="1"/>
  <c r="FA6" i="132" a="1"/>
  <c r="AB12" i="130" a="1"/>
  <c r="AR40" i="130" a="1"/>
  <c r="FL9" i="132" a="1"/>
  <c r="DA14" i="132" a="1"/>
  <c r="FZ8" i="132" a="1"/>
  <c r="GJ8" i="132" a="1"/>
  <c r="K8" i="132" a="1"/>
  <c r="GT13" i="132" a="1"/>
  <c r="J5" i="132" a="1"/>
  <c r="DH15" i="132" a="1"/>
  <c r="FS14" i="132" a="1"/>
  <c r="CH14" i="132" a="1"/>
  <c r="BY8" i="132" a="1"/>
  <c r="EW6" i="132" a="1"/>
  <c r="BX11" i="132" a="1"/>
  <c r="AH5" i="132" a="1"/>
  <c r="D79" i="130" a="1"/>
  <c r="EG9" i="132" a="1"/>
  <c r="GB6" i="132" a="1"/>
  <c r="DQ15" i="132" a="1"/>
  <c r="Q12" i="132" a="1"/>
  <c r="AK7" i="132" a="1"/>
  <c r="CZ13" i="132" a="1"/>
  <c r="GH5" i="132" a="1"/>
  <c r="EQ5" i="132" a="1"/>
  <c r="BI12" i="132" a="1"/>
  <c r="CA5" i="132" a="1"/>
  <c r="AK12" i="132" a="1"/>
  <c r="Z7" i="132" a="1"/>
  <c r="GQ16" i="132" a="1"/>
  <c r="EO8" i="132" a="1"/>
  <c r="FX5" i="132" a="1"/>
  <c r="GF15" i="132" a="1"/>
  <c r="AE9" i="132" a="1"/>
  <c r="DX6" i="132" a="1"/>
  <c r="BB16" i="132" a="1"/>
  <c r="DX16" i="132" a="1"/>
  <c r="F11" i="132" a="1"/>
  <c r="L8" i="132" a="1"/>
  <c r="AB11" i="132" a="1"/>
  <c r="EW15" i="132" a="1"/>
  <c r="W8" i="132" a="1"/>
  <c r="DI14" i="132" a="1"/>
  <c r="BL7" i="132" a="1"/>
  <c r="AI68" i="130" a="1"/>
  <c r="M12" i="132" a="1"/>
  <c r="DQ16" i="132" a="1"/>
  <c r="EV6" i="132" a="1"/>
  <c r="EV8" i="132" a="1"/>
  <c r="EG8" i="132" a="1"/>
  <c r="DN6" i="132" a="1"/>
  <c r="CV13" i="132" a="1"/>
  <c r="DU5" i="132" a="1"/>
  <c r="CH15" i="132" a="1"/>
  <c r="DA9" i="132" a="1"/>
  <c r="GD9" i="132" a="1"/>
  <c r="DP13" i="132" a="1"/>
  <c r="FA14" i="132" a="1"/>
  <c r="BD7" i="132" a="1"/>
  <c r="CH11" i="132" a="1"/>
  <c r="Z15" i="132" a="1"/>
  <c r="GQ6" i="132" a="1"/>
  <c r="FY5" i="132" a="1"/>
  <c r="E14" i="132" a="1"/>
  <c r="EZ9" i="132" a="1"/>
  <c r="CQ9" i="132" a="1"/>
  <c r="FR14" i="132" a="1"/>
  <c r="FV11" i="132" a="1"/>
  <c r="AO16" i="132" a="1"/>
  <c r="I9" i="132" a="1"/>
  <c r="DE8" i="132" a="1"/>
  <c r="ER15" i="132" a="1"/>
  <c r="EU14" i="132" a="1"/>
  <c r="FX8" i="132" a="1"/>
  <c r="GU11" i="132" a="1"/>
  <c r="GB15" i="132" a="1"/>
  <c r="CP7" i="132" a="1"/>
  <c r="GW14" i="132" a="1"/>
  <c r="S6" i="132" a="1"/>
  <c r="DC7" i="132" a="1"/>
  <c r="O9" i="132" a="1"/>
  <c r="AF5" i="132" a="1"/>
  <c r="GN11" i="132" a="1"/>
  <c r="CJ14" i="132" a="1"/>
  <c r="BP7" i="132" a="1"/>
  <c r="CC9" i="132" a="1"/>
  <c r="FW16" i="132" a="1"/>
  <c r="FG12" i="132" a="1"/>
  <c r="EN5" i="132" a="1"/>
  <c r="HC7" i="132" a="1"/>
  <c r="FY13" i="132" a="1"/>
  <c r="AU7" i="132" a="1"/>
  <c r="BE13" i="132" a="1"/>
  <c r="EO5" i="132" a="1"/>
  <c r="ES14" i="132" a="1"/>
  <c r="DZ9" i="132" a="1"/>
  <c r="AO66" i="130" a="1"/>
  <c r="FY16" i="132" a="1"/>
  <c r="GE15" i="132" a="1"/>
  <c r="EF12" i="132" a="1"/>
  <c r="HA7" i="132" a="1"/>
  <c r="EP12" i="132" a="1"/>
  <c r="GN13" i="132" a="1"/>
  <c r="CP12" i="132" a="1"/>
  <c r="FC8" i="132" a="1"/>
  <c r="EK11" i="132" a="1"/>
  <c r="AX5" i="132" a="1"/>
  <c r="HE6" i="132" a="1"/>
  <c r="FJ6" i="132" a="1"/>
  <c r="EO9" i="132" a="1"/>
  <c r="AO15" i="132" a="1"/>
  <c r="AW16" i="132" a="1"/>
  <c r="T15" i="132" a="1"/>
  <c r="GJ13" i="132" a="1"/>
  <c r="GL5" i="132" a="1"/>
  <c r="GB16" i="132" a="1"/>
  <c r="R8" i="132" a="1"/>
  <c r="GR15" i="132" a="1"/>
  <c r="GA9" i="132" a="1"/>
  <c r="BR9" i="132" a="1"/>
  <c r="DJ9" i="132" a="1"/>
  <c r="DU7" i="132" a="1"/>
  <c r="L13" i="132" a="1"/>
  <c r="CQ7" i="132" a="1"/>
  <c r="FO5" i="132" a="1"/>
  <c r="AU8" i="132" a="1"/>
  <c r="BJ8" i="132" a="1"/>
  <c r="BM11" i="132" a="1"/>
  <c r="CM12" i="132" a="1"/>
  <c r="AV5" i="132" a="1"/>
  <c r="EH9" i="132" a="1"/>
  <c r="DF8" i="132" a="1"/>
  <c r="GS14" i="132" a="1"/>
  <c r="EF8" i="132" a="1"/>
  <c r="CY8" i="132" a="1"/>
  <c r="EC6" i="132" a="1"/>
  <c r="AQ15" i="132" a="1"/>
  <c r="GB8" i="132" a="1"/>
  <c r="AK6" i="132" a="1"/>
  <c r="BK15" i="132" a="1"/>
  <c r="EN7" i="132" a="1"/>
  <c r="GS16" i="132" a="1"/>
  <c r="AV8" i="132" a="1"/>
  <c r="AI9" i="132" a="1"/>
  <c r="DL13" i="132" a="1"/>
  <c r="GS6" i="132" a="1"/>
  <c r="GX11" i="132" a="1"/>
  <c r="J6" i="132" a="1"/>
  <c r="FW11" i="132" a="1"/>
  <c r="GA6" i="132" a="1"/>
  <c r="GR6" i="132" a="1"/>
  <c r="AF8" i="132" a="1"/>
  <c r="HH14" i="132" a="1"/>
  <c r="X12" i="132" a="1"/>
  <c r="FC11" i="132" a="1"/>
  <c r="BF6" i="132" a="1"/>
  <c r="CO16" i="132" a="1"/>
  <c r="DW7" i="132" a="1"/>
  <c r="D6" i="132" a="1"/>
  <c r="Y82" i="130" a="1"/>
  <c r="S14" i="132" a="1"/>
  <c r="ES13" i="132" a="1"/>
  <c r="L11" i="132" a="1"/>
  <c r="FW5" i="132" a="1"/>
  <c r="CI13" i="132" a="1"/>
  <c r="GH15" i="132" a="1"/>
  <c r="GO6" i="132" a="1"/>
  <c r="CF7" i="132" a="1"/>
  <c r="BL8" i="132" a="1"/>
  <c r="EN12" i="132" a="1"/>
  <c r="HC6" i="132" a="1"/>
  <c r="CD11" i="132" a="1"/>
  <c r="BR5" i="132" a="1"/>
  <c r="GQ12" i="132" a="1"/>
  <c r="BP6" i="132" a="1"/>
  <c r="FS9" i="132" a="1"/>
  <c r="BP8" i="132" a="1"/>
  <c r="BO16" i="132" a="1"/>
  <c r="EV9" i="132" a="1"/>
  <c r="AF47" i="130" a="1"/>
  <c r="EQ16" i="132" a="1"/>
  <c r="DD9" i="132" a="1"/>
  <c r="EB9" i="132" a="1"/>
  <c r="BY16" i="132" a="1"/>
  <c r="F13" i="132" a="1"/>
  <c r="DR13" i="132" a="1"/>
  <c r="W34" i="130" a="1"/>
  <c r="CQ6" i="132" a="1"/>
  <c r="X11" i="132" a="1"/>
  <c r="Y5" i="132" a="1"/>
  <c r="CP15" i="132" a="1"/>
  <c r="CT15" i="132" a="1"/>
  <c r="CR11" i="132" a="1"/>
  <c r="DH11" i="132" a="1"/>
  <c r="DT8" i="132" a="1"/>
  <c r="X5" i="132" a="1"/>
  <c r="AG14" i="132" a="1"/>
  <c r="GY6" i="132" a="1"/>
  <c r="GQ14" i="132" a="1"/>
  <c r="BK12" i="132" a="1"/>
  <c r="DY6" i="132" a="1"/>
  <c r="R63" i="130" a="1"/>
  <c r="Z13" i="132" a="1"/>
  <c r="U14" i="132" a="1"/>
  <c r="BY14" i="132" a="1"/>
  <c r="BR15" i="132" a="1"/>
  <c r="GK5" i="132" a="1"/>
  <c r="DO14" i="132" a="1"/>
  <c r="FI14" i="132" a="1"/>
  <c r="GZ14" i="132" a="1"/>
  <c r="FF16" i="132" a="1"/>
  <c r="R11" i="132" a="1"/>
  <c r="DB16" i="132" a="1"/>
  <c r="FR16" i="132" a="1"/>
  <c r="EH6" i="132" a="1"/>
  <c r="DN8" i="132" a="1"/>
  <c r="H14" i="132" a="1"/>
  <c r="EM8" i="132" a="1"/>
  <c r="GL12" i="132" a="1"/>
  <c r="EJ12" i="132" a="1"/>
  <c r="AW15" i="132" a="1"/>
  <c r="BI9" i="132" a="1"/>
  <c r="CH13" i="132" a="1"/>
  <c r="AY16" i="132" a="1"/>
  <c r="GO7" i="132" a="1"/>
  <c r="GR5" i="132" a="1"/>
  <c r="I29" i="130" a="1"/>
  <c r="GF7" i="132" a="1"/>
  <c r="AG12" i="132" a="1"/>
  <c r="AD16" i="132" a="1"/>
  <c r="CS14" i="132" a="1"/>
  <c r="CE7" i="132" a="1"/>
  <c r="DY12" i="132" a="1"/>
  <c r="BU13" i="132" a="1"/>
  <c r="AY13" i="132" a="1"/>
  <c r="AX12" i="132" a="1"/>
  <c r="CO14" i="132" a="1"/>
  <c r="CY16" i="132" a="1"/>
  <c r="CJ11" i="132" a="1"/>
  <c r="FK13" i="132" a="1"/>
  <c r="BM14" i="132" a="1"/>
  <c r="BT9" i="132" a="1"/>
  <c r="BL14" i="132" a="1"/>
  <c r="HB7" i="132" a="1"/>
  <c r="R6" i="132" a="1"/>
  <c r="GH8" i="132" a="1"/>
  <c r="AJ16" i="132" a="1"/>
  <c r="Z5" i="132" a="1"/>
  <c r="EI8" i="132" a="1"/>
  <c r="AB12" i="132" a="1"/>
  <c r="AZ73" i="130" a="1"/>
  <c r="DL5" i="132" a="1"/>
  <c r="DE15" i="132" a="1"/>
  <c r="GG15" i="132" a="1"/>
  <c r="GW13" i="132" a="1"/>
  <c r="HG5" i="132" a="1"/>
  <c r="HE13" i="132" a="1"/>
  <c r="BQ14" i="132" a="1"/>
  <c r="BB9" i="132" a="1"/>
  <c r="CC12" i="132" a="1"/>
  <c r="AG11" i="132" a="1"/>
  <c r="GG11" i="132" a="1"/>
  <c r="S11" i="132" a="1"/>
  <c r="GO16" i="132" a="1"/>
  <c r="FE11" i="132" a="1"/>
  <c r="EM7" i="132" a="1"/>
  <c r="V12" i="132" a="1"/>
  <c r="DN7" i="132" a="1"/>
  <c r="BU6" i="132" a="1"/>
  <c r="BI11" i="132" a="1"/>
  <c r="CS8" i="132" a="1"/>
  <c r="ER8" i="132" a="1"/>
  <c r="EO11" i="132" a="1"/>
  <c r="CZ14" i="132" a="1"/>
  <c r="AR15" i="132" a="1"/>
  <c r="CK8" i="132" a="1"/>
  <c r="BG12" i="132" a="1"/>
  <c r="FW13" i="132" a="1"/>
  <c r="BP14" i="132" a="1"/>
  <c r="BE5" i="132" a="1"/>
  <c r="HD6" i="132" a="1"/>
  <c r="BW14" i="132" a="1"/>
  <c r="X63" i="130" a="1"/>
  <c r="CN16" i="132" a="1"/>
  <c r="CJ9" i="132" a="1"/>
  <c r="BA43" i="130" a="1"/>
  <c r="BF12" i="132" a="1"/>
  <c r="CL12" i="132" a="1"/>
  <c r="AU65" i="130" a="1"/>
  <c r="AY30" i="130" a="1"/>
  <c r="FX6" i="132" a="1"/>
  <c r="FD16" i="132" a="1"/>
  <c r="BR8" i="132" a="1"/>
  <c r="U8" i="132" a="1"/>
  <c r="ET13" i="132" a="1"/>
  <c r="EH14" i="132" a="1"/>
  <c r="GJ14" i="132" a="1"/>
  <c r="BG7" i="132" a="1"/>
  <c r="BJ9" i="132" a="1"/>
  <c r="AD75" i="130" a="1"/>
  <c r="GY11" i="132" a="1"/>
  <c r="CZ9" i="132" a="1"/>
  <c r="AN9" i="132" a="1"/>
  <c r="EJ7" i="132" a="1"/>
  <c r="BS11" i="132" a="1"/>
  <c r="DS15" i="132" a="1"/>
  <c r="CW5" i="132" a="1"/>
  <c r="FR9" i="132" a="1"/>
  <c r="DE12" i="132" a="1"/>
  <c r="AS16" i="132" a="1"/>
  <c r="J13" i="132" a="1"/>
  <c r="FK14" i="132" a="1"/>
  <c r="DP9" i="132" a="1"/>
  <c r="EF15" i="132" a="1"/>
  <c r="N81" i="130" a="1"/>
  <c r="DY9" i="132" a="1"/>
  <c r="BA6" i="132" a="1"/>
  <c r="HG16" i="132" a="1"/>
  <c r="FL14" i="132" a="1"/>
  <c r="DN15" i="132" a="1"/>
  <c r="GF14" i="132" a="1"/>
  <c r="EZ12" i="132" a="1"/>
  <c r="FY8" i="132" a="1"/>
  <c r="DO7" i="132" a="1"/>
  <c r="BS16" i="132" a="1"/>
  <c r="GU5" i="132" a="1"/>
  <c r="AH6" i="132" a="1"/>
  <c r="ER16" i="132" a="1"/>
  <c r="EV13" i="132" a="1"/>
  <c r="DK13" i="132" a="1"/>
  <c r="E5" i="132" a="1"/>
  <c r="DF11" i="132" a="1"/>
  <c r="AM11" i="132" a="1"/>
  <c r="DV9" i="132" a="1"/>
  <c r="BR7" i="132" a="1"/>
  <c r="FQ16" i="132" a="1"/>
  <c r="FI9" i="132" a="1"/>
  <c r="EK13" i="132" a="1"/>
  <c r="EJ8" i="132" a="1"/>
  <c r="BI16" i="132" a="1"/>
  <c r="CD9" i="132" a="1"/>
  <c r="CB9" i="132" a="1"/>
  <c r="CF13" i="132" a="1"/>
  <c r="EX8" i="132" a="1"/>
  <c r="GM9" i="132" a="1"/>
  <c r="H46" i="130" a="1"/>
  <c r="CX9" i="132" a="1"/>
  <c r="GT7" i="132" a="1"/>
  <c r="EL15" i="132" a="1"/>
  <c r="W62" i="130" a="1"/>
  <c r="EO15" i="132" a="1"/>
  <c r="BA14" i="132" a="1"/>
  <c r="EL16" i="132" a="1"/>
  <c r="EQ6" i="132" a="1"/>
  <c r="CU16" i="132" a="1"/>
  <c r="CC6" i="132" a="1"/>
  <c r="GA15" i="132" a="1"/>
  <c r="GV6" i="132" a="1"/>
  <c r="HH5" i="132" a="1"/>
  <c r="DK15" i="132" a="1"/>
  <c r="GV16" i="132" a="1"/>
  <c r="HG13" i="132" a="1"/>
  <c r="FN12" i="132" a="1"/>
  <c r="GV9" i="132" a="1"/>
  <c r="CB13" i="132" a="1"/>
  <c r="BJ6" i="132" a="1"/>
  <c r="BX12" i="132" a="1"/>
  <c r="AL15" i="132" a="1"/>
  <c r="L19" i="130" a="1"/>
  <c r="T6" i="132" a="1"/>
  <c r="AF72" i="130" a="1"/>
  <c r="AT19" i="130" a="1"/>
  <c r="EA14" i="132" a="1"/>
  <c r="AY75" i="130" a="1"/>
  <c r="N56" i="130" a="1"/>
  <c r="AN75" i="130" a="1"/>
  <c r="DK14" i="132" a="1"/>
  <c r="V56" i="130" a="1"/>
  <c r="G72" i="130" a="1"/>
  <c r="F80" i="130" a="1"/>
  <c r="V73" i="130" a="1"/>
  <c r="AV24" i="130" a="1"/>
  <c r="E28" i="130" a="1"/>
  <c r="AC64" i="130" a="1"/>
  <c r="AO51" i="130" a="1"/>
  <c r="Y59" i="130" a="1"/>
  <c r="T71" i="130" a="1"/>
  <c r="BD46" i="130" a="1"/>
  <c r="BI83" i="130" a="1"/>
  <c r="BC67" i="130" a="1"/>
  <c r="AY88" i="130" a="1"/>
  <c r="G76" i="130" a="1"/>
  <c r="X71" i="130" a="1"/>
  <c r="AF84" i="130" a="1"/>
  <c r="R18" i="130" a="1"/>
  <c r="GD12" i="132" a="1"/>
  <c r="K32" i="130" a="1"/>
  <c r="K9" i="132" a="1"/>
  <c r="GU8" i="132" a="1"/>
  <c r="AB51" i="130" a="1"/>
  <c r="J77" i="130" a="1"/>
  <c r="L15" i="130" a="1"/>
  <c r="AA5" i="132" a="1"/>
  <c r="J80" i="130" a="1"/>
  <c r="P30" i="130" a="1"/>
  <c r="F84" i="130" a="1"/>
  <c r="EP14" i="132" a="1"/>
  <c r="O32" i="130" a="1"/>
  <c r="BK10" i="130" a="1"/>
  <c r="GH16" i="132" a="1"/>
  <c r="AM7" i="130" a="1"/>
  <c r="BJ51" i="130" a="1"/>
  <c r="AT24" i="130" a="1"/>
  <c r="AQ29" i="130" a="1"/>
  <c r="N82" i="130" a="1"/>
  <c r="CV14" i="132" a="1"/>
  <c r="G61" i="130" a="1"/>
  <c r="I32" i="130" a="1"/>
  <c r="AF37" i="130" a="1"/>
  <c r="AQ68" i="130" a="1"/>
  <c r="AP69" i="130" a="1"/>
  <c r="GC16" i="132" a="1"/>
  <c r="GE13" i="132" a="1"/>
  <c r="DT6" i="132" a="1"/>
  <c r="AD6" i="132" a="1"/>
  <c r="AT5" i="132" a="1"/>
  <c r="EG15" i="132" a="1"/>
  <c r="GC12" i="132" a="1"/>
  <c r="CX5" i="132" a="1"/>
  <c r="AH8" i="132" a="1"/>
  <c r="CM8" i="132" a="1"/>
  <c r="F9" i="132" a="1"/>
  <c r="E16" i="132" a="1"/>
  <c r="EP16" i="132" a="1"/>
  <c r="BB6" i="132" a="1"/>
  <c r="DS16" i="132" a="1"/>
  <c r="EZ5" i="132" a="1"/>
  <c r="P23" i="130" a="1"/>
  <c r="H9" i="132" a="1"/>
  <c r="AH80" i="130" a="1"/>
  <c r="EH15" i="132" a="1"/>
  <c r="AU87" i="130" a="1"/>
  <c r="AH24" i="130" a="1"/>
  <c r="BG58" i="130" a="1"/>
  <c r="HG14" i="132" a="1"/>
  <c r="E36" i="130" a="1"/>
  <c r="P19" i="130" a="1"/>
  <c r="BG37" i="130" a="1"/>
  <c r="BE51" i="130" a="1"/>
  <c r="BG62" i="130" a="1"/>
  <c r="AW30" i="130" a="1"/>
  <c r="BA29" i="130" a="1"/>
  <c r="BF21" i="130" a="1"/>
  <c r="BD64" i="130" a="1"/>
  <c r="AU77" i="130" a="1"/>
  <c r="D66" i="130" a="1"/>
  <c r="AE52" i="130" a="1"/>
  <c r="H29" i="130" a="1"/>
  <c r="AZ23" i="130" a="1"/>
  <c r="AE20" i="130" a="1"/>
  <c r="BF55" i="130" a="1"/>
  <c r="BC26" i="130" a="1"/>
  <c r="BC85" i="130" a="1"/>
  <c r="AO31" i="130" a="1"/>
  <c r="W6" i="132" a="1"/>
  <c r="AE51" i="130" a="1"/>
  <c r="HF5" i="132" a="1"/>
  <c r="FD6" i="132" a="1"/>
  <c r="AU46" i="130" a="1"/>
  <c r="Q23" i="130" a="1"/>
  <c r="AP6" i="132" a="1"/>
  <c r="EF13" i="132" a="1"/>
  <c r="AT66" i="130" a="1"/>
  <c r="AT82" i="130" a="1"/>
  <c r="BB80" i="130" a="1"/>
  <c r="BY15" i="132" a="1"/>
  <c r="O81" i="130" a="1"/>
  <c r="R86" i="130" a="1"/>
  <c r="AF78" i="130" a="1"/>
  <c r="AH81" i="130" a="1"/>
  <c r="BF60" i="130" a="1"/>
  <c r="AY67" i="130" a="1"/>
  <c r="AV25" i="130" a="1"/>
  <c r="C85" i="130" a="1"/>
  <c r="S80" i="130" a="1"/>
  <c r="AS63" i="130" a="1"/>
  <c r="AA73" i="130" a="1"/>
  <c r="AX20" i="130" a="1"/>
  <c r="D55" i="130" a="1"/>
  <c r="J44" i="130" a="1"/>
  <c r="N62" i="130" a="1"/>
  <c r="BB67" i="130" a="1"/>
  <c r="I81" i="130" a="1"/>
  <c r="AS21" i="130" a="1"/>
  <c r="AQ11" i="130" a="1"/>
  <c r="AC11" i="130" a="1"/>
  <c r="AR8" i="130" a="1"/>
  <c r="BE80" i="130" a="1"/>
  <c r="BJ71" i="130" a="1"/>
  <c r="BO6" i="132" a="1"/>
  <c r="AD24" i="130" a="1"/>
  <c r="Y8" i="132" a="1"/>
  <c r="DX7" i="132" a="1"/>
  <c r="BB60" i="130" a="1"/>
  <c r="BB59" i="130" a="1"/>
  <c r="CD16" i="132" a="1"/>
  <c r="BP9" i="132" a="1"/>
  <c r="F56" i="130" a="1"/>
  <c r="AQ15" i="130" a="1"/>
  <c r="AK60" i="130" a="1"/>
  <c r="AE16" i="132" a="1"/>
  <c r="AA83" i="130" a="1"/>
  <c r="AZ78" i="130" a="1"/>
  <c r="AF87" i="130" a="1"/>
  <c r="BH38" i="130" a="1"/>
  <c r="F89" i="130" a="1"/>
  <c r="L75" i="130" a="1"/>
  <c r="AV68" i="130" a="1"/>
  <c r="AJ51" i="130" a="1"/>
  <c r="S62" i="130" a="1"/>
  <c r="O63" i="130" a="1"/>
  <c r="E65" i="130" a="1"/>
  <c r="BB77" i="130" a="1"/>
  <c r="BC74" i="130" a="1"/>
  <c r="AB47" i="130" a="1"/>
  <c r="AN15" i="130" a="1"/>
  <c r="BF84" i="130" a="1"/>
  <c r="D68" i="130" a="1"/>
  <c r="M19" i="130" a="1"/>
  <c r="AL36" i="130" a="1"/>
  <c r="AC30" i="130" a="1"/>
  <c r="BG87" i="130" a="1"/>
  <c r="Y40" i="130" a="1"/>
  <c r="L34" i="130" a="1"/>
  <c r="CZ8" i="132" a="1"/>
  <c r="AS35" i="130" a="1"/>
  <c r="AP11" i="132" a="1"/>
  <c r="DT13" i="132" a="1"/>
  <c r="Z17" i="130" a="1"/>
  <c r="AW70" i="130" a="1"/>
  <c r="E15" i="132" a="1"/>
  <c r="BF79" i="130" a="1"/>
  <c r="AU85" i="130" a="1"/>
  <c r="BC86" i="130" a="1"/>
  <c r="M9" i="132" a="1"/>
  <c r="J58" i="130" a="1"/>
  <c r="AI71" i="130" a="1"/>
  <c r="N68" i="130" a="1"/>
  <c r="BK43" i="130" a="1"/>
  <c r="GU6" i="132" a="1"/>
  <c r="GB5" i="132" a="1"/>
  <c r="GK9" i="132" a="1"/>
  <c r="FS8" i="132" a="1"/>
  <c r="AC5" i="132" a="1"/>
  <c r="ET9" i="132" a="1"/>
  <c r="HC12" i="132" a="1"/>
  <c r="I14" i="132" a="1"/>
  <c r="CR8" i="132" a="1"/>
  <c r="DA6" i="132" a="1"/>
  <c r="EY16" i="132" a="1"/>
  <c r="EP8" i="132" a="1"/>
  <c r="AB9" i="132" a="1"/>
  <c r="EW13" i="132" a="1"/>
  <c r="AT44" i="130" a="1"/>
  <c r="BS7" i="132" a="1"/>
  <c r="DA11" i="132" a="1"/>
  <c r="AE73" i="130" a="1"/>
  <c r="BE38" i="130" a="1"/>
  <c r="CI15" i="132" a="1"/>
  <c r="BF42" i="130" a="1"/>
  <c r="Q81" i="130" a="1"/>
  <c r="AH58" i="130" a="1"/>
  <c r="EN13" i="132" a="1"/>
  <c r="AW83" i="130" a="1"/>
  <c r="AJ83" i="130" a="1"/>
  <c r="GA5" i="132" a="1"/>
  <c r="H56" i="130" a="1"/>
  <c r="M72" i="130" a="1"/>
  <c r="AW9" i="130" a="1"/>
  <c r="X81" i="130" a="1"/>
  <c r="AR69" i="130" a="1"/>
  <c r="GK7" i="132" a="1"/>
  <c r="BB70" i="130" a="1"/>
  <c r="AR37" i="130" a="1"/>
  <c r="F40" i="130" a="1"/>
  <c r="AY44" i="130" a="1"/>
  <c r="AH17" i="130" a="1"/>
  <c r="O14" i="130" a="1"/>
  <c r="CW11" i="132" a="1"/>
  <c r="AU69" i="130" a="1"/>
  <c r="BG40" i="130" a="1"/>
  <c r="R65" i="130" a="1"/>
  <c r="AV16" i="132" a="1"/>
  <c r="AD61" i="130" a="1"/>
  <c r="GG12" i="132" a="1"/>
  <c r="ED7" i="132" a="1"/>
  <c r="AW75" i="130" a="1"/>
  <c r="AO52" i="130" a="1"/>
  <c r="FO8" i="132" a="1"/>
  <c r="AB85" i="130" a="1"/>
  <c r="K85" i="130" a="1"/>
  <c r="AS73" i="130" a="1"/>
  <c r="GM6" i="132" a="1"/>
  <c r="BI74" i="130" a="1"/>
  <c r="AN13" i="130" a="1"/>
  <c r="AL43" i="130" a="1"/>
  <c r="AP63" i="130" a="1"/>
  <c r="AY5" i="130" a="1"/>
  <c r="BE25" i="130" a="1"/>
  <c r="BF63" i="130" a="1"/>
  <c r="H67" i="130" a="1"/>
  <c r="I30" i="130" a="1"/>
  <c r="BC17" i="130" a="1"/>
  <c r="AJ78" i="130" a="1"/>
  <c r="BH51" i="130" a="1"/>
  <c r="BA68" i="130" a="1"/>
  <c r="AU58" i="130" a="1"/>
  <c r="AQ25" i="130" a="1"/>
  <c r="BE40" i="130" a="1"/>
  <c r="BD63" i="130" a="1"/>
  <c r="R73" i="130" a="1"/>
  <c r="AD85" i="130" a="1"/>
  <c r="C22" i="130" a="1"/>
  <c r="AR5" i="130" a="1"/>
  <c r="W29" i="130" a="1"/>
  <c r="AW80" i="130" a="1"/>
  <c r="BD45" i="130" a="1"/>
  <c r="AX11" i="132" a="1"/>
  <c r="AN89" i="130" a="1"/>
  <c r="CP8" i="132" a="1"/>
  <c r="CH9" i="132" a="1"/>
  <c r="AR60" i="130" a="1"/>
  <c r="P79" i="130" a="1"/>
  <c r="CQ8" i="132" a="1"/>
  <c r="AQ24" i="130" a="1"/>
  <c r="AH32" i="130" a="1"/>
  <c r="AU79" i="130" a="1"/>
  <c r="BZ11" i="132" a="1"/>
  <c r="AM60" i="130" a="1"/>
  <c r="G87" i="130" a="1"/>
  <c r="K9" i="130" a="1"/>
  <c r="AK13" i="130" a="1"/>
  <c r="AM5" i="130" a="1"/>
  <c r="C61" i="130" a="1"/>
  <c r="S41" i="130" a="1"/>
  <c r="C30" i="130" a="1"/>
  <c r="O85" i="130" a="1"/>
  <c r="BF64" i="130" a="1"/>
  <c r="AT88" i="130" a="1"/>
  <c r="E8" i="130" a="1"/>
  <c r="I75" i="130" a="1"/>
  <c r="AJ45" i="130" a="1"/>
  <c r="R67" i="130" a="1"/>
  <c r="D81" i="130" a="1"/>
  <c r="AB64" i="130" a="1"/>
  <c r="Q17" i="130" a="1"/>
  <c r="BF35" i="130" a="1"/>
  <c r="BD37" i="130" a="1"/>
  <c r="BE16" i="130" a="1"/>
  <c r="AA58" i="130" a="1"/>
  <c r="AA16" i="130" a="1"/>
  <c r="GG16" i="132" a="1"/>
  <c r="AD41" i="130" a="1"/>
  <c r="GX13" i="132" a="1"/>
  <c r="CS7" i="132" a="1"/>
  <c r="Y64" i="130" a="1"/>
  <c r="AH9" i="130" a="1"/>
  <c r="N76" i="130" a="1"/>
  <c r="DR6" i="132" a="1"/>
  <c r="BC28" i="130" a="1"/>
  <c r="AV52" i="130" a="1"/>
  <c r="AR23" i="130" a="1"/>
  <c r="Z16" i="132" a="1"/>
  <c r="BF51" i="130" a="1"/>
  <c r="BC89" i="130" a="1"/>
  <c r="X7" i="132" a="1"/>
  <c r="EI13" i="132" a="1"/>
  <c r="EP7" i="132" a="1"/>
  <c r="BQ5" i="132" a="1"/>
  <c r="AW46" i="130" a="1"/>
  <c r="AT57" i="130" a="1"/>
  <c r="AJ69" i="130" a="1"/>
  <c r="AQ9" i="130" a="1"/>
  <c r="BC88" i="130" a="1"/>
  <c r="I55" i="130" a="1"/>
  <c r="AQ71" i="130" a="1"/>
  <c r="CK5" i="132" a="1"/>
  <c r="F77" i="130" a="1"/>
  <c r="H52" i="130" a="1"/>
  <c r="BK18" i="130" a="1"/>
  <c r="BF72" i="130" a="1"/>
  <c r="BZ12" i="132" a="1"/>
  <c r="L21" i="130" a="1"/>
  <c r="AD60" i="130" a="1"/>
  <c r="J29" i="130" a="1"/>
  <c r="AA67" i="130" a="1"/>
  <c r="U14" i="130" a="1"/>
  <c r="AZ68" i="130" a="1"/>
  <c r="BE64" i="130" a="1"/>
  <c r="AO9" i="132" a="1"/>
  <c r="AP74" i="130" a="1"/>
  <c r="BB13" i="130" a="1"/>
  <c r="V70" i="130" a="1"/>
  <c r="BA58" i="130" a="1"/>
  <c r="M34" i="130" a="1"/>
  <c r="AK88" i="130" a="1"/>
  <c r="P9" i="130" a="1"/>
  <c r="BA33" i="130" a="1"/>
  <c r="F37" i="130" a="1"/>
  <c r="BG13" i="130" a="1"/>
  <c r="AE26" i="130" a="1"/>
  <c r="AL89" i="130" a="1"/>
  <c r="AB22" i="130" a="1"/>
  <c r="D85" i="130" a="1"/>
  <c r="AR89" i="130" a="1"/>
  <c r="M45" i="130" a="1"/>
  <c r="CR9" i="132" a="1"/>
  <c r="M29" i="130" a="1"/>
  <c r="BT8" i="132" a="1"/>
  <c r="BA67" i="130" a="1"/>
  <c r="FA7" i="132" a="1"/>
  <c r="P52" i="130" a="1"/>
  <c r="V65" i="130" a="1"/>
  <c r="AP37" i="130" a="1"/>
  <c r="BE45" i="130" a="1"/>
  <c r="BD7" i="130" a="1"/>
  <c r="I72" i="130" a="1"/>
  <c r="C38" i="130" a="1"/>
  <c r="K66" i="130" a="1"/>
  <c r="K10" i="130" a="1"/>
  <c r="AB81" i="130" a="1"/>
  <c r="O75" i="130" a="1"/>
  <c r="AV74" i="130" a="1"/>
  <c r="V44" i="130" a="1"/>
  <c r="CO6" i="132" a="1"/>
  <c r="C56" i="130" a="1"/>
  <c r="X85" i="130" a="1"/>
  <c r="AY89" i="130" a="1"/>
  <c r="AU41" i="130" a="1"/>
  <c r="U12" i="130" a="1"/>
  <c r="AT86" i="130" a="1"/>
  <c r="AE23" i="130" a="1"/>
  <c r="Q67" i="130" a="1"/>
  <c r="AI64" i="130" a="1"/>
  <c r="AD32" i="130" a="1"/>
  <c r="Y20" i="130" a="1"/>
  <c r="U88" i="130" a="1"/>
  <c r="M85" i="130" a="1"/>
  <c r="R51" i="130" a="1"/>
  <c r="G52" i="130" a="1"/>
  <c r="AZ38" i="130" a="1"/>
  <c r="BA51" i="130" a="1"/>
  <c r="BC14" i="130" a="1"/>
  <c r="BA13" i="130" a="1"/>
  <c r="BA32" i="130" a="1"/>
  <c r="BF10" i="130" a="1"/>
  <c r="AR81" i="130" a="1"/>
  <c r="K31" i="130" a="1"/>
  <c r="AB39" i="130" a="1"/>
  <c r="AP28" i="130" a="1"/>
  <c r="AX23" i="130" a="1"/>
  <c r="AI62" i="130" a="1"/>
  <c r="AB82" i="130" a="1"/>
  <c r="E81" i="130" a="1"/>
  <c r="AH38" i="130" a="1"/>
  <c r="BH19" i="130" a="1"/>
  <c r="AE21" i="130" a="1"/>
  <c r="AK85" i="130" a="1"/>
  <c r="AA39" i="130" a="1"/>
  <c r="C25" i="130" a="1"/>
  <c r="Q33" i="130" a="1"/>
  <c r="E16" i="130" a="1"/>
  <c r="AJ24" i="130" a="1"/>
  <c r="AM23" i="130" a="1"/>
  <c r="AX14" i="130" a="1"/>
  <c r="G19" i="130" a="1"/>
  <c r="M55" i="130" a="1"/>
  <c r="AS7" i="130" a="1"/>
  <c r="T79" i="130" a="1"/>
  <c r="AZ72" i="130" a="1"/>
  <c r="AE17" i="130" a="1"/>
  <c r="K52" i="130" a="1"/>
  <c r="AU25" i="130" a="1"/>
  <c r="AJ44" i="130" a="1"/>
  <c r="H11" i="130" a="1"/>
  <c r="Q27" i="130" a="1"/>
  <c r="BJ47" i="130" a="1"/>
  <c r="AS67" i="130" a="1"/>
  <c r="AG38" i="130" a="1"/>
  <c r="Q11" i="130" a="1"/>
  <c r="AU28" i="130" a="1"/>
  <c r="BB44" i="130" a="1"/>
  <c r="H44" i="130" a="1"/>
  <c r="I15" i="130" a="1"/>
  <c r="AH40" i="130" a="1"/>
  <c r="BC60" i="130" a="1"/>
  <c r="AS28" i="130" a="1"/>
  <c r="Q75" i="130" a="1"/>
  <c r="AP67" i="130" a="1"/>
  <c r="BF86" i="130" a="1"/>
  <c r="BD83" i="130" a="1"/>
  <c r="AU39" i="130" a="1"/>
  <c r="AK22" i="130" a="1"/>
  <c r="BM15" i="132" a="1"/>
  <c r="DB13" i="132" a="1"/>
  <c r="BU14" i="132" a="1"/>
  <c r="GD8" i="132" a="1"/>
  <c r="V77" i="130" a="1"/>
  <c r="S85" i="130" a="1"/>
  <c r="AZ5" i="132" a="1"/>
  <c r="AN79" i="130" a="1"/>
  <c r="W58" i="130" a="1"/>
  <c r="AX62" i="130" a="1"/>
  <c r="AQ55" i="130" a="1"/>
  <c r="Z84" i="130" a="1"/>
  <c r="AV38" i="130" a="1"/>
  <c r="AX26" i="130" a="1"/>
  <c r="K58" i="130" a="1"/>
  <c r="BG24" i="130" a="1"/>
  <c r="AC46" i="130" a="1"/>
  <c r="V72" i="130" a="1"/>
  <c r="Y42" i="130" a="1"/>
  <c r="D78" i="130" a="1"/>
  <c r="DK16" i="132" a="1"/>
  <c r="AY6" i="132" a="1"/>
  <c r="AC8" i="132" a="1"/>
  <c r="GW7" i="132" a="1"/>
  <c r="DM11" i="132" a="1"/>
  <c r="EB15" i="132" a="1"/>
  <c r="CY12" i="132" a="1"/>
  <c r="FZ13" i="132" a="1"/>
  <c r="AW5" i="132" a="1"/>
  <c r="DU14" i="132" a="1"/>
  <c r="DU6" i="132" a="1"/>
  <c r="L12" i="132" a="1"/>
  <c r="DO8" i="132" a="1"/>
  <c r="DQ11" i="132" a="1"/>
  <c r="HD5" i="132" a="1"/>
  <c r="BR16" i="132" a="1"/>
  <c r="EU6" i="132" a="1"/>
  <c r="CM7" i="132" a="1"/>
  <c r="EA15" i="132" a="1"/>
  <c r="HB15" i="132" a="1"/>
  <c r="CL15" i="132" a="1"/>
  <c r="GM14" i="132" a="1"/>
  <c r="GV13" i="132" a="1"/>
  <c r="EE14" i="132" a="1"/>
  <c r="CL14" i="132" a="1"/>
  <c r="AW9" i="132" a="1"/>
  <c r="DF13" i="132" a="1"/>
  <c r="BF13" i="132" a="1"/>
  <c r="U75" i="130" a="1"/>
  <c r="AM8" i="132" a="1"/>
  <c r="BY13" i="132" a="1"/>
  <c r="GX6" i="132" a="1"/>
  <c r="FN16" i="132" a="1"/>
  <c r="DR16" i="132" a="1"/>
  <c r="EC15" i="132" a="1"/>
  <c r="I11" i="130" a="1"/>
  <c r="K60" i="130" a="1"/>
  <c r="AP87" i="130" a="1"/>
  <c r="U69" i="130" a="1"/>
  <c r="AD14" i="132" a="1"/>
  <c r="AK62" i="130" a="1"/>
  <c r="AA74" i="130" a="1"/>
  <c r="AQ34" i="130" a="1"/>
  <c r="M71" i="130" a="1"/>
  <c r="W80" i="130" a="1"/>
  <c r="AF13" i="130" a="1"/>
  <c r="ED6" i="132" a="1"/>
  <c r="CJ6" i="132" a="1"/>
  <c r="BN14" i="132" a="1"/>
  <c r="AY41" i="130" a="1"/>
  <c r="AO18" i="130" a="1"/>
  <c r="AT41" i="130" a="1"/>
  <c r="Y7" i="132" a="1"/>
  <c r="AW68" i="130" a="1"/>
  <c r="AO41" i="130" a="1"/>
  <c r="AE78" i="130" a="1"/>
  <c r="P68" i="130" a="1"/>
  <c r="AX15" i="132" a="1"/>
  <c r="AU5" i="130" a="1"/>
  <c r="T8" i="132" a="1"/>
  <c r="AZ80" i="130" a="1"/>
  <c r="M56" i="130" a="1"/>
  <c r="C17" i="130" a="1"/>
  <c r="U47" i="130" a="1"/>
  <c r="AO82" i="130" a="1"/>
  <c r="BL6" i="132" a="1"/>
  <c r="Y32" i="130" a="1"/>
  <c r="BI37" i="130" a="1"/>
  <c r="T58" i="130" a="1"/>
  <c r="O12" i="130" a="1"/>
  <c r="AM59" i="130" a="1"/>
  <c r="J37" i="130" a="1"/>
  <c r="AB33" i="130" a="1"/>
  <c r="AR85" i="130" a="1"/>
  <c r="EY5" i="132" a="1"/>
  <c r="AP32" i="130" a="1"/>
  <c r="AT67" i="130" a="1"/>
  <c r="N15" i="132" a="1"/>
  <c r="BQ12" i="132" a="1"/>
  <c r="CY14" i="132" a="1"/>
  <c r="FE15" i="132" a="1"/>
  <c r="AT28" i="130" a="1"/>
  <c r="M76" i="130" a="1"/>
  <c r="L18" i="130" a="1"/>
  <c r="BE33" i="130" a="1"/>
  <c r="X39" i="130" a="1"/>
  <c r="BK11" i="130" a="1"/>
  <c r="AB78" i="130" a="1"/>
  <c r="G56" i="130" a="1"/>
  <c r="S70" i="130" a="1"/>
  <c r="Z55" i="130" a="1"/>
  <c r="AO37" i="130" a="1"/>
  <c r="L47" i="130" a="1"/>
  <c r="FF7" i="132" a="1"/>
  <c r="F69" i="130" a="1"/>
  <c r="AH78" i="130" a="1"/>
  <c r="F19" i="130" a="1"/>
  <c r="BA73" i="130" a="1"/>
  <c r="L67" i="130" a="1"/>
  <c r="AI38" i="130" a="1"/>
  <c r="AB79" i="130" a="1"/>
  <c r="K80" i="130" a="1"/>
  <c r="E71" i="130" a="1"/>
  <c r="T84" i="130" a="1"/>
  <c r="AT16" i="130" a="1"/>
  <c r="DK5" i="132" a="1"/>
  <c r="CW15" i="132" a="1"/>
  <c r="FB12" i="132" a="1"/>
  <c r="Y5" i="130" a="1"/>
  <c r="DK8" i="132" a="1"/>
  <c r="AW6" i="132" a="1"/>
  <c r="AJ39" i="130" a="1"/>
  <c r="R44" i="130" a="1"/>
  <c r="Z65" i="130" a="1"/>
  <c r="AS69" i="130" a="1"/>
  <c r="AR86" i="130" a="1"/>
  <c r="P86" i="130" a="1"/>
  <c r="AZ45" i="130" a="1"/>
  <c r="BD77" i="130" a="1"/>
  <c r="Z89" i="130" a="1"/>
  <c r="AD34" i="130" a="1"/>
  <c r="AB88" i="130" a="1"/>
  <c r="BV12" i="132" a="1"/>
  <c r="AI85" i="130" a="1"/>
  <c r="BD59" i="130" a="1"/>
  <c r="BF82" i="130" a="1"/>
  <c r="U67" i="130" a="1"/>
  <c r="AI70" i="130" a="1"/>
  <c r="R79" i="130" a="1"/>
  <c r="AY81" i="130" a="1"/>
  <c r="T21" i="130" a="1"/>
  <c r="AE25" i="130" a="1"/>
  <c r="AG14" i="130" a="1"/>
  <c r="F59" i="130" a="1"/>
  <c r="M52" i="130" a="1"/>
  <c r="AZ29" i="130" a="1"/>
  <c r="AB71" i="130" a="1"/>
  <c r="R57" i="130" a="1"/>
  <c r="BA42" i="130" a="1"/>
  <c r="I73" i="130" a="1"/>
  <c r="F33" i="130" a="1"/>
  <c r="Q7" i="132" a="1"/>
  <c r="BK7" i="132" a="1"/>
  <c r="AU55" i="130" a="1"/>
  <c r="EA16" i="132" a="1"/>
  <c r="Y22" i="130" a="1"/>
  <c r="BB8" i="130" a="1"/>
  <c r="AV66" i="130" a="1"/>
  <c r="HF6" i="132" a="1"/>
  <c r="DI15" i="132" a="1"/>
  <c r="O13" i="132" a="1"/>
  <c r="AY47" i="130" a="1"/>
  <c r="AX47" i="130" a="1"/>
  <c r="BK84" i="130" a="1"/>
  <c r="FP6" i="132" a="1"/>
  <c r="J52" i="130" a="1"/>
  <c r="DC5" i="132" a="1"/>
  <c r="BG74" i="130" a="1"/>
  <c r="AW51" i="130" a="1"/>
  <c r="AE43" i="130" a="1"/>
  <c r="AB18" i="130" a="1"/>
  <c r="AM35" i="130" a="1"/>
  <c r="AT76" i="130" a="1"/>
  <c r="F82" i="130" a="1"/>
  <c r="BE67" i="130" a="1"/>
  <c r="X57" i="130" a="1"/>
  <c r="AF76" i="130" a="1"/>
  <c r="U60" i="130" a="1"/>
  <c r="Y79" i="130" a="1"/>
  <c r="I66" i="130" a="1"/>
  <c r="J15" i="130" a="1"/>
  <c r="BF44" i="130" a="1"/>
  <c r="AE10" i="130" a="1"/>
  <c r="AT81" i="130" a="1"/>
  <c r="O55" i="130" a="1"/>
  <c r="F60" i="130" a="1"/>
  <c r="D44" i="130" a="1"/>
  <c r="AV71" i="130" a="1"/>
  <c r="L79" i="130" a="1"/>
  <c r="W35" i="130" a="1"/>
  <c r="AQ18" i="130" a="1"/>
  <c r="V17" i="130" a="1"/>
  <c r="C58" i="130" a="1"/>
  <c r="BE8" i="130" a="1"/>
  <c r="AC20" i="130" a="1"/>
  <c r="AP19" i="130" a="1"/>
  <c r="AG56" i="130" a="1"/>
  <c r="BH60" i="130" a="1"/>
  <c r="AE27" i="130" a="1"/>
  <c r="T5" i="130" a="1"/>
  <c r="H21" i="130" a="1"/>
  <c r="AL45" i="130" a="1"/>
  <c r="FY14" i="132" a="1"/>
  <c r="BJ68" i="130" a="1"/>
  <c r="AZ17" i="130" a="1"/>
  <c r="BI14" i="130" a="1"/>
  <c r="AQ51" i="130" a="1"/>
  <c r="H17" i="130" a="1"/>
  <c r="Y11" i="130" a="1"/>
  <c r="U31" i="130" a="1"/>
  <c r="AI82" i="130" a="1"/>
  <c r="AP65" i="130" a="1"/>
  <c r="AF7" i="130" a="1"/>
  <c r="AF34" i="130" a="1"/>
  <c r="F74" i="130" a="1"/>
  <c r="R19" i="130" a="1"/>
  <c r="AM30" i="130" a="1"/>
  <c r="X26" i="130" a="1"/>
  <c r="V89" i="130" a="1"/>
  <c r="BA60" i="130" a="1"/>
  <c r="AA56" i="130" a="1"/>
  <c r="AX58" i="130" a="1"/>
  <c r="T17" i="130" a="1"/>
  <c r="AH64" i="130" a="1"/>
  <c r="AI89" i="130" a="1"/>
  <c r="AB15" i="130" a="1"/>
  <c r="E18" i="130" a="1"/>
  <c r="BK76" i="130" a="1"/>
  <c r="AN71" i="130" a="1"/>
  <c r="O18" i="130" a="1"/>
  <c r="F63" i="130" a="1"/>
  <c r="H78" i="130" a="1"/>
  <c r="AK36" i="130" a="1"/>
  <c r="S13" i="130" a="1"/>
  <c r="BF59" i="130" a="1"/>
  <c r="AK63" i="130" a="1"/>
  <c r="J18" i="130" a="1"/>
  <c r="V31" i="130" a="1"/>
  <c r="BG89" i="130" a="1"/>
  <c r="AI18" i="130" a="1"/>
  <c r="AF64" i="130" a="1"/>
  <c r="L73" i="130" a="1"/>
  <c r="AN44" i="130" a="1"/>
  <c r="AY32" i="130" a="1"/>
  <c r="R26" i="130" a="1"/>
  <c r="C15" i="130" a="1"/>
  <c r="H62" i="130" a="1"/>
  <c r="N35" i="130" a="1"/>
  <c r="L64" i="130" a="1"/>
  <c r="AL34" i="130" a="1"/>
  <c r="U15" i="130" a="1"/>
  <c r="F29" i="130" a="1"/>
  <c r="AJ76" i="130" a="1"/>
  <c r="X24" i="130" a="1"/>
  <c r="AO19" i="130" a="1"/>
  <c r="N89" i="130" a="1"/>
  <c r="I18" i="130" a="1"/>
  <c r="AX66" i="130" a="1"/>
  <c r="BG41" i="130" a="1"/>
  <c r="AX8" i="130" a="1"/>
  <c r="BA71" i="130" a="1"/>
  <c r="F46" i="130" a="1"/>
  <c r="E66" i="130" a="1"/>
  <c r="BE57" i="130" a="1"/>
  <c r="AC88" i="130" a="1"/>
  <c r="BB32" i="130" a="1"/>
  <c r="AY59" i="130" a="1"/>
  <c r="BA26" i="130" a="1"/>
  <c r="T52" i="130" a="1"/>
  <c r="V63" i="130" a="1"/>
  <c r="AP10" i="130" a="1"/>
  <c r="AD16" i="130" a="1"/>
  <c r="AO88" i="130" a="1"/>
  <c r="Q55" i="130" a="1"/>
  <c r="AI10" i="130" a="1"/>
  <c r="AB13" i="130" a="1"/>
  <c r="AM63" i="130" a="1"/>
  <c r="T68" i="130" a="1"/>
  <c r="BH65" i="130" a="1"/>
  <c r="Q30" i="130" a="1"/>
  <c r="K40" i="130" a="1"/>
  <c r="X75" i="130" a="1"/>
  <c r="C20" i="130" a="1"/>
  <c r="AD79" i="130" a="1"/>
  <c r="F17" i="130" a="1"/>
  <c r="AH62" i="130" a="1"/>
  <c r="AT22" i="130" a="1"/>
  <c r="K24" i="130" a="1"/>
  <c r="N31" i="130" a="1"/>
  <c r="AA76" i="130" a="1"/>
  <c r="D31" i="130" a="1"/>
  <c r="AW17" i="130" a="1"/>
  <c r="AH19" i="130" a="1"/>
  <c r="AL42" i="130" a="1"/>
  <c r="AO27" i="130" a="1"/>
  <c r="AU56" i="130" a="1"/>
  <c r="AG39" i="130" a="1"/>
  <c r="AU68" i="130" a="1"/>
  <c r="AN28" i="130" a="1"/>
  <c r="AP13" i="130" a="1"/>
  <c r="M16" i="130" a="1"/>
  <c r="AB21" i="130" a="1"/>
  <c r="AN30" i="130" a="1"/>
  <c r="H16" i="130" a="1"/>
  <c r="Y34" i="130" a="1"/>
  <c r="AR10" i="130" a="1"/>
  <c r="AL21" i="130" a="1"/>
  <c r="AY29" i="130" a="1"/>
  <c r="BB45" i="130" a="1"/>
  <c r="S31" i="130" a="1"/>
  <c r="AG44" i="130" a="1"/>
  <c r="AN68" i="130" a="1"/>
  <c r="AH30" i="130" a="1"/>
  <c r="Z44" i="130" a="1"/>
  <c r="AI67" i="130" a="1"/>
  <c r="AW37" i="130" a="1"/>
  <c r="F73" i="130" a="1"/>
  <c r="U26" i="130" a="1"/>
  <c r="AH18" i="130" a="1"/>
  <c r="T89" i="130" a="1"/>
  <c r="N17" i="130" a="1"/>
  <c r="AN46" i="130" a="1"/>
  <c r="AJ12" i="130" a="1"/>
  <c r="BD36" i="130" a="1"/>
  <c r="AX31" i="130" a="1"/>
  <c r="E46" i="130" a="1"/>
  <c r="E44" i="130" a="1"/>
  <c r="BG30" i="130" a="1"/>
  <c r="Q58" i="130" a="1"/>
  <c r="BF16" i="130" a="1"/>
  <c r="L76" i="130" a="1"/>
  <c r="AP47" i="130" a="1"/>
  <c r="AA81" i="130" a="1"/>
  <c r="AC82" i="130" a="1"/>
  <c r="Q5" i="130" a="1"/>
  <c r="EN16" i="132" a="1"/>
  <c r="GM7" i="132" a="1"/>
  <c r="BH11" i="132" a="1"/>
  <c r="CK13" i="132" a="1"/>
  <c r="AF18" i="130" a="1"/>
  <c r="Q74" i="130" a="1"/>
  <c r="L9" i="130" a="1"/>
  <c r="R82" i="130" a="1"/>
  <c r="E87" i="130" a="1"/>
  <c r="AM62" i="130" a="1"/>
  <c r="AN52" i="130" a="1"/>
  <c r="AT58" i="130" a="1"/>
  <c r="AM79" i="130" a="1"/>
  <c r="L85" i="130" a="1"/>
  <c r="E83" i="130" a="1"/>
  <c r="Y63" i="130" a="1"/>
  <c r="BD69" i="130" a="1"/>
  <c r="AN5" i="130" a="1"/>
  <c r="AI58" i="130" a="1"/>
  <c r="H5" i="130" a="1"/>
  <c r="BE83" i="130" a="1"/>
  <c r="K35" i="130" a="1"/>
  <c r="BR12" i="132" a="1"/>
  <c r="CP5" i="132" a="1"/>
  <c r="BE34" i="130" a="1"/>
  <c r="AH11" i="132" a="1"/>
  <c r="BI22" i="130" a="1"/>
  <c r="GG7" i="132" a="1"/>
  <c r="BB41" i="130" a="1"/>
  <c r="BG36" i="130" a="1"/>
  <c r="F68" i="130" a="1"/>
  <c r="H35" i="130" a="1"/>
  <c r="AX11" i="130" a="1"/>
  <c r="AY74" i="130" a="1"/>
  <c r="W13" i="130" a="1"/>
  <c r="L22" i="130" a="1"/>
  <c r="J72" i="130" a="1"/>
  <c r="AH60" i="130" a="1"/>
  <c r="AB44" i="130" a="1"/>
  <c r="AQ8" i="130" a="1"/>
  <c r="AN12" i="132" a="1"/>
  <c r="BA61" i="130" a="1"/>
  <c r="BJ24" i="130" a="1"/>
  <c r="AD68" i="130" a="1"/>
  <c r="P51" i="130" a="1"/>
  <c r="AH70" i="130" a="1"/>
  <c r="AP42" i="130" a="1"/>
  <c r="AA82" i="130" a="1"/>
  <c r="AN57" i="130" a="1"/>
  <c r="M10" i="130" a="1"/>
  <c r="BJ45" i="130" a="1"/>
  <c r="E41" i="130" a="1"/>
  <c r="DL12" i="132" a="1"/>
  <c r="BK82" i="130" a="1"/>
  <c r="AQ58" i="130" a="1"/>
  <c r="AI80" i="130" a="1"/>
  <c r="AY84" i="130" a="1"/>
  <c r="AQ42" i="130" a="1"/>
  <c r="AW26" i="130" a="1"/>
  <c r="M77" i="130" a="1"/>
  <c r="AK81" i="130" a="1"/>
  <c r="N87" i="130" a="1"/>
  <c r="AO34" i="130" a="1"/>
  <c r="AA59" i="130" a="1"/>
  <c r="Y62" i="130" a="1"/>
  <c r="U37" i="130" a="1"/>
  <c r="N52" i="130" a="1"/>
  <c r="AJ14" i="130" a="1"/>
  <c r="K62" i="130" a="1"/>
  <c r="AA9" i="130" a="1"/>
  <c r="AB61" i="130" a="1"/>
  <c r="R70" i="130" a="1"/>
  <c r="AT79" i="130" a="1"/>
  <c r="AK37" i="130" a="1"/>
  <c r="Y68" i="130" a="1"/>
  <c r="G51" i="130" a="1"/>
  <c r="AL35" i="130" a="1"/>
  <c r="V27" i="130" a="1"/>
  <c r="AM56" i="130" a="1"/>
  <c r="Y88" i="130" a="1"/>
  <c r="M22" i="130" a="1"/>
  <c r="V19" i="130" a="1"/>
  <c r="V39" i="130" a="1"/>
  <c r="N18" i="130" a="1"/>
  <c r="AH28" i="130" a="1"/>
  <c r="AX38" i="130" a="1"/>
  <c r="R27" i="130" a="1"/>
  <c r="AP39" i="130" a="1"/>
  <c r="AD20" i="130" a="1"/>
  <c r="BJ15" i="130" a="1"/>
  <c r="I33" i="130" a="1"/>
  <c r="U19" i="130" a="1"/>
  <c r="BB33" i="130" a="1"/>
  <c r="AV75" i="130" a="1"/>
  <c r="AJ11" i="130" a="1"/>
  <c r="D26" i="130" a="1"/>
  <c r="AQ62" i="130" a="1"/>
  <c r="AO76" i="130" a="1"/>
  <c r="N40" i="130" a="1"/>
  <c r="AI45" i="130" a="1"/>
  <c r="Z58" i="130" a="1"/>
  <c r="AO26" i="130" a="1"/>
  <c r="P70" i="130" a="1"/>
  <c r="BH57" i="130" a="1"/>
  <c r="T9" i="130" a="1"/>
  <c r="S67" i="130" a="1"/>
  <c r="AG77" i="130" a="1"/>
  <c r="BK88" i="130" a="1"/>
  <c r="AW7" i="130" a="1"/>
  <c r="AL58" i="130" a="1"/>
  <c r="K51" i="130" a="1"/>
  <c r="AK8" i="132" a="1"/>
  <c r="U13" i="130" a="1"/>
  <c r="T87" i="130" a="1"/>
  <c r="BK60" i="130" a="1"/>
  <c r="BJ20" i="130" a="1"/>
  <c r="W42" i="130" a="1"/>
  <c r="BJ74" i="130" a="1"/>
  <c r="BJ42" i="130" a="1"/>
  <c r="AE56" i="130" a="1"/>
  <c r="AS6" i="132" a="1"/>
  <c r="CI5" i="132" a="1"/>
  <c r="M7" i="132" a="1"/>
  <c r="Z9" i="130" a="1"/>
  <c r="AA75" i="130" a="1"/>
  <c r="H72" i="130" a="1"/>
  <c r="FK7" i="132" a="1"/>
  <c r="AJ37" i="130" a="1"/>
  <c r="BE76" i="130" a="1"/>
  <c r="AE19" i="130" a="1"/>
  <c r="G28" i="130" a="1"/>
  <c r="BQ8" i="132" a="1"/>
  <c r="C13" i="130" a="1"/>
  <c r="G7" i="130" a="1"/>
  <c r="R87" i="130" a="1"/>
  <c r="BD71" i="130" a="1"/>
  <c r="AI37" i="130" a="1"/>
  <c r="Z16" i="130" a="1"/>
  <c r="V18" i="130" a="1"/>
  <c r="BA84" i="130" a="1"/>
  <c r="AA19" i="130" a="1"/>
  <c r="AB16" i="132" a="1"/>
  <c r="AU15" i="132" a="1"/>
  <c r="BB75" i="130" a="1"/>
  <c r="O26" i="130" a="1"/>
  <c r="AW19" i="130" a="1"/>
  <c r="AJ85" i="130" a="1"/>
  <c r="E10" i="130" a="1"/>
  <c r="V88" i="130" a="1"/>
  <c r="R80" i="130" a="1"/>
  <c r="BC33" i="130" a="1"/>
  <c r="W41" i="130" a="1"/>
  <c r="O68" i="130" a="1"/>
  <c r="J30" i="130" a="1"/>
  <c r="W64" i="130" a="1"/>
  <c r="BB47" i="130" a="1"/>
  <c r="AD36" i="130" a="1"/>
  <c r="AW16" i="130" a="1"/>
  <c r="AZ59" i="130" a="1"/>
  <c r="F43" i="130" a="1"/>
  <c r="AU73" i="130" a="1"/>
  <c r="BA66" i="130" a="1"/>
  <c r="K5" i="130" a="1"/>
  <c r="W7" i="130" a="1"/>
  <c r="J55" i="130" a="1"/>
  <c r="AT46" i="130" a="1"/>
  <c r="I37" i="130" a="1"/>
  <c r="O83" i="130" a="1"/>
  <c r="AH21" i="130" a="1"/>
  <c r="BH5" i="130" a="1"/>
  <c r="G63" i="130" a="1"/>
  <c r="R36" i="130" a="1"/>
  <c r="W71" i="130" a="1"/>
  <c r="BI42" i="130" a="1"/>
  <c r="AU18" i="130" a="1"/>
  <c r="AK16" i="130" a="1"/>
  <c r="AU30" i="130" a="1"/>
  <c r="Y21" i="130" a="1"/>
  <c r="AI77" i="130" a="1"/>
  <c r="F76" i="130" a="1"/>
  <c r="AV29" i="130" a="1"/>
  <c r="K67" i="130" a="1"/>
  <c r="BJ88" i="130" a="1"/>
  <c r="Q52" i="130" a="1"/>
  <c r="M8" i="130" a="1"/>
  <c r="AX41" i="130" a="1"/>
  <c r="C80" i="130" a="1"/>
  <c r="V24" i="130" a="1"/>
  <c r="AJ57" i="130" a="1"/>
  <c r="AC45" i="130" a="1"/>
  <c r="BG78" i="130" a="1"/>
  <c r="I45" i="130" a="1"/>
  <c r="BH75" i="130" a="1"/>
  <c r="G57" i="130" a="1"/>
  <c r="AS76" i="130" a="1"/>
  <c r="X51" i="130" a="1"/>
  <c r="AN64" i="130" a="1"/>
  <c r="AX59" i="130" a="1"/>
  <c r="AX68" i="130" a="1"/>
  <c r="AW8" i="130" a="1"/>
  <c r="G86" i="130" a="1"/>
  <c r="BI35" i="130" a="1"/>
  <c r="W18" i="130" a="1"/>
  <c r="BA46" i="130" a="1"/>
  <c r="AE61" i="130" a="1"/>
  <c r="BK85" i="130" a="1"/>
  <c r="I35" i="130" a="1"/>
  <c r="AI5" i="130" a="1"/>
  <c r="AD28" i="130" a="1"/>
  <c r="AM83" i="130" a="1"/>
  <c r="AT18" i="130" a="1"/>
  <c r="AZ12" i="130" a="1"/>
  <c r="AC18" i="130" a="1"/>
  <c r="AJ36" i="130" a="1"/>
  <c r="Q70" i="130" a="1"/>
  <c r="AO57" i="130" a="1"/>
  <c r="BH12" i="132" a="1"/>
  <c r="CY7" i="132" a="1"/>
  <c r="Z88" i="130" a="1"/>
  <c r="R29" i="130" a="1"/>
  <c r="BI15" i="130" a="1"/>
  <c r="E5" i="130" a="1"/>
  <c r="AD84" i="130" a="1"/>
  <c r="AB83" i="130" a="1"/>
  <c r="R69" i="130" a="1"/>
  <c r="AK66" i="130" a="1"/>
  <c r="AK58" i="130" a="1"/>
  <c r="BJ72" i="130" a="1"/>
  <c r="T34" i="130" a="1"/>
  <c r="N33" i="130" a="1"/>
  <c r="AO30" i="130" a="1"/>
  <c r="E61" i="130" a="1"/>
  <c r="F64" i="130" a="1"/>
  <c r="AG70" i="130" a="1"/>
  <c r="V45" i="130" a="1"/>
  <c r="AG73" i="130" a="1"/>
  <c r="H22" i="130" a="1"/>
  <c r="AF77" i="130" a="1"/>
  <c r="I80" i="130" a="1"/>
  <c r="BD84" i="130" a="1"/>
  <c r="R72" i="130" a="1"/>
  <c r="I46" i="130" a="1"/>
  <c r="BH56" i="130" a="1"/>
  <c r="F78" i="130" a="1"/>
  <c r="BJ32" i="130" a="1"/>
  <c r="X8" i="130" a="1"/>
  <c r="X19" i="130" a="1"/>
  <c r="Z82" i="130" a="1"/>
  <c r="V10" i="130" a="1"/>
  <c r="D19" i="130" a="1"/>
  <c r="BD57" i="130" a="1"/>
  <c r="Z81" i="130" a="1"/>
  <c r="BC73" i="130" a="1"/>
  <c r="BG75" i="130" a="1"/>
  <c r="L82" i="130" a="1"/>
  <c r="AO14" i="130" a="1"/>
  <c r="AK29" i="130" a="1"/>
  <c r="G79" i="130" a="1"/>
  <c r="X13" i="130" a="1"/>
  <c r="AR29" i="130" a="1"/>
  <c r="N80" i="130" a="1"/>
  <c r="BJ26" i="130" a="1"/>
  <c r="V5" i="130" a="1"/>
  <c r="L86" i="130" a="1"/>
  <c r="AJ68" i="130" a="1"/>
  <c r="Z27" i="130" a="1"/>
  <c r="AT75" i="130" a="1"/>
  <c r="AR9" i="130" a="1"/>
  <c r="S66" i="130" a="1"/>
  <c r="S14" i="130" a="1"/>
  <c r="BA7" i="130" a="1"/>
  <c r="W79" i="130" a="1"/>
  <c r="N46" i="130" a="1"/>
  <c r="AY9" i="130" a="1"/>
  <c r="AG86" i="130" a="1"/>
  <c r="AL69" i="130" a="1"/>
  <c r="AF32" i="130" a="1"/>
  <c r="Z66" i="130" a="1"/>
  <c r="L36" i="130" a="1"/>
  <c r="AW74" i="130" a="1"/>
  <c r="AE34" i="130" a="1"/>
  <c r="AV10" i="130" a="1"/>
  <c r="U9" i="130" a="1"/>
  <c r="H45" i="130" a="1"/>
  <c r="BK71" i="130" a="1"/>
  <c r="K64" i="130" a="1"/>
  <c r="M37" i="130" a="1"/>
  <c r="AP8" i="130" a="1"/>
  <c r="BB85" i="130" a="1"/>
  <c r="AC59" i="130" a="1"/>
  <c r="AG47" i="130" a="1"/>
  <c r="L44" i="130" a="1"/>
  <c r="BD24" i="130" a="1"/>
  <c r="AR63" i="130" a="1"/>
  <c r="C59" i="130" a="1"/>
  <c r="AX77" i="130" a="1"/>
  <c r="BH42" i="130" a="1"/>
  <c r="U40" i="130" a="1"/>
  <c r="BK87" i="130" a="1"/>
  <c r="AP14" i="130" a="1"/>
  <c r="BI29" i="130" a="1"/>
  <c r="J81" i="130" a="1"/>
  <c r="AP35" i="130" a="1"/>
  <c r="F79" i="130" a="1"/>
  <c r="AG7" i="130" a="1"/>
  <c r="AM75" i="130" a="1"/>
  <c r="AJ30" i="130" a="1"/>
  <c r="AJ25" i="130" a="1"/>
  <c r="AK56" i="130" a="1"/>
  <c r="U42" i="130" a="1"/>
  <c r="D62" i="130" a="1"/>
  <c r="AS10" i="130" a="1"/>
  <c r="T82" i="130" a="1"/>
  <c r="AJ72" i="130" a="1"/>
  <c r="AZ28" i="130" a="1"/>
  <c r="AW78" i="130" a="1"/>
  <c r="Y41" i="130" a="1"/>
  <c r="J9" i="130" a="1"/>
  <c r="AF40" i="130" a="1"/>
  <c r="S11" i="130" a="1"/>
  <c r="AM24" i="130" a="1"/>
  <c r="BC45" i="130" a="1"/>
  <c r="K33" i="130" a="1"/>
  <c r="AC40" i="130" a="1"/>
  <c r="AI57" i="130" a="1"/>
  <c r="I36" i="130" a="1"/>
  <c r="G36" i="130" a="1"/>
  <c r="AJ63" i="130" a="1"/>
  <c r="AL15" i="130" a="1"/>
  <c r="V86" i="130" a="1"/>
  <c r="AI29" i="130" a="1"/>
  <c r="AT15" i="130" a="1"/>
  <c r="BH88" i="130" a="1"/>
  <c r="BB40" i="130" a="1"/>
  <c r="U20" i="130" a="1"/>
  <c r="X30" i="130" a="1"/>
  <c r="Q86" i="130" a="1"/>
  <c r="AG88" i="130" a="1"/>
  <c r="BJ41" i="130" a="1"/>
  <c r="AQ39" i="130" a="1"/>
  <c r="S47" i="130" a="1"/>
  <c r="AZ82" i="130" a="1"/>
  <c r="E29" i="130" a="1"/>
  <c r="F25" i="130" a="1"/>
  <c r="AM45" i="130" a="1"/>
  <c r="AX81" i="130" a="1"/>
  <c r="BH18" i="130" a="1"/>
  <c r="AU82" i="130" a="1"/>
  <c r="R62" i="130" a="1"/>
  <c r="AU12" i="130" a="1"/>
  <c r="I88" i="130" a="1"/>
  <c r="AK79" i="130" a="1"/>
  <c r="BB26" i="130" a="1"/>
  <c r="AZ89" i="130" a="1"/>
  <c r="S82" i="130" a="1"/>
  <c r="L38" i="130" a="1"/>
  <c r="AY25" i="130" a="1"/>
  <c r="S23" i="130" a="1"/>
  <c r="BE44" i="130" a="1"/>
  <c r="Z87" i="130" a="1"/>
  <c r="T46" i="130" a="1"/>
  <c r="J12" i="130" a="1"/>
  <c r="AR21" i="130" a="1"/>
  <c r="AJ64" i="130" a="1"/>
  <c r="AH68" i="130" a="1"/>
  <c r="AR67" i="130" a="1"/>
  <c r="AO25" i="130" a="1"/>
  <c r="E33" i="130" a="1"/>
  <c r="AT36" i="130" a="1"/>
  <c r="D35" i="130" a="1"/>
  <c r="AP36" i="130" a="1"/>
  <c r="AT20" i="130" a="1"/>
  <c r="Q37" i="130" a="1"/>
  <c r="W25" i="130" a="1"/>
  <c r="Y78" i="130" a="1"/>
  <c r="AE33" i="130" a="1"/>
  <c r="BC7" i="130" a="1"/>
  <c r="Q57" i="130" a="1"/>
  <c r="AS65" i="130" a="1"/>
  <c r="AU17" i="130" a="1"/>
  <c r="AV21" i="130" a="1"/>
  <c r="AH29" i="130" a="1"/>
  <c r="BA69" i="130" a="1"/>
  <c r="AX27" i="130" a="1"/>
  <c r="BK29" i="130" a="1"/>
  <c r="AG42" i="130" a="1"/>
  <c r="AS81" i="130" a="1"/>
  <c r="AJ81" i="130" a="1"/>
  <c r="AW67" i="130" a="1"/>
  <c r="E7" i="130" a="1"/>
  <c r="BF24" i="130" a="1"/>
  <c r="R59" i="130" a="1"/>
  <c r="Q45" i="130" a="1"/>
  <c r="Q18" i="130" a="1"/>
  <c r="AS89" i="130" a="1"/>
  <c r="AX34" i="130" a="1"/>
  <c r="M68" i="130" a="1"/>
  <c r="W47" i="130" a="1"/>
  <c r="AA28" i="130" a="1"/>
  <c r="H26" i="130" a="1"/>
  <c r="K30" i="130" a="1"/>
  <c r="AC9" i="130" a="1"/>
  <c r="AC26" i="130" a="1"/>
  <c r="AE89" i="130" a="1"/>
  <c r="X44" i="130" a="1"/>
  <c r="BH11" i="130" a="1"/>
  <c r="U36" i="130" a="1"/>
  <c r="V68" i="130" a="1"/>
  <c r="U46" i="130" a="1"/>
  <c r="W76" i="130" a="1"/>
  <c r="AY60" i="130" a="1"/>
  <c r="S81" i="130" a="1"/>
  <c r="W66" i="130" a="1"/>
  <c r="I27" i="130" a="1"/>
  <c r="AG23" i="130" a="1"/>
  <c r="Z37" i="130" a="1"/>
  <c r="AW24" i="130" a="1"/>
  <c r="C79" i="130" a="1"/>
  <c r="AM61" i="130" a="1"/>
  <c r="AE40" i="130" a="1"/>
  <c r="AZ39" i="130" a="1"/>
  <c r="H7" i="130" a="1"/>
  <c r="AG51" i="130" a="1"/>
  <c r="D75" i="130" a="1"/>
  <c r="P39" i="130" a="1"/>
  <c r="AE67" i="130" a="1"/>
  <c r="FT5" i="132" a="1"/>
  <c r="AK35" i="130" a="1"/>
  <c r="AR43" i="130" a="1"/>
  <c r="AR14" i="130" a="1"/>
  <c r="V29" i="130" a="1"/>
  <c r="Y47" i="130" a="1"/>
  <c r="BK77" i="130" a="1"/>
  <c r="AW86" i="130" a="1"/>
  <c r="AB35" i="130" a="1"/>
  <c r="G18" i="130" a="1"/>
  <c r="T31" i="130" a="1"/>
  <c r="AA51" i="130" a="1"/>
  <c r="G11" i="130" a="1"/>
  <c r="AN69" i="130" a="1"/>
  <c r="AJ61" i="130" a="1"/>
  <c r="C72" i="130" a="1"/>
  <c r="AL66" i="130" a="1"/>
  <c r="BE20" i="130" a="1"/>
  <c r="AR82" i="130" a="1"/>
  <c r="Z60" i="130" a="1"/>
  <c r="E23" i="130" a="1"/>
  <c r="AF33" i="130" a="1"/>
  <c r="E82" i="130" a="1"/>
  <c r="AS52" i="130" a="1"/>
  <c r="BK37" i="130" a="1"/>
  <c r="C62" i="130" a="1"/>
  <c r="AJ26" i="130" a="1"/>
  <c r="AM74" i="130" a="1"/>
  <c r="AI32" i="130" a="1"/>
  <c r="AL12" i="130" a="1"/>
  <c r="BI8" i="130" a="1"/>
  <c r="AN7" i="130" a="1"/>
  <c r="AW27" i="130" a="1"/>
  <c r="AK15" i="130" a="1"/>
  <c r="D18" i="130" a="1"/>
  <c r="BI11" i="130" a="1"/>
  <c r="BJ40" i="130" a="1"/>
  <c r="AR52" i="130" a="1"/>
  <c r="S29" i="130" a="1"/>
  <c r="D51" i="130" a="1"/>
  <c r="AO64" i="130" a="1"/>
  <c r="AM51" i="130" a="1"/>
  <c r="P85" i="130" a="1"/>
  <c r="S89" i="130" a="1"/>
  <c r="AI24" i="130" a="1"/>
  <c r="AM89" i="130" a="1"/>
  <c r="AO56" i="130" a="1"/>
  <c r="AC19" i="130" a="1"/>
  <c r="AB11" i="130" a="1"/>
  <c r="AR12" i="130" a="1"/>
  <c r="AZ57" i="130" a="1"/>
  <c r="G64" i="130" a="1"/>
  <c r="C68" i="130" a="1"/>
  <c r="AX65" i="130" a="1"/>
  <c r="AQ73" i="130" a="1"/>
  <c r="AC66" i="130" a="1"/>
  <c r="V43" i="130" a="1"/>
  <c r="AB74" i="130" a="1"/>
  <c r="J34" i="130" a="1"/>
  <c r="AI28" i="130" a="1"/>
  <c r="AN77" i="130" a="1"/>
  <c r="F75" i="130" a="1"/>
  <c r="AP24" i="130" a="1"/>
  <c r="P76" i="130" a="1"/>
  <c r="AZ81" i="130" a="1"/>
  <c r="AV55" i="130" a="1"/>
  <c r="BI40" i="130" a="1"/>
  <c r="W26" i="130" a="1"/>
  <c r="AT13" i="130" a="1"/>
  <c r="W37" i="130" a="1"/>
  <c r="H9" i="130" a="1"/>
  <c r="BJ14" i="130" a="1"/>
  <c r="AT10" i="130" a="1"/>
  <c r="F62" i="130" a="1"/>
  <c r="H10" i="130" a="1"/>
  <c r="BF12" i="130" a="1"/>
  <c r="AJ52" i="130" a="1"/>
  <c r="AZ51" i="130" a="1"/>
  <c r="T72" i="130" a="1"/>
  <c r="AN9" i="130" a="1"/>
  <c r="AQ41" i="130" a="1"/>
  <c r="AV46" i="130" a="1"/>
  <c r="BK17" i="130" a="1"/>
  <c r="AS34" i="130" a="1"/>
  <c r="R46" i="130" a="1"/>
  <c r="AF38" i="130" a="1"/>
  <c r="W59" i="130" a="1"/>
  <c r="AH74" i="130" a="1"/>
  <c r="AV11" i="130" a="1"/>
  <c r="AF23" i="130" a="1"/>
  <c r="AY17" i="130" a="1"/>
  <c r="AM39" i="130" a="1"/>
  <c r="Y65" i="130" a="1"/>
  <c r="Y31" i="130" a="1"/>
  <c r="AL20" i="130" a="1"/>
  <c r="AJ70" i="130" a="1"/>
  <c r="AT31" i="130" a="1"/>
  <c r="AY33" i="130" a="1"/>
  <c r="GK12" i="132" a="1"/>
  <c r="GC13" i="132" a="1"/>
  <c r="V13" i="132" a="1"/>
  <c r="GI16" i="132" a="1"/>
  <c r="GN5" i="132" a="1"/>
  <c r="DW11" i="132" a="1"/>
  <c r="FY9" i="132" a="1"/>
  <c r="EN14" i="132" a="1"/>
  <c r="AL11" i="132" a="1"/>
  <c r="DY5" i="132" a="1"/>
  <c r="FQ11" i="132" a="1"/>
  <c r="DM16" i="132" a="1"/>
  <c r="AB14" i="132" a="1"/>
  <c r="E37" i="130" a="1"/>
  <c r="GQ7" i="132" a="1"/>
  <c r="FM13" i="132" a="1"/>
  <c r="GL13" i="132" a="1"/>
  <c r="CE6" i="132" a="1"/>
  <c r="AV12" i="132" a="1"/>
  <c r="EX5" i="132" a="1"/>
  <c r="BL9" i="132" a="1"/>
  <c r="GM8" i="132" a="1"/>
  <c r="AE15" i="132" a="1"/>
  <c r="FQ8" i="132" a="1"/>
  <c r="FM15" i="132" a="1"/>
  <c r="GL9" i="132" a="1"/>
  <c r="GE12" i="132" a="1"/>
  <c r="EU9" i="132" a="1"/>
  <c r="AW59" i="130" a="1"/>
  <c r="FN8" i="132" a="1"/>
  <c r="EA6" i="132" a="1"/>
  <c r="GU14" i="132" a="1"/>
  <c r="F7" i="132" a="1"/>
  <c r="AW32" i="130" a="1"/>
  <c r="AB26" i="130" a="1"/>
  <c r="CC13" i="132" a="1"/>
  <c r="AK43" i="130" a="1"/>
  <c r="BB39" i="130" a="1"/>
  <c r="AP82" i="130" a="1"/>
  <c r="BH61" i="130" a="1"/>
  <c r="BJ57" i="130" a="1"/>
  <c r="AQ88" i="130" a="1"/>
  <c r="AK80" i="130" a="1"/>
  <c r="L10" i="130" a="1"/>
  <c r="AN43" i="130" a="1"/>
  <c r="AN78" i="130" a="1"/>
  <c r="W30" i="130" a="1"/>
  <c r="FK15" i="132" a="1"/>
  <c r="DG9" i="132" a="1"/>
  <c r="AU6" i="132" a="1"/>
  <c r="FN6" i="132" a="1"/>
  <c r="AP13" i="132" a="1"/>
  <c r="EQ9" i="132" a="1"/>
  <c r="H19" i="130" a="1"/>
  <c r="AD22" i="130" a="1"/>
  <c r="BH76" i="130" a="1"/>
  <c r="AH16" i="132" a="1"/>
  <c r="BR6" i="132" a="1"/>
  <c r="AN82" i="130" a="1"/>
  <c r="BH86" i="130" a="1"/>
  <c r="AM80" i="130" a="1"/>
  <c r="AD63" i="130" a="1"/>
  <c r="BA55" i="130" a="1"/>
  <c r="E70" i="130" a="1"/>
  <c r="AG11" i="130" a="1"/>
  <c r="R71" i="130" a="1"/>
  <c r="C43" i="130" a="1"/>
  <c r="C75" i="130" a="1"/>
  <c r="H64" i="130" a="1"/>
  <c r="AA45" i="130" a="1"/>
  <c r="O70" i="130" a="1"/>
  <c r="G82" i="130" a="1"/>
  <c r="AW81" i="130" a="1"/>
  <c r="AK44" i="130" a="1"/>
  <c r="AR18" i="130" a="1"/>
  <c r="N13" i="132" a="1"/>
  <c r="GW9" i="132" a="1"/>
  <c r="AK13" i="132" a="1"/>
  <c r="BH15" i="132" a="1"/>
  <c r="DD11" i="132" a="1"/>
  <c r="FG14" i="132" a="1"/>
  <c r="GZ16" i="132" a="1"/>
  <c r="BJ16" i="132" a="1"/>
  <c r="BA15" i="132" a="1"/>
  <c r="CT16" i="132" a="1"/>
  <c r="AB56" i="130" a="1"/>
  <c r="AM16" i="130" a="1"/>
  <c r="U66" i="130" a="1"/>
  <c r="BF69" i="130" a="1"/>
  <c r="E79" i="130" a="1"/>
  <c r="AK19" i="130" a="1"/>
  <c r="O47" i="130" a="1"/>
  <c r="Z10" i="130" a="1"/>
  <c r="I76" i="130" a="1"/>
  <c r="M69" i="130" a="1"/>
  <c r="AC24" i="130" a="1"/>
  <c r="BD82" i="130" a="1"/>
  <c r="EF9" i="132" a="1"/>
  <c r="DV11" i="132" a="1"/>
  <c r="K20" i="130" a="1"/>
  <c r="AW84" i="130" a="1"/>
  <c r="CK14" i="132" a="1"/>
  <c r="BD18" i="130" a="1"/>
  <c r="AM31" i="130" a="1"/>
  <c r="BG68" i="130" a="1"/>
  <c r="AD25" i="130" a="1"/>
  <c r="D32" i="130" a="1"/>
  <c r="GW5" i="132" a="1"/>
  <c r="CK12" i="132" a="1"/>
  <c r="BE9" i="132" a="1"/>
  <c r="FN13" i="132" a="1"/>
  <c r="CY6" i="132" a="1"/>
  <c r="L52" i="130" a="1"/>
  <c r="AU76" i="130" a="1"/>
  <c r="AW55" i="130" a="1"/>
  <c r="J65" i="130" a="1"/>
  <c r="EU7" i="132" a="1"/>
  <c r="AU70" i="130" a="1"/>
  <c r="AL64" i="130" a="1"/>
  <c r="BH80" i="130" a="1"/>
  <c r="EZ13" i="132" a="1"/>
  <c r="AT68" i="130" a="1"/>
  <c r="D47" i="130" a="1"/>
  <c r="AP26" i="130" a="1"/>
  <c r="N36" i="130" a="1"/>
  <c r="AL38" i="130" a="1"/>
  <c r="AQ79" i="130" a="1"/>
  <c r="BD23" i="130" a="1"/>
  <c r="BI31" i="130" a="1"/>
  <c r="AX46" i="130" a="1"/>
  <c r="AB41" i="130" a="1"/>
  <c r="G9" i="130" a="1"/>
  <c r="X66" i="130" a="1"/>
  <c r="W65" i="130" a="1"/>
  <c r="BF17" i="130" a="1"/>
  <c r="J10" i="130" a="1"/>
  <c r="J35" i="130" a="1"/>
  <c r="AD10" i="130" a="1"/>
  <c r="P64" i="130" a="1"/>
  <c r="BE28" i="130" a="1"/>
  <c r="K8" i="130" a="1"/>
  <c r="AC85" i="130" a="1"/>
  <c r="CP16" i="132" a="1"/>
  <c r="BJ31" i="130" a="1"/>
  <c r="BC68" i="130" a="1"/>
  <c r="BG7" i="130" a="1"/>
  <c r="AH75" i="130" a="1"/>
  <c r="BB89" i="130" a="1"/>
  <c r="L15" i="132" a="1"/>
  <c r="AM47" i="130" a="1"/>
  <c r="BH20" i="130" a="1"/>
  <c r="X67" i="130" a="1"/>
  <c r="H66" i="130" a="1"/>
  <c r="AO43" i="130" a="1"/>
  <c r="Q14" i="130" a="1"/>
  <c r="AL68" i="130" a="1"/>
  <c r="AQ83" i="130" a="1"/>
  <c r="E42" i="130" a="1"/>
  <c r="BI60" i="130" a="1"/>
  <c r="N63" i="130" a="1"/>
  <c r="AA85" i="130" a="1"/>
  <c r="AD35" i="130" a="1"/>
  <c r="M11" i="130" a="1"/>
  <c r="CJ8" i="132" a="1"/>
  <c r="H42" i="130" a="1"/>
  <c r="AB30" i="130" a="1"/>
  <c r="AG17" i="130" a="1"/>
  <c r="L58" i="130" a="1"/>
  <c r="M23" i="130" a="1"/>
  <c r="K76" i="130" a="1"/>
  <c r="AZ21" i="130" a="1"/>
  <c r="S36" i="130" a="1"/>
  <c r="BE5" i="130" a="1"/>
  <c r="BA81" i="130" a="1"/>
  <c r="O65" i="130" a="1"/>
  <c r="AW57" i="130" a="1"/>
  <c r="AZ74" i="130" a="1"/>
  <c r="W70" i="130" a="1"/>
  <c r="AL71" i="130" a="1"/>
  <c r="O5" i="130" a="1"/>
  <c r="AF73" i="130" a="1"/>
  <c r="K73" i="130" a="1"/>
  <c r="I69" i="130" a="1"/>
  <c r="BI59" i="130" a="1"/>
  <c r="BJ56" i="130" a="1"/>
  <c r="BG85" i="130" a="1"/>
  <c r="U27" i="130" a="1"/>
  <c r="AC51" i="130" a="1"/>
  <c r="AN83" i="130" a="1"/>
  <c r="Q79" i="130" a="1"/>
  <c r="AF58" i="130" a="1"/>
  <c r="BE42" i="130" a="1"/>
  <c r="G35" i="130" a="1"/>
  <c r="W72" i="130" a="1"/>
  <c r="AQ28" i="130" a="1"/>
  <c r="AO89" i="130" a="1"/>
  <c r="J22" i="130" a="1"/>
  <c r="AI65" i="130" a="1"/>
  <c r="AM76" i="130" a="1"/>
  <c r="J64" i="130" a="1"/>
  <c r="AD73" i="130" a="1"/>
  <c r="AV34" i="130" a="1"/>
  <c r="AD19" i="130" a="1"/>
  <c r="AS11" i="130" a="1"/>
  <c r="AL30" i="130" a="1"/>
  <c r="F31" i="130" a="1"/>
  <c r="AH69" i="130" a="1"/>
  <c r="AA66" i="130" a="1"/>
  <c r="BH44" i="130" a="1"/>
  <c r="W17" i="130" a="1"/>
  <c r="AF69" i="130" a="1"/>
  <c r="T11" i="130" a="1"/>
  <c r="BE19" i="130" a="1"/>
  <c r="S37" i="130" a="1"/>
  <c r="AO45" i="130" a="1"/>
  <c r="AD71" i="130" a="1"/>
  <c r="F45" i="130" a="1"/>
  <c r="AL16" i="130" a="1"/>
  <c r="D56" i="130" a="1"/>
  <c r="BE9" i="130" a="1"/>
  <c r="AX78" i="130" a="1"/>
  <c r="BG9" i="130" a="1"/>
  <c r="C37" i="130" a="1"/>
  <c r="AD15" i="130" a="1"/>
  <c r="AY16" i="130" a="1"/>
  <c r="AX74" i="130" a="1"/>
  <c r="X78" i="130" a="1"/>
  <c r="H12" i="130" a="1"/>
  <c r="AQ43" i="130" a="1"/>
  <c r="AS27" i="130" a="1"/>
  <c r="AX80" i="130" a="1"/>
  <c r="AU62" i="130" a="1"/>
  <c r="J86" i="130" a="1"/>
  <c r="AN51" i="130" a="1"/>
  <c r="AS38" i="130" a="1"/>
  <c r="G70" i="130" a="1"/>
  <c r="U21" i="130" a="1"/>
  <c r="V38" i="130" a="1"/>
  <c r="R85" i="130" a="1"/>
  <c r="BJ84" i="130" a="1"/>
  <c r="BE7" i="130" a="1"/>
  <c r="AP60" i="130" a="1"/>
  <c r="BD13" i="130" a="1"/>
  <c r="BJ18" i="130" a="1"/>
  <c r="AB75" i="130" a="1"/>
  <c r="Z29" i="130" a="1"/>
  <c r="BB84" i="130" a="1"/>
  <c r="AQ81" i="130" a="1"/>
  <c r="N24" i="130" a="1"/>
  <c r="AX73" i="130" a="1"/>
  <c r="J46" i="130" a="1"/>
  <c r="I60" i="130" a="1"/>
  <c r="AG57" i="130" a="1"/>
  <c r="AB73" i="130" a="1"/>
  <c r="E15" i="130" a="1"/>
  <c r="BG72" i="130" a="1"/>
  <c r="AH59" i="130" a="1"/>
  <c r="BG8" i="130" a="1"/>
  <c r="BJ52" i="130" a="1"/>
  <c r="AV83" i="130" a="1"/>
  <c r="AS62" i="130" a="1"/>
  <c r="AR33" i="130" a="1"/>
  <c r="AB32" i="130" a="1"/>
  <c r="Z64" i="130" a="1"/>
  <c r="AD80" i="130" a="1"/>
  <c r="W39" i="130" a="1"/>
  <c r="AI11" i="130" a="1"/>
  <c r="U25" i="130" a="1"/>
  <c r="AA57" i="130" a="1"/>
  <c r="P58" i="130" a="1"/>
  <c r="AH43" i="130" a="1"/>
  <c r="Q8" i="130" a="1"/>
  <c r="L11" i="130" a="1"/>
  <c r="AA24" i="130" a="1"/>
  <c r="AG33" i="130" a="1"/>
  <c r="AN32" i="130" a="1"/>
  <c r="W52" i="130" a="1"/>
  <c r="AA55" i="130" a="1"/>
  <c r="V7" i="130" a="1"/>
  <c r="X21" i="130" a="1"/>
  <c r="P63" i="130" a="1"/>
  <c r="E21" i="130" a="1"/>
  <c r="D57" i="130" a="1"/>
  <c r="BH36" i="130" a="1"/>
  <c r="H15" i="132" a="1"/>
  <c r="Q21" i="130" a="1"/>
  <c r="BG25" i="130" a="1"/>
  <c r="S71" i="130" a="1"/>
  <c r="AZ85" i="130" a="1"/>
  <c r="AJ60" i="130" a="1"/>
  <c r="AK17" i="130" a="1"/>
  <c r="BI67" i="130" a="1"/>
  <c r="N71" i="130" a="1"/>
  <c r="BK59" i="130" a="1"/>
  <c r="AM34" i="130" a="1"/>
  <c r="M60" i="130" a="1"/>
  <c r="BJ10" i="130" a="1"/>
  <c r="U23" i="130" a="1"/>
  <c r="E88" i="130" a="1"/>
  <c r="AH13" i="130" a="1"/>
  <c r="BC29" i="130" a="1"/>
  <c r="T69" i="130" a="1"/>
  <c r="AJ33" i="130" a="1"/>
  <c r="Y56" i="130" a="1"/>
  <c r="AT87" i="130" a="1"/>
  <c r="AF86" i="130" a="1"/>
  <c r="AD77" i="130" a="1"/>
  <c r="AJ17" i="130" a="1"/>
  <c r="N7" i="130" a="1"/>
  <c r="AD51" i="130" a="1"/>
  <c r="BK8" i="130" a="1"/>
  <c r="J31" i="130" a="1"/>
  <c r="V22" i="130" a="1"/>
  <c r="AO10" i="130" a="1"/>
  <c r="T85" i="130" a="1"/>
  <c r="AM21" i="130" a="1"/>
  <c r="BC35" i="130" a="1"/>
  <c r="BI25" i="130" a="1"/>
  <c r="I12" i="130" a="1"/>
  <c r="S30" i="130" a="1"/>
  <c r="AK8" i="130" a="1"/>
  <c r="Q36" i="130" a="1"/>
  <c r="C83" i="130" a="1"/>
  <c r="BJ8" i="130" a="1"/>
  <c r="AQ66" i="130" a="1"/>
  <c r="H15" i="130" a="1"/>
  <c r="AZ15" i="132" a="1"/>
  <c r="EC7" i="132" a="1"/>
  <c r="I7" i="132" a="1"/>
  <c r="AZ9" i="132" a="1"/>
  <c r="BA7" i="132" a="1"/>
  <c r="AH27" i="130" a="1"/>
  <c r="BK52" i="130" a="1"/>
  <c r="AX88" i="130" a="1"/>
  <c r="F81" i="130" a="1"/>
  <c r="S24" i="130" a="1"/>
  <c r="S76" i="130" a="1"/>
  <c r="GU7" i="132" a="1"/>
  <c r="FP12" i="132" a="1"/>
  <c r="FV8" i="132" a="1"/>
  <c r="Y75" i="130" a="1"/>
  <c r="G34" i="130" a="1"/>
  <c r="C84" i="130" a="1"/>
  <c r="BE26" i="130" a="1"/>
  <c r="AY57" i="130" a="1"/>
  <c r="O7" i="130" a="1"/>
  <c r="S39" i="130" a="1"/>
  <c r="AD57" i="130" a="1"/>
  <c r="AS31" i="130" a="1"/>
  <c r="DH16" i="132" a="1"/>
  <c r="AO62" i="130" a="1"/>
  <c r="DR8" i="132" a="1"/>
  <c r="S61" i="130" a="1"/>
  <c r="GK14" i="132" a="1"/>
  <c r="M89" i="130" a="1"/>
  <c r="I87" i="130" a="1"/>
  <c r="BG83" i="130" a="1"/>
  <c r="AT5" i="130" a="1"/>
  <c r="BG80" i="130" a="1"/>
  <c r="AF29" i="130" a="1"/>
  <c r="AA36" i="130" a="1"/>
  <c r="D16" i="132" a="1"/>
  <c r="BK32" i="130" a="1"/>
  <c r="L43" i="130" a="1"/>
  <c r="GC14" i="132" a="1"/>
  <c r="AA13" i="132" a="1"/>
  <c r="L14" i="132" a="1"/>
  <c r="T60" i="130" a="1"/>
  <c r="DA16" i="132" a="1"/>
  <c r="O41" i="130" a="1"/>
  <c r="AE28" i="130" a="1"/>
  <c r="Y69" i="130" a="1"/>
  <c r="AT77" i="130" a="1"/>
  <c r="S78" i="130" a="1"/>
  <c r="S32" i="130" a="1"/>
  <c r="AB19" i="130" a="1"/>
  <c r="BI21" i="130" a="1"/>
  <c r="AN29" i="130" a="1"/>
  <c r="AN85" i="130" a="1"/>
  <c r="AE75" i="130" a="1"/>
  <c r="O39" i="130" a="1"/>
  <c r="BI62" i="130" a="1"/>
  <c r="AG12" i="130" a="1"/>
  <c r="S87" i="130" a="1"/>
  <c r="AD45" i="130" a="1"/>
  <c r="T42" i="130" a="1"/>
  <c r="BJ35" i="130" a="1"/>
  <c r="AM32" i="130" a="1"/>
  <c r="BH9" i="130" a="1"/>
  <c r="M33" i="130" a="1"/>
  <c r="H89" i="130" a="1"/>
  <c r="F55" i="130" a="1"/>
  <c r="BK42" i="130" a="1"/>
  <c r="AN20" i="130" a="1"/>
  <c r="AF79" i="130" a="1"/>
  <c r="BK7" i="130" a="1"/>
  <c r="AB58" i="130" a="1"/>
  <c r="AN8" i="130" a="1"/>
  <c r="T20" i="130" a="1"/>
  <c r="K82" i="130" a="1"/>
  <c r="R16" i="130" a="1"/>
  <c r="BH78" i="130" a="1"/>
  <c r="BH40" i="130" a="1"/>
  <c r="AJ71" i="130" a="1"/>
  <c r="AL40" i="130" a="1"/>
  <c r="AD70" i="130" a="1"/>
  <c r="M81" i="130" a="1"/>
  <c r="AT43" i="130" a="1"/>
  <c r="H32" i="130" a="1"/>
  <c r="AR55" i="130" a="1"/>
  <c r="AS64" i="130" a="1"/>
  <c r="BC38" i="130" a="1"/>
  <c r="T15" i="130" a="1"/>
  <c r="G71" i="130" a="1"/>
  <c r="L24" i="130" a="1"/>
  <c r="BA31" i="130" a="1"/>
  <c r="AV59" i="130" a="1"/>
  <c r="E11" i="130" a="1"/>
  <c r="BI12" i="130" a="1"/>
  <c r="AB7" i="130" a="1"/>
  <c r="O76" i="130" a="1"/>
  <c r="BC25" i="130" a="1"/>
  <c r="J23" i="130" a="1"/>
  <c r="F87" i="130" a="1"/>
  <c r="U38" i="130" a="1"/>
  <c r="P65" i="130" a="1"/>
  <c r="AZ10" i="130" a="1"/>
  <c r="AF85" i="130" a="1"/>
  <c r="AG37" i="130" a="1"/>
  <c r="BI34" i="130" a="1"/>
  <c r="BG73" i="130" a="1"/>
  <c r="AF9" i="130" a="1"/>
  <c r="BI9" i="130" a="1"/>
  <c r="AB70" i="130" a="1"/>
  <c r="AL22" i="130" a="1"/>
  <c r="BD40" i="130" a="1"/>
  <c r="O62" i="130" a="1"/>
  <c r="T77" i="130" a="1"/>
  <c r="P75" i="130" a="1"/>
  <c r="Y51" i="130" a="1"/>
  <c r="AP83" i="130" a="1"/>
  <c r="S65" i="130" a="1"/>
  <c r="L68" i="130" a="1"/>
  <c r="AP17" i="130" a="1"/>
  <c r="AA7" i="130" a="1"/>
  <c r="AB20" i="130" a="1"/>
  <c r="DM15" i="132" a="1"/>
  <c r="AD9" i="132" a="1"/>
  <c r="EM16" i="132" a="1"/>
  <c r="EU15" i="132" a="1"/>
  <c r="GX14" i="132" a="1"/>
  <c r="AL12" i="132" a="1"/>
  <c r="AJ79" i="130" a="1"/>
  <c r="P13" i="130" a="1"/>
  <c r="AD37" i="130" a="1"/>
  <c r="EB12" i="132" a="1"/>
  <c r="CK11" i="132" a="1"/>
  <c r="BH79" i="130" a="1"/>
  <c r="BB83" i="130" a="1"/>
  <c r="X80" i="130" a="1"/>
  <c r="BE63" i="130" a="1"/>
  <c r="G25" i="130" a="1"/>
  <c r="BG46" i="130" a="1"/>
  <c r="Y13" i="132" a="1"/>
  <c r="BI85" i="130" a="1"/>
  <c r="AR30" i="130" a="1"/>
  <c r="AP12" i="132" a="1"/>
  <c r="AT40" i="130" a="1"/>
  <c r="AM68" i="130" a="1"/>
  <c r="AC15" i="130" a="1"/>
  <c r="AF22" i="130" a="1"/>
  <c r="DG6" i="132" a="1"/>
  <c r="V51" i="130" a="1"/>
  <c r="BK20" i="130" a="1"/>
  <c r="AI12" i="130" a="1"/>
  <c r="AA23" i="130" a="1"/>
  <c r="G45" i="130" a="1"/>
  <c r="R25" i="130" a="1"/>
  <c r="BB7" i="130" a="1"/>
  <c r="Z62" i="130" a="1"/>
  <c r="D58" i="130" a="1"/>
  <c r="G44" i="130" a="1"/>
  <c r="U22" i="130" a="1"/>
  <c r="AJ32" i="130" a="1"/>
  <c r="AM38" i="130" a="1"/>
  <c r="I63" i="130" a="1"/>
  <c r="AV12" i="130" a="1"/>
  <c r="AQ64" i="130" a="1"/>
  <c r="O16" i="130" a="1"/>
  <c r="S46" i="130" a="1"/>
  <c r="T35" i="130" a="1"/>
  <c r="Y60" i="130" a="1"/>
  <c r="Z22" i="130" a="1"/>
  <c r="W83" i="130" a="1"/>
  <c r="C28" i="130" a="1"/>
  <c r="AB55" i="130" a="1"/>
  <c r="BB31" i="130" a="1"/>
  <c r="AX30" i="130" a="1"/>
  <c r="S22" i="130" a="1"/>
  <c r="M86" i="130" a="1"/>
  <c r="BB15" i="130" a="1"/>
  <c r="BF9" i="130" a="1"/>
  <c r="F11" i="130" a="1"/>
  <c r="AZ88" i="130" a="1"/>
  <c r="Y17" i="130" a="1"/>
  <c r="T73" i="130" a="1"/>
  <c r="AX67" i="130" a="1"/>
  <c r="AW88" i="130" a="1"/>
  <c r="AL29" i="130" a="1"/>
  <c r="BD30" i="130" a="1"/>
  <c r="BH55" i="130" a="1"/>
  <c r="AC22" i="130" a="1"/>
  <c r="AC75" i="130" a="1"/>
  <c r="AX17" i="130" a="1"/>
  <c r="AF44" i="130" a="1"/>
  <c r="AB76" i="130" a="1"/>
  <c r="AJ34" i="130" a="1"/>
  <c r="AO21" i="130" a="1"/>
  <c r="AE81" i="130" a="1"/>
  <c r="AR44" i="130" a="1"/>
  <c r="V13" i="130" a="1"/>
  <c r="AM19" i="130" a="1"/>
  <c r="AX10" i="130" a="1"/>
  <c r="BC11" i="130" a="1"/>
  <c r="AW44" i="130" a="1"/>
  <c r="AC37" i="130" a="1"/>
  <c r="BA79" i="130" a="1"/>
  <c r="AU33" i="130" a="1"/>
  <c r="AG22" i="130" a="1"/>
  <c r="D74" i="130" a="1"/>
  <c r="N75" i="130" a="1"/>
  <c r="C12" i="130" a="1"/>
  <c r="AQ38" i="130" a="1"/>
  <c r="BF78" i="130" a="1"/>
  <c r="X40" i="130" a="1"/>
  <c r="H14" i="130" a="1"/>
  <c r="AV28" i="130" a="1"/>
  <c r="AP40" i="130" a="1"/>
  <c r="FC12" i="132" a="1"/>
  <c r="AC32" i="130" a="1"/>
  <c r="AQ56" i="130" a="1"/>
  <c r="X43" i="130" a="1"/>
  <c r="P42" i="130" a="1"/>
  <c r="AA33" i="130" a="1"/>
  <c r="AQ27" i="130" a="1"/>
  <c r="S12" i="130" a="1"/>
  <c r="BH73" i="130" a="1"/>
  <c r="S33" i="130" a="1"/>
  <c r="E74" i="130" a="1"/>
  <c r="O15" i="130" a="1"/>
  <c r="Q28" i="130" a="1"/>
  <c r="AC34" i="130" a="1"/>
  <c r="AU83" i="130" a="1"/>
  <c r="BH87" i="130" a="1"/>
  <c r="AJ7" i="130" a="1"/>
  <c r="AO72" i="130" a="1"/>
  <c r="AU57" i="130" a="1"/>
  <c r="Q64" i="130" a="1"/>
  <c r="R14" i="130" a="1"/>
  <c r="Q88" i="130" a="1"/>
  <c r="AK74" i="130" a="1"/>
  <c r="V57" i="130" a="1"/>
  <c r="AL52" i="130" a="1"/>
  <c r="BB16" i="130" a="1"/>
  <c r="BK81" i="130" a="1"/>
  <c r="X74" i="130" a="1"/>
  <c r="Z70" i="130" a="1"/>
  <c r="AU10" i="130" a="1"/>
  <c r="AX89" i="130" a="1"/>
  <c r="BD34" i="130" a="1"/>
  <c r="N69" i="130" a="1"/>
  <c r="Z39" i="130" a="1"/>
  <c r="AI60" i="130" a="1"/>
  <c r="AS85" i="130" a="1"/>
  <c r="AJ23" i="130" a="1"/>
  <c r="BF62" i="130" a="1"/>
  <c r="BE72" i="130" a="1"/>
  <c r="AI88" i="130" a="1"/>
  <c r="AK18" i="130" a="1"/>
  <c r="S27" i="130" a="1"/>
  <c r="V87" i="130" a="1"/>
  <c r="U10" i="130" a="1"/>
  <c r="AD62" i="130" a="1"/>
  <c r="F12" i="130" a="1"/>
  <c r="S38" i="130" a="1"/>
  <c r="AW76" i="130" a="1"/>
  <c r="AQ21" i="130" a="1"/>
  <c r="C70" i="130" a="1"/>
  <c r="J38" i="130" a="1"/>
  <c r="J14" i="130" a="1"/>
  <c r="J51" i="130" a="1"/>
  <c r="BK16" i="130" a="1"/>
  <c r="BA30" i="130" a="1"/>
  <c r="AZ55" i="130" a="1"/>
  <c r="BD21" i="130" a="1"/>
  <c r="M35" i="130" a="1"/>
  <c r="AV82" i="130" a="1"/>
  <c r="BG57" i="130" a="1"/>
  <c r="G5" i="130" a="1"/>
  <c r="AM88" i="130" a="1"/>
  <c r="AD81" i="130" a="1"/>
  <c r="AM26" i="130" a="1"/>
  <c r="AW5" i="130" a="1"/>
  <c r="AX72" i="130" a="1"/>
  <c r="AR83" i="130" a="1"/>
  <c r="BC22" i="130" a="1"/>
  <c r="BH33" i="130" a="1"/>
  <c r="U64" i="130" a="1"/>
  <c r="BC78" i="130" a="1"/>
  <c r="Y46" i="130" a="1"/>
  <c r="AB40" i="130" a="1"/>
  <c r="D59" i="130" a="1"/>
  <c r="L89" i="130" a="1"/>
  <c r="T26" i="130" a="1"/>
  <c r="BC12" i="130" a="1"/>
  <c r="BD17" i="130" a="1"/>
  <c r="AV18" i="130" a="1"/>
  <c r="W27" i="130" a="1"/>
  <c r="AG21" i="130" a="1"/>
  <c r="I57" i="130" a="1"/>
  <c r="U11" i="130" a="1"/>
  <c r="BB62" i="130" a="1"/>
  <c r="V34" i="130" a="1"/>
  <c r="BJ9" i="130" a="1"/>
  <c r="M78" i="130" a="1"/>
  <c r="Y36" i="130" a="1"/>
  <c r="P72" i="130" a="1"/>
  <c r="AW62" i="130" a="1"/>
  <c r="BK38" i="130" a="1"/>
  <c r="R22" i="130" a="1"/>
  <c r="AS70" i="130" a="1"/>
  <c r="T14" i="132" a="1"/>
  <c r="BJ81" i="130" a="1"/>
  <c r="Y52" i="130" a="1"/>
  <c r="S15" i="130" a="1"/>
  <c r="AH36" i="130" a="1"/>
  <c r="AP70" i="130" a="1"/>
  <c r="I52" i="130" a="1"/>
  <c r="AP85" i="130" a="1"/>
  <c r="AH15" i="130" a="1"/>
  <c r="AF16" i="130" a="1"/>
  <c r="C16" i="130" a="1"/>
  <c r="I20" i="130" a="1"/>
  <c r="R35" i="130" a="1"/>
  <c r="U85" i="130" a="1"/>
  <c r="P24" i="130" a="1"/>
  <c r="AY24" i="130" a="1"/>
  <c r="AB42" i="130" a="1"/>
  <c r="AZ67" i="130" a="1"/>
  <c r="AN38" i="130" a="1"/>
  <c r="T37" i="130" a="1"/>
  <c r="S43" i="130" a="1"/>
  <c r="I67" i="130" a="1"/>
  <c r="Y67" i="130" a="1"/>
  <c r="D20" i="130" a="1"/>
  <c r="AO58" i="130" a="1"/>
  <c r="BG28" i="130" a="1"/>
  <c r="T55" i="130" a="1"/>
  <c r="Q19" i="130" a="1"/>
  <c r="AN41" i="130" a="1"/>
  <c r="BH35" i="130" a="1"/>
  <c r="N19" i="130" a="1"/>
  <c r="W89" i="130" a="1"/>
  <c r="BC42" i="130" a="1"/>
  <c r="BA19" i="130" a="1"/>
  <c r="AK67" i="130" a="1"/>
  <c r="M17" i="130" a="1"/>
  <c r="F83" i="130" a="1"/>
  <c r="M25" i="130" a="1"/>
  <c r="BK74" i="130" a="1"/>
  <c r="K17" i="130" a="1"/>
  <c r="BC9" i="130" a="1"/>
  <c r="AS51" i="130" a="1"/>
  <c r="AP61" i="130" a="1"/>
  <c r="BC15" i="130" a="1"/>
  <c r="Y39" i="130" a="1"/>
  <c r="AL83" i="130" a="1"/>
  <c r="E30" i="130" a="1"/>
  <c r="W69" i="130" a="1"/>
  <c r="C5" i="130" a="1"/>
  <c r="N32" i="130" a="1"/>
  <c r="BD11" i="130" a="1"/>
  <c r="U62" i="130" a="1"/>
  <c r="U29" i="130" a="1"/>
  <c r="AU22" i="130" a="1"/>
  <c r="S55" i="130" a="1"/>
  <c r="BA25" i="130" a="1"/>
  <c r="Z36" i="130" a="1"/>
  <c r="AG63" i="130" a="1"/>
  <c r="AQ30" i="130" a="1"/>
  <c r="X22" i="130" a="1"/>
  <c r="L87" i="130" a="1"/>
  <c r="AX83" i="130" a="1"/>
  <c r="AX5" i="130" a="1"/>
  <c r="S25" i="130" a="1"/>
  <c r="AG31" i="130" a="1"/>
  <c r="F22" i="130" a="1"/>
  <c r="AT69" i="130" a="1"/>
  <c r="BE12" i="130" a="1"/>
  <c r="P62" i="130" a="1"/>
  <c r="AY83" i="130" a="1"/>
  <c r="AO85" i="130" a="1"/>
  <c r="AO83" i="130" a="1"/>
  <c r="BA15" i="130" a="1"/>
  <c r="AN60" i="130" a="1"/>
  <c r="BA52" i="130" a="1"/>
  <c r="S9" i="130" a="1"/>
  <c r="AS32" i="130" a="1"/>
  <c r="AF74" i="130" a="1"/>
  <c r="U43" i="130" a="1"/>
  <c r="BG11" i="130" a="1"/>
  <c r="BA14" i="130" a="1"/>
  <c r="AU63" i="130" a="1"/>
  <c r="AT47" i="130" a="1"/>
  <c r="AQ40" i="130" a="1"/>
  <c r="N29" i="130" a="1"/>
  <c r="AY38" i="130" a="1"/>
  <c r="G14" i="130" a="1"/>
  <c r="H71" i="130" a="1"/>
  <c r="E80" i="130" a="1"/>
  <c r="V79" i="130" a="1"/>
  <c r="J60" i="130" a="1"/>
  <c r="AI17" i="130" a="1"/>
  <c r="F7" i="130" a="1"/>
  <c r="AG69" i="130" a="1"/>
  <c r="BC37" i="130" a="1"/>
  <c r="AK64" i="130" a="1"/>
  <c r="X11" i="130" a="1"/>
  <c r="AN72" i="130" a="1"/>
  <c r="AP7" i="130" a="1"/>
  <c r="BJ59" i="130" a="1"/>
  <c r="U61" i="130" a="1"/>
  <c r="AF83" i="130" a="1"/>
  <c r="AT29" i="130" a="1"/>
  <c r="BF37" i="130" a="1"/>
  <c r="J41" i="130" a="1"/>
  <c r="AX45" i="130" a="1"/>
  <c r="O56" i="130" a="1"/>
  <c r="F14" i="130" a="1"/>
  <c r="AM37" i="130" a="1"/>
  <c r="N15" i="130" a="1"/>
  <c r="AO7" i="130" a="1"/>
  <c r="BK55" i="130" a="1"/>
  <c r="Z24" i="130" a="1"/>
  <c r="T10" i="130" a="1"/>
  <c r="BI63" i="130" a="1"/>
  <c r="R9" i="130" a="1"/>
  <c r="AC62" i="130" a="1"/>
  <c r="BA80" i="130" a="1"/>
  <c r="H8" i="130" a="1"/>
  <c r="AJ35" i="130" a="1"/>
  <c r="AW71" i="130" a="1"/>
  <c r="EE13" i="132" a="1"/>
  <c r="AZ35" i="130" a="1"/>
  <c r="AI44" i="130" a="1"/>
  <c r="AP11" i="130" a="1"/>
  <c r="AH11" i="130" a="1"/>
  <c r="C26" i="130" a="1"/>
  <c r="BA64" i="130" a="1"/>
  <c r="AK9" i="130" a="1"/>
  <c r="AC78" i="130" a="1"/>
  <c r="CJ13" i="132" a="1"/>
  <c r="BA72" i="130" a="1"/>
  <c r="AF80" i="130" a="1"/>
  <c r="BK78" i="130" a="1"/>
  <c r="BC66" i="130" a="1"/>
  <c r="C42" i="130" a="1"/>
  <c r="T25" i="130" a="1"/>
  <c r="X25" i="130" a="1"/>
  <c r="BD9" i="130" a="1"/>
  <c r="R75" i="130" a="1"/>
  <c r="M9" i="130" a="1"/>
  <c r="J62" i="130" a="1"/>
  <c r="AC31" i="130" a="1"/>
  <c r="BG23" i="130" a="1"/>
  <c r="G21" i="130" a="1"/>
  <c r="C8" i="130" a="1"/>
  <c r="N5" i="130" a="1"/>
  <c r="AU19" i="130" a="1"/>
  <c r="AW33" i="130" a="1"/>
  <c r="Q25" i="130" a="1"/>
  <c r="L71" i="130" a="1"/>
  <c r="Y16" i="130" a="1"/>
  <c r="AX63" i="130" a="1"/>
  <c r="H39" i="130" a="1"/>
  <c r="AK26" i="130" a="1"/>
  <c r="AE84" i="130" a="1"/>
  <c r="BC16" i="130" a="1"/>
  <c r="AE37" i="130" a="1"/>
  <c r="AM72" i="130" a="1"/>
  <c r="AY66" i="130" a="1"/>
  <c r="BJ23" i="130" a="1"/>
  <c r="AW18" i="130" a="1"/>
  <c r="AO86" i="130" a="1"/>
  <c r="AN12" i="130" a="1"/>
  <c r="AS12" i="130" a="1"/>
  <c r="BD8" i="130" a="1"/>
  <c r="Z18" i="130" a="1"/>
  <c r="AD44" i="130" a="1"/>
  <c r="AJ31" i="130" a="1"/>
  <c r="AO29" i="130" a="1"/>
  <c r="AN23" i="130" a="1"/>
  <c r="AT38" i="130" a="1"/>
  <c r="N66" i="130" a="1"/>
  <c r="AU59" i="130" a="1"/>
  <c r="L88" i="130" a="1"/>
  <c r="AM65" i="130" a="1"/>
  <c r="BA36" i="130" a="1"/>
  <c r="M5" i="130" a="1"/>
  <c r="S18" i="130" a="1"/>
  <c r="G46" i="130" a="1"/>
  <c r="N23" i="130" a="1"/>
  <c r="BH7" i="130" a="1"/>
  <c r="AZ61" i="130" a="1"/>
  <c r="L16" i="130" a="1"/>
  <c r="AF5" i="130" a="1"/>
  <c r="AF81" i="130" a="1"/>
  <c r="BK9" i="130" a="1"/>
  <c r="J39" i="130" a="1"/>
  <c r="BJ43" i="130" a="1"/>
  <c r="O20" i="130" a="1"/>
  <c r="AL46" i="130" a="1"/>
  <c r="BF22" i="130" a="1"/>
  <c r="E55" i="130" a="1"/>
  <c r="Z45" i="130" a="1"/>
  <c r="AZ8" i="130" a="1"/>
  <c r="AY39" i="130" a="1"/>
  <c r="BH31" i="130" a="1"/>
  <c r="AD23" i="130" a="1"/>
  <c r="AW65" i="130" a="1"/>
  <c r="AZ46" i="130" a="1"/>
  <c r="AG61" i="130" a="1"/>
  <c r="H81" i="130" a="1"/>
  <c r="BI71" i="130" a="1"/>
  <c r="BJ17" i="130" a="1"/>
  <c r="R61" i="130" a="1"/>
  <c r="J20" i="130" a="1"/>
  <c r="BB24" i="130" a="1"/>
  <c r="BE81" i="130" a="1"/>
  <c r="N67" i="130" a="1"/>
  <c r="AU47" i="130" a="1"/>
  <c r="M36" i="130" a="1"/>
  <c r="S17" i="130" a="1"/>
  <c r="C47" i="130" a="1"/>
  <c r="AO67" i="130" a="1"/>
  <c r="BF73" i="130" a="1"/>
  <c r="D30" i="130" a="1"/>
  <c r="P88" i="130" a="1"/>
  <c r="AI42" i="130" a="1"/>
  <c r="BF34" i="130" a="1"/>
  <c r="C34" i="130" a="1"/>
  <c r="I8" i="130" a="1"/>
  <c r="Q46" i="130" a="1"/>
  <c r="BE82" i="130" a="1"/>
  <c r="X60" i="130" a="1"/>
  <c r="O57" i="130" a="1"/>
  <c r="Y15" i="130" a="1"/>
  <c r="H60" i="130" a="1"/>
  <c r="K16" i="130" a="1"/>
  <c r="AE60" i="130" a="1"/>
  <c r="AZ77" i="130" a="1"/>
  <c r="BH30" i="130" a="1"/>
  <c r="BD28" i="130" a="1"/>
  <c r="AA13" i="130" a="1"/>
  <c r="AR42" i="130" a="1"/>
  <c r="R47" i="130" a="1"/>
  <c r="BK22" i="130" a="1"/>
  <c r="AM66" i="130" a="1"/>
  <c r="BH32" i="130" a="1"/>
  <c r="Y37" i="130" a="1"/>
  <c r="BA37" i="130" a="1"/>
  <c r="E17" i="130" a="1"/>
  <c r="AJ86" i="130" a="1"/>
  <c r="BC36" i="130" a="1"/>
  <c r="I31" i="130" a="1"/>
  <c r="R83" i="130" a="1"/>
  <c r="AG35" i="130" a="1"/>
  <c r="AM36" i="130" a="1"/>
  <c r="X52" i="130" a="1"/>
  <c r="BA17" i="130" a="1"/>
  <c r="AY8" i="130" a="1"/>
  <c r="N14" i="130" a="1"/>
  <c r="E26" i="130" a="1"/>
  <c r="AY10" i="130" a="1"/>
  <c r="BE86" i="130" a="1"/>
  <c r="P45" i="130" a="1"/>
  <c r="AT25" i="130" a="1"/>
  <c r="Y26" i="130" a="1"/>
  <c r="BD66" i="130" a="1"/>
  <c r="BE65" i="130" a="1"/>
  <c r="AM14" i="130" a="1"/>
  <c r="BF19" i="130" a="1"/>
  <c r="Q61" i="130" a="1"/>
  <c r="AM44" i="130" a="1"/>
  <c r="BA70" i="130" a="1"/>
  <c r="AA22" i="130" a="1"/>
  <c r="I16" i="130" a="1"/>
  <c r="AL51" i="130" a="1"/>
  <c r="M40" i="130" a="1"/>
  <c r="AJ29" i="130" a="1"/>
  <c r="BI44" i="130" a="1"/>
  <c r="S10" i="130" a="1"/>
  <c r="AO16" i="130" a="1"/>
  <c r="AU32" i="130" a="1"/>
  <c r="AN19" i="130" a="1"/>
  <c r="AO35" i="130" a="1"/>
  <c r="AS19" i="130" a="1"/>
  <c r="AH35" i="130" a="1"/>
  <c r="AF27" i="130" a="1"/>
  <c r="AH82" i="130" a="1"/>
  <c r="AI40" i="130" a="1"/>
  <c r="AG29" i="130" a="1"/>
  <c r="U24" i="130" a="1"/>
  <c r="G60" i="130" a="1"/>
  <c r="AS41" i="130" a="1"/>
  <c r="BH52" i="130" a="1"/>
  <c r="BD75" i="130" a="1"/>
  <c r="AO22" i="130" a="1"/>
  <c r="BA9" i="130" a="1"/>
  <c r="L83" i="130" a="1"/>
  <c r="V30" i="130" a="1"/>
  <c r="AC56" i="130" a="1"/>
  <c r="AZ76" i="130" a="1"/>
  <c r="K15" i="132" a="1"/>
  <c r="K13" i="132" a="1"/>
  <c r="FU15" i="132" a="1"/>
  <c r="EY13" i="132" a="1"/>
  <c r="DF12" i="132" a="1"/>
  <c r="DD16" i="132" a="1"/>
  <c r="BG11" i="132" a="1"/>
  <c r="CT14" i="132" a="1"/>
  <c r="DV16" i="132" a="1"/>
  <c r="AA12" i="132" a="1"/>
  <c r="ED14" i="132" a="1"/>
  <c r="BD76" i="130" a="1"/>
  <c r="H69" i="130" a="1"/>
  <c r="BG51" i="130" a="1"/>
  <c r="EH13" i="132" a="1"/>
  <c r="AS12" i="132" a="1"/>
  <c r="BK5" i="132" a="1"/>
  <c r="FW6" i="132" a="1"/>
  <c r="BP15" i="132" a="1"/>
  <c r="EE7" i="132" a="1"/>
  <c r="EI7" i="132" a="1"/>
  <c r="HE14" i="132" a="1"/>
  <c r="J11" i="132" a="1"/>
  <c r="BE6" i="132" a="1"/>
  <c r="AS8" i="132" a="1"/>
  <c r="AF6" i="132" a="1"/>
  <c r="EN15" i="132" a="1"/>
  <c r="Q63" i="130" a="1"/>
  <c r="CH7" i="132" a="1"/>
  <c r="DB7" i="132" a="1"/>
  <c r="EM11" i="132" a="1"/>
  <c r="DJ6" i="132" a="1"/>
  <c r="GX16" i="132" a="1"/>
  <c r="AP16" i="132" a="1"/>
  <c r="AU61" i="130" a="1"/>
  <c r="E63" i="130" a="1"/>
  <c r="AC87" i="130" a="1"/>
  <c r="BJ58" i="130" a="1"/>
  <c r="Y27" i="130" a="1"/>
  <c r="BH69" i="130" a="1"/>
  <c r="EK9" i="132" a="1"/>
  <c r="DL11" i="132" a="1"/>
  <c r="H47" i="130" a="1"/>
  <c r="D28" i="130" a="1"/>
  <c r="T8" i="130" a="1"/>
  <c r="BG15" i="130" a="1"/>
  <c r="FF13" i="132" a="1"/>
  <c r="BU7" i="132" a="1"/>
  <c r="F15" i="132" a="1"/>
  <c r="EL12" i="132" a="1"/>
  <c r="ED8" i="132" a="1"/>
  <c r="AE32" i="130" a="1"/>
  <c r="BB28" i="130" a="1"/>
  <c r="AH57" i="130" a="1"/>
  <c r="AD31" i="130" a="1"/>
  <c r="AM69" i="130" a="1"/>
  <c r="AQ86" i="130" a="1"/>
  <c r="J21" i="130" a="1"/>
  <c r="AJ16" i="130" a="1"/>
  <c r="BE88" i="130" a="1"/>
  <c r="BA39" i="130" a="1"/>
  <c r="E58" i="130" a="1"/>
  <c r="BK31" i="130" a="1"/>
  <c r="AO61" i="130" a="1"/>
  <c r="AS39" i="130" a="1"/>
  <c r="M41" i="130" a="1"/>
  <c r="AG15" i="132" a="1"/>
  <c r="CL5" i="132" a="1"/>
  <c r="CT13" i="132" a="1"/>
  <c r="AD65" i="130" a="1"/>
  <c r="O71" i="130" a="1"/>
  <c r="BH25" i="130" a="1"/>
  <c r="E89" i="130" a="1"/>
  <c r="AZ22" i="130" a="1"/>
  <c r="AE7" i="132" a="1"/>
  <c r="U81" i="130" a="1"/>
  <c r="K27" i="130" a="1"/>
  <c r="M30" i="130" a="1"/>
  <c r="V15" i="132" a="1"/>
  <c r="CM14" i="132" a="1"/>
  <c r="FA15" i="132" a="1"/>
  <c r="CG12" i="132" a="1"/>
  <c r="EW14" i="132" a="1"/>
  <c r="BB10" i="130" a="1"/>
  <c r="AC61" i="130" a="1"/>
  <c r="H57" i="130" a="1"/>
  <c r="DS7" i="132" a="1"/>
  <c r="Q43" i="130" a="1"/>
  <c r="AS26" i="130" a="1"/>
  <c r="L16" i="132" a="1"/>
  <c r="D38" i="130" a="1"/>
  <c r="AQ70" i="130" a="1"/>
  <c r="GX9" i="132" a="1"/>
  <c r="AT65" i="130" a="1"/>
  <c r="AP38" i="130" a="1"/>
  <c r="AV36" i="130" a="1"/>
  <c r="I56" i="130" a="1"/>
  <c r="K36" i="130" a="1"/>
  <c r="X9" i="132" a="1"/>
  <c r="BV9" i="132" a="1"/>
  <c r="ER5" i="132" a="1"/>
  <c r="AJ80" i="130" a="1"/>
  <c r="AW72" i="130" a="1"/>
  <c r="AQ78" i="130" a="1"/>
  <c r="J14" i="132" a="1"/>
  <c r="BD12" i="130" a="1"/>
  <c r="GW15" i="132" a="1"/>
  <c r="M58" i="130" a="1"/>
  <c r="AS17" i="130" a="1"/>
  <c r="BE71" i="130" a="1"/>
  <c r="GP14" i="132" a="1"/>
  <c r="DR15" i="132" a="1"/>
  <c r="AO71" i="130" a="1"/>
  <c r="AN66" i="130" a="1"/>
  <c r="H83" i="130" a="1"/>
  <c r="CJ16" i="132" a="1"/>
  <c r="F86" i="130" a="1"/>
  <c r="AS71" i="130" a="1"/>
  <c r="AR79" i="130" a="1"/>
  <c r="AK12" i="130" a="1"/>
  <c r="BA22" i="130" a="1"/>
  <c r="AC79" i="130" a="1"/>
  <c r="BC75" i="130" a="1"/>
  <c r="K70" i="130" a="1"/>
  <c r="Y83" i="130" a="1"/>
  <c r="AK52" i="130" a="1"/>
  <c r="BB5" i="130" a="1"/>
  <c r="BA65" i="130" a="1"/>
  <c r="BG14" i="130" a="1"/>
  <c r="X68" i="130" a="1"/>
  <c r="AU51" i="130" a="1"/>
  <c r="V14" i="130" a="1"/>
  <c r="AL60" i="130" a="1"/>
  <c r="F34" i="130" a="1"/>
  <c r="G58" i="130" a="1"/>
  <c r="BE35" i="130" a="1"/>
  <c r="V41" i="130" a="1"/>
  <c r="AM46" i="130" a="1"/>
  <c r="BC56" i="130" a="1"/>
  <c r="Z78" i="130" a="1"/>
  <c r="G80" i="130" a="1"/>
  <c r="AI69" i="130" a="1"/>
  <c r="GS15" i="132" a="1"/>
  <c r="U87" i="130" a="1"/>
  <c r="W24" i="130" a="1"/>
  <c r="AV9" i="130" a="1"/>
  <c r="AS56" i="130" a="1"/>
  <c r="AW21" i="130" a="1"/>
  <c r="AA62" i="130" a="1"/>
  <c r="M14" i="130" a="1"/>
  <c r="AB68" i="130" a="1"/>
  <c r="E85" i="130" a="1"/>
  <c r="X86" i="130" a="1"/>
  <c r="AK27" i="130" a="1"/>
  <c r="AF89" i="130" a="1"/>
  <c r="AK71" i="130" a="1"/>
  <c r="I61" i="130" a="1"/>
  <c r="GM5" i="132" a="1"/>
  <c r="X31" i="130" a="1"/>
  <c r="Z77" i="130" a="1"/>
  <c r="AR12" i="132" a="1"/>
  <c r="C81" i="130" a="1"/>
  <c r="N64" i="130" a="1"/>
  <c r="T74" i="130" a="1"/>
  <c r="O72" i="130" a="1"/>
  <c r="AW58" i="130" a="1"/>
  <c r="U72" i="130" a="1"/>
  <c r="BC47" i="130" a="1"/>
  <c r="O25" i="130" a="1"/>
  <c r="BI46" i="130" a="1"/>
  <c r="X35" i="130" a="1"/>
  <c r="AM43" i="130" a="1"/>
  <c r="H20" i="130" a="1"/>
  <c r="E43" i="130" a="1"/>
  <c r="AI72" i="130" a="1"/>
  <c r="AG82" i="130" a="1"/>
  <c r="AB52" i="130" a="1"/>
  <c r="D80" i="130" a="1"/>
  <c r="R88" i="130" a="1"/>
  <c r="AE38" i="130" a="1"/>
  <c r="AC13" i="130" a="1"/>
  <c r="AC8" i="130" a="1"/>
  <c r="AG9" i="130" a="1"/>
  <c r="R55" i="130" a="1"/>
  <c r="AD33" i="130" a="1"/>
  <c r="L74" i="130" a="1"/>
  <c r="AO46" i="130" a="1"/>
  <c r="AY14" i="130" a="1"/>
  <c r="L70" i="130" a="1"/>
  <c r="AL61" i="130" a="1"/>
  <c r="Q89" i="130" a="1"/>
  <c r="J82" i="130" a="1"/>
  <c r="AK78" i="130" a="1"/>
  <c r="BF38" i="130" a="1"/>
  <c r="AZ63" i="130" a="1"/>
  <c r="AH12" i="130" a="1"/>
  <c r="AQ16" i="130" a="1"/>
  <c r="AF30" i="130" a="1"/>
  <c r="T7" i="130" a="1"/>
  <c r="Z56" i="130" a="1"/>
  <c r="AI14" i="130" a="1"/>
  <c r="AE85" i="130" a="1"/>
  <c r="E13" i="130" a="1"/>
  <c r="AN42" i="130" a="1"/>
  <c r="AA34" i="130" a="1"/>
  <c r="M42" i="130" a="1"/>
  <c r="U7" i="130" a="1"/>
  <c r="AK21" i="130" a="1"/>
  <c r="AV17" i="130" a="1"/>
  <c r="T56" i="130" a="1"/>
  <c r="L56" i="130" a="1"/>
  <c r="L51" i="130" a="1"/>
  <c r="J5" i="130" a="1"/>
  <c r="BK86" i="130" a="1"/>
  <c r="BB27" i="130" a="1"/>
  <c r="AV58" i="130" a="1"/>
  <c r="BA75" i="130" a="1"/>
  <c r="AH23" i="130" a="1"/>
  <c r="AN25" i="130" a="1"/>
  <c r="BD31" i="130" a="1"/>
  <c r="Y86" i="130" a="1"/>
  <c r="AZ16" i="130" a="1"/>
  <c r="AG65" i="130" a="1"/>
  <c r="AX85" i="130" a="1"/>
  <c r="AL13" i="130" a="1"/>
  <c r="AS43" i="130" a="1"/>
  <c r="I22" i="130" a="1"/>
  <c r="AM8" i="130" a="1"/>
  <c r="K63" i="130" a="1"/>
  <c r="U74" i="130" a="1"/>
  <c r="AF14" i="130" a="1"/>
  <c r="K19" i="130" a="1"/>
  <c r="AR77" i="130" a="1"/>
  <c r="AG79" i="130" a="1"/>
  <c r="AG60" i="130" a="1"/>
  <c r="BD16" i="130" a="1"/>
  <c r="F9" i="130" a="1"/>
  <c r="AZ62" i="130" a="1"/>
  <c r="F35" i="130" a="1"/>
  <c r="BA10" i="130" a="1"/>
  <c r="U17" i="130" a="1"/>
  <c r="V40" i="130" a="1"/>
  <c r="AT42" i="130" a="1"/>
  <c r="AW36" i="130" a="1"/>
  <c r="AL67" i="130" a="1"/>
  <c r="AH41" i="130" a="1"/>
  <c r="AL85" i="130" a="1"/>
  <c r="AF71" i="130" a="1"/>
  <c r="Q73" i="130" a="1"/>
  <c r="W84" i="130" a="1"/>
  <c r="AY27" i="130" a="1"/>
  <c r="AD14" i="130" a="1"/>
  <c r="AE87" i="130" a="1"/>
  <c r="AI86" i="130" a="1"/>
  <c r="V75" i="130" a="1"/>
  <c r="I78" i="130" a="1"/>
  <c r="J70" i="130" a="1"/>
  <c r="T51" i="130" a="1"/>
  <c r="G68" i="130" a="1"/>
  <c r="AL9" i="130" a="1"/>
  <c r="BB19" i="130" a="1"/>
  <c r="AH45" i="130" a="1"/>
  <c r="BK40" i="130" a="1"/>
  <c r="AT32" i="130" a="1"/>
  <c r="AU43" i="130" a="1"/>
  <c r="R56" i="130" a="1"/>
  <c r="AF12" i="130" a="1"/>
  <c r="AR75" i="130" a="1"/>
  <c r="AN65" i="130" a="1"/>
  <c r="BC21" i="130" a="1"/>
  <c r="AD56" i="130" a="1"/>
  <c r="O59" i="130" a="1"/>
  <c r="T59" i="130" a="1"/>
  <c r="J26" i="130" a="1"/>
  <c r="AE82" i="130" a="1"/>
  <c r="AE29" i="130" a="1"/>
  <c r="AM70" i="130" a="1"/>
  <c r="AO23" i="130" a="1"/>
  <c r="AA46" i="130" a="1"/>
  <c r="U8" i="130" a="1"/>
  <c r="BI28" i="130" a="1"/>
  <c r="H33" i="130" a="1"/>
  <c r="AX19" i="130" a="1"/>
  <c r="V12" i="130" a="1"/>
  <c r="AF21" i="130" a="1"/>
  <c r="W86" i="130" a="1"/>
  <c r="J61" i="130" a="1"/>
  <c r="Y44" i="130" a="1"/>
  <c r="C89" i="130" a="1"/>
  <c r="AW60" i="130" a="1"/>
  <c r="AG71" i="130" a="1"/>
  <c r="AF65" i="130" a="1"/>
  <c r="BE31" i="130" a="1"/>
  <c r="AQ47" i="130" a="1"/>
  <c r="BB38" i="130" a="1"/>
  <c r="Z30" i="130" a="1"/>
  <c r="Q84" i="130" a="1"/>
  <c r="AC23" i="130" a="1"/>
  <c r="AC21" i="130" a="1"/>
  <c r="K71" i="130" a="1"/>
  <c r="AK5" i="130" a="1"/>
  <c r="U59" i="130" a="1"/>
  <c r="AC39" i="130" a="1"/>
  <c r="F30" i="130" a="1"/>
  <c r="AC5" i="130" a="1"/>
  <c r="BH71" i="130" a="1"/>
  <c r="T40" i="130" a="1"/>
  <c r="AY35" i="130" a="1"/>
  <c r="BC70" i="130" a="1"/>
  <c r="T63" i="130" a="1"/>
  <c r="P59" i="130" a="1"/>
  <c r="F38" i="130" a="1"/>
  <c r="Q7" i="130" a="1"/>
  <c r="AP64" i="130" a="1"/>
  <c r="E34" i="130" a="1"/>
  <c r="AP18" i="130" a="1"/>
  <c r="BC87" i="130" a="1"/>
  <c r="AZ71" i="130" a="1"/>
  <c r="AL10" i="130" a="1"/>
  <c r="AQ65" i="130" a="1"/>
  <c r="I39" i="130" a="1"/>
  <c r="T28" i="130" a="1"/>
  <c r="P20" i="130" a="1"/>
  <c r="W15" i="130" a="1"/>
  <c r="AS37" i="130" a="1"/>
  <c r="S77" i="130" a="1"/>
  <c r="EA8" i="132" a="1"/>
  <c r="Q15" i="132" a="1"/>
  <c r="DB9" i="132" a="1"/>
  <c r="AC67" i="130" a="1"/>
  <c r="X46" i="130" a="1"/>
  <c r="AA71" i="130" a="1"/>
  <c r="AE83" i="130" a="1"/>
  <c r="AA25" i="130" a="1"/>
  <c r="BD80" i="130" a="1"/>
  <c r="AV67" i="130" a="1"/>
  <c r="C74" i="130" a="1"/>
  <c r="EZ15" i="132" a="1"/>
  <c r="BK66" i="130" a="1"/>
  <c r="DG5" i="132" a="1"/>
  <c r="BG76" i="130" a="1"/>
  <c r="W20" i="130" a="1"/>
  <c r="BD73" i="130" a="1"/>
  <c r="AJ15" i="130" a="1"/>
  <c r="X62" i="130" a="1"/>
  <c r="O9" i="130" a="1"/>
  <c r="BJ5" i="130" a="1"/>
  <c r="H13" i="130" a="1"/>
  <c r="BC41" i="130" a="1"/>
  <c r="CG7" i="132" a="1"/>
  <c r="AO77" i="130" a="1"/>
  <c r="AS16" i="130" a="1"/>
  <c r="AF61" i="130" a="1"/>
  <c r="AV15" i="132" a="1"/>
  <c r="AB86" i="130" a="1"/>
  <c r="D41" i="130" a="1"/>
  <c r="BE73" i="130" a="1"/>
  <c r="BC63" i="130" a="1"/>
  <c r="BF57" i="130" a="1"/>
  <c r="L63" i="130" a="1"/>
  <c r="AG34" i="130" a="1"/>
  <c r="BD62" i="130" a="1"/>
  <c r="AK7" i="130" a="1"/>
  <c r="AS45" i="130" a="1"/>
  <c r="U83" i="130" a="1"/>
  <c r="D22" i="130" a="1"/>
  <c r="CR15" i="132" a="1"/>
  <c r="K12" i="130" a="1"/>
  <c r="GD6" i="132" a="1"/>
  <c r="AO13" i="130" a="1"/>
  <c r="CG6" i="132" a="1"/>
  <c r="AZ11" i="130" a="1"/>
  <c r="N70" i="130" a="1"/>
  <c r="AG52" i="130" a="1"/>
  <c r="AG87" i="130" a="1"/>
  <c r="H88" i="130" a="1"/>
  <c r="Z69" i="130" a="1"/>
  <c r="AB84" i="130" a="1"/>
  <c r="BJ30" i="130" a="1"/>
  <c r="D46" i="130" a="1"/>
  <c r="M38" i="130" a="1"/>
  <c r="BK56" i="130" a="1"/>
  <c r="G73" i="130" a="1"/>
  <c r="P16" i="130" a="1"/>
  <c r="AU52" i="130" a="1"/>
  <c r="AH37" i="130" a="1"/>
  <c r="AF66" i="130" a="1"/>
  <c r="U34" i="130" a="1"/>
  <c r="AC70" i="130" a="1"/>
  <c r="Y74" i="130" a="1"/>
  <c r="AH42" i="130" a="1"/>
  <c r="AR80" i="130" a="1"/>
  <c r="AS23" i="130" a="1"/>
  <c r="C73" i="130" a="1"/>
  <c r="AK57" i="130" a="1"/>
  <c r="J42" i="130" a="1"/>
  <c r="AW12" i="130" a="1"/>
  <c r="BJ34" i="130" a="1"/>
  <c r="BE11" i="130" a="1"/>
  <c r="M84" i="130" a="1"/>
  <c r="AZ18" i="130" a="1"/>
  <c r="AA70" i="130" a="1"/>
  <c r="K7" i="130" a="1"/>
  <c r="AN87" i="130" a="1"/>
  <c r="AX32" i="130" a="1"/>
  <c r="AH63" i="130" a="1"/>
  <c r="AF28" i="130" a="1"/>
  <c r="I62" i="130" a="1"/>
  <c r="F28" i="130" a="1"/>
  <c r="AV63" i="130" a="1"/>
  <c r="AM28" i="130" a="1"/>
  <c r="AP86" i="130" a="1"/>
  <c r="H70" i="130" a="1"/>
  <c r="AM17" i="130" a="1"/>
  <c r="M20" i="130" a="1"/>
  <c r="AH52" i="130" a="1"/>
  <c r="L17" i="130" a="1"/>
  <c r="L62" i="130" a="1"/>
  <c r="BJ22" i="130" a="1"/>
  <c r="AF8" i="130" a="1"/>
  <c r="AV84" i="130" a="1"/>
  <c r="W60" i="130" a="1"/>
  <c r="BB29" i="130" a="1"/>
  <c r="AD30" i="130" a="1"/>
  <c r="AQ20" i="130" a="1"/>
  <c r="M12" i="130" a="1"/>
  <c r="E19" i="130" a="1"/>
  <c r="AF88" i="130" a="1"/>
  <c r="R24" i="130" a="1"/>
  <c r="AL5" i="130" a="1"/>
  <c r="AW39" i="130" a="1"/>
  <c r="L23" i="130" a="1"/>
  <c r="AH72" i="130" a="1"/>
  <c r="E14" i="130" a="1"/>
  <c r="AM18" i="130" a="1"/>
  <c r="H40" i="130" a="1"/>
  <c r="V23" i="130" a="1"/>
  <c r="Q47" i="130" a="1"/>
  <c r="Q76" i="130" a="1"/>
  <c r="AK86" i="130" a="1"/>
  <c r="AF56" i="130" a="1"/>
  <c r="T47" i="130" a="1"/>
  <c r="C33" i="130" a="1"/>
  <c r="J56" i="130" a="1"/>
  <c r="AP89" i="130" a="1"/>
  <c r="FS7" i="132" a="1"/>
  <c r="FH14" i="132" a="1"/>
  <c r="FQ5" i="132" a="1"/>
  <c r="EM12" i="132" a="1"/>
  <c r="ED15" i="132" a="1"/>
  <c r="AC77" i="130" a="1"/>
  <c r="Y72" i="130" a="1"/>
  <c r="AV31" i="130" a="1"/>
  <c r="DS5" i="132" a="1"/>
  <c r="AT12" i="130" a="1"/>
  <c r="AN81" i="130" a="1"/>
  <c r="V71" i="130" a="1"/>
  <c r="AW40" i="130" a="1"/>
  <c r="X65" i="130" a="1"/>
  <c r="BC71" i="130" a="1"/>
  <c r="AM85" i="130" a="1"/>
  <c r="AK82" i="130" a="1"/>
  <c r="AM20" i="130" a="1"/>
  <c r="O33" i="130" a="1"/>
  <c r="AL37" i="130" a="1"/>
  <c r="P7" i="130" a="1"/>
  <c r="BG45" i="130" a="1"/>
  <c r="BI14" i="132" a="1"/>
  <c r="AW61" i="130" a="1"/>
  <c r="AH34" i="130" a="1"/>
  <c r="Q10" i="130" a="1"/>
  <c r="BF67" i="130" a="1"/>
  <c r="O8" i="130" a="1"/>
  <c r="BJ46" i="130" a="1"/>
  <c r="BC10" i="130" a="1"/>
  <c r="Z38" i="130" a="1"/>
  <c r="AR38" i="130" a="1"/>
  <c r="E39" i="130" a="1"/>
  <c r="G27" i="130" a="1"/>
  <c r="AG36" i="130" a="1"/>
  <c r="AH77" i="130" a="1"/>
  <c r="AZ9" i="130" a="1"/>
  <c r="BC62" i="130" a="1"/>
  <c r="AH84" i="130" a="1"/>
  <c r="T57" i="130" a="1"/>
  <c r="F36" i="130" a="1"/>
  <c r="AZ34" i="130" a="1"/>
  <c r="M18" i="130" a="1"/>
  <c r="BA18" i="130" a="1"/>
  <c r="J63" i="130" a="1"/>
  <c r="K37" i="130" a="1"/>
  <c r="AS75" i="130" a="1"/>
  <c r="AP34" i="130" a="1"/>
  <c r="AA89" i="130" a="1"/>
  <c r="AC71" i="130" a="1"/>
  <c r="AG8" i="130" a="1"/>
  <c r="N25" i="130" a="1"/>
  <c r="U77" i="130" a="1"/>
  <c r="K25" i="130" a="1"/>
  <c r="BI10" i="130" a="1"/>
  <c r="D39" i="130" a="1"/>
  <c r="M39" i="130" a="1"/>
  <c r="AJ46" i="130" a="1"/>
  <c r="AW25" i="130" a="1"/>
  <c r="AS46" i="130" a="1"/>
  <c r="J66" i="130" a="1"/>
  <c r="Y81" i="130" a="1"/>
  <c r="AV65" i="130" a="1"/>
  <c r="Z71" i="130" a="1"/>
  <c r="BF25" i="130" a="1"/>
  <c r="C24" i="130" a="1"/>
  <c r="AL79" i="130" a="1"/>
  <c r="BD67" i="130" a="1"/>
  <c r="BK25" i="130" a="1"/>
  <c r="AP71" i="130" a="1"/>
  <c r="F5" i="130" a="1"/>
  <c r="AM29" i="130" a="1"/>
  <c r="AX15" i="130" a="1"/>
  <c r="BF83" i="130" a="1"/>
  <c r="AH86" i="130" a="1"/>
  <c r="D61" i="130" a="1"/>
  <c r="Q80" i="130" a="1"/>
  <c r="S52" i="130" a="1"/>
  <c r="S28" i="130" a="1"/>
  <c r="C45" i="130" a="1"/>
  <c r="J16" i="130" a="1"/>
  <c r="AB57" i="130" a="1"/>
  <c r="AC47" i="130" a="1"/>
  <c r="C23" i="130" a="1"/>
  <c r="P40" i="130" a="1"/>
  <c r="BH24" i="130" a="1"/>
  <c r="AS86" i="130" a="1"/>
  <c r="F24" i="130" a="1"/>
  <c r="BB36" i="130" a="1"/>
  <c r="V28" i="130" a="1"/>
  <c r="AG20" i="130" a="1"/>
  <c r="BA11" i="130" a="1"/>
  <c r="E76" i="130" a="1"/>
  <c r="AV77" i="130" a="1"/>
  <c r="Q32" i="130" a="1"/>
  <c r="BF87" i="130" a="1"/>
  <c r="GQ9" i="132" a="1"/>
  <c r="BS8" i="132" a="1"/>
  <c r="K44" i="130" a="1"/>
  <c r="O27" i="130" a="1"/>
  <c r="AL62" i="130" a="1"/>
  <c r="BD87" i="130" a="1"/>
  <c r="AM52" i="130" a="1"/>
  <c r="AZ86" i="130" a="1"/>
  <c r="BG42" i="130" a="1"/>
  <c r="Y57" i="130" a="1"/>
  <c r="AK76" i="130" a="1"/>
  <c r="F8" i="130" a="1"/>
  <c r="Z40" i="130" a="1"/>
  <c r="AG45" i="130" a="1"/>
  <c r="AH26" i="130" a="1"/>
  <c r="BJ69" i="130" a="1"/>
  <c r="J85" i="130" a="1"/>
  <c r="AA52" i="130" a="1"/>
  <c r="S44" i="130" a="1"/>
  <c r="BK80" i="130" a="1"/>
  <c r="C39" i="130" a="1"/>
  <c r="BF71" i="130" a="1"/>
  <c r="AW10" i="130" a="1"/>
  <c r="AX22" i="130" a="1"/>
  <c r="AL74" i="130" a="1"/>
  <c r="AB66" i="130" a="1"/>
  <c r="AA78" i="130" a="1"/>
  <c r="AX42" i="130" a="1"/>
  <c r="K26" i="130" a="1"/>
  <c r="C27" i="130" a="1"/>
  <c r="AQ59" i="130" a="1"/>
  <c r="AV72" i="130" a="1"/>
  <c r="AU37" i="130" a="1"/>
  <c r="AH5" i="130" a="1"/>
  <c r="BK64" i="130" a="1"/>
  <c r="BF85" i="130" a="1"/>
  <c r="M73" i="130" a="1"/>
  <c r="V84" i="130" a="1"/>
  <c r="AA37" i="130" a="1"/>
  <c r="AN16" i="130" a="1"/>
  <c r="P36" i="130" a="1"/>
  <c r="AU75" i="130" a="1"/>
  <c r="AJ13" i="130" a="1"/>
  <c r="P12" i="130" a="1"/>
  <c r="V85" i="130" a="1"/>
  <c r="AG19" i="130" a="1"/>
  <c r="AL75" i="130" a="1"/>
  <c r="BK46" i="130" a="1"/>
  <c r="AX37" i="130" a="1"/>
  <c r="U28" i="130" a="1"/>
  <c r="U5" i="130" a="1"/>
  <c r="P80" i="130" a="1"/>
  <c r="P28" i="130" a="1"/>
  <c r="AS15" i="130" a="1"/>
  <c r="AE55" i="130" a="1"/>
  <c r="K42" i="130" a="1"/>
  <c r="AM86" i="130" a="1"/>
  <c r="J43" i="130" a="1"/>
  <c r="BD85" i="130" a="1"/>
  <c r="BA35" i="130" a="1"/>
  <c r="AY43" i="130" a="1"/>
  <c r="H63" i="130" a="1"/>
  <c r="BH27" i="130" a="1"/>
  <c r="AT61" i="130" a="1"/>
  <c r="V15" i="130" a="1"/>
  <c r="W51" i="130" a="1"/>
  <c r="L39" i="130" a="1"/>
  <c r="BF65" i="130" a="1"/>
  <c r="AM82" i="130" a="1"/>
  <c r="AF62" i="130" a="1"/>
  <c r="BH77" i="130" a="1"/>
  <c r="AC17" i="130" a="1"/>
  <c r="BA5" i="130" a="1"/>
  <c r="C40" i="130" a="1"/>
  <c r="AT84" i="130" a="1"/>
  <c r="BB88" i="130" a="1"/>
  <c r="T64" i="130" a="1"/>
  <c r="J79" i="130" a="1"/>
  <c r="S19" i="130" a="1"/>
  <c r="T16" i="130" a="1"/>
  <c r="BC79" i="130" a="1"/>
  <c r="I17" i="130" a="1"/>
  <c r="BC39" i="130" a="1"/>
  <c r="AS57" i="130" a="1"/>
  <c r="BG64" i="130" a="1"/>
  <c r="AG9" i="132" a="1"/>
  <c r="DX13" i="132" a="1"/>
  <c r="AB36" i="130" a="1"/>
  <c r="AZ41" i="130" a="1"/>
  <c r="BI24" i="130" a="1"/>
  <c r="AZ44" i="130" a="1"/>
  <c r="AO20" i="130" a="1"/>
  <c r="AB65" i="130" a="1"/>
  <c r="AX28" i="130" a="1"/>
  <c r="AJ59" i="130" a="1"/>
  <c r="H84" i="130" a="1"/>
  <c r="AK84" i="130" a="1"/>
  <c r="C88" i="130" a="1"/>
  <c r="P27" i="130" a="1"/>
  <c r="BB68" i="130" a="1"/>
  <c r="BG21" i="130" a="1"/>
  <c r="BK45" i="130" a="1"/>
  <c r="AR31" i="130" a="1"/>
  <c r="BA44" i="130" a="1"/>
  <c r="R8" i="130" a="1"/>
  <c r="AR34" i="130" a="1"/>
  <c r="BG19" i="130" a="1"/>
  <c r="AL24" i="130" a="1"/>
  <c r="AY45" i="130" a="1"/>
  <c r="T76" i="130" a="1"/>
  <c r="BG29" i="130" a="1"/>
  <c r="AU21" i="130" a="1"/>
  <c r="H24" i="130" a="1"/>
  <c r="AN86" i="130" a="1"/>
  <c r="AP80" i="130" a="1"/>
  <c r="K56" i="130" a="1"/>
  <c r="AJ47" i="130" a="1"/>
  <c r="M80" i="130" a="1"/>
  <c r="Z26" i="130" a="1"/>
  <c r="AK33" i="130" a="1"/>
  <c r="L81" i="130" a="1"/>
  <c r="AO59" i="130" a="1"/>
  <c r="AR17" i="130" a="1"/>
  <c r="AA26" i="130" a="1"/>
  <c r="AB8" i="130" a="1"/>
  <c r="BF11" i="130" a="1"/>
  <c r="AP21" i="130" a="1"/>
  <c r="F52" i="130" a="1"/>
  <c r="W82" i="130" a="1"/>
  <c r="I82" i="130" a="1"/>
  <c r="W68" i="130" a="1"/>
  <c r="Z51" i="130" a="1"/>
  <c r="AD26" i="130" a="1"/>
  <c r="Z43" i="130" a="1"/>
  <c r="M46" i="130" a="1"/>
  <c r="P82" i="130" a="1"/>
  <c r="Y23" i="130" a="1"/>
  <c r="BE52" i="130" a="1"/>
  <c r="Y35" i="130" a="1"/>
  <c r="BU16" i="132" a="1"/>
  <c r="AF42" i="130" a="1"/>
  <c r="AR56" i="130" a="1"/>
  <c r="AA38" i="130" a="1"/>
  <c r="AY63" i="130" a="1"/>
  <c r="AK55" i="130" a="1"/>
  <c r="W22" i="130" a="1"/>
  <c r="D82" i="130" a="1"/>
  <c r="BI82" i="130" a="1"/>
  <c r="BI27" i="130" a="1"/>
  <c r="AY71" i="130" a="1"/>
  <c r="BE37" i="130" a="1"/>
  <c r="F15" i="130" a="1"/>
  <c r="AI31" i="130" a="1"/>
  <c r="H18" i="130" a="1"/>
  <c r="BI41" i="130" a="1"/>
  <c r="L28" i="130" a="1"/>
  <c r="O80" i="130" a="1"/>
  <c r="AJ10" i="130" a="1"/>
  <c r="H25" i="130" a="1"/>
  <c r="AA20" i="130" a="1"/>
  <c r="Z79" i="130" a="1"/>
  <c r="R32" i="130" a="1"/>
  <c r="X32" i="130" a="1"/>
  <c r="BH58" i="130" a="1"/>
  <c r="G37" i="130" a="1"/>
  <c r="R21" i="130" a="1"/>
  <c r="BI13" i="130" a="1"/>
  <c r="AJ27" i="130" a="1"/>
  <c r="AF41" i="130" a="1"/>
  <c r="AP73" i="130" a="1"/>
  <c r="BI89" i="130" a="1"/>
  <c r="AE14" i="132" a="1"/>
  <c r="BJ80" i="130" a="1"/>
  <c r="W38" i="130" a="1"/>
  <c r="BD65" i="130" a="1"/>
  <c r="U84" i="130" a="1"/>
  <c r="AN21" i="130" a="1"/>
  <c r="K38" i="130" a="1"/>
  <c r="H30" i="130" a="1"/>
  <c r="AK87" i="130" a="1"/>
  <c r="AA60" i="130" a="1"/>
  <c r="AZ52" i="130" a="1"/>
  <c r="AE72" i="130" a="1"/>
  <c r="AS18" i="130" a="1"/>
  <c r="I13" i="130" a="1"/>
  <c r="AH79" i="130" a="1"/>
  <c r="BJ66" i="130" a="1"/>
  <c r="O84" i="130" a="1"/>
  <c r="AE80" i="130" a="1"/>
  <c r="BH13" i="130" a="1"/>
  <c r="AT14" i="130" a="1"/>
  <c r="AE88" i="130" a="1"/>
  <c r="AQ61" i="130" a="1"/>
  <c r="K46" i="130" a="1"/>
  <c r="AI25" i="130" a="1"/>
  <c r="AL77" i="130" a="1"/>
  <c r="N10" i="130" a="1"/>
  <c r="BJ89" i="130" a="1"/>
  <c r="AC36" i="130" a="1"/>
  <c r="T45" i="130" a="1"/>
  <c r="M67" i="130" a="1"/>
  <c r="X12" i="130" a="1"/>
  <c r="L12" i="130" a="1"/>
  <c r="R31" i="130" a="1"/>
  <c r="AY86" i="130" a="1"/>
  <c r="E64" i="130" a="1"/>
  <c r="C11" i="130" a="1"/>
  <c r="AZ56" i="130" a="1"/>
  <c r="AL39" i="130" a="1"/>
  <c r="BC13" i="130" a="1"/>
  <c r="I28" i="130" a="1"/>
  <c r="AI39" i="130" a="1"/>
  <c r="K78" i="130" a="1"/>
  <c r="EO12" i="132" a="1"/>
  <c r="O46" i="130" a="1"/>
  <c r="BD26" i="130" a="1"/>
  <c r="AF26" i="130" a="1"/>
  <c r="Y76" i="130" a="1"/>
  <c r="GI13" i="132" a="1"/>
  <c r="AS77" i="130" a="1"/>
  <c r="AT51" i="130" a="1"/>
  <c r="L25" i="130" a="1"/>
  <c r="BI75" i="130" a="1"/>
  <c r="AX70" i="130" a="1"/>
  <c r="BC24" i="130" a="1"/>
  <c r="V78" i="130" a="1"/>
  <c r="AE24" i="130" a="1"/>
  <c r="BH26" i="130" a="1"/>
  <c r="L14" i="130" a="1"/>
  <c r="AJ41" i="130" a="1"/>
  <c r="D17" i="130" a="1"/>
  <c r="AI35" i="130" a="1"/>
  <c r="O42" i="130" a="1"/>
  <c r="Y87" i="130" a="1"/>
  <c r="BI87" i="130" a="1"/>
  <c r="BE78" i="130" a="1"/>
  <c r="BD72" i="130" a="1"/>
  <c r="Z8" i="130" a="1"/>
  <c r="AH44" i="130" a="1"/>
  <c r="AO8" i="130" a="1"/>
  <c r="AQ75" i="130" a="1"/>
  <c r="E27" i="130" a="1"/>
  <c r="C66" i="130" a="1"/>
  <c r="BD74" i="130" a="1"/>
  <c r="X5" i="130" a="1"/>
  <c r="AU45" i="130" a="1"/>
  <c r="AW28" i="130" a="1"/>
  <c r="BG12" i="130" a="1"/>
  <c r="AH39" i="130" a="1"/>
  <c r="BG60" i="130" a="1"/>
  <c r="BK34" i="130" a="1"/>
  <c r="AB10" i="130" a="1"/>
  <c r="AN10" i="130" a="1"/>
  <c r="AL31" i="130" a="1"/>
  <c r="AD21" i="130" a="1"/>
  <c r="Y45" i="130" a="1"/>
  <c r="M32" i="130" a="1"/>
  <c r="N84" i="130" a="1"/>
  <c r="AL33" i="130" a="1"/>
  <c r="N59" i="130" a="1"/>
  <c r="BJ73" i="130" a="1"/>
  <c r="Y33" i="130" a="1"/>
  <c r="BK33" i="130" a="1"/>
  <c r="BD89" i="130" a="1"/>
  <c r="BI5" i="130" a="1"/>
  <c r="AB63" i="130" a="1"/>
  <c r="X79" i="130" a="1"/>
  <c r="Q40" i="130" a="1"/>
  <c r="Z61" i="130" a="1"/>
  <c r="BE55" i="130" a="1"/>
  <c r="BK21" i="130" a="1"/>
  <c r="AO79" i="130" a="1"/>
  <c r="BE62" i="130" a="1"/>
  <c r="L65" i="130" a="1"/>
  <c r="R39" i="130" a="1"/>
  <c r="H58" i="130" a="1"/>
  <c r="BH43" i="130" a="1"/>
  <c r="L20" i="130" a="1"/>
  <c r="BK72" i="130" a="1"/>
  <c r="K14" i="130" a="1"/>
  <c r="N28" i="130" a="1"/>
  <c r="V69" i="130" a="1"/>
  <c r="Z14" i="130" a="1"/>
  <c r="AY12" i="130" a="1"/>
  <c r="DK9" i="132" a="1"/>
  <c r="BO8" i="132" a="1"/>
  <c r="GT9" i="132" a="1"/>
  <c r="Y77" i="130" a="1"/>
  <c r="AI11" i="132" a="1"/>
  <c r="GH13" i="132" a="1"/>
  <c r="CA12" i="132" a="1"/>
  <c r="CR6" i="132" a="1"/>
  <c r="Q11" i="132" a="1"/>
  <c r="HB9" i="132" a="1"/>
  <c r="FG11" i="132" a="1"/>
  <c r="DG11" i="132" a="1"/>
  <c r="CA8" i="132" a="1"/>
  <c r="BP12" i="132" a="1"/>
  <c r="FX7" i="132" a="1"/>
  <c r="CV12" i="132" a="1"/>
  <c r="EZ11" i="132" a="1"/>
  <c r="FB15" i="132" a="1"/>
  <c r="CB8" i="132" a="1"/>
  <c r="AP41" i="130" a="1"/>
  <c r="DX12" i="132" a="1"/>
  <c r="GL14" i="132" a="1"/>
  <c r="FH16" i="132" a="1"/>
  <c r="DF9" i="132" a="1"/>
  <c r="GJ9" i="132" a="1"/>
  <c r="BF11" i="132" a="1"/>
  <c r="AY9" i="132" a="1"/>
  <c r="GQ8" i="132" a="1"/>
  <c r="FJ15" i="132" a="1"/>
  <c r="DK11" i="132" a="1"/>
  <c r="DY7" i="132" a="1"/>
  <c r="CF16" i="132" a="1"/>
  <c r="CU5" i="132" a="1"/>
  <c r="BJ78" i="130" a="1"/>
  <c r="N78" i="130" a="1"/>
  <c r="J27" i="130" a="1"/>
  <c r="BH67" i="130" a="1"/>
  <c r="BB65" i="130" a="1"/>
  <c r="AC81" i="130" a="1"/>
  <c r="BK39" i="130" a="1"/>
  <c r="CB5" i="132" a="1"/>
  <c r="CV7" i="132" a="1"/>
  <c r="CP11" i="132" a="1"/>
  <c r="BF26" i="130" a="1"/>
  <c r="S73" i="130" a="1"/>
  <c r="AD39" i="130" a="1"/>
  <c r="AM9" i="132" a="1"/>
  <c r="AQ7" i="132" a="1"/>
  <c r="CW14" i="132" a="1"/>
  <c r="DV6" i="132" a="1"/>
  <c r="BE87" i="130" a="1"/>
  <c r="AV86" i="130" a="1"/>
  <c r="P41" i="130" a="1"/>
  <c r="D5" i="130" a="1"/>
  <c r="AR36" i="130" a="1"/>
  <c r="D71" i="130" a="1"/>
  <c r="U68" i="130" a="1"/>
  <c r="FT7" i="132" a="1"/>
  <c r="FR8" i="132" a="1"/>
  <c r="GA14" i="132" a="1"/>
  <c r="X61" i="130" a="1"/>
  <c r="N30" i="130" a="1"/>
  <c r="AJ66" i="130" a="1"/>
  <c r="G22" i="130" a="1"/>
  <c r="T33" i="130" a="1"/>
  <c r="D21" i="130" a="1"/>
  <c r="BK11" i="132" a="1"/>
  <c r="N11" i="130" a="1"/>
  <c r="BA11" i="132" a="1"/>
  <c r="AS61" i="130" a="1"/>
  <c r="BG88" i="130" a="1"/>
  <c r="BD39" i="130" a="1"/>
  <c r="AR22" i="130" a="1"/>
  <c r="Q39" i="130" a="1"/>
  <c r="AF75" i="130" a="1"/>
  <c r="AY13" i="130" a="1"/>
  <c r="AY26" i="130" a="1"/>
  <c r="AG55" i="130" a="1"/>
  <c r="FD12" i="132" a="1"/>
  <c r="AL6" i="132" a="1"/>
  <c r="BK9" i="132" a="1"/>
  <c r="CN9" i="132" a="1"/>
  <c r="AB38" i="130" a="1"/>
  <c r="AI63" i="130" a="1"/>
  <c r="K81" i="130" a="1"/>
  <c r="AC63" i="130" a="1"/>
  <c r="M44" i="130" a="1"/>
  <c r="Z83" i="130" a="1"/>
  <c r="AD5" i="130" a="1"/>
  <c r="DE9" i="132" a="1"/>
  <c r="EO16" i="132" a="1"/>
  <c r="FX16" i="132" a="1"/>
  <c r="Z31" i="130" a="1"/>
  <c r="AJ38" i="130" a="1"/>
  <c r="BF74" i="130" a="1"/>
  <c r="GD5" i="132" a="1"/>
  <c r="BF61" i="130" a="1"/>
  <c r="AE45" i="130" a="1"/>
  <c r="BK24" i="130" a="1"/>
  <c r="AA65" i="130" a="1"/>
  <c r="W9" i="130" a="1"/>
  <c r="AU66" i="130" a="1"/>
  <c r="HD11" i="132" a="1"/>
  <c r="BE13" i="130" a="1"/>
  <c r="AO24" i="130" a="1"/>
  <c r="P8" i="130" a="1"/>
  <c r="X23" i="130" a="1"/>
  <c r="BJ60" i="130" a="1"/>
  <c r="E78" i="130" a="1"/>
  <c r="E84" i="130" a="1"/>
  <c r="BD6" i="132" a="1"/>
  <c r="AQ35" i="130" a="1"/>
  <c r="AN36" i="130" a="1"/>
  <c r="BD5" i="130" a="1"/>
  <c r="AK47" i="130" a="1"/>
  <c r="FB16" i="132" a="1"/>
  <c r="AW85" i="130" a="1"/>
  <c r="I59" i="130" a="1"/>
  <c r="AY42" i="130" a="1"/>
  <c r="AY58" i="130" a="1"/>
  <c r="T66" i="130" a="1"/>
  <c r="AY46" i="130" a="1"/>
  <c r="G31" i="130" a="1"/>
  <c r="N73" i="130" a="1"/>
  <c r="X13" i="132" a="1"/>
  <c r="BC59" i="130" a="1"/>
  <c r="AM11" i="130" a="1"/>
  <c r="N39" i="130" a="1"/>
  <c r="AG66" i="130" a="1"/>
  <c r="M83" i="130" a="1"/>
  <c r="AE66" i="130" a="1"/>
  <c r="AN14" i="130" a="1"/>
  <c r="Q38" i="130" a="1"/>
  <c r="W44" i="130" a="1"/>
  <c r="BJ29" i="130" a="1"/>
  <c r="V83" i="130" a="1"/>
  <c r="AO11" i="130" a="1"/>
  <c r="T78" i="130" a="1"/>
  <c r="AS29" i="130" a="1"/>
  <c r="C14" i="130" a="1"/>
  <c r="K47" i="130" a="1"/>
  <c r="Z20" i="130" a="1"/>
  <c r="DF15" i="132" a="1"/>
  <c r="AO47" i="130" a="1"/>
  <c r="FS15" i="132" a="1"/>
  <c r="AV22" i="130" a="1"/>
  <c r="AK75" i="130" a="1"/>
  <c r="AB60" i="130" a="1"/>
  <c r="DF6" i="132" a="1"/>
  <c r="GB13" i="132" a="1"/>
  <c r="AR71" i="130" a="1"/>
  <c r="H73" i="130" a="1"/>
  <c r="G29" i="130" a="1"/>
  <c r="AH65" i="130" a="1"/>
  <c r="AC74" i="130" a="1"/>
  <c r="AD11" i="130" a="1"/>
  <c r="X84" i="130" a="1"/>
  <c r="AZ6" i="132" a="1"/>
  <c r="AK72" i="130" a="1"/>
  <c r="BI51" i="130" a="1"/>
  <c r="AU44" i="130" a="1"/>
  <c r="BC57" i="130" a="1"/>
  <c r="E25" i="130" a="1"/>
  <c r="AI83" i="130" a="1"/>
  <c r="AM27" i="130" a="1"/>
  <c r="BH39" i="130" a="1"/>
  <c r="AI81" i="130" a="1"/>
  <c r="BB56" i="130" a="1"/>
  <c r="BD52" i="130" a="1"/>
  <c r="BK5" i="130" a="1"/>
  <c r="G30" i="130" a="1"/>
  <c r="BH28" i="130" a="1"/>
  <c r="AH16" i="130" a="1"/>
  <c r="AR16" i="130" a="1"/>
  <c r="P87" i="130" a="1"/>
  <c r="Q15" i="130" a="1"/>
  <c r="AZ25" i="130" a="1"/>
  <c r="T44" i="130" a="1"/>
  <c r="W75" i="130" a="1"/>
  <c r="AZ20" i="130" a="1"/>
  <c r="AV5" i="130" a="1"/>
  <c r="X37" i="130" a="1"/>
  <c r="AP46" i="130" a="1"/>
  <c r="C77" i="130" a="1"/>
  <c r="Q24" i="130" a="1"/>
  <c r="V36" i="130" a="1"/>
  <c r="AT39" i="130" a="1"/>
  <c r="O58" i="130" a="1"/>
  <c r="AA41" i="130" a="1"/>
  <c r="P38" i="130" a="1"/>
  <c r="AS22" i="130" a="1"/>
  <c r="AU84" i="130" a="1"/>
  <c r="E62" i="130" a="1"/>
  <c r="AA35" i="130" a="1"/>
  <c r="I26" i="130" a="1"/>
  <c r="AV14" i="130" a="1"/>
  <c r="AU35" i="130" a="1"/>
  <c r="BD35" i="130" a="1"/>
  <c r="AQ84" i="130" a="1"/>
  <c r="M79" i="130" a="1"/>
  <c r="M74" i="130" a="1"/>
  <c r="M57" i="130" a="1"/>
  <c r="R76" i="130" a="1"/>
  <c r="AU40" i="130" a="1"/>
  <c r="N45" i="130" a="1"/>
  <c r="AM57" i="130" a="1"/>
  <c r="AK30" i="130" a="1"/>
  <c r="BE15" i="130" a="1"/>
  <c r="AP25" i="130" a="1"/>
  <c r="BF46" i="130" a="1"/>
  <c r="BK15" i="130" a="1"/>
  <c r="L41" i="130" a="1"/>
  <c r="AZ36" i="130" a="1"/>
  <c r="L57" i="130" a="1"/>
  <c r="C64" i="130" a="1"/>
  <c r="AI73" i="130" a="1"/>
  <c r="AG75" i="130" a="1"/>
  <c r="V47" i="130" a="1"/>
  <c r="Y9" i="130" a="1"/>
  <c r="BK12" i="130" a="1"/>
  <c r="AN76" i="130" a="1"/>
  <c r="AV47" i="130" a="1"/>
  <c r="BG86" i="130" a="1"/>
  <c r="N20" i="130" a="1"/>
  <c r="AC83" i="130" a="1"/>
  <c r="U58" i="130" a="1"/>
  <c r="AD67" i="130" a="1"/>
  <c r="AL32" i="130" a="1"/>
  <c r="AJ9" i="130" a="1"/>
  <c r="D14" i="130" a="1"/>
  <c r="AX18" i="130" a="1"/>
  <c r="AR76" i="130" a="1"/>
  <c r="BE66" i="130" a="1"/>
  <c r="AG46" i="130" a="1"/>
  <c r="AI75" i="130" a="1"/>
  <c r="L7" i="130" a="1"/>
  <c r="E52" i="130" a="1"/>
  <c r="AP44" i="130" a="1"/>
  <c r="BF32" i="130" a="1"/>
  <c r="AZ30" i="130" a="1"/>
  <c r="C35" i="130" a="1"/>
  <c r="EF11" i="132" a="1"/>
  <c r="Q78" i="130" a="1"/>
  <c r="Y24" i="130" a="1"/>
  <c r="AN18" i="130" a="1"/>
  <c r="AP81" i="130" a="1"/>
  <c r="BD42" i="130" a="1"/>
  <c r="AR61" i="130" a="1"/>
  <c r="M64" i="130" a="1"/>
  <c r="AH67" i="130" a="1"/>
  <c r="R81" i="130" a="1"/>
  <c r="AQ7" i="130" a="1"/>
  <c r="AT73" i="130" a="1"/>
  <c r="D76" i="130" a="1"/>
  <c r="AW47" i="130" a="1"/>
  <c r="AC86" i="130" a="1"/>
  <c r="AE9" i="130" a="1"/>
  <c r="AV35" i="130" a="1"/>
  <c r="AJ62" i="130" a="1"/>
  <c r="AD47" i="130" a="1"/>
  <c r="P35" i="130" a="1"/>
  <c r="V11" i="130" a="1"/>
  <c r="AY20" i="130" a="1"/>
  <c r="O67" i="130" a="1"/>
  <c r="AA63" i="130" a="1"/>
  <c r="O13" i="130" a="1"/>
  <c r="AB24" i="130" a="1"/>
  <c r="Z63" i="130" a="1"/>
  <c r="T81" i="130" a="1"/>
  <c r="I9" i="130" a="1"/>
  <c r="AL18" i="130" a="1"/>
  <c r="BI33" i="130" a="1"/>
  <c r="P47" i="130" a="1"/>
  <c r="T22" i="130" a="1"/>
  <c r="AQ77" i="130" a="1"/>
  <c r="BE70" i="130" a="1"/>
  <c r="I86" i="130" a="1"/>
  <c r="BG39" i="130" a="1"/>
  <c r="N38" i="130" a="1"/>
  <c r="G10" i="130" a="1"/>
  <c r="AG68" i="130" a="1"/>
  <c r="BJ55" i="130" a="1"/>
  <c r="BH70" i="130" a="1"/>
  <c r="AW63" i="130" a="1"/>
  <c r="AL55" i="130" a="1"/>
  <c r="W45" i="130" a="1"/>
  <c r="M28" i="130" a="1"/>
  <c r="R89" i="130" a="1"/>
  <c r="AP27" i="130" a="1"/>
  <c r="BC18" i="130" a="1"/>
  <c r="V21" i="130" a="1"/>
  <c r="D69" i="130" a="1"/>
  <c r="BI61" i="130" a="1"/>
  <c r="AQ26" i="130" a="1"/>
  <c r="AS24" i="130" a="1"/>
  <c r="AX39" i="130" a="1"/>
  <c r="R30" i="130" a="1"/>
  <c r="AX12" i="130" a="1"/>
  <c r="T29" i="130" a="1"/>
  <c r="BA40" i="130" a="1"/>
  <c r="H23" i="130" a="1"/>
  <c r="Y7" i="130" a="1"/>
  <c r="AX87" i="130" a="1"/>
  <c r="T24" i="130" a="1"/>
  <c r="W11" i="130" a="1"/>
  <c r="U63" i="130" a="1"/>
  <c r="AI51" i="130" a="1"/>
  <c r="T61" i="130" a="1"/>
  <c r="AN40" i="130" a="1"/>
  <c r="AD27" i="130" a="1"/>
  <c r="BK51" i="130" a="1"/>
  <c r="BE41" i="130" a="1"/>
  <c r="AD76" i="130" a="1"/>
  <c r="D24" i="130" a="1"/>
  <c r="AU15" i="130" a="1"/>
  <c r="AA21" i="130" a="1"/>
  <c r="AY62" i="130" a="1"/>
  <c r="W32" i="130" a="1"/>
  <c r="AA84" i="130" a="1"/>
  <c r="R5" i="130" a="1"/>
  <c r="BG55" i="130" a="1"/>
  <c r="AB16" i="130" a="1"/>
  <c r="AB37" i="130" a="1"/>
  <c r="H80" i="130" a="1"/>
  <c r="AG16" i="130" a="1"/>
  <c r="AY73" i="130" a="1"/>
  <c r="HB11" i="132" a="1"/>
  <c r="T13" i="132" a="1"/>
  <c r="AU13" i="132" a="1"/>
  <c r="BO13" i="132" a="1"/>
  <c r="CC14" i="132" a="1"/>
  <c r="BD12" i="132" a="1"/>
  <c r="AU34" i="130" a="1"/>
  <c r="E72" i="130" a="1"/>
  <c r="AE44" i="130" a="1"/>
  <c r="BB42" i="130" a="1"/>
  <c r="ER14" i="132" a="1"/>
  <c r="BH89" i="130" a="1"/>
  <c r="U76" i="130" a="1"/>
  <c r="AP30" i="130" a="1"/>
  <c r="AQ32" i="130" a="1"/>
  <c r="BF36" i="130" a="1"/>
  <c r="V81" i="130" a="1"/>
  <c r="EK15" i="132" a="1"/>
  <c r="H55" i="130" a="1"/>
  <c r="N26" i="130" a="1"/>
  <c r="CI8" i="132" a="1"/>
  <c r="HE16" i="132" a="1"/>
  <c r="GW16" i="132" a="1"/>
  <c r="AB46" i="130" a="1"/>
  <c r="K84" i="130" a="1"/>
  <c r="BB79" i="130" a="1"/>
  <c r="AN67" i="130" a="1"/>
  <c r="AB25" i="130" a="1"/>
  <c r="DO5" i="132" a="1"/>
  <c r="AL76" i="130" a="1"/>
  <c r="Q51" i="130" a="1"/>
  <c r="AL16" i="132" a="1"/>
  <c r="I79" i="130" a="1"/>
  <c r="AF55" i="130" a="1"/>
  <c r="X88" i="130" a="1"/>
  <c r="AB69" i="130" a="1"/>
  <c r="C63" i="130" a="1"/>
  <c r="AJ58" i="130" a="1"/>
  <c r="Y66" i="130" a="1"/>
  <c r="H59" i="130" a="1"/>
  <c r="CS13" i="132" a="1"/>
  <c r="BG10" i="130" a="1"/>
  <c r="BV5" i="132" a="1"/>
  <c r="AH56" i="130" a="1"/>
  <c r="EY14" i="132" a="1"/>
  <c r="AT56" i="130" a="1"/>
  <c r="AN31" i="130" a="1"/>
  <c r="W33" i="130" a="1"/>
  <c r="AA88" i="130" a="1"/>
  <c r="X33" i="130" a="1"/>
  <c r="T80" i="130" a="1"/>
  <c r="DV7" i="132" a="1"/>
  <c r="S68" i="130" a="1"/>
  <c r="M26" i="130" a="1"/>
  <c r="AD18" i="130" a="1"/>
  <c r="AZ13" i="130" a="1"/>
  <c r="K89" i="130" a="1"/>
  <c r="AA27" i="130" a="1"/>
  <c r="HG7" i="132" a="1"/>
  <c r="BC20" i="130" a="1"/>
  <c r="AU74" i="130" a="1"/>
  <c r="AJ67" i="130" a="1"/>
  <c r="J33" i="130" a="1"/>
  <c r="AM77" i="130" a="1"/>
  <c r="GD11" i="132" a="1"/>
  <c r="AG28" i="130" a="1"/>
  <c r="AD17" i="130" a="1"/>
  <c r="H61" i="130" a="1"/>
  <c r="D33" i="130" a="1"/>
  <c r="BK19" i="130" a="1"/>
  <c r="AK24" i="130" a="1"/>
  <c r="BI52" i="130" a="1"/>
  <c r="AY15" i="130" a="1"/>
  <c r="AZ43" i="130" a="1"/>
  <c r="AG84" i="130" a="1"/>
  <c r="AW20" i="130" a="1"/>
  <c r="G38" i="130" a="1"/>
  <c r="O29" i="130" a="1"/>
  <c r="AG43" i="130" a="1"/>
  <c r="AT52" i="130" a="1"/>
  <c r="BI45" i="130" a="1"/>
  <c r="AB31" i="130" a="1"/>
  <c r="AL82" i="130" a="1"/>
  <c r="AA17" i="130" a="1"/>
  <c r="AV37" i="130" a="1"/>
  <c r="AF39" i="130" a="1"/>
  <c r="AL14" i="130" a="1"/>
  <c r="AJ18" i="130" a="1"/>
  <c r="BF13" i="130" a="1"/>
  <c r="X14" i="130" a="1"/>
  <c r="BC8" i="130" a="1"/>
  <c r="N85" i="130" a="1"/>
  <c r="BH46" i="130" a="1"/>
  <c r="W77" i="130" a="1"/>
  <c r="E75" i="130" a="1"/>
  <c r="G81" i="130" a="1"/>
  <c r="BF15" i="130" a="1"/>
  <c r="Y25" i="130" a="1"/>
  <c r="G85" i="130" a="1"/>
  <c r="BE36" i="130" a="1"/>
  <c r="BG20" i="130" a="1"/>
  <c r="C44" i="130" a="1"/>
  <c r="AK10" i="130" a="1"/>
  <c r="BB71" i="130" a="1"/>
  <c r="R45" i="130" a="1"/>
  <c r="AG24" i="130" a="1"/>
  <c r="AG32" i="130" a="1"/>
  <c r="AZ58" i="130" a="1"/>
  <c r="AP45" i="130" a="1"/>
  <c r="AE65" i="130" a="1"/>
  <c r="F51" i="130" a="1"/>
  <c r="AR65" i="130" a="1"/>
  <c r="AJ82" i="130" a="1"/>
  <c r="BC58" i="130" a="1"/>
  <c r="R58" i="130" a="1"/>
  <c r="BD20" i="130" a="1"/>
  <c r="BG70" i="130" a="1"/>
  <c r="E45" i="130" a="1"/>
  <c r="N43" i="130" a="1"/>
  <c r="CS11" i="132" a="1"/>
  <c r="M8" i="132" a="1"/>
  <c r="AF15" i="132" a="1"/>
  <c r="I12" i="132" a="1"/>
  <c r="BH22" i="130" a="1"/>
  <c r="Q85" i="130" a="1"/>
  <c r="AA43" i="130" a="1"/>
  <c r="AE86" i="130" a="1"/>
  <c r="Q83" i="130" a="1"/>
  <c r="BH84" i="130" a="1"/>
  <c r="AF20" i="130" a="1"/>
  <c r="DB12" i="132" a="1"/>
  <c r="HE12" i="132" a="1"/>
  <c r="FT11" i="132" a="1"/>
  <c r="AE74" i="130" a="1"/>
  <c r="AC72" i="130" a="1"/>
  <c r="G42" i="130" a="1"/>
  <c r="K75" i="130" a="1"/>
  <c r="V74" i="130" a="1"/>
  <c r="U57" i="130" a="1"/>
  <c r="AM40" i="130" a="1"/>
  <c r="CN5" i="132" a="1"/>
  <c r="Q44" i="130" a="1"/>
  <c r="AS87" i="130" a="1"/>
  <c r="W73" i="130" a="1"/>
  <c r="BB11" i="130" a="1"/>
  <c r="BF75" i="130" a="1"/>
  <c r="X8" i="132" a="1"/>
  <c r="T65" i="130" a="1"/>
  <c r="AG64" i="130" a="1"/>
  <c r="AO80" i="130" a="1"/>
  <c r="AW66" i="130" a="1"/>
  <c r="AG89" i="130" a="1"/>
  <c r="BI65" i="130" a="1"/>
  <c r="AY40" i="130" a="1"/>
  <c r="X47" i="130" a="1"/>
  <c r="X59" i="130" a="1"/>
  <c r="BD32" i="130" a="1"/>
  <c r="BA76" i="130" a="1"/>
  <c r="BK27" i="130" a="1"/>
  <c r="H87" i="130" a="1"/>
  <c r="F23" i="130" a="1"/>
  <c r="AZ19" i="130" a="1"/>
  <c r="N74" i="130" a="1"/>
  <c r="AE15" i="130" a="1"/>
  <c r="AX75" i="130" a="1"/>
  <c r="AR15" i="130" a="1"/>
  <c r="AX25" i="130" a="1"/>
  <c r="AA11" i="130" a="1"/>
  <c r="AD88" i="130" a="1"/>
  <c r="BF66" i="130" a="1"/>
  <c r="BG56" i="130" a="1"/>
  <c r="AU9" i="130" a="1"/>
  <c r="Z12" i="130" a="1"/>
  <c r="AN27" i="130" a="1"/>
  <c r="AA40" i="130" a="1"/>
  <c r="BK26" i="130" a="1"/>
  <c r="AH47" i="130" a="1"/>
  <c r="AL80" i="130" a="1"/>
  <c r="H37" i="130" a="1"/>
  <c r="BH10" i="130" a="1"/>
  <c r="AW52" i="130" a="1"/>
  <c r="P29" i="130" a="1"/>
  <c r="AX61" i="130" a="1"/>
  <c r="J59" i="130" a="1"/>
  <c r="BE32" i="130" a="1"/>
  <c r="G66" i="130" a="1"/>
  <c r="AF36" i="130" a="1"/>
  <c r="P43" i="130" a="1"/>
  <c r="G43" i="130" a="1"/>
  <c r="G67" i="130" a="1"/>
  <c r="AW43" i="130" a="1"/>
  <c r="BI26" i="130" a="1"/>
  <c r="AI74" i="130" a="1"/>
  <c r="AV27" i="130" a="1"/>
  <c r="L27" i="130" a="1"/>
  <c r="K29" i="130" a="1"/>
  <c r="S72" i="130" a="1"/>
  <c r="F39" i="130" a="1"/>
  <c r="I77" i="130" a="1"/>
  <c r="M43" i="130" a="1"/>
  <c r="T70" i="130" a="1"/>
  <c r="O23" i="130" a="1"/>
  <c r="AQ37" i="130" a="1"/>
  <c r="AI41" i="130" a="1"/>
  <c r="AY56" i="130" a="1"/>
  <c r="BB14" i="130" a="1"/>
  <c r="AY19" i="130" a="1"/>
  <c r="AZ15" i="130" a="1"/>
  <c r="M63" i="130" a="1"/>
  <c r="BB12" i="130" a="1"/>
  <c r="AL41" i="130" a="1"/>
  <c r="GZ7" i="132" a="1"/>
  <c r="DV13" i="132" a="1"/>
  <c r="BI66" i="130" a="1"/>
  <c r="EM13" i="132" a="1"/>
  <c r="CI11" i="132" a="1"/>
  <c r="AW35" i="130" a="1"/>
  <c r="AE11" i="130" a="1"/>
  <c r="Y61" i="130" a="1"/>
  <c r="AE7" i="130" a="1"/>
  <c r="AZ64" i="130" a="1"/>
  <c r="Q60" i="130" a="1"/>
  <c r="AJ65" i="130" a="1"/>
  <c r="AL8" i="130" a="1"/>
  <c r="BG17" i="130" a="1"/>
  <c r="AW14" i="130" a="1"/>
  <c r="T86" i="130" a="1"/>
  <c r="BH12" i="130" a="1"/>
  <c r="AG30" i="130" a="1"/>
  <c r="I19" i="130" a="1"/>
  <c r="T32" i="130" a="1"/>
  <c r="AS74" i="130" a="1"/>
  <c r="U82" i="130" a="1"/>
  <c r="BD47" i="130" a="1"/>
  <c r="AR45" i="130" a="1"/>
  <c r="V32" i="130" a="1"/>
  <c r="J24" i="130" a="1"/>
  <c r="AU11" i="130" a="1"/>
  <c r="BD58" i="130" a="1"/>
  <c r="G89" i="130" a="1"/>
  <c r="BE60" i="130" a="1"/>
  <c r="O64" i="130" a="1"/>
  <c r="AD46" i="130" a="1"/>
  <c r="O30" i="130" a="1"/>
  <c r="BJ83" i="130" a="1"/>
  <c r="AT8" i="130" a="1"/>
  <c r="P5" i="130" a="1"/>
  <c r="AM81" i="130" a="1"/>
  <c r="AV15" i="130" a="1"/>
  <c r="AF19" i="130" a="1"/>
  <c r="AL65" i="130" a="1"/>
  <c r="AV13" i="130" a="1"/>
  <c r="G20" i="130" a="1"/>
  <c r="D11" i="130" a="1"/>
  <c r="O28" i="130" a="1"/>
  <c r="AA69" i="130" a="1"/>
  <c r="Z23" i="130" a="1"/>
  <c r="BF14" i="130" a="1"/>
  <c r="AB87" i="130" a="1"/>
  <c r="BK28" i="130" a="1"/>
  <c r="V26" i="130" a="1"/>
  <c r="R42" i="130" a="1"/>
  <c r="H68" i="130" a="1"/>
  <c r="BG84" i="130" a="1"/>
  <c r="AT9" i="130" a="1"/>
  <c r="AU86" i="130" a="1"/>
  <c r="BB78" i="130" a="1"/>
  <c r="AV20" i="130" a="1"/>
  <c r="W78" i="130" a="1"/>
  <c r="AH71" i="130" a="1"/>
  <c r="N77" i="130" a="1"/>
  <c r="AQ80" i="130" a="1"/>
  <c r="N21" i="130" a="1"/>
  <c r="O36" i="130" a="1"/>
  <c r="AN88" i="130" a="1"/>
  <c r="AK70" i="130" a="1"/>
  <c r="AD59" i="130" a="1"/>
  <c r="AD9" i="130" a="1"/>
  <c r="AO68" i="130" a="1"/>
  <c r="E12" i="130" a="1"/>
  <c r="AE12" i="130" a="1"/>
  <c r="AA8" i="130" a="1"/>
  <c r="AF51" i="130" a="1"/>
  <c r="D65" i="130" a="1"/>
  <c r="AR13" i="130" a="1"/>
  <c r="I58" i="130" a="1"/>
  <c r="S83" i="130" a="1"/>
  <c r="J88" i="130" a="1"/>
  <c r="AW11" i="130" a="1"/>
  <c r="Z73" i="130" a="1"/>
  <c r="S64" i="130" a="1"/>
  <c r="P14" i="130" a="1"/>
  <c r="K34" i="130" a="1"/>
  <c r="AI20" i="130" a="1"/>
  <c r="AE39" i="130" a="1"/>
  <c r="J76" i="130" a="1"/>
  <c r="W21" i="130" a="1"/>
  <c r="GF6" i="132" a="1"/>
  <c r="L77" i="130" a="1"/>
  <c r="J36" i="130" a="1"/>
  <c r="AN62" i="130" a="1"/>
  <c r="I65" i="130" a="1"/>
  <c r="BI68" i="130" a="1"/>
  <c r="BD56" i="130" a="1"/>
  <c r="BC16" i="132" a="1"/>
  <c r="AZ16" i="132" a="1"/>
  <c r="AV7" i="130" a="1"/>
  <c r="BH83" i="130" a="1"/>
  <c r="AC27" i="130" a="1"/>
  <c r="X18" i="130" a="1"/>
  <c r="AX36" i="130" a="1"/>
  <c r="AA44" i="130" a="1"/>
  <c r="U35" i="130" a="1"/>
  <c r="T14" i="130" a="1"/>
  <c r="AN70" i="130" a="1"/>
  <c r="AZ14" i="130" a="1"/>
  <c r="AM64" i="130" a="1"/>
  <c r="AG59" i="130" a="1"/>
  <c r="BD51" i="130" a="1"/>
  <c r="AJ88" i="130" a="1"/>
  <c r="AX7" i="130" a="1"/>
  <c r="O21" i="130" a="1"/>
  <c r="AZ65" i="130" a="1"/>
  <c r="AP22" i="130" a="1"/>
  <c r="AV61" i="130" a="1"/>
  <c r="M13" i="130" a="1"/>
  <c r="AP9" i="130" a="1"/>
  <c r="AI15" i="130" a="1"/>
  <c r="AZ70" i="130" a="1"/>
  <c r="BF47" i="130" a="1"/>
  <c r="AX86" i="130" a="1"/>
  <c r="BG63" i="130" a="1"/>
  <c r="G40" i="130" a="1"/>
  <c r="AH14" i="130" a="1"/>
  <c r="AF25" i="130" a="1"/>
  <c r="E86" i="130" a="1"/>
  <c r="AK83" i="130" a="1"/>
  <c r="AU23" i="130" a="1"/>
  <c r="D42" i="130" a="1"/>
  <c r="AJ77" i="130" a="1"/>
  <c r="W46" i="130" a="1"/>
  <c r="F16" i="130" a="1"/>
  <c r="BG47" i="130" a="1"/>
  <c r="I71" i="130" a="1"/>
  <c r="N8" i="130" a="1"/>
  <c r="V9" i="130" a="1"/>
  <c r="R60" i="130" a="1"/>
  <c r="BG65" i="130" a="1"/>
  <c r="S21" i="130" a="1"/>
  <c r="L32" i="130" a="1"/>
  <c r="AR68" i="130" a="1"/>
  <c r="BG18" i="130" a="1"/>
  <c r="BI72" i="130" a="1"/>
  <c r="H38" i="130" a="1"/>
  <c r="BE43" i="130" a="1"/>
  <c r="BA77" i="130" a="1"/>
  <c r="AS80" i="130" a="1"/>
  <c r="N83" i="130" a="1"/>
  <c r="AF11" i="130" a="1"/>
  <c r="AE42" i="130" a="1"/>
  <c r="AH31" i="130" a="1"/>
  <c r="BB46" i="130" a="1"/>
  <c r="BI58" i="130" a="1"/>
  <c r="E57" i="130" a="1"/>
  <c r="L46" i="130" a="1"/>
  <c r="AK25" i="130" a="1"/>
  <c r="S35" i="130" a="1"/>
  <c r="V82" i="130" a="1"/>
  <c r="AL23" i="130" a="1"/>
  <c r="AW15" i="130" a="1"/>
  <c r="L66" i="130" a="1"/>
  <c r="AE16" i="130" a="1"/>
  <c r="R17" i="130" a="1"/>
  <c r="I7" i="130" a="1"/>
  <c r="AT17" i="130" a="1"/>
  <c r="U56" i="130" a="1"/>
  <c r="AH25" i="130" a="1"/>
  <c r="BI69" i="130" a="1"/>
  <c r="AB59" i="130" a="1"/>
  <c r="P17" i="130" a="1"/>
  <c r="AK61" i="130" a="1"/>
  <c r="BB55" i="130" a="1"/>
  <c r="BJ39" i="130" a="1"/>
  <c r="AK11" i="130" a="1"/>
  <c r="Y19" i="130" a="1"/>
  <c r="BD41" i="130" a="1"/>
  <c r="S60" i="130" a="1"/>
  <c r="AF31" i="130" a="1"/>
  <c r="L31" i="130" a="1"/>
  <c r="AB14" i="130" a="1"/>
  <c r="AE30" i="130" a="1"/>
  <c r="AA15" i="130" a="1"/>
  <c r="AN17" i="130" a="1"/>
  <c r="AU80" i="130" a="1"/>
  <c r="Q77" i="130" a="1"/>
  <c r="K69" i="130" a="1"/>
  <c r="O69" i="130" a="1"/>
  <c r="P34" i="130" a="1"/>
  <c r="AE70" i="130" a="1"/>
  <c r="BH15" i="130" a="1"/>
  <c r="Q31" i="130" a="1"/>
  <c r="BJ33" i="130" a="1"/>
  <c r="R12" i="130" a="1"/>
  <c r="N47" i="130" a="1"/>
  <c r="AG18" i="130" a="1"/>
  <c r="H76" i="130" a="1"/>
  <c r="AI87" i="130" a="1"/>
  <c r="P73" i="130" a="1"/>
  <c r="BB18" i="130" a="1"/>
  <c r="AK46" i="130" a="1"/>
  <c r="K77" i="130" a="1"/>
  <c r="AE18" i="130" a="1"/>
  <c r="W23" i="130" a="1"/>
  <c r="T75" i="130" a="1"/>
  <c r="F47" i="130" a="1"/>
  <c r="AS66" i="130" a="1"/>
  <c r="AU16" i="130" a="1"/>
  <c r="S69" i="130" a="1"/>
  <c r="K15" i="130" a="1"/>
  <c r="AW69" i="130" a="1"/>
  <c r="AA12" i="130" a="1"/>
  <c r="AY11" i="130" a="1"/>
  <c r="R13" i="130" a="1"/>
  <c r="AO44" i="130" a="1"/>
  <c r="AI23" i="130" a="1"/>
  <c r="BK30" i="130" a="1"/>
  <c r="BD29" i="130" a="1"/>
  <c r="CO9" i="132" a="1"/>
  <c r="D67" i="130" a="1"/>
  <c r="P26" i="130" a="1"/>
  <c r="C9" i="132" a="1"/>
  <c r="DX15" i="132" a="1"/>
  <c r="AT55" i="130" a="1"/>
  <c r="AH76" i="130" a="1"/>
  <c r="P55" i="130" a="1"/>
  <c r="AQ17" i="130" a="1"/>
  <c r="AR27" i="130" a="1"/>
  <c r="BF30" i="130" a="1"/>
  <c r="AG85" i="130" a="1"/>
  <c r="K86" i="130" a="1"/>
  <c r="AY82" i="130" a="1"/>
  <c r="K18" i="130" a="1"/>
  <c r="G39" i="130" a="1"/>
  <c r="J75" i="130" a="1"/>
  <c r="AG76" i="130" a="1"/>
  <c r="AY37" i="130" a="1"/>
  <c r="AS83" i="130" a="1"/>
  <c r="C19" i="130" a="1"/>
  <c r="AC55" i="130" a="1"/>
  <c r="BD22" i="130" a="1"/>
  <c r="AQ22" i="130" a="1"/>
  <c r="K68" i="130" a="1"/>
  <c r="AQ12" i="130" a="1"/>
  <c r="AH8" i="130" a="1"/>
  <c r="T83" i="130" a="1"/>
  <c r="L5" i="130" a="1"/>
  <c r="X64" i="130" a="1"/>
  <c r="Y13" i="130" a="1"/>
  <c r="V20" i="130" a="1"/>
  <c r="BI77" i="130" a="1"/>
  <c r="AE8" i="130" a="1"/>
  <c r="AK73" i="130" a="1"/>
  <c r="X36" i="130" a="1"/>
  <c r="AN37" i="130" a="1"/>
  <c r="BI30" i="130" a="1"/>
  <c r="AZ26" i="130" a="1"/>
  <c r="AR46" i="130" a="1"/>
  <c r="BF27" i="130" a="1"/>
  <c r="BB22" i="130" a="1"/>
  <c r="AP15" i="130" a="1"/>
  <c r="AL44" i="130" a="1"/>
  <c r="T67" i="130" a="1"/>
  <c r="AH87" i="130" a="1"/>
  <c r="J87" i="130" a="1"/>
  <c r="AF82" i="130" a="1"/>
  <c r="BA28" i="130" a="1"/>
  <c r="BC69" i="130" a="1"/>
  <c r="O78" i="130" a="1"/>
  <c r="AV26" i="130" a="1"/>
  <c r="AO38" i="130" a="1"/>
  <c r="BI32" i="130" a="1"/>
  <c r="AI76" i="130" a="1"/>
  <c r="Z5" i="130" a="1"/>
  <c r="AW73" i="130" a="1"/>
  <c r="AA31" i="130" a="1"/>
  <c r="BE21" i="130" a="1"/>
  <c r="BI19" i="130" a="1"/>
  <c r="U65" i="130" a="1"/>
  <c r="BE68" i="130" a="1"/>
  <c r="W88" i="130" a="1"/>
  <c r="AF70" i="130" a="1"/>
  <c r="BB86" i="130" a="1"/>
  <c r="BF56" i="130" a="1"/>
  <c r="D10" i="130" a="1"/>
  <c r="H28" i="130" a="1"/>
  <c r="BH17" i="130" a="1"/>
  <c r="AG58" i="130" a="1"/>
  <c r="T13" i="130" a="1"/>
  <c r="S45" i="130" a="1"/>
  <c r="BJ76" i="130" a="1"/>
  <c r="O37" i="130" a="1"/>
  <c r="BI47" i="130" a="1"/>
  <c r="C86" i="130" a="1"/>
  <c r="T38" i="130" a="1"/>
  <c r="BF81" i="130" a="1"/>
  <c r="BI80" i="130" a="1"/>
  <c r="AJ75" i="130" a="1"/>
  <c r="AB23" i="130" a="1"/>
  <c r="AF35" i="130" a="1"/>
  <c r="V46" i="130" a="1"/>
  <c r="AN35" i="130" a="1"/>
  <c r="BA59" i="130" a="1"/>
  <c r="AA14" i="130" a="1"/>
  <c r="AD78" i="130" a="1"/>
  <c r="AT45" i="130" a="1"/>
  <c r="Q42" i="130" a="1"/>
  <c r="AC28" i="130" a="1"/>
  <c r="BE17" i="130" a="1"/>
  <c r="AE36" i="130" a="1"/>
  <c r="E35" i="130" a="1"/>
  <c r="C55" i="130" a="1"/>
  <c r="Q20" i="130" a="1"/>
  <c r="BB30" i="130" a="1"/>
  <c r="AX13" i="130" a="1"/>
  <c r="BJ61" i="130" a="1"/>
  <c r="AQ60" i="130" a="1"/>
  <c r="AL57" i="130" a="1"/>
  <c r="BI16" i="130" a="1"/>
  <c r="X69" i="130" a="1"/>
  <c r="N86" i="130" a="1"/>
  <c r="BH34" i="130" a="1"/>
  <c r="AU27" i="130" a="1"/>
  <c r="BC30" i="130" a="1"/>
  <c r="F20" i="130" a="1"/>
  <c r="AU38" i="130" a="1"/>
  <c r="M7" i="130" a="1"/>
  <c r="AL81" i="130" a="1"/>
  <c r="P37" i="130" a="1"/>
  <c r="AZ33" i="130" a="1"/>
  <c r="AC73" i="130" a="1"/>
  <c r="AK20" i="130" a="1"/>
  <c r="BG32" i="130" a="1"/>
  <c r="AO69" i="130" a="1"/>
  <c r="BE85" i="130" a="1"/>
  <c r="AV16" i="130" a="1"/>
  <c r="N44" i="130" a="1"/>
  <c r="BG81" i="130" a="1"/>
  <c r="G13" i="130" a="1"/>
  <c r="BA16" i="130" a="1"/>
  <c r="C29" i="130" a="1"/>
  <c r="X34" i="130" a="1"/>
  <c r="F44" i="130" a="1"/>
  <c r="AK32" i="130" a="1"/>
  <c r="AF43" i="130" a="1"/>
  <c r="C67" i="130" a="1"/>
  <c r="AJ42" i="130" a="1"/>
  <c r="D25" i="130" a="1"/>
  <c r="AU8" i="130" a="1"/>
  <c r="BC51" i="130" a="1"/>
  <c r="AV69" i="130" a="1"/>
  <c r="BH72" i="130" a="1"/>
  <c r="P22" i="130" a="1"/>
  <c r="AP12" i="130" a="1"/>
  <c r="AI9" i="130" a="1"/>
  <c r="AN59" i="130" a="1"/>
  <c r="AH7" i="130" a="1"/>
  <c r="AH61" i="130" a="1"/>
  <c r="BF80" i="130" a="1"/>
  <c r="Z21" i="130" a="1"/>
  <c r="M31" i="130" a="1"/>
  <c r="J89" i="130" a="1"/>
  <c r="BC19" i="130" a="1"/>
  <c r="AE63" i="130" a="1"/>
  <c r="J74" i="130" a="1"/>
  <c r="BI64" i="130" a="1"/>
  <c r="J25" i="130" a="1"/>
  <c r="Q62" i="130" a="1"/>
  <c r="F26" i="130" a="1"/>
  <c r="AA68" i="130" a="1"/>
  <c r="AT21" i="130" a="1"/>
  <c r="O22" i="130" a="1"/>
  <c r="AS88" i="130" a="1"/>
  <c r="BH29" i="130" a="1"/>
  <c r="BJ19" i="130" a="1"/>
  <c r="AR39" i="130" a="1"/>
  <c r="AQ13" i="130" a="1"/>
  <c r="AH85" i="130" a="1"/>
  <c r="D37" i="130" a="1"/>
  <c r="AC7" i="130" a="1"/>
  <c r="BD14" i="130" a="1"/>
  <c r="AL11" i="130" a="1"/>
  <c r="AP29" i="130" a="1"/>
  <c r="AU13" i="130" a="1"/>
  <c r="AS79" i="130" a="1"/>
  <c r="BC34" i="130" a="1"/>
  <c r="N37" i="130" a="1"/>
  <c r="Y80" i="130" a="1"/>
  <c r="AP57" i="130" a="1"/>
  <c r="AK40" i="130" a="1"/>
  <c r="U18" i="130" a="1"/>
  <c r="AP59" i="130" a="1"/>
  <c r="H31" i="130" a="1"/>
  <c r="H43" i="130" a="1"/>
  <c r="AL17" i="130" a="1"/>
  <c r="AV8" i="130" a="1"/>
  <c r="M62" i="130" a="1"/>
  <c r="Z85" i="130" a="1"/>
  <c r="I44" i="130" a="1"/>
  <c r="AD12" i="130" a="1"/>
  <c r="L60" i="130" a="1"/>
  <c r="BA86" i="130" a="1"/>
  <c r="BJ70" i="130" a="1"/>
  <c r="AN33" i="130" a="1"/>
  <c r="R41" i="130" a="1"/>
  <c r="BJ86" i="130" a="1"/>
  <c r="R77" i="130" a="1"/>
  <c r="AC60" i="130" a="1"/>
  <c r="BJ7" i="130" a="1"/>
  <c r="Z35" i="130" a="1"/>
  <c r="G26" i="130" a="1"/>
  <c r="AO63" i="130" a="1"/>
  <c r="AR87" i="130" a="1"/>
  <c r="D7" i="130" a="1"/>
  <c r="BG35" i="130" a="1"/>
  <c r="AL7" i="130" a="1"/>
  <c r="AT34" i="130" a="1"/>
  <c r="BD15" i="130" a="1"/>
  <c r="P31" i="130" a="1"/>
  <c r="AQ33" i="130" a="1"/>
  <c r="BK69" i="130" a="1"/>
  <c r="J71" i="130" a="1"/>
  <c r="AU71" i="130" a="1"/>
  <c r="AE64" i="130" a="1"/>
  <c r="O82" i="130" a="1"/>
  <c r="AC89" i="130" a="1"/>
  <c r="AY76" i="130" a="1"/>
  <c r="AV60" i="130" a="1"/>
  <c r="BA63" i="130" a="1"/>
  <c r="AV87" i="130" a="1"/>
  <c r="AS84" i="130" a="1"/>
  <c r="AA18" i="130" a="1"/>
  <c r="E20" i="130" a="1"/>
  <c r="AB28" i="130" a="1"/>
  <c r="AZ69" i="130" a="1"/>
  <c r="J57" i="130" a="1"/>
  <c r="U80" i="130" a="1"/>
  <c r="N55" i="130" a="1"/>
  <c r="AQ67" i="130" a="1"/>
  <c r="AT23" i="130" a="1"/>
  <c r="AL27" i="130" a="1"/>
  <c r="AE69" i="130" a="1"/>
  <c r="S79" i="130" a="1"/>
  <c r="J40" i="130" a="1"/>
  <c r="AM73" i="130" a="1"/>
  <c r="AE57" i="130" a="1"/>
  <c r="AJ8" i="130" a="1"/>
  <c r="BC83" i="130" a="1"/>
  <c r="BG22" i="130" a="1"/>
  <c r="BE46" i="130" a="1"/>
  <c r="Q71" i="130" a="1"/>
  <c r="T12" i="130" a="1"/>
  <c r="G15" i="130" a="1"/>
  <c r="BJ36" i="130" a="1"/>
  <c r="M59" i="130" a="1"/>
  <c r="AX44" i="130" a="1"/>
  <c r="AZ32" i="130" a="1"/>
  <c r="X38" i="130" a="1"/>
  <c r="AR26" i="130" a="1"/>
  <c r="BC72" i="130" a="1"/>
  <c r="N34" i="130" a="1"/>
  <c r="P25" i="130" a="1"/>
  <c r="BA12" i="130" a="1"/>
  <c r="AO12" i="130" a="1"/>
  <c r="AZ84" i="130" a="1"/>
  <c r="BA20" i="130" a="1"/>
  <c r="Y73" i="130" a="1"/>
  <c r="AY36" i="130" a="1"/>
  <c r="AR28" i="130" a="1"/>
  <c r="AK23" i="130" a="1"/>
  <c r="AZ66" i="130" a="1"/>
  <c r="N58" i="130" a="1"/>
  <c r="AW87" i="130" a="1"/>
  <c r="AJ40" i="130" a="1"/>
  <c r="AN39" i="130" a="1"/>
  <c r="BD19" i="130" a="1"/>
  <c r="R66" i="130" a="1"/>
  <c r="AA30" i="130" a="1"/>
  <c r="V25" i="130" a="1"/>
  <c r="P83" i="130" a="1"/>
  <c r="BA56" i="130" a="1"/>
  <c r="O52" i="130" a="1"/>
  <c r="W43" i="130" a="1"/>
  <c r="R15" i="130" a="1"/>
  <c r="AN56" i="130" a="1"/>
  <c r="AQ19" i="130" a="1"/>
  <c r="BA38" i="130" a="1"/>
  <c r="BK65" i="130" a="1"/>
  <c r="AX40" i="130" a="1"/>
  <c r="K74" i="130" a="1"/>
  <c r="Z67" i="130" a="1"/>
  <c r="BG67" i="130" a="1"/>
  <c r="G83" i="130" a="1"/>
  <c r="AX60" i="130" a="1"/>
  <c r="AP55" i="130" a="1"/>
  <c r="H51" i="130" a="1"/>
  <c r="W14" i="130" a="1"/>
  <c r="AF15" i="130" a="1"/>
  <c r="BC46" i="130" a="1"/>
  <c r="BA41" i="130" a="1"/>
  <c r="AZ87" i="130" a="1"/>
  <c r="AB80" i="130" a="1"/>
  <c r="N12" i="130" a="1"/>
  <c r="AF45" i="130" a="1"/>
  <c r="R43" i="130" a="1"/>
  <c r="O38" i="130" a="1"/>
  <c r="BI17" i="130" a="1"/>
  <c r="C21" i="130" a="1"/>
  <c r="AC16" i="130" a="1"/>
  <c r="AC41" i="130" a="1"/>
  <c r="L55" i="130" a="1"/>
  <c r="AM12" i="130" a="1"/>
  <c r="AA10" i="130" a="1"/>
  <c r="BA83" i="130" a="1"/>
  <c r="P10" i="130" a="1"/>
  <c r="AB72" i="130" a="1"/>
  <c r="BK70" i="130" a="1"/>
  <c r="S51" i="130" a="1"/>
  <c r="AR25" i="130" a="1"/>
  <c r="BA88" i="130" a="1"/>
  <c r="AJ5" i="130" a="1"/>
  <c r="G32" i="130" a="1"/>
  <c r="AO60" i="130" a="1"/>
  <c r="BF43" i="130" a="1"/>
  <c r="AZ79" i="130" a="1"/>
  <c r="BI81" i="130" a="1"/>
  <c r="AH89" i="130" a="1"/>
  <c r="G77" i="130" a="1"/>
  <c r="Y29" i="130" a="1"/>
  <c r="S5" i="130" a="1"/>
  <c r="O61" i="130" a="1"/>
  <c r="K83" i="130" a="1"/>
  <c r="V61" i="130" a="1"/>
  <c r="Z57" i="130" a="1"/>
  <c r="H86" i="130" a="1"/>
  <c r="AQ69" i="130" a="1"/>
  <c r="J11" i="130" a="1"/>
  <c r="BF89" i="130" a="1"/>
  <c r="F61" i="130" a="1"/>
  <c r="AB34" i="130" a="1"/>
  <c r="W31" i="130" a="1"/>
  <c r="AA79" i="130" a="1"/>
  <c r="AP31" i="130" a="1"/>
  <c r="J47" i="130" a="1"/>
  <c r="E60" i="130" a="1"/>
  <c r="AP5" i="130" a="1"/>
  <c r="BH45" i="130" a="1"/>
  <c r="BD70" i="130" a="1"/>
  <c r="Q12" i="130" a="1"/>
  <c r="Z86" i="130" a="1"/>
  <c r="J13" i="130" a="1"/>
  <c r="AY31" i="130" a="1"/>
  <c r="AK45" i="130" a="1"/>
  <c r="AX84" i="130" a="1"/>
  <c r="BH23" i="130" a="1"/>
  <c r="K21" i="130" a="1"/>
  <c r="AD8" i="130" a="1"/>
  <c r="D87" i="130" a="1"/>
  <c r="AC12" i="130" a="1"/>
  <c r="AW64" i="130" a="1"/>
  <c r="BE14" i="130" a="1"/>
  <c r="AX16" i="130" a="1"/>
  <c r="N22" i="130" a="1"/>
  <c r="O11" i="130" a="1"/>
  <c r="Q29" i="130" a="1"/>
  <c r="BK44" i="130" a="1"/>
  <c r="AW41" i="130" a="1"/>
  <c r="BB51" i="130" a="1"/>
  <c r="BK67" i="130" a="1"/>
  <c r="BE27" i="130" a="1"/>
  <c r="M82" i="130" a="1"/>
  <c r="AT11" i="130" a="1"/>
  <c r="AK68" i="130" a="1"/>
  <c r="AU14" i="130" a="1"/>
  <c r="T27" i="130" a="1"/>
  <c r="AQ45" i="130" a="1"/>
  <c r="S16" i="130" a="1"/>
  <c r="I74" i="130" a="1"/>
  <c r="AE46" i="130" a="1"/>
  <c r="Z13" i="130" a="1"/>
  <c r="J45" i="130" a="1"/>
  <c r="U78" i="130" a="1"/>
  <c r="BJ67" i="130" a="1"/>
  <c r="Y28" i="130" a="1"/>
  <c r="AK31" i="130" a="1"/>
  <c r="AF67" i="130" a="1"/>
  <c r="BD44" i="130" a="1"/>
  <c r="AV56" i="130" a="1"/>
  <c r="AF59" i="130" a="1"/>
  <c r="BH81" i="130" a="1"/>
  <c r="AV42" i="130" a="1"/>
  <c r="K28" i="130" a="1"/>
  <c r="BG59" i="130" a="1"/>
  <c r="BB9" i="130" a="1"/>
  <c r="AY72" i="130" a="1"/>
  <c r="X27" i="130" a="1"/>
  <c r="AK14" i="130" a="1"/>
  <c r="I23" i="130" a="1"/>
  <c r="BI73" i="130" a="1"/>
  <c r="BE89" i="130" a="1"/>
  <c r="AP52" i="130" a="1"/>
  <c r="AS82" i="130" a="1"/>
  <c r="BC61" i="130" a="1"/>
  <c r="BD60" i="130" a="1"/>
  <c r="F72" i="130" a="1"/>
  <c r="BJ63" i="130" a="1"/>
  <c r="AK77" i="130" a="1"/>
  <c r="BH8" i="130" a="1"/>
  <c r="C36" i="130" a="1"/>
  <c r="AL28" i="130" a="1"/>
  <c r="BI38" i="130" a="1"/>
  <c r="AD43" i="130" a="1"/>
  <c r="W12" i="130" a="1"/>
  <c r="BA45" i="130" a="1"/>
  <c r="AN34" i="130" a="1"/>
  <c r="N16" i="130" a="1"/>
  <c r="BI84" i="130" a="1"/>
  <c r="Y84" i="130" a="1"/>
  <c r="D23" i="130" a="1"/>
  <c r="M47" i="130" a="1"/>
  <c r="AH20" i="130" a="1"/>
  <c r="AL63" i="130" a="1"/>
  <c r="AQ10" i="130" a="1"/>
  <c r="BK58" i="130" a="1"/>
  <c r="I34" i="130" a="1"/>
  <c r="V33" i="130" a="1"/>
  <c r="BA89" i="130" a="1"/>
  <c r="AS44" i="130" a="1"/>
  <c r="P66" i="130" a="1"/>
  <c r="BI86" i="130" a="1"/>
  <c r="I10" i="130" a="1"/>
  <c r="E68" i="130" a="1"/>
  <c r="W85" i="130" a="1"/>
  <c r="X10" i="130" a="1"/>
  <c r="J17" i="130" a="1"/>
  <c r="Q26" i="130" a="1"/>
  <c r="T19" i="130" a="1"/>
  <c r="BF58" i="130" a="1"/>
  <c r="AS40" i="130" a="1"/>
  <c r="F10" i="130" a="1"/>
  <c r="AX29" i="130" a="1"/>
  <c r="AA77" i="130" a="1"/>
  <c r="X89" i="130" a="1"/>
  <c r="C18" i="130" a="1"/>
  <c r="F32" i="130" a="1"/>
  <c r="AQ14" i="130" a="1"/>
  <c r="AY21" i="130" a="1"/>
  <c r="X15" i="130" a="1"/>
  <c r="BJ28" i="130" a="1"/>
  <c r="I40" i="130" a="1"/>
  <c r="BF68" i="130" a="1"/>
  <c r="H85" i="130" a="1"/>
  <c r="AO17" i="130" a="1"/>
  <c r="BE79" i="130" a="1"/>
  <c r="AR41" i="130" a="1"/>
  <c r="K57" i="130" a="1"/>
  <c r="I47" i="130" a="1"/>
  <c r="C69" i="130" a="1"/>
  <c r="I68" i="130" a="1"/>
  <c r="J19" i="130" a="1"/>
  <c r="AN26" i="130" a="1"/>
  <c r="AI36" i="130" a="1"/>
  <c r="BK83" i="130" a="1"/>
  <c r="BA8" i="130" a="1"/>
  <c r="AC38" i="130" a="1"/>
  <c r="AU29" i="130" a="1"/>
  <c r="BF39" i="130" a="1"/>
  <c r="AD52" i="130" a="1"/>
  <c r="AV33" i="130" a="1"/>
  <c r="AX69" i="130" a="1"/>
  <c r="AI46" i="130" a="1"/>
  <c r="AK39" i="130" a="1"/>
  <c r="Q22" i="130" a="1"/>
  <c r="BB72" i="130" a="1"/>
  <c r="BI43" i="130" a="1"/>
  <c r="Z32" i="130" a="1"/>
  <c r="AE79" i="130" a="1"/>
  <c r="AM87" i="130" a="1"/>
  <c r="AU88" i="130" a="1"/>
  <c r="N79" i="130" a="1"/>
  <c r="X7" i="130" a="1"/>
  <c r="W5" i="130" a="1"/>
  <c r="AK69" i="130" a="1"/>
  <c r="AU36" i="130" a="1"/>
  <c r="AH66" i="130" a="1"/>
  <c r="AP66" i="130" a="1"/>
  <c r="AR66" i="130" a="1"/>
  <c r="O31" i="130" a="1"/>
  <c r="M88" i="130" a="1"/>
  <c r="AS20" i="130" a="1"/>
  <c r="AQ57" i="130" a="1"/>
  <c r="BB57" i="130" a="1"/>
  <c r="AQ74" i="130" a="1"/>
  <c r="Z52" i="130" a="1"/>
  <c r="AT74" i="130" a="1"/>
  <c r="AR51" i="130" a="1"/>
  <c r="V16" i="130" a="1"/>
  <c r="P74" i="130" a="1"/>
  <c r="D13" i="130" a="1"/>
  <c r="BF5" i="130" a="1"/>
  <c r="L69" i="130" a="1"/>
  <c r="Q66" i="130" a="1"/>
  <c r="AL26" i="130" a="1"/>
  <c r="AC84" i="130" a="1"/>
  <c r="W16" i="130" a="1"/>
  <c r="E73" i="130" a="1"/>
  <c r="AL56" i="130" a="1"/>
  <c r="W10" i="130" a="1"/>
  <c r="F41" i="130" a="1"/>
  <c r="C71" i="130" a="1"/>
  <c r="V59" i="130" a="1"/>
  <c r="AC44" i="130" a="1"/>
  <c r="AV45" i="130" a="1"/>
  <c r="BB81" i="130" a="1"/>
  <c r="AL25" i="130" a="1"/>
  <c r="AS14" i="130" a="1"/>
  <c r="AQ72" i="130" a="1"/>
  <c r="AD55" i="130" a="1"/>
  <c r="F27" i="130" a="1"/>
  <c r="AZ40" i="130" a="1"/>
  <c r="AL84" i="130" a="1"/>
  <c r="AG15" i="130" a="1"/>
  <c r="AP84" i="130" a="1"/>
  <c r="G12" i="130" a="1"/>
  <c r="BI36" i="130" a="1"/>
  <c r="R33" i="130" a="1"/>
  <c r="L72" i="130" a="1"/>
  <c r="AF10" i="130" a="1"/>
  <c r="BI57" i="130" a="1"/>
  <c r="AM15" i="130" a="1"/>
  <c r="AV19" i="130" a="1"/>
  <c r="AC80" i="130" a="1"/>
  <c r="BH74" i="130" a="1"/>
  <c r="R23" i="130" a="1"/>
  <c r="C65" i="130" a="1"/>
  <c r="BI18" i="130" a="1"/>
  <c r="AI27" i="130" a="1"/>
  <c r="H82" i="130" a="1"/>
  <c r="N9" i="130" a="1"/>
  <c r="AN74" i="130" a="1"/>
  <c r="AA61" i="130" a="1"/>
  <c r="I64" i="130" a="1"/>
  <c r="AF68" i="130" a="1"/>
  <c r="AO75" i="130" a="1"/>
  <c r="C78" i="130" a="1"/>
  <c r="W55" i="130" a="1"/>
  <c r="Q56" i="130" a="1"/>
  <c r="I85" i="130" a="1"/>
  <c r="BG34" i="130" a="1"/>
  <c r="G75" i="130" a="1"/>
  <c r="BA95" i="1" s="1"/>
  <c r="AH27" i="1" s="1"/>
  <c r="BU96" i="1" s="1"/>
  <c r="BW33" i="1" s="1"/>
  <c r="BQ102" i="1" s="1"/>
  <c r="BD30" i="1" s="1"/>
  <c r="AU36" i="1" s="1"/>
  <c r="BO45" i="1" s="1"/>
  <c r="BG43" i="1" s="1"/>
  <c r="BM41" i="1" s="1"/>
  <c r="AO96" i="1" s="1"/>
  <c r="AM46" i="1" s="1"/>
  <c r="AJ30" i="1" s="1"/>
  <c r="BW46" i="1" s="1"/>
  <c r="BL33" i="1" s="1"/>
  <c r="AN51" i="1" s="1"/>
  <c r="BD27" i="1" s="1"/>
  <c r="BU51" i="1" s="1"/>
  <c r="AR36" i="1" s="1"/>
  <c r="AH102" i="1" s="1"/>
  <c r="BO51" i="1" s="1"/>
  <c r="AN27" i="1" s="1"/>
  <c r="AK30" i="1" s="1"/>
  <c r="AS43" i="1" s="1"/>
  <c r="BJ51" i="1" s="1"/>
  <c r="BR45" i="1" s="1"/>
  <c r="BN46" i="1" s="1"/>
  <c r="BB43" i="1" s="1"/>
  <c r="AQ99" i="1" s="1"/>
  <c r="AR99" i="1" s="1"/>
  <c r="BI96" i="1" s="1"/>
  <c r="AN46" i="1" s="1"/>
  <c r="AI33" i="1" s="1"/>
  <c r="BO46" i="1" s="1"/>
  <c r="AR35" i="1" s="1"/>
  <c r="BY27" i="1" s="1"/>
  <c r="AH35" i="1" s="1"/>
  <c r="BU27" i="1" s="1"/>
  <c r="BV45" i="1" s="1"/>
  <c r="AS36" i="1" s="1"/>
  <c r="AT36" i="1" s="1"/>
  <c r="BO30" i="1" s="1"/>
  <c r="AK27" i="1" s="1"/>
  <c r="BO33" i="1" s="1"/>
  <c r="AT35" i="1" s="1"/>
  <c r="BY43" i="1" s="1"/>
  <c r="AJ33" i="1" s="1"/>
  <c r="AU33" i="1" s="1"/>
  <c r="BX51" i="1" s="1"/>
  <c r="AX43" i="1" s="1"/>
  <c r="AS35" i="1" s="1"/>
  <c r="AW51" i="1" s="1"/>
  <c r="AX27" i="1" s="1"/>
  <c r="BM113" i="1" s="1"/>
  <c r="BS43" i="1" s="1"/>
  <c r="BR35" i="1" s="1"/>
  <c r="BB41" i="1" s="1"/>
  <c r="AZ33" i="1" s="1"/>
  <c r="BC27" i="1" s="1"/>
  <c r="BU36" i="1" s="1"/>
  <c r="BG95" i="1" s="1"/>
  <c r="BK113" i="1" s="1"/>
  <c r="AK45" i="1" s="1"/>
  <c r="IS9" i="132" s="1"/>
  <c r="AV27" i="1" s="1"/>
  <c r="BM102" i="1" s="1"/>
  <c r="AI96" i="1" s="1"/>
  <c r="AL43" i="1" s="1"/>
  <c r="AP30" i="1" s="1"/>
  <c r="AK46" i="1" s="1"/>
  <c r="AQ27" i="1" s="1"/>
  <c r="BT36" i="1" s="1"/>
  <c r="BK99" i="1" s="1"/>
  <c r="BL99" i="1" s="1"/>
  <c r="BI45" i="1" s="1"/>
  <c r="BM33" i="1" s="1"/>
  <c r="BV27" i="1" s="1"/>
  <c r="AK33" i="1" s="1"/>
  <c r="AZ30" i="1" s="1"/>
  <c r="BV51" i="1" s="1"/>
  <c r="AX30" i="1" s="1"/>
  <c r="BU35" i="1" s="1"/>
  <c r="AJ45" i="1" s="1"/>
  <c r="AL35" i="1" s="1"/>
  <c r="BE46" i="1" s="1"/>
  <c r="BW102" i="1" s="1"/>
  <c r="BX102" i="1" s="1"/>
  <c r="BX105" i="1" s="1"/>
  <c r="BQ46" i="1" s="1"/>
  <c r="AY96" i="1" s="1"/>
  <c r="BJ33" i="1" s="1"/>
  <c r="AI51" i="1" s="1"/>
  <c r="BT51" i="1" s="1"/>
  <c r="BK30" i="1" s="1"/>
  <c r="AV51" i="1" s="1"/>
  <c r="BJ45" i="1" s="1"/>
  <c r="BX55" i="1" s="1"/>
  <c r="AK43" i="1" s="1"/>
  <c r="BA28" i="1" s="1"/>
  <c r="AO109" i="1" s="1"/>
  <c r="KG16" i="132" s="1"/>
  <c r="BU30" i="1" s="1"/>
  <c r="AY113" i="1" s="1"/>
  <c r="BF35" i="1" s="1"/>
  <c r="BA30" i="1" s="1"/>
  <c r="BR46" i="1" s="1"/>
  <c r="BA51" i="1" s="1"/>
  <c r="AR43" i="1" s="1"/>
  <c r="AX36" i="1" s="1"/>
  <c r="AS27" i="1" s="1"/>
  <c r="AH113" i="1" s="1"/>
  <c r="BP30" i="1" s="1"/>
  <c r="AR33" i="1" s="1"/>
  <c r="BQ96" i="1" s="1"/>
  <c r="AR51" i="1" s="1"/>
  <c r="BY46" i="1" s="1"/>
  <c r="BZ46" i="1" s="1"/>
  <c r="AQ96" i="1" s="1"/>
  <c r="BU109" i="1" s="1"/>
  <c r="BW36" i="1" s="1"/>
  <c r="AT43" i="1" s="1"/>
  <c r="BX45" i="1" s="1"/>
  <c r="BB35" i="1" s="1"/>
  <c r="BD33" i="1" s="1"/>
  <c r="AU43" i="1" s="1"/>
  <c r="BR28" i="1" s="1"/>
  <c r="AR45" i="1" s="1"/>
  <c r="AM99" i="1" s="1"/>
  <c r="AN99" i="1" s="1"/>
  <c r="BR41" i="1" s="1"/>
  <c r="BI51" i="1" s="1"/>
  <c r="BN43" i="1" s="1"/>
  <c r="JV16" i="132" s="1"/>
  <c r="BF43" i="1" s="1"/>
  <c r="II9" i="132" s="1"/>
  <c r="BK95" i="1" s="1"/>
  <c r="AU45" i="1" s="1"/>
  <c r="BV36" i="1" s="1"/>
  <c r="AK36" i="1" s="1"/>
  <c r="BV41" i="1" s="1"/>
  <c r="IA9" i="132" s="1"/>
  <c r="BH45" i="1" s="1"/>
  <c r="IP16" i="132" s="1"/>
  <c r="IE9" i="132" s="1"/>
  <c r="JZ9" i="132" s="1"/>
  <c r="KF9" i="132" s="1"/>
  <c r="BC109" i="1" s="1"/>
  <c r="BD109" i="1" s="1"/>
  <c r="AP33" i="1" s="1"/>
  <c r="AV45" i="1" s="1"/>
  <c r="AU46" i="1" s="1"/>
  <c r="AQ30" i="1" s="1"/>
  <c r="BC51" i="1" s="1"/>
  <c r="BL45" i="1" s="1"/>
  <c r="BY51" i="1" s="1"/>
  <c r="BC102" i="1" s="1"/>
  <c r="BD102" i="1" s="1"/>
  <c r="BD105" i="1" s="1"/>
  <c r="BX54" i="1" s="1"/>
  <c r="BC113" i="1" s="1"/>
  <c r="BM45" i="1" s="1"/>
  <c r="BP45" i="1" s="1"/>
  <c r="AX51" i="1" s="1"/>
  <c r="AM27" i="1" s="1"/>
  <c r="BO102" i="1" s="1"/>
  <c r="AO43" i="1" s="1"/>
  <c r="BA43" i="1" s="1"/>
  <c r="AK35" i="1" s="1"/>
  <c r="BB30" i="1" s="1"/>
  <c r="AV30" i="1" s="1"/>
  <c r="BE33" i="1" s="1"/>
  <c r="BA36" i="1" s="1"/>
  <c r="BO95" i="1" s="1"/>
  <c r="BP95" i="1" s="1"/>
  <c r="BE43" i="1" s="1"/>
  <c r="BS99" i="1" s="1"/>
  <c r="BT99" i="1" s="1"/>
  <c r="BS33" i="1" s="1"/>
  <c r="HY9" i="132" s="1"/>
  <c r="BW96" i="1" s="1"/>
  <c r="AP45" i="1" s="1"/>
  <c r="BI95" i="1" s="1"/>
  <c r="BN27" i="1" s="1"/>
  <c r="AT41" i="1" s="1"/>
  <c r="BE35" i="1" s="1"/>
  <c r="BY35" i="1" s="1"/>
  <c r="BU99" i="1" s="1"/>
  <c r="BV99" i="1" s="1"/>
  <c r="BK51" i="1" s="1"/>
  <c r="BD46" i="1" s="1"/>
  <c r="BO113" i="1" s="1"/>
  <c r="BC96" i="1" s="1"/>
  <c r="AU30" i="1" s="1"/>
  <c r="AI113" i="1" s="1"/>
  <c r="BK33" i="1" s="1"/>
  <c r="AT46" i="1" s="1"/>
  <c r="AH101" i="1" s="1"/>
  <c r="AQ45" i="1" s="1"/>
  <c r="AH45" i="1" s="1"/>
  <c r="AO35" i="1" s="1"/>
  <c r="AI45" i="1" s="1"/>
  <c r="BV43" i="1" s="1"/>
  <c r="BD43" i="1" s="1"/>
  <c r="BP35" i="1" s="1"/>
  <c r="BQ33" i="1" s="1"/>
  <c r="BG109" i="1" s="1"/>
  <c r="AU113" i="1" s="1"/>
  <c r="AL46" i="1" s="1"/>
  <c r="BU33" i="1" s="1"/>
  <c r="AQ33" i="1" s="1"/>
  <c r="BO96" i="1" s="1"/>
  <c r="BO97" i="1" s="1"/>
  <c r="CD123" i="1"/>
  <c r="CE123" i="1" s="1"/>
  <c r="CF123" i="1" s="1"/>
  <c r="CG123" i="1" s="1"/>
  <c r="AB123" i="1"/>
  <c r="BB95" i="1" l="1"/>
  <c r="BH95" i="1"/>
  <c r="BJ95" i="1"/>
  <c r="BI97" i="1"/>
  <c r="BV47" i="1"/>
  <c r="IU14" i="132"/>
  <c r="IY7" i="132"/>
  <c r="IU15" i="132"/>
  <c r="HX14" i="132"/>
  <c r="IS7" i="132"/>
  <c r="IY8" i="132"/>
  <c r="IS14" i="132"/>
  <c r="KE8" i="132"/>
  <c r="JB14" i="132"/>
  <c r="JD14" i="132"/>
  <c r="JA8" i="132"/>
  <c r="BD37" i="1"/>
  <c r="BA115" i="1"/>
  <c r="BF47" i="1"/>
  <c r="AY47" i="1"/>
  <c r="HT15" i="132"/>
  <c r="IC15" i="132"/>
  <c r="IW15" i="132"/>
  <c r="IE15" i="132"/>
  <c r="AS119" i="1"/>
  <c r="BQ119" i="1"/>
  <c r="JL7" i="132"/>
  <c r="IE14" i="132"/>
  <c r="HU15" i="132"/>
  <c r="IY15" i="132"/>
  <c r="II8" i="132"/>
  <c r="AZ37" i="1"/>
  <c r="JV14" i="132"/>
  <c r="IJ8" i="132"/>
  <c r="HR15" i="132"/>
  <c r="IE8" i="132"/>
  <c r="HW7" i="132"/>
  <c r="IU7" i="132"/>
  <c r="IU19" i="132" s="1"/>
  <c r="BB82" i="1" s="1"/>
  <c r="BE109" i="1"/>
  <c r="JZ14" i="132"/>
  <c r="KB15" i="132"/>
  <c r="IR15" i="132"/>
  <c r="JN15" i="132"/>
  <c r="AQ47" i="1"/>
  <c r="BO34" i="1"/>
  <c r="BL47" i="1"/>
  <c r="BU116" i="1"/>
  <c r="BA109" i="1"/>
  <c r="AT47" i="1"/>
  <c r="BE118" i="1"/>
  <c r="AN37" i="1"/>
  <c r="BK28" i="1"/>
  <c r="BT41" i="1"/>
  <c r="BK111" i="1"/>
  <c r="BW37" i="1"/>
  <c r="BG37" i="1"/>
  <c r="HR8" i="132"/>
  <c r="IC14" i="132"/>
  <c r="KC14" i="132"/>
  <c r="JT15" i="132"/>
  <c r="KF15" i="132"/>
  <c r="JI7" i="132"/>
  <c r="JB8" i="132"/>
  <c r="JB7" i="132"/>
  <c r="JB19" i="132" s="1"/>
  <c r="BI82" i="1" s="1"/>
  <c r="JI8" i="132"/>
  <c r="BE111" i="1"/>
  <c r="BX37" i="1"/>
  <c r="AY111" i="1"/>
  <c r="BE41" i="1"/>
  <c r="AI34" i="1"/>
  <c r="IF8" i="132"/>
  <c r="JW8" i="132"/>
  <c r="JS15" i="132"/>
  <c r="BS101" i="1"/>
  <c r="BM116" i="1"/>
  <c r="AU119" i="1"/>
  <c r="AI101" i="1"/>
  <c r="AU109" i="1"/>
  <c r="AV109" i="1" s="1"/>
  <c r="IZ14" i="132"/>
  <c r="JO14" i="132"/>
  <c r="IL7" i="132"/>
  <c r="JA14" i="132"/>
  <c r="JU15" i="132"/>
  <c r="HX15" i="132"/>
  <c r="IK8" i="132"/>
  <c r="BI111" i="1"/>
  <c r="IQ7" i="132"/>
  <c r="JY7" i="132"/>
  <c r="AT34" i="1"/>
  <c r="BG118" i="1"/>
  <c r="AY116" i="1"/>
  <c r="HR14" i="132"/>
  <c r="IT15" i="132"/>
  <c r="BH47" i="1"/>
  <c r="IR8" i="132"/>
  <c r="BK34" i="1"/>
  <c r="AQ37" i="1"/>
  <c r="BC116" i="1"/>
  <c r="BB47" i="1"/>
  <c r="BM115" i="1"/>
  <c r="AU47" i="1"/>
  <c r="BV34" i="1"/>
  <c r="AS118" i="1"/>
  <c r="AH34" i="1"/>
  <c r="BM34" i="1"/>
  <c r="AU37" i="1"/>
  <c r="BS115" i="1"/>
  <c r="BY109" i="1"/>
  <c r="BO115" i="1"/>
  <c r="BM118" i="1"/>
  <c r="AQ116" i="1"/>
  <c r="BM28" i="1"/>
  <c r="AQ111" i="1"/>
  <c r="AP47" i="1"/>
  <c r="BM111" i="1"/>
  <c r="BO41" i="1"/>
  <c r="AH28" i="1"/>
  <c r="AH29" i="1" s="1"/>
  <c r="BJ28" i="1"/>
  <c r="AJ47" i="1"/>
  <c r="BP47" i="1"/>
  <c r="AY34" i="1"/>
  <c r="AU115" i="1"/>
  <c r="BC37" i="1"/>
  <c r="BB37" i="1"/>
  <c r="AQ118" i="1"/>
  <c r="BH28" i="1"/>
  <c r="BW101" i="1"/>
  <c r="BW105" i="1" s="1"/>
  <c r="BF37" i="1"/>
  <c r="AY37" i="1"/>
  <c r="BN28" i="1"/>
  <c r="BN29" i="1" s="1"/>
  <c r="BH41" i="1"/>
  <c r="AH37" i="1"/>
  <c r="BU118" i="1"/>
  <c r="BE116" i="1"/>
  <c r="AW109" i="1"/>
  <c r="BA131" i="1" s="1"/>
  <c r="BG101" i="1"/>
  <c r="BN47" i="1"/>
  <c r="BV109" i="1"/>
  <c r="BU65" i="1"/>
  <c r="BG65" i="1"/>
  <c r="BG64" i="1"/>
  <c r="AK37" i="1"/>
  <c r="BH34" i="1"/>
  <c r="BG116" i="1"/>
  <c r="BK116" i="1"/>
  <c r="BQ111" i="1"/>
  <c r="BB34" i="1"/>
  <c r="BQ47" i="1"/>
  <c r="AO111" i="1"/>
  <c r="BE34" i="1"/>
  <c r="BQ101" i="1"/>
  <c r="BQ105" i="1" s="1"/>
  <c r="AO34" i="1"/>
  <c r="HW15" i="132"/>
  <c r="JJ15" i="132"/>
  <c r="JL14" i="132"/>
  <c r="BS109" i="1"/>
  <c r="IL8" i="132"/>
  <c r="JH8" i="132"/>
  <c r="JX14" i="132"/>
  <c r="JQ15" i="132"/>
  <c r="IT14" i="132"/>
  <c r="BY101" i="1"/>
  <c r="BS41" i="1"/>
  <c r="AO119" i="1"/>
  <c r="BK118" i="1"/>
  <c r="BL37" i="1"/>
  <c r="AI119" i="1"/>
  <c r="BA47" i="1"/>
  <c r="BM37" i="1"/>
  <c r="AX37" i="1"/>
  <c r="KA14" i="132"/>
  <c r="CA46" i="1"/>
  <c r="CB46" i="1" s="1"/>
  <c r="CC46" i="1" s="1"/>
  <c r="CD46" i="1" s="1"/>
  <c r="BM119" i="1"/>
  <c r="AM115" i="1"/>
  <c r="BE119" i="1"/>
  <c r="BX47" i="1"/>
  <c r="AZ47" i="1"/>
  <c r="AO41" i="1"/>
  <c r="BA119" i="1"/>
  <c r="AH105" i="1"/>
  <c r="BW119" i="1"/>
  <c r="BI119" i="1"/>
  <c r="BU101" i="1"/>
  <c r="IZ7" i="132"/>
  <c r="BS118" i="1"/>
  <c r="AR28" i="1"/>
  <c r="BH109" i="1"/>
  <c r="BU64" i="1"/>
  <c r="AU73" i="1"/>
  <c r="BC64" i="1"/>
  <c r="BC73" i="1"/>
  <c r="BC65" i="1"/>
  <c r="AP109" i="1"/>
  <c r="BC133" i="1"/>
  <c r="BD133" i="1" s="1"/>
  <c r="BG131" i="1"/>
  <c r="BL35" i="1"/>
  <c r="BY55" i="1" s="1"/>
  <c r="IT8" i="132"/>
  <c r="BL34" i="1"/>
  <c r="AQ34" i="1"/>
  <c r="BI34" i="1"/>
  <c r="AI116" i="1"/>
  <c r="IR14" i="132"/>
  <c r="BY111" i="1"/>
  <c r="AA111" i="1" s="1"/>
  <c r="BA111" i="1"/>
  <c r="AU41" i="1"/>
  <c r="AL34" i="1"/>
  <c r="AW115" i="1"/>
  <c r="AK111" i="1"/>
  <c r="BG34" i="1"/>
  <c r="AV34" i="1"/>
  <c r="AI47" i="1"/>
  <c r="AQ115" i="1"/>
  <c r="AY118" i="1"/>
  <c r="AR37" i="1"/>
  <c r="KF7" i="132"/>
  <c r="BO111" i="1"/>
  <c r="AS101" i="1"/>
  <c r="IC8" i="132"/>
  <c r="JS14" i="132"/>
  <c r="BN34" i="1"/>
  <c r="IU8" i="132"/>
  <c r="IY14" i="132"/>
  <c r="HZ15" i="132"/>
  <c r="IV8" i="132"/>
  <c r="KG7" i="132"/>
  <c r="JZ15" i="132"/>
  <c r="AO47" i="1"/>
  <c r="AO118" i="1"/>
  <c r="AW119" i="1"/>
  <c r="BA34" i="1"/>
  <c r="KD7" i="132"/>
  <c r="AS34" i="1"/>
  <c r="JG14" i="132"/>
  <c r="IK15" i="132"/>
  <c r="JF8" i="132"/>
  <c r="JO15" i="132"/>
  <c r="BU37" i="1"/>
  <c r="BV37" i="1"/>
  <c r="IP8" i="132"/>
  <c r="IP15" i="132"/>
  <c r="IP20" i="132" s="1"/>
  <c r="AW83" i="1" s="1"/>
  <c r="HZ14" i="132"/>
  <c r="IM15" i="132"/>
  <c r="KB7" i="132"/>
  <c r="JX15" i="132"/>
  <c r="JE8" i="132"/>
  <c r="IS15" i="132"/>
  <c r="JC8" i="132"/>
  <c r="JP15" i="132"/>
  <c r="IB8" i="132"/>
  <c r="JQ7" i="132"/>
  <c r="KB8" i="132"/>
  <c r="KB20" i="132" s="1"/>
  <c r="HV7" i="132"/>
  <c r="BD47" i="1"/>
  <c r="IU20" i="132"/>
  <c r="BB83" i="1" s="1"/>
  <c r="HR20" i="132"/>
  <c r="IG7" i="132"/>
  <c r="KA7" i="132"/>
  <c r="AK47" i="1"/>
  <c r="BA116" i="1"/>
  <c r="BA117" i="1" s="1"/>
  <c r="BB116" i="1" s="1"/>
  <c r="BB117" i="1" s="1"/>
  <c r="BD34" i="1"/>
  <c r="BR37" i="1"/>
  <c r="IK20" i="132"/>
  <c r="AR83" i="1" s="1"/>
  <c r="BL95" i="1"/>
  <c r="AU116" i="1"/>
  <c r="BK119" i="1"/>
  <c r="AL41" i="1"/>
  <c r="IZ15" i="132"/>
  <c r="JZ8" i="132"/>
  <c r="JZ20" i="132" s="1"/>
  <c r="IM14" i="132"/>
  <c r="AS120" i="1"/>
  <c r="AT119" i="1" s="1"/>
  <c r="AT120" i="1" s="1"/>
  <c r="IT20" i="132"/>
  <c r="BA83" i="1" s="1"/>
  <c r="IA7" i="132"/>
  <c r="JT14" i="132"/>
  <c r="IW7" i="132"/>
  <c r="JK7" i="132"/>
  <c r="JS8" i="132"/>
  <c r="JS20" i="132" s="1"/>
  <c r="HX8" i="132"/>
  <c r="HX20" i="132" s="1"/>
  <c r="HV8" i="132"/>
  <c r="IN8" i="132"/>
  <c r="HU8" i="132"/>
  <c r="HU20" i="132" s="1"/>
  <c r="IG15" i="132"/>
  <c r="KF8" i="132"/>
  <c r="KF20" i="132" s="1"/>
  <c r="HW8" i="132"/>
  <c r="IN7" i="132"/>
  <c r="BQ34" i="1"/>
  <c r="BU119" i="1"/>
  <c r="BU120" i="1" s="1"/>
  <c r="BV119" i="1" s="1"/>
  <c r="BV120" i="1" s="1"/>
  <c r="IE20" i="132"/>
  <c r="AL83" i="1" s="1"/>
  <c r="JQ8" i="132"/>
  <c r="AS111" i="1"/>
  <c r="IG8" i="132"/>
  <c r="BQ109" i="1"/>
  <c r="BC111" i="1"/>
  <c r="BC28" i="1"/>
  <c r="BC29" i="1" s="1"/>
  <c r="JC7" i="132"/>
  <c r="IW8" i="132"/>
  <c r="IW20" i="132" s="1"/>
  <c r="BD83" i="1" s="1"/>
  <c r="IJ14" i="132"/>
  <c r="BI37" i="1"/>
  <c r="AK41" i="1"/>
  <c r="BK37" i="1"/>
  <c r="HY15" i="132"/>
  <c r="AU28" i="1"/>
  <c r="AY41" i="1"/>
  <c r="BN37" i="1"/>
  <c r="AW34" i="1"/>
  <c r="AJ28" i="1"/>
  <c r="BQ28" i="1"/>
  <c r="BW47" i="1"/>
  <c r="JG7" i="132"/>
  <c r="AU118" i="1"/>
  <c r="AU120" i="1" s="1"/>
  <c r="BU115" i="1"/>
  <c r="BU117" i="1" s="1"/>
  <c r="BV116" i="1" s="1"/>
  <c r="BV117" i="1" s="1"/>
  <c r="AQ109" i="1"/>
  <c r="BY34" i="1"/>
  <c r="AJ37" i="1"/>
  <c r="BG41" i="1"/>
  <c r="BP37" i="1"/>
  <c r="BO101" i="1"/>
  <c r="BO105" i="1" s="1"/>
  <c r="BE28" i="1"/>
  <c r="IM8" i="132"/>
  <c r="IM20" i="132" s="1"/>
  <c r="AT83" i="1" s="1"/>
  <c r="KF14" i="132"/>
  <c r="KF19" i="132" s="1"/>
  <c r="JM15" i="132"/>
  <c r="JX8" i="132"/>
  <c r="JX20" i="132" s="1"/>
  <c r="HZ8" i="132"/>
  <c r="KC15" i="132"/>
  <c r="JE15" i="132"/>
  <c r="II7" i="132"/>
  <c r="IB14" i="132"/>
  <c r="IH7" i="132"/>
  <c r="HX7" i="132"/>
  <c r="HX19" i="132" s="1"/>
  <c r="BM101" i="1"/>
  <c r="BM105" i="1" s="1"/>
  <c r="JJ8" i="132"/>
  <c r="JJ20" i="132" s="1"/>
  <c r="BQ83" i="1" s="1"/>
  <c r="BP34" i="1"/>
  <c r="AI109" i="1"/>
  <c r="HY8" i="132"/>
  <c r="AW118" i="1"/>
  <c r="AK118" i="1"/>
  <c r="AX41" i="1"/>
  <c r="AK28" i="1"/>
  <c r="AK29" i="1" s="1"/>
  <c r="AK31" i="1" s="1"/>
  <c r="AM111" i="1"/>
  <c r="IX7" i="132"/>
  <c r="JL8" i="132"/>
  <c r="JA15" i="132"/>
  <c r="JA20" i="132" s="1"/>
  <c r="BH83" i="1" s="1"/>
  <c r="BX34" i="1"/>
  <c r="BS116" i="1"/>
  <c r="BS117" i="1" s="1"/>
  <c r="BC118" i="1"/>
  <c r="IA8" i="132"/>
  <c r="AV41" i="1"/>
  <c r="JT8" i="132"/>
  <c r="JT20" i="132" s="1"/>
  <c r="AI111" i="1"/>
  <c r="AK116" i="1"/>
  <c r="BS119" i="1"/>
  <c r="BS120" i="1" s="1"/>
  <c r="BT119" i="1" s="1"/>
  <c r="BT120" i="1" s="1"/>
  <c r="AW37" i="1"/>
  <c r="BG47" i="1"/>
  <c r="BR47" i="1"/>
  <c r="BD41" i="1"/>
  <c r="AY101" i="1"/>
  <c r="AN47" i="1"/>
  <c r="BA37" i="1"/>
  <c r="BI116" i="1"/>
  <c r="BG111" i="1"/>
  <c r="AY109" i="1"/>
  <c r="AO28" i="1"/>
  <c r="BT47" i="1"/>
  <c r="AS41" i="1"/>
  <c r="BL28" i="1"/>
  <c r="BF28" i="1"/>
  <c r="AS115" i="1"/>
  <c r="BO28" i="1"/>
  <c r="AK34" i="1"/>
  <c r="AK38" i="1" s="1"/>
  <c r="AK39" i="1" s="1"/>
  <c r="AT28" i="1"/>
  <c r="BY119" i="1"/>
  <c r="KA15" i="132"/>
  <c r="IT7" i="132"/>
  <c r="IT19" i="132" s="1"/>
  <c r="BA82" i="1" s="1"/>
  <c r="JQ14" i="132"/>
  <c r="JQ19" i="132" s="1"/>
  <c r="BX82" i="1" s="1"/>
  <c r="AW47" i="1"/>
  <c r="AY28" i="1"/>
  <c r="BQ116" i="1"/>
  <c r="BI101" i="1"/>
  <c r="AR41" i="1"/>
  <c r="AW101" i="1"/>
  <c r="AR34" i="1"/>
  <c r="AR38" i="1" s="1"/>
  <c r="AQ28" i="1"/>
  <c r="AQ29" i="1" s="1"/>
  <c r="AQ31" i="1" s="1"/>
  <c r="AI28" i="1"/>
  <c r="BO116" i="1"/>
  <c r="BO117" i="1" s="1"/>
  <c r="AJ41" i="1"/>
  <c r="BO109" i="1"/>
  <c r="AO115" i="1"/>
  <c r="BX56" i="1"/>
  <c r="AP28" i="1"/>
  <c r="AI115" i="1"/>
  <c r="AI117" i="1" s="1"/>
  <c r="BQ41" i="1"/>
  <c r="BE47" i="1"/>
  <c r="AL37" i="1"/>
  <c r="BK109" i="1"/>
  <c r="BJ41" i="1"/>
  <c r="AP41" i="1"/>
  <c r="BC101" i="1"/>
  <c r="BC105" i="1" s="1"/>
  <c r="AW116" i="1"/>
  <c r="AW117" i="1" s="1"/>
  <c r="BW116" i="1"/>
  <c r="BY28" i="1"/>
  <c r="BY29" i="1" s="1"/>
  <c r="IX14" i="132"/>
  <c r="IA15" i="132"/>
  <c r="IA20" i="132" s="1"/>
  <c r="AH83" i="1" s="1"/>
  <c r="JP14" i="132"/>
  <c r="KG8" i="132"/>
  <c r="KB14" i="132"/>
  <c r="HZ7" i="132"/>
  <c r="HZ19" i="132" s="1"/>
  <c r="HT14" i="132"/>
  <c r="JG8" i="132"/>
  <c r="IH14" i="132"/>
  <c r="IH19" i="132" s="1"/>
  <c r="AO82" i="1" s="1"/>
  <c r="HS15" i="132"/>
  <c r="KA8" i="132"/>
  <c r="IG14" i="132"/>
  <c r="KD8" i="132"/>
  <c r="JK8" i="132"/>
  <c r="BA118" i="1"/>
  <c r="BA120" i="1" s="1"/>
  <c r="IM7" i="132"/>
  <c r="IM19" i="132" s="1"/>
  <c r="AT82" i="1" s="1"/>
  <c r="HS8" i="132"/>
  <c r="IX8" i="132"/>
  <c r="JF14" i="132"/>
  <c r="HQ8" i="132"/>
  <c r="JP8" i="132"/>
  <c r="JP20" i="132" s="1"/>
  <c r="BW83" i="1" s="1"/>
  <c r="IP7" i="132"/>
  <c r="JH14" i="132"/>
  <c r="JN8" i="132"/>
  <c r="JN20" i="132" s="1"/>
  <c r="BU83" i="1" s="1"/>
  <c r="BJ37" i="1"/>
  <c r="IC20" i="132"/>
  <c r="AJ83" i="1" s="1"/>
  <c r="IR7" i="132"/>
  <c r="IS19" i="132"/>
  <c r="AZ82" i="1" s="1"/>
  <c r="HP7" i="132"/>
  <c r="IV15" i="132"/>
  <c r="IV20" i="132" s="1"/>
  <c r="BC83" i="1" s="1"/>
  <c r="HT7" i="132"/>
  <c r="HV14" i="132"/>
  <c r="HV19" i="132" s="1"/>
  <c r="HY7" i="132"/>
  <c r="IE7" i="132"/>
  <c r="IE19" i="132" s="1"/>
  <c r="AL82" i="1" s="1"/>
  <c r="IN14" i="132"/>
  <c r="AK101" i="1"/>
  <c r="JU8" i="132"/>
  <c r="JU20" i="132" s="1"/>
  <c r="JG15" i="132"/>
  <c r="IO8" i="132"/>
  <c r="IY19" i="132"/>
  <c r="BF82" i="1" s="1"/>
  <c r="HZ20" i="132"/>
  <c r="BM47" i="1"/>
  <c r="AN41" i="1"/>
  <c r="BW109" i="1"/>
  <c r="BI118" i="1"/>
  <c r="BI120" i="1" s="1"/>
  <c r="AO116" i="1"/>
  <c r="AO117" i="1" s="1"/>
  <c r="AP116" i="1" s="1"/>
  <c r="AP117" i="1" s="1"/>
  <c r="BY41" i="1"/>
  <c r="BB28" i="1"/>
  <c r="AX28" i="1"/>
  <c r="AX29" i="1" s="1"/>
  <c r="AX31" i="1" s="1"/>
  <c r="BY47" i="1"/>
  <c r="BP28" i="1"/>
  <c r="BO37" i="1"/>
  <c r="AY115" i="1"/>
  <c r="AY117" i="1" s="1"/>
  <c r="AZ116" i="1" s="1"/>
  <c r="AZ117" i="1" s="1"/>
  <c r="BU28" i="1"/>
  <c r="BU29" i="1" s="1"/>
  <c r="BU31" i="1" s="1"/>
  <c r="JE20" i="132"/>
  <c r="BL83" i="1" s="1"/>
  <c r="IY20" i="132"/>
  <c r="BF83" i="1" s="1"/>
  <c r="BM117" i="1"/>
  <c r="BN116" i="1" s="1"/>
  <c r="BN117" i="1" s="1"/>
  <c r="IR20" i="132"/>
  <c r="AY83" i="1" s="1"/>
  <c r="JL19" i="132"/>
  <c r="BS82" i="1" s="1"/>
  <c r="BF109" i="1"/>
  <c r="BB109" i="1"/>
  <c r="AW65" i="1"/>
  <c r="BY65" i="1"/>
  <c r="BE131" i="1"/>
  <c r="BY64" i="1"/>
  <c r="BY131" i="1"/>
  <c r="BS65" i="1"/>
  <c r="BM120" i="1"/>
  <c r="BN119" i="1" s="1"/>
  <c r="BN120" i="1" s="1"/>
  <c r="BW131" i="1"/>
  <c r="AA101" i="1"/>
  <c r="AX109" i="1"/>
  <c r="AW64" i="1"/>
  <c r="AB46" i="1"/>
  <c r="CE46" i="1"/>
  <c r="CF46" i="1" s="1"/>
  <c r="CG46" i="1" s="1"/>
  <c r="CH46" i="1" s="1"/>
  <c r="AC123" i="1"/>
  <c r="CH123" i="1"/>
  <c r="CI123" i="1" s="1"/>
  <c r="CJ123" i="1" s="1"/>
  <c r="CK123" i="1" s="1"/>
  <c r="BK120" i="1" l="1"/>
  <c r="BL119" i="1" s="1"/>
  <c r="BL120" i="1" s="1"/>
  <c r="AO120" i="1"/>
  <c r="AU117" i="1"/>
  <c r="AV116" i="1" s="1"/>
  <c r="AV117" i="1" s="1"/>
  <c r="BE120" i="1"/>
  <c r="BF119" i="1" s="1"/>
  <c r="BF120" i="1" s="1"/>
  <c r="HW20" i="132"/>
  <c r="JQ20" i="132"/>
  <c r="BX83" i="1" s="1"/>
  <c r="BE65" i="1"/>
  <c r="BE64" i="1"/>
  <c r="BA65" i="1"/>
  <c r="BA64" i="1"/>
  <c r="BT109" i="1"/>
  <c r="BS64" i="1"/>
  <c r="AA55" i="1"/>
  <c r="Z55" i="1" s="1"/>
  <c r="Y55" i="1" s="1"/>
  <c r="X55" i="1" s="1"/>
  <c r="W55" i="1" s="1"/>
  <c r="V55" i="1" s="1"/>
  <c r="U55" i="1" s="1"/>
  <c r="T55" i="1" s="1"/>
  <c r="S55" i="1" s="1"/>
  <c r="R55" i="1" s="1"/>
  <c r="Q55" i="1" s="1"/>
  <c r="P55" i="1" s="1"/>
  <c r="O55" i="1" s="1"/>
  <c r="N55" i="1" s="1"/>
  <c r="M55" i="1" s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BZ55" i="1"/>
  <c r="CA55" i="1" s="1"/>
  <c r="CB55" i="1" s="1"/>
  <c r="CC55" i="1" s="1"/>
  <c r="AQ43" i="1"/>
  <c r="BK102" i="1" s="1"/>
  <c r="BL102" i="1" s="1"/>
  <c r="BL105" i="1" s="1"/>
  <c r="BS27" i="1" s="1"/>
  <c r="AH36" i="1" s="1"/>
  <c r="BW51" i="1" s="1"/>
  <c r="AL27" i="1" s="1"/>
  <c r="AQ117" i="1"/>
  <c r="IZ19" i="132"/>
  <c r="BG82" i="1" s="1"/>
  <c r="KA19" i="132"/>
  <c r="IR19" i="132"/>
  <c r="AY82" i="1" s="1"/>
  <c r="AW120" i="1"/>
  <c r="AX119" i="1" s="1"/>
  <c r="AX120" i="1" s="1"/>
  <c r="JG19" i="132"/>
  <c r="BN82" i="1" s="1"/>
  <c r="JG20" i="132"/>
  <c r="BN83" i="1" s="1"/>
  <c r="KB19" i="132"/>
  <c r="IG19" i="132"/>
  <c r="AN82" i="1" s="1"/>
  <c r="HT19" i="132"/>
  <c r="IX19" i="132"/>
  <c r="BE82" i="1" s="1"/>
  <c r="AK42" i="1"/>
  <c r="AK44" i="1" s="1"/>
  <c r="AK48" i="1" s="1"/>
  <c r="BP116" i="1"/>
  <c r="BP117" i="1" s="1"/>
  <c r="AV119" i="1"/>
  <c r="AV120" i="1" s="1"/>
  <c r="AU121" i="1"/>
  <c r="BO129" i="1"/>
  <c r="AJ116" i="1"/>
  <c r="AJ117" i="1" s="1"/>
  <c r="BT116" i="1"/>
  <c r="BT117" i="1" s="1"/>
  <c r="BS121" i="1"/>
  <c r="HY20" i="132"/>
  <c r="AY73" i="1"/>
  <c r="AZ109" i="1"/>
  <c r="BC131" i="1"/>
  <c r="AY64" i="1"/>
  <c r="AY131" i="1"/>
  <c r="AY65" i="1"/>
  <c r="KA20" i="132"/>
  <c r="AJ109" i="1"/>
  <c r="AI73" i="1"/>
  <c r="AI74" i="1" s="1"/>
  <c r="AR109" i="1"/>
  <c r="AU131" i="1"/>
  <c r="BQ65" i="1"/>
  <c r="BR109" i="1"/>
  <c r="BV131" i="1" s="1"/>
  <c r="BQ64" i="1"/>
  <c r="BU131" i="1"/>
  <c r="BQ133" i="1"/>
  <c r="BR133" i="1" s="1"/>
  <c r="BR102" i="1" s="1"/>
  <c r="BR105" i="1" s="1"/>
  <c r="BQ132" i="1"/>
  <c r="AW121" i="1"/>
  <c r="BO133" i="1"/>
  <c r="BP133" i="1" s="1"/>
  <c r="BO73" i="1"/>
  <c r="BP109" i="1"/>
  <c r="BO131" i="1"/>
  <c r="BO65" i="1"/>
  <c r="BO64" i="1"/>
  <c r="BS131" i="1"/>
  <c r="AX116" i="1"/>
  <c r="AX117" i="1" s="1"/>
  <c r="AA119" i="1"/>
  <c r="IG20" i="132"/>
  <c r="AN83" i="1" s="1"/>
  <c r="BK65" i="1"/>
  <c r="BL109" i="1"/>
  <c r="BL133" i="1" s="1"/>
  <c r="BK64" i="1"/>
  <c r="BK133" i="1"/>
  <c r="BK131" i="1"/>
  <c r="BK73" i="1"/>
  <c r="IN19" i="132"/>
  <c r="AU82" i="1" s="1"/>
  <c r="BB119" i="1"/>
  <c r="BB120" i="1" s="1"/>
  <c r="BA121" i="1"/>
  <c r="HS20" i="132"/>
  <c r="BJ119" i="1"/>
  <c r="BJ120" i="1" s="1"/>
  <c r="BX109" i="1"/>
  <c r="BW64" i="1"/>
  <c r="BW65" i="1"/>
  <c r="BW133" i="1"/>
  <c r="BU121" i="1"/>
  <c r="BM121" i="1"/>
  <c r="AC46" i="1"/>
  <c r="CI46" i="1"/>
  <c r="CJ46" i="1" s="1"/>
  <c r="CK46" i="1" s="1"/>
  <c r="CL46" i="1" s="1"/>
  <c r="AD123" i="1"/>
  <c r="CL123" i="1"/>
  <c r="CM123" i="1" s="1"/>
  <c r="CN123" i="1" s="1"/>
  <c r="CO123" i="1" s="1"/>
  <c r="AE123" i="1" s="1"/>
  <c r="AO121" i="1" l="1"/>
  <c r="AP119" i="1"/>
  <c r="AP120" i="1" s="1"/>
  <c r="AB55" i="1"/>
  <c r="CD55" i="1"/>
  <c r="CE55" i="1" s="1"/>
  <c r="CF55" i="1" s="1"/>
  <c r="CG55" i="1" s="1"/>
  <c r="BA33" i="1"/>
  <c r="AR116" i="1"/>
  <c r="AR117" i="1" s="1"/>
  <c r="BP102" i="1"/>
  <c r="BP105" i="1" s="1"/>
  <c r="BT131" i="1"/>
  <c r="BX133" i="1"/>
  <c r="BX131" i="1"/>
  <c r="AD46" i="1"/>
  <c r="CM46" i="1"/>
  <c r="CN46" i="1" s="1"/>
  <c r="CO46" i="1" s="1"/>
  <c r="AC55" i="1" l="1"/>
  <c r="CH55" i="1"/>
  <c r="CI55" i="1" s="1"/>
  <c r="CJ55" i="1" s="1"/>
  <c r="CK55" i="1" s="1"/>
  <c r="BW35" i="1"/>
  <c r="AT33" i="1" s="1"/>
  <c r="AE46" i="1"/>
  <c r="CL55" i="1" l="1"/>
  <c r="CM55" i="1" s="1"/>
  <c r="CN55" i="1" s="1"/>
  <c r="CO55" i="1" s="1"/>
  <c r="AE55" i="1" s="1"/>
  <c r="AD55" i="1"/>
  <c r="AM45" i="1"/>
  <c r="AJ43" i="1" s="1"/>
  <c r="AX46" i="1" s="1"/>
  <c r="BG45" i="1" s="1"/>
  <c r="AY99" i="1" s="1"/>
  <c r="AZ99" i="1" s="1"/>
  <c r="AS99" i="1" s="1"/>
  <c r="AT99" i="1" s="1"/>
  <c r="BX30" i="1" s="1"/>
  <c r="BL51" i="1" s="1"/>
  <c r="BI102" i="1" s="1"/>
  <c r="BI105" i="1" l="1"/>
  <c r="BJ102" i="1"/>
  <c r="BJ105" i="1" s="1"/>
  <c r="BM132" i="1" l="1"/>
  <c r="AZ46" i="1"/>
  <c r="AM36" i="1" s="1"/>
  <c r="BP27" i="1" s="1"/>
  <c r="BP29" i="1" l="1"/>
  <c r="BP31" i="1" s="1"/>
  <c r="AI27" i="1"/>
  <c r="AI29" i="1" l="1"/>
  <c r="BG27" i="1"/>
  <c r="BI43" i="1" s="1"/>
  <c r="AL33" i="1" s="1"/>
  <c r="AI72" i="1" l="1"/>
  <c r="AM101" i="1"/>
  <c r="BE101" i="1" l="1"/>
  <c r="AY102" i="1" l="1"/>
  <c r="AY133" i="1" l="1"/>
  <c r="AZ133" i="1" s="1"/>
  <c r="AY105" i="1"/>
  <c r="AZ102" i="1"/>
  <c r="AZ105" i="1" s="1"/>
  <c r="BC132" i="1" l="1"/>
  <c r="AZ28" i="1"/>
  <c r="BY54" i="1" s="1"/>
  <c r="AA54" i="1" l="1"/>
  <c r="BY56" i="1"/>
  <c r="Z54" i="1" l="1"/>
  <c r="AA56" i="1"/>
  <c r="BY66" i="1"/>
  <c r="HV9" i="132"/>
  <c r="BT43" i="1" s="1"/>
  <c r="AH43" i="1" s="1"/>
  <c r="HR16" i="132" s="1"/>
  <c r="BW45" i="1" s="1"/>
  <c r="Z56" i="1" l="1"/>
  <c r="Y54" i="1"/>
  <c r="BI30" i="1"/>
  <c r="JI9" i="132" s="1"/>
  <c r="BG102" i="1" s="1"/>
  <c r="X54" i="1" l="1"/>
  <c r="Y56" i="1"/>
  <c r="BG105" i="1"/>
  <c r="BG133" i="1"/>
  <c r="BH133" i="1" s="1"/>
  <c r="BH102" i="1"/>
  <c r="BH105" i="1" s="1"/>
  <c r="IB16" i="132" s="1"/>
  <c r="JD16" i="132" s="1"/>
  <c r="IX16" i="132" s="1"/>
  <c r="BS36" i="1" s="1"/>
  <c r="BM46" i="1" s="1"/>
  <c r="BY30" i="1" s="1"/>
  <c r="W54" i="1" l="1"/>
  <c r="X56" i="1"/>
  <c r="BG132" i="1"/>
  <c r="BY31" i="1"/>
  <c r="AQ46" i="1"/>
  <c r="BE36" i="1" s="1"/>
  <c r="V54" i="1" l="1"/>
  <c r="W56" i="1"/>
  <c r="BY32" i="1"/>
  <c r="AU101" i="1"/>
  <c r="U54" i="1" l="1"/>
  <c r="V56" i="1"/>
  <c r="AT51" i="1"/>
  <c r="BC35" i="1" s="1"/>
  <c r="BE27" i="1" s="1"/>
  <c r="U56" i="1" l="1"/>
  <c r="T54" i="1"/>
  <c r="BE29" i="1"/>
  <c r="AS96" i="1"/>
  <c r="AQ41" i="1" s="1"/>
  <c r="AN33" i="1" s="1"/>
  <c r="S54" i="1" l="1"/>
  <c r="T56" i="1"/>
  <c r="BD51" i="1"/>
  <c r="AI95" i="1" s="1"/>
  <c r="R54" i="1" l="1"/>
  <c r="S56" i="1"/>
  <c r="AI97" i="1"/>
  <c r="AJ95" i="1"/>
  <c r="AS33" i="1"/>
  <c r="Q54" i="1" l="1"/>
  <c r="R56" i="1"/>
  <c r="AJ4" i="1"/>
  <c r="AI4" i="1"/>
  <c r="AN45" i="1"/>
  <c r="BY99" i="1" s="1"/>
  <c r="P54" i="1" l="1"/>
  <c r="Q56" i="1"/>
  <c r="Q61" i="1" s="1"/>
  <c r="BZ99" i="1"/>
  <c r="CA99" i="1" s="1"/>
  <c r="CB99" i="1" s="1"/>
  <c r="CC99" i="1" s="1"/>
  <c r="AA99" i="1"/>
  <c r="BX43" i="1" s="1"/>
  <c r="BI35" i="1" s="1"/>
  <c r="AL45" i="1" s="1"/>
  <c r="BG115" i="1" s="1"/>
  <c r="O54" i="1" l="1"/>
  <c r="P56" i="1"/>
  <c r="CD99" i="1"/>
  <c r="CE99" i="1" s="1"/>
  <c r="CF99" i="1" s="1"/>
  <c r="CG99" i="1" s="1"/>
  <c r="AB99" i="1"/>
  <c r="BG117" i="1"/>
  <c r="BQ35" i="1"/>
  <c r="N54" i="1" l="1"/>
  <c r="O56" i="1"/>
  <c r="CH99" i="1"/>
  <c r="CI99" i="1" s="1"/>
  <c r="CJ99" i="1" s="1"/>
  <c r="CK99" i="1" s="1"/>
  <c r="AC99" i="1"/>
  <c r="BH116" i="1"/>
  <c r="BH117" i="1" s="1"/>
  <c r="BU46" i="1"/>
  <c r="BW30" i="1" s="1"/>
  <c r="AJ36" i="1" s="1"/>
  <c r="BB36" i="1" s="1"/>
  <c r="AW95" i="1" s="1"/>
  <c r="M54" i="1" l="1"/>
  <c r="N56" i="1"/>
  <c r="CL99" i="1"/>
  <c r="CM99" i="1" s="1"/>
  <c r="CN99" i="1" s="1"/>
  <c r="CO99" i="1" s="1"/>
  <c r="AE99" i="1" s="1"/>
  <c r="AD99" i="1"/>
  <c r="AX95" i="1"/>
  <c r="BY36" i="1"/>
  <c r="AR30" i="1" s="1"/>
  <c r="BC45" i="1" s="1"/>
  <c r="BW54" i="1" s="1"/>
  <c r="BI129" i="1"/>
  <c r="M56" i="1" l="1"/>
  <c r="L54" i="1"/>
  <c r="N61" i="1"/>
  <c r="N66" i="1"/>
  <c r="BV54" i="1"/>
  <c r="AH33" i="1"/>
  <c r="BI9" i="1"/>
  <c r="N62" i="1" l="1"/>
  <c r="L56" i="1"/>
  <c r="K54" i="1"/>
  <c r="N91" i="1"/>
  <c r="N90" i="1"/>
  <c r="N89" i="1"/>
  <c r="BU54" i="1"/>
  <c r="AH38" i="1"/>
  <c r="AX35" i="1"/>
  <c r="BR43" i="1" s="1"/>
  <c r="AM33" i="1" s="1"/>
  <c r="J54" i="1" l="1"/>
  <c r="K56" i="1"/>
  <c r="BT54" i="1"/>
  <c r="AV36" i="1"/>
  <c r="BC41" i="1" s="1"/>
  <c r="AM96" i="1" s="1"/>
  <c r="AH99" i="1" s="1"/>
  <c r="I54" i="1" l="1"/>
  <c r="J56" i="1"/>
  <c r="BS54" i="1"/>
  <c r="BF46" i="1"/>
  <c r="AN28" i="1" s="1"/>
  <c r="AN29" i="1" s="1"/>
  <c r="I56" i="1" l="1"/>
  <c r="H54" i="1"/>
  <c r="BR54" i="1"/>
  <c r="AN43" i="1"/>
  <c r="AW43" i="1" s="1"/>
  <c r="BD45" i="1" s="1"/>
  <c r="AV28" i="1" s="1"/>
  <c r="G54" i="1" l="1"/>
  <c r="H56" i="1"/>
  <c r="BQ54" i="1"/>
  <c r="AV29" i="1"/>
  <c r="AV31" i="1" s="1"/>
  <c r="BY96" i="1"/>
  <c r="AA96" i="1" s="1"/>
  <c r="BG30" i="1" s="1"/>
  <c r="BT46" i="1" s="1"/>
  <c r="AL28" i="1" s="1"/>
  <c r="F54" i="1" l="1"/>
  <c r="G56" i="1"/>
  <c r="BP54" i="1"/>
  <c r="AL29" i="1"/>
  <c r="BB46" i="1"/>
  <c r="BU43" i="1" s="1"/>
  <c r="BK36" i="1" s="1"/>
  <c r="BG35" i="1" s="1"/>
  <c r="AZ27" i="1" s="1"/>
  <c r="E54" i="1" l="1"/>
  <c r="F56" i="1"/>
  <c r="BO54" i="1"/>
  <c r="AZ29" i="1"/>
  <c r="AZ31" i="1" s="1"/>
  <c r="BG36" i="1"/>
  <c r="AW36" i="1" s="1"/>
  <c r="BD36" i="1" s="1"/>
  <c r="AM118" i="1" s="1"/>
  <c r="D54" i="1" l="1"/>
  <c r="E56" i="1"/>
  <c r="E66" i="1" s="1"/>
  <c r="BN54" i="1"/>
  <c r="AZ32" i="1"/>
  <c r="BQ43" i="1"/>
  <c r="BN30" i="1" s="1"/>
  <c r="D56" i="1" l="1"/>
  <c r="C54" i="1"/>
  <c r="BM54" i="1"/>
  <c r="BN31" i="1"/>
  <c r="AY36" i="1"/>
  <c r="AK51" i="1" s="1"/>
  <c r="B54" i="1" l="1"/>
  <c r="B56" i="1" s="1"/>
  <c r="B61" i="1" s="1"/>
  <c r="C56" i="1"/>
  <c r="C66" i="1" s="1"/>
  <c r="BL54" i="1"/>
  <c r="AK52" i="1"/>
  <c r="BJ36" i="1"/>
  <c r="BX46" i="1" s="1"/>
  <c r="BH35" i="1" s="1"/>
  <c r="AT27" i="1" s="1"/>
  <c r="BK54" i="1" l="1"/>
  <c r="AT29" i="1"/>
  <c r="HX9" i="132"/>
  <c r="BF33" i="1" s="1"/>
  <c r="BJ54" i="1" l="1"/>
  <c r="BP36" i="1"/>
  <c r="BK35" i="1" s="1"/>
  <c r="BI54" i="1" l="1"/>
  <c r="BK38" i="1"/>
  <c r="AY43" i="1"/>
  <c r="AS113" i="1" s="1"/>
  <c r="BH54" i="1" l="1"/>
  <c r="AL30" i="1"/>
  <c r="BG54" i="1" l="1"/>
  <c r="AL31" i="1"/>
  <c r="BP46" i="1"/>
  <c r="AX33" i="1" s="1"/>
  <c r="BF54" i="1" l="1"/>
  <c r="BR33" i="1"/>
  <c r="BE54" i="1" l="1"/>
  <c r="BQ30" i="1"/>
  <c r="BH51" i="1" s="1"/>
  <c r="AW102" i="1" s="1"/>
  <c r="BD54" i="1" l="1"/>
  <c r="AW133" i="1"/>
  <c r="AX133" i="1" s="1"/>
  <c r="AW105" i="1"/>
  <c r="AX102" i="1"/>
  <c r="AX105" i="1" s="1"/>
  <c r="AS45" i="1" s="1"/>
  <c r="AW30" i="1" s="1"/>
  <c r="AS47" i="1" s="1"/>
  <c r="IW16" i="132" s="1"/>
  <c r="BC54" i="1" l="1"/>
  <c r="AM102" i="1"/>
  <c r="BB54" i="1" l="1"/>
  <c r="AM105" i="1"/>
  <c r="AN102" i="1"/>
  <c r="AN105" i="1" s="1"/>
  <c r="AQ119" i="1" s="1"/>
  <c r="BA54" i="1" l="1"/>
  <c r="AQ120" i="1"/>
  <c r="AW45" i="1"/>
  <c r="AW113" i="1" s="1"/>
  <c r="BO9" i="1"/>
  <c r="AZ54" i="1" l="1"/>
  <c r="AQ121" i="1"/>
  <c r="AR119" i="1"/>
  <c r="AR120" i="1" s="1"/>
  <c r="AW73" i="1"/>
  <c r="BL41" i="1"/>
  <c r="AZ36" i="1" s="1"/>
  <c r="BL27" i="1" s="1"/>
  <c r="AY54" i="1" l="1"/>
  <c r="BL29" i="1"/>
  <c r="AH96" i="1"/>
  <c r="BE95" i="1" s="1"/>
  <c r="AX54" i="1" l="1"/>
  <c r="BF95" i="1"/>
  <c r="BR30" i="1" s="1"/>
  <c r="BE37" i="1" s="1"/>
  <c r="AW54" i="1" l="1"/>
  <c r="BE38" i="1"/>
  <c r="BE96" i="1"/>
  <c r="AV54" i="1" l="1"/>
  <c r="BE97" i="1"/>
  <c r="BA45" i="1"/>
  <c r="BF30" i="1" s="1"/>
  <c r="BK96" i="1" s="1"/>
  <c r="AU54" i="1" l="1"/>
  <c r="BK97" i="1"/>
  <c r="AZ43" i="1"/>
  <c r="BW43" i="1" s="1"/>
  <c r="AJ51" i="1" s="1"/>
  <c r="BS51" i="1" s="1"/>
  <c r="AW35" i="1" s="1"/>
  <c r="BQ113" i="1" s="1"/>
  <c r="AT54" i="1" l="1"/>
  <c r="BL4" i="1"/>
  <c r="BK4" i="1"/>
  <c r="BQ73" i="1"/>
  <c r="AN36" i="1"/>
  <c r="AW41" i="1" s="1"/>
  <c r="AO113" i="1" s="1"/>
  <c r="AS54" i="1" l="1"/>
  <c r="AO125" i="1"/>
  <c r="AO73" i="1"/>
  <c r="BP43" i="1"/>
  <c r="BY113" i="1" s="1"/>
  <c r="AR54" i="1" l="1"/>
  <c r="BY73" i="1"/>
  <c r="AA113" i="1"/>
  <c r="IG9" i="132" s="1"/>
  <c r="AH30" i="1" s="1"/>
  <c r="AQ54" i="1" l="1"/>
  <c r="AH31" i="1"/>
  <c r="AO33" i="1"/>
  <c r="AP54" i="1" l="1"/>
  <c r="AH39" i="1"/>
  <c r="AL32" i="1"/>
  <c r="AM113" i="1"/>
  <c r="AO54" i="1" l="1"/>
  <c r="BE51" i="1"/>
  <c r="BH36" i="1" s="1"/>
  <c r="JK9" i="132" s="1"/>
  <c r="IY9" i="132" s="1"/>
  <c r="AI35" i="1" s="1"/>
  <c r="AN54" i="1" l="1"/>
  <c r="JA16" i="132"/>
  <c r="BP33" i="1" s="1"/>
  <c r="AM54" i="1" l="1"/>
  <c r="BP38" i="1"/>
  <c r="BP39" i="1" s="1"/>
  <c r="BQ45" i="1"/>
  <c r="BA99" i="1" s="1"/>
  <c r="BB99" i="1" s="1"/>
  <c r="BJ43" i="1" s="1"/>
  <c r="BA35" i="1" s="1"/>
  <c r="AL54" i="1" l="1"/>
  <c r="BA38" i="1"/>
  <c r="BX27" i="1"/>
  <c r="BM30" i="1" s="1"/>
  <c r="BW55" i="1" s="1"/>
  <c r="AK54" i="1" l="1"/>
  <c r="BW56" i="1"/>
  <c r="BV55" i="1"/>
  <c r="BV28" i="1"/>
  <c r="BV29" i="1" s="1"/>
  <c r="AJ54" i="1" l="1"/>
  <c r="BW66" i="1"/>
  <c r="BV56" i="1"/>
  <c r="BU55" i="1"/>
  <c r="AT45" i="1"/>
  <c r="BI46" i="1" s="1"/>
  <c r="BD35" i="1" s="1"/>
  <c r="AI54" i="1" l="1"/>
  <c r="BU56" i="1"/>
  <c r="BU66" i="1" s="1"/>
  <c r="BT55" i="1"/>
  <c r="BD38" i="1"/>
  <c r="BA113" i="1"/>
  <c r="AH54" i="1" l="1"/>
  <c r="BT56" i="1"/>
  <c r="BS55" i="1"/>
  <c r="BA125" i="1"/>
  <c r="BA73" i="1"/>
  <c r="AU51" i="1"/>
  <c r="AU96" i="1" s="1"/>
  <c r="BS56" i="1" l="1"/>
  <c r="BS66" i="1" s="1"/>
  <c r="BR55" i="1"/>
  <c r="BC115" i="1"/>
  <c r="BR56" i="1" l="1"/>
  <c r="BQ55" i="1"/>
  <c r="BC117" i="1"/>
  <c r="AU35" i="1"/>
  <c r="BX33" i="1" s="1"/>
  <c r="BQ56" i="1" l="1"/>
  <c r="BQ66" i="1" s="1"/>
  <c r="BP55" i="1"/>
  <c r="BD116" i="1"/>
  <c r="BD117" i="1" s="1"/>
  <c r="AH47" i="1"/>
  <c r="AP43" i="1" s="1"/>
  <c r="BQ51" i="1" s="1"/>
  <c r="BU45" i="1" s="1"/>
  <c r="AY33" i="1" s="1"/>
  <c r="BP56" i="1" l="1"/>
  <c r="BO55" i="1"/>
  <c r="AM41" i="1"/>
  <c r="BM96" i="1" s="1"/>
  <c r="BG46" i="1" s="1"/>
  <c r="BJ46" i="1" s="1"/>
  <c r="AY46" i="1" s="1"/>
  <c r="BG99" i="1" s="1"/>
  <c r="BO56" i="1" l="1"/>
  <c r="BN55" i="1"/>
  <c r="BH99" i="1"/>
  <c r="AQ35" i="1" s="1"/>
  <c r="BO61" i="1" l="1"/>
  <c r="BO66" i="1"/>
  <c r="BN56" i="1"/>
  <c r="BM55" i="1"/>
  <c r="AL51" i="1"/>
  <c r="BJ30" i="1" s="1"/>
  <c r="AW28" i="1" s="1"/>
  <c r="BB27" i="1" s="1"/>
  <c r="BM56" i="1" l="1"/>
  <c r="BL55" i="1"/>
  <c r="BB29" i="1"/>
  <c r="BB31" i="1" s="1"/>
  <c r="AL36" i="1"/>
  <c r="BO62" i="1"/>
  <c r="BL56" i="1" l="1"/>
  <c r="BK55" i="1"/>
  <c r="BB32" i="1"/>
  <c r="AL38" i="1"/>
  <c r="AL39" i="1" s="1"/>
  <c r="AZ51" i="1"/>
  <c r="BS96" i="1" s="1"/>
  <c r="BK56" i="1" l="1"/>
  <c r="BJ55" i="1"/>
  <c r="AL40" i="1"/>
  <c r="AL42" i="1"/>
  <c r="AL44" i="1" s="1"/>
  <c r="BN41" i="1"/>
  <c r="BW113" i="1" s="1"/>
  <c r="BK61" i="1" l="1"/>
  <c r="BK62" i="1" s="1"/>
  <c r="BK66" i="1"/>
  <c r="BJ56" i="1"/>
  <c r="BI55" i="1"/>
  <c r="BW73" i="1"/>
  <c r="AK96" i="1"/>
  <c r="AM51" i="1" s="1"/>
  <c r="BG51" i="1" s="1"/>
  <c r="BC34" i="1" s="1"/>
  <c r="AM35" i="1" s="1"/>
  <c r="BM35" i="1" s="1"/>
  <c r="AB34" i="1"/>
  <c r="BI56" i="1" l="1"/>
  <c r="BH55" i="1"/>
  <c r="BN35" i="1"/>
  <c r="AY27" i="1" s="1"/>
  <c r="AC34" i="1"/>
  <c r="BI61" i="1" l="1"/>
  <c r="BH56" i="1"/>
  <c r="BG55" i="1"/>
  <c r="AY29" i="1"/>
  <c r="BS37" i="1"/>
  <c r="BM51" i="1" s="1"/>
  <c r="AR46" i="1" s="1"/>
  <c r="BS113" i="1" s="1"/>
  <c r="AD34" i="1"/>
  <c r="BG56" i="1" l="1"/>
  <c r="BG66" i="1" s="1"/>
  <c r="BF55" i="1"/>
  <c r="BS73" i="1"/>
  <c r="BH33" i="1"/>
  <c r="AE34" i="1"/>
  <c r="BF56" i="1" l="1"/>
  <c r="BE55" i="1"/>
  <c r="BT45" i="1"/>
  <c r="AZ45" i="1" s="1"/>
  <c r="AZ34" i="1" s="1"/>
  <c r="AA109" i="1"/>
  <c r="BE56" i="1" l="1"/>
  <c r="BD55" i="1"/>
  <c r="AQ36" i="1"/>
  <c r="AA131" i="1"/>
  <c r="BE61" i="1" l="1"/>
  <c r="BE66" i="1"/>
  <c r="BD56" i="1"/>
  <c r="BC55" i="1"/>
  <c r="AQ38" i="1"/>
  <c r="AQ39" i="1" s="1"/>
  <c r="AZ41" i="1"/>
  <c r="BO35" i="1" s="1"/>
  <c r="BC56" i="1" l="1"/>
  <c r="BC66" i="1" s="1"/>
  <c r="BB55" i="1"/>
  <c r="AQ42" i="1"/>
  <c r="AQ44" i="1" s="1"/>
  <c r="AQ48" i="1" s="1"/>
  <c r="AY35" i="1"/>
  <c r="BE62" i="1"/>
  <c r="BE90" i="1" s="1"/>
  <c r="BB56" i="1" l="1"/>
  <c r="BA55" i="1"/>
  <c r="AY38" i="1"/>
  <c r="BE99" i="1"/>
  <c r="BF99" i="1" s="1"/>
  <c r="AP36" i="1" s="1"/>
  <c r="BA27" i="1" s="1"/>
  <c r="BA56" i="1" l="1"/>
  <c r="BA66" i="1" s="1"/>
  <c r="AZ55" i="1"/>
  <c r="BA29" i="1"/>
  <c r="BA31" i="1" s="1"/>
  <c r="AI102" i="1"/>
  <c r="AZ56" i="1" l="1"/>
  <c r="AY55" i="1"/>
  <c r="BA39" i="1"/>
  <c r="AI105" i="1"/>
  <c r="AJ102" i="1"/>
  <c r="AJ105" i="1" s="1"/>
  <c r="AJ132" i="1"/>
  <c r="AL132" i="1" s="1"/>
  <c r="AJ131" i="1"/>
  <c r="AY56" i="1" l="1"/>
  <c r="AY66" i="1" s="1"/>
  <c r="AX55" i="1"/>
  <c r="AM132" i="1"/>
  <c r="AN132" i="1" s="1"/>
  <c r="AI9" i="1"/>
  <c r="AI129" i="1"/>
  <c r="AU111" i="1"/>
  <c r="AL131" i="1"/>
  <c r="AJ73" i="1"/>
  <c r="AX56" i="1" l="1"/>
  <c r="AW55" i="1"/>
  <c r="AU125" i="1"/>
  <c r="JJ16" i="132"/>
  <c r="AJ74" i="1"/>
  <c r="AW56" i="1" l="1"/>
  <c r="AW66" i="1" s="1"/>
  <c r="AV55" i="1"/>
  <c r="BC47" i="1"/>
  <c r="BT27" i="1" s="1"/>
  <c r="BK45" i="1" s="1"/>
  <c r="BE113" i="1" s="1"/>
  <c r="AR73" i="1"/>
  <c r="AP73" i="1"/>
  <c r="AV56" i="1" l="1"/>
  <c r="AU55" i="1"/>
  <c r="BE73" i="1"/>
  <c r="BX36" i="1"/>
  <c r="AX64" i="1"/>
  <c r="AX65" i="1"/>
  <c r="AX66" i="1" s="1"/>
  <c r="AP74" i="1"/>
  <c r="AV73" i="1"/>
  <c r="AU56" i="1" l="1"/>
  <c r="AT55" i="1"/>
  <c r="AA36" i="1"/>
  <c r="AJ34" i="1"/>
  <c r="AZ65" i="1"/>
  <c r="AZ66" i="1" s="1"/>
  <c r="AZ64" i="1"/>
  <c r="AV74" i="1"/>
  <c r="AV72" i="1" s="1"/>
  <c r="AW74" i="1"/>
  <c r="AX73" i="1"/>
  <c r="AZ73" i="1"/>
  <c r="AT56" i="1" l="1"/>
  <c r="AS55" i="1"/>
  <c r="AO46" i="1"/>
  <c r="BQ118" i="1" s="1"/>
  <c r="BB64" i="1"/>
  <c r="BB65" i="1"/>
  <c r="BB66" i="1" s="1"/>
  <c r="BA74" i="1"/>
  <c r="BA72" i="1" s="1"/>
  <c r="AZ74" i="1"/>
  <c r="AZ72" i="1" s="1"/>
  <c r="BB73" i="1"/>
  <c r="AX74" i="1"/>
  <c r="AX72" i="1" s="1"/>
  <c r="AY74" i="1"/>
  <c r="AY72" i="1" s="1"/>
  <c r="AS56" i="1" l="1"/>
  <c r="AR55" i="1"/>
  <c r="BQ120" i="1"/>
  <c r="BR119" i="1" s="1"/>
  <c r="BR120" i="1" s="1"/>
  <c r="BF27" i="1"/>
  <c r="BD64" i="1"/>
  <c r="BD65" i="1"/>
  <c r="BD66" i="1" s="1"/>
  <c r="BC74" i="1"/>
  <c r="BC72" i="1" s="1"/>
  <c r="BB74" i="1"/>
  <c r="BB72" i="1" s="1"/>
  <c r="AR56" i="1" l="1"/>
  <c r="AQ55" i="1"/>
  <c r="BF29" i="1"/>
  <c r="BF31" i="1" s="1"/>
  <c r="AU95" i="1"/>
  <c r="BF64" i="1"/>
  <c r="BF65" i="1"/>
  <c r="BF66" i="1" s="1"/>
  <c r="BD73" i="1"/>
  <c r="AQ56" i="1" l="1"/>
  <c r="AQ57" i="1" s="1"/>
  <c r="AP55" i="1"/>
  <c r="BF32" i="1"/>
  <c r="AU97" i="1"/>
  <c r="AV95" i="1"/>
  <c r="BG119" i="1" s="1"/>
  <c r="BH65" i="1"/>
  <c r="BH66" i="1" s="1"/>
  <c r="BH64" i="1"/>
  <c r="BH73" i="1"/>
  <c r="BF73" i="1"/>
  <c r="BD74" i="1"/>
  <c r="BE74" i="1"/>
  <c r="BE72" i="1" s="1"/>
  <c r="AP56" i="1" l="1"/>
  <c r="AO55" i="1"/>
  <c r="AU61" i="1"/>
  <c r="AU62" i="1" s="1"/>
  <c r="AU90" i="1" s="1"/>
  <c r="BG120" i="1"/>
  <c r="AV37" i="1"/>
  <c r="AW27" i="1" s="1"/>
  <c r="BL132" i="1"/>
  <c r="BF74" i="1"/>
  <c r="BF72" i="1" s="1"/>
  <c r="AO56" i="1" l="1"/>
  <c r="AN55" i="1"/>
  <c r="BG121" i="1"/>
  <c r="BH119" i="1"/>
  <c r="BH120" i="1" s="1"/>
  <c r="AW29" i="1"/>
  <c r="BJ47" i="1"/>
  <c r="BP51" i="1" s="1"/>
  <c r="BI41" i="1" s="1"/>
  <c r="BG33" i="1" s="1"/>
  <c r="BL64" i="1"/>
  <c r="BL65" i="1"/>
  <c r="BL66" i="1" s="1"/>
  <c r="BL73" i="1"/>
  <c r="AN56" i="1" l="1"/>
  <c r="AM55" i="1"/>
  <c r="AW72" i="1"/>
  <c r="AW31" i="1"/>
  <c r="BA32" i="1" s="1"/>
  <c r="BG38" i="1"/>
  <c r="AS95" i="1"/>
  <c r="BP65" i="1"/>
  <c r="BP66" i="1" s="1"/>
  <c r="BP64" i="1"/>
  <c r="BP73" i="1"/>
  <c r="BL74" i="1"/>
  <c r="BL72" i="1" s="1"/>
  <c r="AM56" i="1" l="1"/>
  <c r="AL55" i="1"/>
  <c r="AS97" i="1"/>
  <c r="AT95" i="1"/>
  <c r="AN34" i="1"/>
  <c r="BT64" i="1"/>
  <c r="BT65" i="1"/>
  <c r="BT66" i="1" s="1"/>
  <c r="BR64" i="1"/>
  <c r="BR65" i="1"/>
  <c r="BR66" i="1" s="1"/>
  <c r="BT73" i="1"/>
  <c r="BR73" i="1"/>
  <c r="BP74" i="1"/>
  <c r="BP72" i="1" s="1"/>
  <c r="BQ74" i="1"/>
  <c r="AL56" i="1" l="1"/>
  <c r="AK55" i="1"/>
  <c r="AU4" i="1"/>
  <c r="AV4" i="1"/>
  <c r="AS61" i="1"/>
  <c r="AS62" i="1" s="1"/>
  <c r="BC36" i="1"/>
  <c r="BY95" i="1" s="1"/>
  <c r="BV64" i="1"/>
  <c r="BV65" i="1"/>
  <c r="BV66" i="1" s="1"/>
  <c r="BV73" i="1"/>
  <c r="BT74" i="1"/>
  <c r="BR74" i="1"/>
  <c r="BS74" i="1"/>
  <c r="AK56" i="1" l="1"/>
  <c r="AK57" i="1" s="1"/>
  <c r="AJ55" i="1"/>
  <c r="BZ95" i="1"/>
  <c r="BY97" i="1"/>
  <c r="AA95" i="1"/>
  <c r="BX65" i="1"/>
  <c r="BX66" i="1" s="1"/>
  <c r="BX64" i="1"/>
  <c r="BZ131" i="1"/>
  <c r="CA131" i="1" s="1"/>
  <c r="CA109" i="1" s="1"/>
  <c r="BX73" i="1"/>
  <c r="BY74" i="1" s="1"/>
  <c r="BY72" i="1" s="1"/>
  <c r="BW74" i="1"/>
  <c r="AJ56" i="1" l="1"/>
  <c r="AI55" i="1"/>
  <c r="CA95" i="1"/>
  <c r="BZ54" i="1"/>
  <c r="BZ56" i="1" s="1"/>
  <c r="BY61" i="1"/>
  <c r="BY62" i="1" s="1"/>
  <c r="AA97" i="1"/>
  <c r="AX34" i="1"/>
  <c r="CB131" i="1"/>
  <c r="CB109" i="1" s="1"/>
  <c r="BZ109" i="1"/>
  <c r="BZ73" i="1" s="1"/>
  <c r="BX74" i="1"/>
  <c r="BZ69" i="1"/>
  <c r="CA73" i="1"/>
  <c r="CC131" i="1" l="1"/>
  <c r="AI56" i="1"/>
  <c r="AI61" i="1" s="1"/>
  <c r="AI62" i="1" s="1"/>
  <c r="AH55" i="1"/>
  <c r="AH56" i="1" s="1"/>
  <c r="CB95" i="1"/>
  <c r="CA54" i="1"/>
  <c r="CA56" i="1" s="1"/>
  <c r="AA61" i="1"/>
  <c r="AA62" i="1" s="1"/>
  <c r="AX38" i="1"/>
  <c r="BN45" i="1"/>
  <c r="BM43" i="1" s="1"/>
  <c r="BZ65" i="1"/>
  <c r="BZ66" i="1" s="1"/>
  <c r="CA69" i="1"/>
  <c r="CA65" i="1" s="1"/>
  <c r="BZ74" i="1"/>
  <c r="CA74" i="1"/>
  <c r="CB73" i="1"/>
  <c r="CD131" i="1" l="1"/>
  <c r="CC109" i="1"/>
  <c r="CC95" i="1"/>
  <c r="CB54" i="1"/>
  <c r="CB56" i="1" s="1"/>
  <c r="AX39" i="1"/>
  <c r="BS35" i="1"/>
  <c r="BB45" i="1" s="1"/>
  <c r="AQ113" i="1" s="1"/>
  <c r="CA66" i="1"/>
  <c r="CB69" i="1"/>
  <c r="CB65" i="1" s="1"/>
  <c r="CB74" i="1"/>
  <c r="CE131" i="1" l="1"/>
  <c r="CD109" i="1"/>
  <c r="CD73" i="1" s="1"/>
  <c r="AB109" i="1"/>
  <c r="AB131" i="1" s="1"/>
  <c r="CC73" i="1"/>
  <c r="AB95" i="1"/>
  <c r="CD95" i="1"/>
  <c r="CC54" i="1"/>
  <c r="AX42" i="1"/>
  <c r="AX44" i="1" s="1"/>
  <c r="AQ125" i="1"/>
  <c r="AQ73" i="1"/>
  <c r="BT30" i="1"/>
  <c r="CC69" i="1"/>
  <c r="CC65" i="1" s="1"/>
  <c r="CB66" i="1"/>
  <c r="CF131" i="1" l="1"/>
  <c r="CE109" i="1"/>
  <c r="CE73" i="1" s="1"/>
  <c r="CE74" i="1" s="1"/>
  <c r="CC74" i="1"/>
  <c r="CD74" i="1"/>
  <c r="CD54" i="1"/>
  <c r="CD56" i="1" s="1"/>
  <c r="CE95" i="1"/>
  <c r="CC56" i="1"/>
  <c r="AB54" i="1"/>
  <c r="AB56" i="1" s="1"/>
  <c r="AR74" i="1"/>
  <c r="AQ74" i="1"/>
  <c r="AQ72" i="1" s="1"/>
  <c r="AN35" i="1"/>
  <c r="CD69" i="1"/>
  <c r="CD65" i="1" s="1"/>
  <c r="CG131" i="1" l="1"/>
  <c r="CF109" i="1"/>
  <c r="CF73" i="1" s="1"/>
  <c r="CF74" i="1" s="1"/>
  <c r="CC66" i="1"/>
  <c r="CF95" i="1"/>
  <c r="CE54" i="1"/>
  <c r="CE56" i="1" s="1"/>
  <c r="AN38" i="1"/>
  <c r="BQ99" i="1"/>
  <c r="CE69" i="1"/>
  <c r="CE65" i="1" s="1"/>
  <c r="CD66" i="1"/>
  <c r="CG109" i="1" l="1"/>
  <c r="CH131" i="1"/>
  <c r="CI131" i="1"/>
  <c r="CI109" i="1" s="1"/>
  <c r="CI73" i="1" s="1"/>
  <c r="CG95" i="1"/>
  <c r="CF54" i="1"/>
  <c r="CF56" i="1" s="1"/>
  <c r="BR99" i="1"/>
  <c r="CE66" i="1"/>
  <c r="CF69" i="1"/>
  <c r="CF65" i="1" s="1"/>
  <c r="CG73" i="1" l="1"/>
  <c r="AC109" i="1"/>
  <c r="AC131" i="1" s="1"/>
  <c r="CJ131" i="1"/>
  <c r="CH109" i="1"/>
  <c r="CH73" i="1" s="1"/>
  <c r="CI74" i="1" s="1"/>
  <c r="CG54" i="1"/>
  <c r="CH95" i="1"/>
  <c r="AC95" i="1"/>
  <c r="BC30" i="1"/>
  <c r="CG69" i="1"/>
  <c r="CG65" i="1" s="1"/>
  <c r="CF66" i="1"/>
  <c r="CH74" i="1" l="1"/>
  <c r="CG74" i="1"/>
  <c r="CJ109" i="1"/>
  <c r="CJ73" i="1" s="1"/>
  <c r="CK131" i="1"/>
  <c r="CL131" i="1"/>
  <c r="CL109" i="1" s="1"/>
  <c r="CL73" i="1" s="1"/>
  <c r="AC54" i="1"/>
  <c r="AC56" i="1" s="1"/>
  <c r="CG56" i="1"/>
  <c r="CI95" i="1"/>
  <c r="CH54" i="1"/>
  <c r="CH56" i="1" s="1"/>
  <c r="BC31" i="1"/>
  <c r="BI115" i="1"/>
  <c r="CH69" i="1"/>
  <c r="CH65" i="1" s="1"/>
  <c r="CJ74" i="1" l="1"/>
  <c r="CK109" i="1"/>
  <c r="CM131" i="1"/>
  <c r="CM109" i="1" s="1"/>
  <c r="CM73" i="1" s="1"/>
  <c r="CJ95" i="1"/>
  <c r="CI54" i="1"/>
  <c r="CI56" i="1" s="1"/>
  <c r="BI117" i="1"/>
  <c r="BS47" i="1"/>
  <c r="BS34" i="1" s="1"/>
  <c r="CG66" i="1"/>
  <c r="AA43" i="1"/>
  <c r="CI69" i="1"/>
  <c r="CI65" i="1" s="1"/>
  <c r="CH66" i="1"/>
  <c r="AD109" i="1" l="1"/>
  <c r="AD131" i="1" s="1"/>
  <c r="CK73" i="1"/>
  <c r="CN131" i="1"/>
  <c r="CN109" i="1" s="1"/>
  <c r="CN73" i="1" s="1"/>
  <c r="CM74" i="1"/>
  <c r="CK95" i="1"/>
  <c r="CJ54" i="1"/>
  <c r="CJ56" i="1" s="1"/>
  <c r="BI121" i="1"/>
  <c r="BJ116" i="1"/>
  <c r="BJ117" i="1" s="1"/>
  <c r="BS38" i="1"/>
  <c r="BJ27" i="1"/>
  <c r="CJ69" i="1"/>
  <c r="CJ65" i="1" s="1"/>
  <c r="CI66" i="1"/>
  <c r="CK74" i="1" l="1"/>
  <c r="CL74" i="1"/>
  <c r="CO131" i="1"/>
  <c r="CO109" i="1" s="1"/>
  <c r="CN74" i="1"/>
  <c r="CL95" i="1"/>
  <c r="CK54" i="1"/>
  <c r="AD95" i="1"/>
  <c r="BJ29" i="1"/>
  <c r="BJ31" i="1" s="1"/>
  <c r="BU47" i="1"/>
  <c r="JF15" i="132" s="1"/>
  <c r="CJ66" i="1"/>
  <c r="CK69" i="1"/>
  <c r="CK65" i="1" s="1"/>
  <c r="AE109" i="1" l="1"/>
  <c r="AE131" i="1" s="1"/>
  <c r="CO73" i="1"/>
  <c r="CO74" i="1" s="1"/>
  <c r="CM95" i="1"/>
  <c r="CL54" i="1"/>
  <c r="CL56" i="1" s="1"/>
  <c r="AD54" i="1"/>
  <c r="AD56" i="1" s="1"/>
  <c r="CK56" i="1"/>
  <c r="BJ32" i="1"/>
  <c r="BN32" i="1"/>
  <c r="JF20" i="132"/>
  <c r="BM83" i="1" s="1"/>
  <c r="AH115" i="1"/>
  <c r="CL69" i="1"/>
  <c r="CL65" i="1" s="1"/>
  <c r="CK66" i="1" l="1"/>
  <c r="CN95" i="1"/>
  <c r="CM54" i="1"/>
  <c r="CM56" i="1" s="1"/>
  <c r="BU95" i="1"/>
  <c r="CM69" i="1"/>
  <c r="CM65" i="1" s="1"/>
  <c r="CL66" i="1"/>
  <c r="CO95" i="1" l="1"/>
  <c r="CN54" i="1"/>
  <c r="CN56" i="1" s="1"/>
  <c r="BV95" i="1"/>
  <c r="BU97" i="1"/>
  <c r="CM66" i="1"/>
  <c r="CN69" i="1"/>
  <c r="CN65" i="1" s="1"/>
  <c r="CO54" i="1" l="1"/>
  <c r="AE95" i="1"/>
  <c r="BU61" i="1"/>
  <c r="BU62" i="1" s="1"/>
  <c r="BU91" i="1" s="1"/>
  <c r="BO36" i="1"/>
  <c r="CN66" i="1"/>
  <c r="CO69" i="1"/>
  <c r="AE54" i="1" l="1"/>
  <c r="AE56" i="1" s="1"/>
  <c r="CO56" i="1"/>
  <c r="BO38" i="1"/>
  <c r="BY45" i="1"/>
  <c r="CO65" i="1"/>
  <c r="CO66" i="1" s="1"/>
  <c r="AA45" i="1" l="1"/>
  <c r="BZ45" i="1"/>
  <c r="CA45" i="1" l="1"/>
  <c r="CB45" i="1" s="1"/>
  <c r="CC45" i="1" s="1"/>
  <c r="CD45" i="1" s="1"/>
  <c r="BL46" i="1"/>
  <c r="AM34" i="1" s="1"/>
  <c r="CE45" i="1" l="1"/>
  <c r="CF45" i="1" s="1"/>
  <c r="CG45" i="1" s="1"/>
  <c r="CH45" i="1" s="1"/>
  <c r="BK43" i="1"/>
  <c r="AB45" i="1"/>
  <c r="CI45" i="1" l="1"/>
  <c r="CJ45" i="1" s="1"/>
  <c r="CK45" i="1" s="1"/>
  <c r="CL45" i="1" s="1"/>
  <c r="AQ95" i="1"/>
  <c r="AC45" i="1"/>
  <c r="CM45" i="1" l="1"/>
  <c r="CN45" i="1" s="1"/>
  <c r="CO45" i="1" s="1"/>
  <c r="AQ97" i="1"/>
  <c r="AR95" i="1"/>
  <c r="BQ37" i="1" s="1"/>
  <c r="BE45" i="1" s="1"/>
  <c r="BL43" i="1" s="1"/>
  <c r="AD45" i="1"/>
  <c r="AS4" i="1" l="1"/>
  <c r="AT4" i="1"/>
  <c r="AQ61" i="1"/>
  <c r="AQ62" i="1" s="1"/>
  <c r="BF45" i="1"/>
  <c r="BC33" i="1" s="1"/>
  <c r="AE45" i="1"/>
  <c r="BC38" i="1" l="1"/>
  <c r="BH30" i="1"/>
  <c r="BC39" i="1" l="1"/>
  <c r="BT35" i="1"/>
  <c r="IT9" i="132" s="1"/>
  <c r="AQ51" i="1" s="1"/>
  <c r="BC42" i="1" l="1"/>
  <c r="AQ52" i="1"/>
  <c r="BF36" i="1"/>
  <c r="AJ35" i="1" s="1"/>
  <c r="AJ38" i="1" l="1"/>
  <c r="BO119" i="1"/>
  <c r="BU111" i="1" s="1"/>
  <c r="AM95" i="1" s="1"/>
  <c r="AN95" i="1" l="1"/>
  <c r="AM97" i="1"/>
  <c r="JY16" i="132"/>
  <c r="BN51" i="1" s="1"/>
  <c r="BO27" i="1" s="1"/>
  <c r="AM129" i="1" l="1"/>
  <c r="AM9" i="1"/>
  <c r="AM106" i="1"/>
  <c r="AM61" i="1"/>
  <c r="AM62" i="1" s="1"/>
  <c r="BO29" i="1"/>
  <c r="BO31" i="1" s="1"/>
  <c r="AK102" i="1"/>
  <c r="BO39" i="1" l="1"/>
  <c r="AK105" i="1"/>
  <c r="AL102" i="1"/>
  <c r="AL105" i="1" s="1"/>
  <c r="BO42" i="1" l="1"/>
  <c r="AK132" i="1"/>
  <c r="BL30" i="1"/>
  <c r="BL31" i="1" l="1"/>
  <c r="BU34" i="1"/>
  <c r="BP32" i="1" l="1"/>
  <c r="BU38" i="1"/>
  <c r="BR27" i="1"/>
  <c r="BU39" i="1" l="1"/>
  <c r="BR29" i="1"/>
  <c r="BW111" i="1"/>
  <c r="ID16" i="132" s="1"/>
  <c r="AS28" i="1" s="1"/>
  <c r="BR72" i="1" l="1"/>
  <c r="BR31" i="1"/>
  <c r="AS29" i="1"/>
  <c r="AJ46" i="1"/>
  <c r="BV35" i="1" s="1"/>
  <c r="BR32" i="1" l="1"/>
  <c r="JL9" i="132"/>
  <c r="BC46" i="1" s="1"/>
  <c r="BP41" i="1" s="1"/>
  <c r="BP42" i="1" l="1"/>
  <c r="BP44" i="1" s="1"/>
  <c r="BP48" i="1" s="1"/>
  <c r="BR34" i="1"/>
  <c r="BP96" i="1" l="1"/>
  <c r="BP97" i="1" s="1"/>
  <c r="BP52" i="1"/>
  <c r="BP57" i="1"/>
  <c r="AI118" i="1"/>
  <c r="BP9" i="1" l="1"/>
  <c r="BP61" i="1"/>
  <c r="BP62" i="1" s="1"/>
  <c r="BP129" i="1"/>
  <c r="AI120" i="1"/>
  <c r="BH37" i="1"/>
  <c r="AI121" i="1" l="1"/>
  <c r="AI125" i="1" s="1"/>
  <c r="AJ119" i="1"/>
  <c r="AJ120" i="1" s="1"/>
  <c r="BH38" i="1"/>
  <c r="BW34" i="1"/>
  <c r="AA34" i="1" l="1"/>
  <c r="BW38" i="1"/>
  <c r="AH95" i="1"/>
  <c r="AH97" i="1" l="1"/>
  <c r="BW118" i="1"/>
  <c r="AH9" i="1" l="1"/>
  <c r="AH61" i="1"/>
  <c r="AH62" i="1" s="1"/>
  <c r="AH91" i="1" s="1"/>
  <c r="AH106" i="1"/>
  <c r="AH129" i="1"/>
  <c r="BW120" i="1"/>
  <c r="BX119" i="1" s="1"/>
  <c r="BX120" i="1" s="1"/>
  <c r="BI33" i="1"/>
  <c r="AI41" i="1" l="1"/>
  <c r="BY102" i="1" s="1"/>
  <c r="BY105" i="1" l="1"/>
  <c r="BY133" i="1"/>
  <c r="AA102" i="1"/>
  <c r="BY9" i="1" l="1"/>
  <c r="BY129" i="1"/>
  <c r="BY106" i="1"/>
  <c r="AA133" i="1"/>
  <c r="AA105" i="1"/>
  <c r="AT37" i="1"/>
  <c r="AA129" i="1" l="1"/>
  <c r="AA9" i="1"/>
  <c r="AA106" i="1"/>
  <c r="AA132" i="1"/>
  <c r="AT38" i="1"/>
  <c r="JC16" i="132"/>
  <c r="HP9" i="132" l="1"/>
  <c r="BJ35" i="1" s="1"/>
  <c r="AM30" i="1" s="1"/>
  <c r="AS30" i="1" l="1"/>
  <c r="AS31" i="1" l="1"/>
  <c r="AW32" i="1" s="1"/>
  <c r="AP34" i="1"/>
  <c r="AO30" i="1" l="1"/>
  <c r="AK113" i="1" l="1"/>
  <c r="BC99" i="1" l="1"/>
  <c r="BD99" i="1" l="1"/>
  <c r="KD9" i="132" l="1"/>
  <c r="KD16" i="132" s="1"/>
  <c r="KD21" i="132" l="1"/>
  <c r="IU16" i="132"/>
  <c r="BA101" i="1" s="1"/>
  <c r="IV9" i="132" l="1"/>
  <c r="KA9" i="132" s="1"/>
  <c r="JQ9" i="132" s="1"/>
  <c r="JD9" i="132" s="1"/>
  <c r="JD21" i="132" s="1"/>
  <c r="BK81" i="1" s="1"/>
  <c r="BK89" i="1" l="1"/>
  <c r="JE9" i="132"/>
  <c r="JH15" i="132" s="1"/>
  <c r="JH20" i="132" l="1"/>
  <c r="BO83" i="1" s="1"/>
  <c r="BO91" i="1" s="1"/>
  <c r="JB9" i="132"/>
  <c r="IC16" i="132" s="1"/>
  <c r="JT9" i="132" l="1"/>
  <c r="JC15" i="132" s="1"/>
  <c r="JC20" i="132" l="1"/>
  <c r="BJ83" i="1" s="1"/>
  <c r="IW14" i="132"/>
  <c r="IW19" i="132" l="1"/>
  <c r="BD82" i="1" s="1"/>
  <c r="JJ7" i="132"/>
  <c r="IF9" i="132" s="1"/>
  <c r="IK14" i="132" s="1"/>
  <c r="JY15" i="132" s="1"/>
  <c r="HZ16" i="132" l="1"/>
  <c r="IL9" i="132" l="1"/>
  <c r="HX16" i="132" s="1"/>
  <c r="HX21" i="132" s="1"/>
  <c r="IE16" i="132" s="1"/>
  <c r="IE21" i="132" l="1"/>
  <c r="AL81" i="1" s="1"/>
  <c r="JT16" i="132"/>
  <c r="JT21" i="132" s="1"/>
  <c r="JP16" i="132" s="1"/>
  <c r="IL15" i="132" l="1"/>
  <c r="IL20" i="132" l="1"/>
  <c r="AS83" i="1" s="1"/>
  <c r="AS91" i="1" s="1"/>
  <c r="JF9" i="132"/>
  <c r="IX9" i="132" s="1"/>
  <c r="IX21" i="132" s="1"/>
  <c r="BE81" i="1" s="1"/>
  <c r="BE89" i="1" l="1"/>
  <c r="JK16" i="132"/>
  <c r="JK21" i="132" s="1"/>
  <c r="BR81" i="1" s="1"/>
  <c r="HU14" i="132" l="1"/>
  <c r="JE7" i="132" s="1"/>
  <c r="IS16" i="132" s="1"/>
  <c r="IS21" i="132" l="1"/>
  <c r="AZ81" i="1" s="1"/>
  <c r="KC16" i="132"/>
  <c r="JH9" i="132" l="1"/>
  <c r="ID8" i="132" s="1"/>
  <c r="JD7" i="132" s="1"/>
  <c r="JD19" i="132" l="1"/>
  <c r="BK82" i="1" s="1"/>
  <c r="BK90" i="1" s="1"/>
  <c r="IZ9" i="132"/>
  <c r="JW9" i="132" s="1"/>
  <c r="IO9" i="132" s="1"/>
  <c r="HS9" i="132" s="1"/>
  <c r="KE14" i="132" s="1"/>
  <c r="JV8" i="132" l="1"/>
  <c r="HQ9" i="132" s="1"/>
  <c r="JN9" i="132" s="1"/>
  <c r="JX9" i="132" s="1"/>
  <c r="IW9" i="132" s="1"/>
  <c r="IW21" i="132" l="1"/>
  <c r="BD81" i="1" s="1"/>
  <c r="IQ15" i="132"/>
  <c r="IF16" i="132" l="1"/>
  <c r="IF21" i="132" l="1"/>
  <c r="AM81" i="1" s="1"/>
  <c r="AM89" i="1" s="1"/>
  <c r="JR9" i="132"/>
  <c r="BV46" i="1" s="1"/>
  <c r="AA46" i="1" s="1"/>
  <c r="JR16" i="132" s="1"/>
  <c r="JR21" i="132" s="1"/>
  <c r="BY81" i="1" s="1"/>
  <c r="BY89" i="1" l="1"/>
  <c r="AA81" i="1"/>
  <c r="AA89" i="1" s="1"/>
  <c r="BZ81" i="1"/>
  <c r="CA81" i="1" l="1"/>
  <c r="CB81" i="1" l="1"/>
  <c r="CC81" i="1" l="1"/>
  <c r="AB81" i="1" l="1"/>
  <c r="CD81" i="1"/>
  <c r="HV16" i="132"/>
  <c r="CE81" i="1" l="1"/>
  <c r="HV21" i="132"/>
  <c r="HU7" i="132"/>
  <c r="HU19" i="132" s="1"/>
  <c r="IG16" i="132" s="1"/>
  <c r="CF81" i="1" l="1"/>
  <c r="CG81" i="1" s="1"/>
  <c r="IG21" i="132"/>
  <c r="AN81" i="1" s="1"/>
  <c r="IK7" i="132"/>
  <c r="IK19" i="132" s="1"/>
  <c r="AR82" i="1" s="1"/>
  <c r="CH81" i="1" l="1"/>
  <c r="CI81" i="1" s="1"/>
  <c r="CJ81" i="1" s="1"/>
  <c r="CK81" i="1" s="1"/>
  <c r="AC81" i="1"/>
  <c r="KH9" i="132"/>
  <c r="IP9" i="132" s="1"/>
  <c r="IP21" i="132" s="1"/>
  <c r="AW81" i="1" s="1"/>
  <c r="IJ15" i="132" s="1"/>
  <c r="CL81" i="1" l="1"/>
  <c r="CM81" i="1" s="1"/>
  <c r="CN81" i="1" s="1"/>
  <c r="CO81" i="1" s="1"/>
  <c r="AE81" i="1" s="1"/>
  <c r="AD81" i="1"/>
  <c r="IJ20" i="132"/>
  <c r="AQ83" i="1" s="1"/>
  <c r="AQ91" i="1" s="1"/>
  <c r="AO102" i="1"/>
  <c r="AO133" i="1" l="1"/>
  <c r="AP133" i="1" s="1"/>
  <c r="AP102" i="1"/>
  <c r="AP105" i="1" s="1"/>
  <c r="AY119" i="1" l="1"/>
  <c r="AY120" i="1" l="1"/>
  <c r="AO36" i="1"/>
  <c r="AY121" i="1" l="1"/>
  <c r="AY125" i="1" s="1"/>
  <c r="AZ119" i="1"/>
  <c r="AZ120" i="1" s="1"/>
  <c r="BR51" i="1"/>
  <c r="BK27" i="1" s="1"/>
  <c r="BK29" i="1" l="1"/>
  <c r="BK31" i="1" s="1"/>
  <c r="AV43" i="1"/>
  <c r="BK39" i="1" l="1"/>
  <c r="BO32" i="1"/>
  <c r="BI28" i="1"/>
  <c r="BO40" i="1" l="1"/>
  <c r="BX35" i="1"/>
  <c r="AA35" i="1" l="1"/>
  <c r="BX38" i="1"/>
  <c r="BB33" i="1"/>
  <c r="BB38" i="1" l="1"/>
  <c r="BY37" i="1"/>
  <c r="BS30" i="1" s="1"/>
  <c r="BB39" i="1" l="1"/>
  <c r="AQ101" i="1"/>
  <c r="BB40" i="1" l="1"/>
  <c r="BB42" i="1"/>
  <c r="BB44" i="1" s="1"/>
  <c r="BB48" i="1" s="1"/>
  <c r="AZ35" i="1"/>
  <c r="BB57" i="1" l="1"/>
  <c r="AZ38" i="1"/>
  <c r="BQ95" i="1"/>
  <c r="AZ39" i="1" l="1"/>
  <c r="BQ97" i="1"/>
  <c r="BR95" i="1"/>
  <c r="BW99" i="1" s="1"/>
  <c r="AZ42" i="1" l="1"/>
  <c r="AZ44" i="1" s="1"/>
  <c r="AZ48" i="1" s="1"/>
  <c r="BQ106" i="1"/>
  <c r="BQ9" i="1"/>
  <c r="BQ61" i="1"/>
  <c r="BQ62" i="1" s="1"/>
  <c r="BR4" i="1"/>
  <c r="BQ4" i="1"/>
  <c r="BQ129" i="1"/>
  <c r="BX99" i="1"/>
  <c r="AZ57" i="1" l="1"/>
  <c r="AZ96" i="1"/>
  <c r="AZ52" i="1"/>
  <c r="BQ91" i="1"/>
  <c r="AS102" i="1"/>
  <c r="AS105" i="1" l="1"/>
  <c r="AT102" i="1"/>
  <c r="AT105" i="1" s="1"/>
  <c r="AS106" i="1" l="1"/>
  <c r="AW132" i="1"/>
  <c r="AS9" i="1"/>
  <c r="AS129" i="1"/>
  <c r="IP14" i="132"/>
  <c r="IP19" i="132" l="1"/>
  <c r="AW82" i="1" s="1"/>
  <c r="AM28" i="1"/>
  <c r="AM29" i="1" l="1"/>
  <c r="AM31" i="1" s="1"/>
  <c r="AQ32" i="1" l="1"/>
  <c r="BQ36" i="1"/>
  <c r="BQ38" i="1" l="1"/>
  <c r="BL36" i="1"/>
  <c r="BL38" i="1" l="1"/>
  <c r="BX28" i="1"/>
  <c r="BL39" i="1" l="1"/>
  <c r="BX29" i="1"/>
  <c r="BL42" i="1" l="1"/>
  <c r="BL44" i="1" s="1"/>
  <c r="BL48" i="1" s="1"/>
  <c r="BP40" i="1"/>
  <c r="BX72" i="1"/>
  <c r="BX31" i="1"/>
  <c r="AU102" i="1"/>
  <c r="BL57" i="1" l="1"/>
  <c r="BP49" i="1"/>
  <c r="BL52" i="1"/>
  <c r="BL96" i="1"/>
  <c r="BL97" i="1" s="1"/>
  <c r="BX39" i="1"/>
  <c r="AU105" i="1"/>
  <c r="AU133" i="1"/>
  <c r="AV133" i="1" s="1"/>
  <c r="AV102" i="1"/>
  <c r="AV105" i="1" s="1"/>
  <c r="BL9" i="1" l="1"/>
  <c r="BL61" i="1"/>
  <c r="BL62" i="1" s="1"/>
  <c r="BL91" i="1" s="1"/>
  <c r="BL129" i="1"/>
  <c r="BL106" i="1"/>
  <c r="BL121" i="1" s="1"/>
  <c r="BL125" i="1" s="1"/>
  <c r="BL126" i="1" s="1"/>
  <c r="AU9" i="1"/>
  <c r="AU129" i="1"/>
  <c r="AY132" i="1"/>
  <c r="AV35" i="1"/>
  <c r="AO95" i="1" s="1"/>
  <c r="AP95" i="1" l="1"/>
  <c r="AO97" i="1"/>
  <c r="BM95" i="1"/>
  <c r="AQ4" i="1" l="1"/>
  <c r="AR4" i="1"/>
  <c r="AO61" i="1"/>
  <c r="AO62" i="1" s="1"/>
  <c r="AO90" i="1" s="1"/>
  <c r="AP4" i="1"/>
  <c r="AO4" i="1"/>
  <c r="BM97" i="1"/>
  <c r="BN95" i="1"/>
  <c r="BE115" i="1"/>
  <c r="BM61" i="1" l="1"/>
  <c r="BM9" i="1"/>
  <c r="BM129" i="1"/>
  <c r="BP4" i="1"/>
  <c r="BO4" i="1"/>
  <c r="BN4" i="1"/>
  <c r="Y4" i="1" s="1"/>
  <c r="BM4" i="1"/>
  <c r="AU27" i="1"/>
  <c r="BE117" i="1"/>
  <c r="BV30" i="1"/>
  <c r="AU29" i="1" l="1"/>
  <c r="AU31" i="1" s="1"/>
  <c r="BS102" i="1"/>
  <c r="BE121" i="1"/>
  <c r="BE125" i="1" s="1"/>
  <c r="BF116" i="1"/>
  <c r="BF117" i="1" s="1"/>
  <c r="AA30" i="1"/>
  <c r="BV31" i="1"/>
  <c r="BA46" i="1"/>
  <c r="AS109" i="1" s="1"/>
  <c r="AU32" i="1" l="1"/>
  <c r="BS133" i="1"/>
  <c r="BS105" i="1"/>
  <c r="BT102" i="1"/>
  <c r="BV32" i="1"/>
  <c r="AS133" i="1"/>
  <c r="AT133" i="1" s="1"/>
  <c r="AS73" i="1"/>
  <c r="AS131" i="1"/>
  <c r="AW131" i="1"/>
  <c r="AT109" i="1"/>
  <c r="BS132" i="1" l="1"/>
  <c r="BW132" i="1"/>
  <c r="BT133" i="1"/>
  <c r="BT105" i="1"/>
  <c r="AS74" i="1"/>
  <c r="AS72" i="1" s="1"/>
  <c r="AT73" i="1"/>
  <c r="AU74" i="1" s="1"/>
  <c r="AU72" i="1" s="1"/>
  <c r="HV15" i="132"/>
  <c r="BT132" i="1" l="1"/>
  <c r="BX132" i="1"/>
  <c r="JN14" i="132"/>
  <c r="HV20" i="132"/>
  <c r="BH46" i="1"/>
  <c r="BY33" i="1" s="1"/>
  <c r="AT74" i="1"/>
  <c r="AT72" i="1" s="1"/>
  <c r="JR14" i="132" l="1"/>
  <c r="BY38" i="1"/>
  <c r="AH109" i="1"/>
  <c r="AY30" i="1" s="1"/>
  <c r="HZ9" i="132" l="1"/>
  <c r="BY39" i="1"/>
  <c r="AY31" i="1"/>
  <c r="AS46" i="1"/>
  <c r="AM119" i="1" s="1"/>
  <c r="HZ21" i="132" l="1"/>
  <c r="BE30" i="1"/>
  <c r="BY40" i="1"/>
  <c r="BY42" i="1"/>
  <c r="BY44" i="1" s="1"/>
  <c r="BY48" i="1" s="1"/>
  <c r="AY32" i="1"/>
  <c r="AY39" i="1"/>
  <c r="BC32" i="1"/>
  <c r="AM120" i="1"/>
  <c r="AN119" i="1" s="1"/>
  <c r="AN120" i="1" s="1"/>
  <c r="BI109" i="1"/>
  <c r="BE31" i="1" l="1"/>
  <c r="AT30" i="1"/>
  <c r="BY57" i="1"/>
  <c r="BY52" i="1"/>
  <c r="BC40" i="1"/>
  <c r="AY42" i="1"/>
  <c r="AY44" i="1" s="1"/>
  <c r="BI133" i="1"/>
  <c r="BI65" i="1"/>
  <c r="BI66" i="1" s="1"/>
  <c r="BI62" i="1" s="1"/>
  <c r="BI64" i="1"/>
  <c r="BI131" i="1"/>
  <c r="BJ109" i="1"/>
  <c r="BO99" i="1"/>
  <c r="BE32" i="1" l="1"/>
  <c r="BE39" i="1"/>
  <c r="AT31" i="1"/>
  <c r="BW95" i="1"/>
  <c r="BI90" i="1"/>
  <c r="BJ73" i="1"/>
  <c r="BK74" i="1" s="1"/>
  <c r="BK72" i="1" s="1"/>
  <c r="BJ65" i="1"/>
  <c r="BJ66" i="1" s="1"/>
  <c r="BJ64" i="1"/>
  <c r="BJ133" i="1"/>
  <c r="BO106" i="1"/>
  <c r="BP99" i="1"/>
  <c r="BE40" i="1" l="1"/>
  <c r="BE42" i="1"/>
  <c r="BE44" i="1" s="1"/>
  <c r="BE48" i="1" s="1"/>
  <c r="AT39" i="1"/>
  <c r="AX32" i="1"/>
  <c r="BW97" i="1"/>
  <c r="BX95" i="1"/>
  <c r="BU113" i="1" s="1"/>
  <c r="BQ5" i="1"/>
  <c r="BR5" i="1"/>
  <c r="BP106" i="1"/>
  <c r="BP121" i="1" s="1"/>
  <c r="BP125" i="1" s="1"/>
  <c r="BP126" i="1" s="1"/>
  <c r="AS51" i="1"/>
  <c r="AM109" i="1" s="1"/>
  <c r="BE57" i="1" l="1"/>
  <c r="BE52" i="1"/>
  <c r="AX40" i="1"/>
  <c r="AT42" i="1"/>
  <c r="AT44" i="1" s="1"/>
  <c r="AT48" i="1" s="1"/>
  <c r="BW106" i="1"/>
  <c r="BY4" i="1"/>
  <c r="BZ4" i="1"/>
  <c r="BW61" i="1"/>
  <c r="BW62" i="1" s="1"/>
  <c r="BW9" i="1"/>
  <c r="BW129" i="1"/>
  <c r="BX4" i="1"/>
  <c r="BW4" i="1"/>
  <c r="BU125" i="1"/>
  <c r="BU73" i="1"/>
  <c r="BI36" i="1"/>
  <c r="BR15" i="1"/>
  <c r="BR13" i="1"/>
  <c r="BR22" i="1"/>
  <c r="BR20" i="1"/>
  <c r="BR12" i="1"/>
  <c r="BR14" i="1" s="1"/>
  <c r="BR17" i="1" s="1"/>
  <c r="BS12" i="1"/>
  <c r="BS22" i="1"/>
  <c r="BS20" i="1"/>
  <c r="BS18" i="1"/>
  <c r="BS15" i="1"/>
  <c r="AM73" i="1"/>
  <c r="AM133" i="1"/>
  <c r="AN133" i="1" s="1"/>
  <c r="AQ131" i="1"/>
  <c r="AM131" i="1"/>
  <c r="AN109" i="1"/>
  <c r="AT57" i="1" l="1"/>
  <c r="AT52" i="1"/>
  <c r="AT96" i="1"/>
  <c r="AT97" i="1" s="1"/>
  <c r="BY5" i="1"/>
  <c r="BZ5" i="1"/>
  <c r="BW91" i="1"/>
  <c r="BV74" i="1"/>
  <c r="BV72" i="1" s="1"/>
  <c r="BU74" i="1"/>
  <c r="BU72" i="1" s="1"/>
  <c r="BI38" i="1"/>
  <c r="HT16" i="132"/>
  <c r="AN131" i="1"/>
  <c r="AN73" i="1"/>
  <c r="BM36" i="1"/>
  <c r="AT9" i="1" l="1"/>
  <c r="AT129" i="1"/>
  <c r="AT61" i="1"/>
  <c r="AT62" i="1" s="1"/>
  <c r="AT106" i="1"/>
  <c r="AT121" i="1" s="1"/>
  <c r="AT125" i="1" s="1"/>
  <c r="AT126" i="1" s="1"/>
  <c r="AN74" i="1"/>
  <c r="AN72" i="1" s="1"/>
  <c r="AO74" i="1"/>
  <c r="BM38" i="1"/>
  <c r="AJ27" i="1"/>
  <c r="AT90" i="1" l="1"/>
  <c r="AT91" i="1"/>
  <c r="AJ29" i="1"/>
  <c r="BH43" i="1"/>
  <c r="AJ72" i="1" l="1"/>
  <c r="AJ31" i="1"/>
  <c r="AS116" i="1"/>
  <c r="AJ39" i="1" l="1"/>
  <c r="AS117" i="1"/>
  <c r="JR7" i="132"/>
  <c r="AJ42" i="1" l="1"/>
  <c r="AJ44" i="1" s="1"/>
  <c r="AJ48" i="1" s="1"/>
  <c r="AT116" i="1"/>
  <c r="AT117" i="1" s="1"/>
  <c r="AS121" i="1"/>
  <c r="AS125" i="1" s="1"/>
  <c r="AS126" i="1" s="1"/>
  <c r="JR19" i="132"/>
  <c r="BY82" i="1" s="1"/>
  <c r="BY90" i="1" s="1"/>
  <c r="BZ90" i="1" s="1"/>
  <c r="AI46" i="1"/>
  <c r="AP37" i="1" s="1"/>
  <c r="AK119" i="1" s="1"/>
  <c r="AJ57" i="1" l="1"/>
  <c r="AJ96" i="1"/>
  <c r="AJ97" i="1" s="1"/>
  <c r="AJ52" i="1"/>
  <c r="CA90" i="1"/>
  <c r="AK120" i="1"/>
  <c r="AL119" i="1" s="1"/>
  <c r="AL120" i="1" s="1"/>
  <c r="BU102" i="1"/>
  <c r="AJ9" i="1" l="1"/>
  <c r="AJ129" i="1"/>
  <c r="AJ61" i="1"/>
  <c r="AJ62" i="1" s="1"/>
  <c r="AJ91" i="1" s="1"/>
  <c r="CB90" i="1"/>
  <c r="BU105" i="1"/>
  <c r="BU133" i="1"/>
  <c r="BV102" i="1"/>
  <c r="CC90" i="1" l="1"/>
  <c r="BY132" i="1"/>
  <c r="BU9" i="1"/>
  <c r="BU106" i="1"/>
  <c r="BU132" i="1"/>
  <c r="BU129" i="1"/>
  <c r="BV133" i="1"/>
  <c r="BZ133" i="1" s="1"/>
  <c r="BV105" i="1"/>
  <c r="CA133" i="1" l="1"/>
  <c r="CB133" i="1"/>
  <c r="CB102" i="1" s="1"/>
  <c r="CB105" i="1" s="1"/>
  <c r="CD90" i="1"/>
  <c r="BX5" i="1"/>
  <c r="BW5" i="1"/>
  <c r="BU126" i="1"/>
  <c r="BZ102" i="1"/>
  <c r="BZ105" i="1" s="1"/>
  <c r="BV132" i="1"/>
  <c r="BZ132" i="1" s="1"/>
  <c r="AW111" i="1"/>
  <c r="CA132" i="1" l="1"/>
  <c r="CA102" i="1"/>
  <c r="CA105" i="1" s="1"/>
  <c r="CC133" i="1"/>
  <c r="CE90" i="1"/>
  <c r="BY12" i="1"/>
  <c r="BY22" i="1"/>
  <c r="BY13" i="1"/>
  <c r="BY20" i="1"/>
  <c r="BZ20" i="1" s="1"/>
  <c r="BY15" i="1"/>
  <c r="BZ15" i="1" s="1"/>
  <c r="BY18" i="1"/>
  <c r="BZ18" i="1" s="1"/>
  <c r="BX12" i="1"/>
  <c r="BX22" i="1"/>
  <c r="BX15" i="1"/>
  <c r="BX18" i="1"/>
  <c r="BX13" i="1"/>
  <c r="AW125" i="1"/>
  <c r="BI99" i="1"/>
  <c r="CB132" i="1" l="1"/>
  <c r="CD133" i="1"/>
  <c r="CC102" i="1"/>
  <c r="CE133" i="1"/>
  <c r="CF90" i="1"/>
  <c r="BY14" i="1"/>
  <c r="BY17" i="1" s="1"/>
  <c r="BY19" i="1" s="1"/>
  <c r="BY21" i="1" s="1"/>
  <c r="BY23" i="1" s="1"/>
  <c r="BZ41" i="1"/>
  <c r="CA20" i="1"/>
  <c r="BZ30" i="1"/>
  <c r="CA15" i="1"/>
  <c r="CA18" i="1"/>
  <c r="BZ33" i="1"/>
  <c r="BI106" i="1"/>
  <c r="BJ99" i="1"/>
  <c r="BX14" i="1"/>
  <c r="BX17" i="1" s="1"/>
  <c r="BX19" i="1" s="1"/>
  <c r="CC132" i="1" l="1"/>
  <c r="CD102" i="1"/>
  <c r="CD105" i="1" s="1"/>
  <c r="CC105" i="1"/>
  <c r="AB102" i="1"/>
  <c r="CF133" i="1"/>
  <c r="CE102" i="1"/>
  <c r="CE105" i="1" s="1"/>
  <c r="CG133" i="1"/>
  <c r="CG90" i="1"/>
  <c r="CA41" i="1"/>
  <c r="CB20" i="1"/>
  <c r="CA30" i="1"/>
  <c r="CB15" i="1"/>
  <c r="CA33" i="1"/>
  <c r="CA38" i="1" s="1"/>
  <c r="CB18" i="1"/>
  <c r="BZ38" i="1"/>
  <c r="AH118" i="1"/>
  <c r="CD132" i="1" l="1"/>
  <c r="AB133" i="1"/>
  <c r="AB105" i="1"/>
  <c r="AB132" i="1" s="1"/>
  <c r="CF102" i="1"/>
  <c r="CF105" i="1" s="1"/>
  <c r="CG102" i="1"/>
  <c r="CH133" i="1"/>
  <c r="CH90" i="1"/>
  <c r="CC20" i="1"/>
  <c r="CC15" i="1"/>
  <c r="CC18" i="1"/>
  <c r="CI133" i="1" l="1"/>
  <c r="CJ133" i="1"/>
  <c r="CJ102" i="1" s="1"/>
  <c r="CJ105" i="1" s="1"/>
  <c r="CF132" i="1"/>
  <c r="CE132" i="1"/>
  <c r="AC102" i="1"/>
  <c r="CG105" i="1"/>
  <c r="CH102" i="1"/>
  <c r="CH105" i="1" s="1"/>
  <c r="CI90" i="1"/>
  <c r="CD20" i="1"/>
  <c r="CD15" i="1"/>
  <c r="CD18" i="1"/>
  <c r="CK133" i="1" l="1"/>
  <c r="CK102" i="1" s="1"/>
  <c r="CI102" i="1"/>
  <c r="CI105" i="1" s="1"/>
  <c r="CL133" i="1"/>
  <c r="CL102" i="1" s="1"/>
  <c r="CL105" i="1" s="1"/>
  <c r="CG132" i="1"/>
  <c r="AC105" i="1"/>
  <c r="AC132" i="1" s="1"/>
  <c r="AC133" i="1"/>
  <c r="CM133" i="1"/>
  <c r="CN133" i="1"/>
  <c r="CN102" i="1" s="1"/>
  <c r="CN105" i="1" s="1"/>
  <c r="CJ90" i="1"/>
  <c r="CE20" i="1"/>
  <c r="CE15" i="1"/>
  <c r="CE18" i="1"/>
  <c r="CK105" i="1" l="1"/>
  <c r="AD102" i="1"/>
  <c r="CH132" i="1"/>
  <c r="CO133" i="1"/>
  <c r="CO102" i="1" s="1"/>
  <c r="CM102" i="1"/>
  <c r="CM105" i="1" s="1"/>
  <c r="CK90" i="1"/>
  <c r="CL90" i="1" s="1"/>
  <c r="CM90" i="1" s="1"/>
  <c r="CN90" i="1" s="1"/>
  <c r="CO90" i="1" s="1"/>
  <c r="CF20" i="1"/>
  <c r="CF15" i="1"/>
  <c r="CF18" i="1"/>
  <c r="AD105" i="1" l="1"/>
  <c r="AD132" i="1" s="1"/>
  <c r="AD133" i="1"/>
  <c r="CI132" i="1"/>
  <c r="CO105" i="1"/>
  <c r="AE102" i="1"/>
  <c r="CG20" i="1"/>
  <c r="CG15" i="1"/>
  <c r="CG18" i="1"/>
  <c r="CJ132" i="1" l="1"/>
  <c r="AE105" i="1"/>
  <c r="AE132" i="1" s="1"/>
  <c r="AE133" i="1"/>
  <c r="CH20" i="1"/>
  <c r="CH15" i="1"/>
  <c r="CH18" i="1"/>
  <c r="CK132" i="1" l="1"/>
  <c r="CI20" i="1"/>
  <c r="CI15" i="1"/>
  <c r="CI18" i="1"/>
  <c r="CL132" i="1" l="1"/>
  <c r="CJ20" i="1"/>
  <c r="CJ15" i="1"/>
  <c r="CJ18" i="1"/>
  <c r="CM132" i="1" l="1"/>
  <c r="CK20" i="1"/>
  <c r="CK15" i="1"/>
  <c r="CK18" i="1"/>
  <c r="CN132" i="1" l="1"/>
  <c r="CL20" i="1"/>
  <c r="CL15" i="1"/>
  <c r="CL18" i="1"/>
  <c r="CO132" i="1" l="1"/>
  <c r="CM20" i="1"/>
  <c r="CN20" i="1" s="1"/>
  <c r="CO20" i="1" s="1"/>
  <c r="CM15" i="1"/>
  <c r="CN15" i="1" s="1"/>
  <c r="CO15" i="1" s="1"/>
  <c r="CM18" i="1"/>
  <c r="CN18" i="1" s="1"/>
  <c r="CO18" i="1" s="1"/>
  <c r="G102" i="1" l="1"/>
  <c r="G105" i="1"/>
  <c r="F101" i="1"/>
  <c r="F105" i="1"/>
  <c r="G132" i="1"/>
  <c r="C28" i="1"/>
  <c r="L35" i="1"/>
  <c r="L47" i="1"/>
  <c r="Z35" i="1"/>
  <c r="Z123" i="1"/>
  <c r="P41" i="1"/>
  <c r="S116" i="1"/>
  <c r="N124" i="1"/>
  <c r="R43" i="1"/>
  <c r="P95" i="1"/>
  <c r="L27" i="1"/>
  <c r="L29" i="1"/>
  <c r="U41" i="1"/>
  <c r="U102" i="1"/>
  <c r="M99" i="1"/>
  <c r="G95" i="1"/>
  <c r="C45" i="1"/>
  <c r="X41" i="1"/>
  <c r="X33" i="1"/>
  <c r="I113" i="1"/>
  <c r="S51" i="1"/>
  <c r="O28" i="1"/>
  <c r="W36" i="1"/>
  <c r="G30" i="1"/>
  <c r="S30" i="1"/>
  <c r="J109" i="1"/>
  <c r="J73" i="1"/>
  <c r="V36" i="1"/>
  <c r="T45" i="1"/>
  <c r="J124" i="1"/>
  <c r="G43" i="1"/>
  <c r="Z30" i="1"/>
  <c r="R27" i="1"/>
  <c r="T43" i="1"/>
  <c r="K47" i="1"/>
  <c r="E124" i="1"/>
  <c r="G51" i="1"/>
  <c r="U43" i="1"/>
  <c r="M36" i="1"/>
  <c r="R118" i="1"/>
  <c r="V113" i="1"/>
  <c r="V45" i="1"/>
  <c r="K30" i="1"/>
  <c r="Q65" i="1"/>
  <c r="M96" i="1"/>
  <c r="B123" i="1"/>
  <c r="F46" i="1"/>
  <c r="O27" i="1"/>
  <c r="K27" i="1"/>
  <c r="K51" i="1"/>
  <c r="O30" i="1"/>
  <c r="S102" i="1"/>
  <c r="Q36" i="1"/>
  <c r="R45" i="1"/>
  <c r="N46" i="1"/>
  <c r="V65" i="1"/>
  <c r="U101" i="1"/>
  <c r="U105" i="1"/>
  <c r="C123" i="1"/>
  <c r="D124" i="1"/>
  <c r="X45" i="1"/>
  <c r="Q123" i="1"/>
  <c r="Z99" i="1"/>
  <c r="M41" i="1"/>
  <c r="B51" i="1"/>
  <c r="O113" i="1"/>
  <c r="G46" i="1"/>
  <c r="C36" i="1"/>
  <c r="N51" i="1"/>
  <c r="D116" i="1"/>
  <c r="C35" i="1"/>
  <c r="X30" i="1"/>
  <c r="Q101" i="1"/>
  <c r="J41" i="1"/>
  <c r="E101" i="1"/>
  <c r="E105" i="1"/>
  <c r="R119" i="1"/>
  <c r="R120" i="1"/>
  <c r="W35" i="1"/>
  <c r="Y124" i="1"/>
  <c r="F95" i="1"/>
  <c r="I95" i="1"/>
  <c r="B124" i="1"/>
  <c r="D33" i="1"/>
  <c r="P102" i="1"/>
  <c r="U64" i="1"/>
  <c r="D123" i="1"/>
  <c r="F28" i="1"/>
  <c r="S36" i="1"/>
  <c r="U123" i="1"/>
  <c r="I109" i="1"/>
  <c r="I73" i="1"/>
  <c r="Q99" i="1"/>
  <c r="G47" i="1"/>
  <c r="O45" i="1"/>
  <c r="E43" i="1"/>
  <c r="S64" i="1"/>
  <c r="V123" i="1"/>
  <c r="J65" i="1"/>
  <c r="Y101" i="1"/>
  <c r="I99" i="1"/>
  <c r="D27" i="1"/>
  <c r="J64" i="1"/>
  <c r="J33" i="1"/>
  <c r="O51" i="1"/>
  <c r="R41" i="1"/>
  <c r="W96" i="1"/>
  <c r="V51" i="1"/>
  <c r="R95" i="1"/>
  <c r="W95" i="1"/>
  <c r="O123" i="1"/>
  <c r="X124" i="1"/>
  <c r="D95" i="1"/>
  <c r="O43" i="1"/>
  <c r="W33" i="1"/>
  <c r="Z27" i="1"/>
  <c r="W30" i="1"/>
  <c r="G33" i="1"/>
  <c r="H113" i="1"/>
  <c r="S45" i="1"/>
  <c r="Y96" i="1"/>
  <c r="X51" i="1"/>
  <c r="I43" i="1"/>
  <c r="M27" i="1"/>
  <c r="G123" i="1"/>
  <c r="I27" i="1"/>
  <c r="H51" i="1"/>
  <c r="Y27" i="1"/>
  <c r="W27" i="1"/>
  <c r="M35" i="1"/>
  <c r="C43" i="1"/>
  <c r="B43" i="1"/>
  <c r="G27" i="1"/>
  <c r="Z41" i="1"/>
  <c r="V43" i="1"/>
  <c r="H124" i="1"/>
  <c r="S27" i="1"/>
  <c r="P27" i="1"/>
  <c r="L111" i="1"/>
  <c r="T109" i="1"/>
  <c r="T73" i="1"/>
  <c r="L116" i="1"/>
  <c r="P65" i="1"/>
  <c r="S65" i="1"/>
  <c r="H99" i="1"/>
  <c r="H64" i="1"/>
  <c r="S124" i="1"/>
  <c r="Z113" i="1"/>
  <c r="X64" i="1"/>
  <c r="J34" i="1"/>
  <c r="M43" i="1"/>
  <c r="M28" i="1"/>
  <c r="R34" i="1"/>
  <c r="R38" i="1"/>
  <c r="Q64" i="1"/>
  <c r="E45" i="1"/>
  <c r="V30" i="1"/>
  <c r="N102" i="1"/>
  <c r="L123" i="1"/>
  <c r="Z45" i="1"/>
  <c r="T96" i="1"/>
  <c r="X113" i="1"/>
  <c r="U96" i="1"/>
  <c r="S95" i="1"/>
  <c r="I116" i="1"/>
  <c r="P43" i="1"/>
  <c r="W99" i="1"/>
  <c r="M101" i="1"/>
  <c r="D118" i="1"/>
  <c r="T27" i="1"/>
  <c r="T29" i="1"/>
  <c r="T31" i="1"/>
  <c r="P124" i="1"/>
  <c r="R113" i="1"/>
  <c r="H65" i="1"/>
  <c r="I65" i="1"/>
  <c r="N43" i="1"/>
  <c r="I33" i="1"/>
  <c r="G113" i="1"/>
  <c r="E123" i="1"/>
  <c r="K28" i="1"/>
  <c r="W28" i="1"/>
  <c r="U45" i="1"/>
  <c r="N28" i="1"/>
  <c r="N29" i="1"/>
  <c r="N31" i="1"/>
  <c r="O29" i="1"/>
  <c r="Y35" i="1"/>
  <c r="J35" i="1"/>
  <c r="J101" i="1"/>
  <c r="X99" i="1"/>
  <c r="L65" i="1"/>
  <c r="Y109" i="1"/>
  <c r="H95" i="1"/>
  <c r="D51" i="1"/>
  <c r="K124" i="1"/>
  <c r="Q41" i="1"/>
  <c r="M124" i="1"/>
  <c r="G115" i="1"/>
  <c r="K99" i="1"/>
  <c r="E35" i="1"/>
  <c r="S109" i="1"/>
  <c r="D28" i="1"/>
  <c r="B46" i="1"/>
  <c r="X101" i="1"/>
  <c r="U30" i="1"/>
  <c r="Y65" i="1"/>
  <c r="Y30" i="1"/>
  <c r="M116" i="1"/>
  <c r="E115" i="1"/>
  <c r="X96" i="1"/>
  <c r="M30" i="1"/>
  <c r="J28" i="1"/>
  <c r="J29" i="1"/>
  <c r="Y28" i="1"/>
  <c r="F118" i="1"/>
  <c r="H123" i="1"/>
  <c r="U65" i="1"/>
  <c r="D43" i="1"/>
  <c r="P36" i="1"/>
  <c r="F124" i="1"/>
  <c r="R116" i="1"/>
  <c r="H36" i="1"/>
  <c r="U95" i="1"/>
  <c r="V109" i="1"/>
  <c r="Q109" i="1"/>
  <c r="Q73" i="1"/>
  <c r="K34" i="1"/>
  <c r="K33" i="1"/>
  <c r="K38" i="1"/>
  <c r="T65" i="1"/>
  <c r="Q102" i="1"/>
  <c r="F99" i="1"/>
  <c r="Z116" i="1"/>
  <c r="S113" i="1"/>
  <c r="S34" i="1"/>
  <c r="I123" i="1"/>
  <c r="R99" i="1"/>
  <c r="V27" i="1"/>
  <c r="V29" i="1"/>
  <c r="T47" i="1"/>
  <c r="K41" i="1"/>
  <c r="F30" i="1"/>
  <c r="G65" i="1"/>
  <c r="U113" i="1"/>
  <c r="B41" i="1"/>
  <c r="V46" i="1"/>
  <c r="L33" i="1"/>
  <c r="H102" i="1"/>
  <c r="Z124" i="1"/>
  <c r="X95" i="1"/>
  <c r="F109" i="1"/>
  <c r="F65" i="1"/>
  <c r="F69" i="1"/>
  <c r="Z33" i="1"/>
  <c r="J30" i="1"/>
  <c r="L45" i="1"/>
  <c r="K118" i="1"/>
  <c r="E27" i="1"/>
  <c r="E29" i="1"/>
  <c r="I101" i="1"/>
  <c r="C30" i="1"/>
  <c r="D47" i="1"/>
  <c r="X43" i="1"/>
  <c r="S99" i="1"/>
  <c r="C102" i="1"/>
  <c r="J123" i="1"/>
  <c r="L41" i="1"/>
  <c r="S123" i="1"/>
  <c r="K95" i="1"/>
  <c r="Y45" i="1"/>
  <c r="I35" i="1"/>
  <c r="I96" i="1"/>
  <c r="H43" i="1"/>
  <c r="Q124" i="1"/>
  <c r="Q34" i="1"/>
  <c r="Q38" i="1"/>
  <c r="I115" i="1"/>
  <c r="R64" i="1"/>
  <c r="S46" i="1"/>
  <c r="M102" i="1"/>
  <c r="R102" i="1"/>
  <c r="D111" i="1"/>
  <c r="J47" i="1"/>
  <c r="AE70" i="125"/>
  <c r="Y51" i="1"/>
  <c r="Z46" i="1"/>
  <c r="R47" i="1"/>
  <c r="E46" i="1"/>
  <c r="C118" i="1"/>
  <c r="F27" i="1"/>
  <c r="I41" i="1"/>
  <c r="L95" i="1"/>
  <c r="M113" i="1"/>
  <c r="G36" i="1"/>
  <c r="S28" i="1"/>
  <c r="Y102" i="1"/>
  <c r="F43" i="1"/>
  <c r="L99" i="1"/>
  <c r="X123" i="1"/>
  <c r="D36" i="1"/>
  <c r="R96" i="1"/>
  <c r="J116" i="1"/>
  <c r="B45" i="1"/>
  <c r="X27" i="1"/>
  <c r="Z95" i="1"/>
  <c r="Z70" i="125"/>
  <c r="E36" i="1"/>
  <c r="D113" i="1"/>
  <c r="N116" i="1"/>
  <c r="H111" i="1"/>
  <c r="W111" i="1"/>
  <c r="B113" i="1"/>
  <c r="U51" i="1"/>
  <c r="O65" i="1"/>
  <c r="Q111" i="1"/>
  <c r="H41" i="1"/>
  <c r="T46" i="1"/>
  <c r="D41" i="1"/>
  <c r="G41" i="1"/>
  <c r="F36" i="1"/>
  <c r="C46" i="1"/>
  <c r="P118" i="1"/>
  <c r="V99" i="1"/>
  <c r="L118" i="1"/>
  <c r="H28" i="1"/>
  <c r="H29" i="1"/>
  <c r="H31" i="1"/>
  <c r="M64" i="1"/>
  <c r="F119" i="1"/>
  <c r="D109" i="1"/>
  <c r="E111" i="1"/>
  <c r="X102" i="1"/>
  <c r="S70" i="125"/>
  <c r="O124" i="1"/>
  <c r="P123" i="1"/>
  <c r="F35" i="1"/>
  <c r="N36" i="1"/>
  <c r="T99" i="1"/>
  <c r="J102" i="1"/>
  <c r="V96" i="1"/>
  <c r="O102" i="1"/>
  <c r="Z28" i="1"/>
  <c r="E96" i="1"/>
  <c r="K64" i="1"/>
  <c r="N71" i="125"/>
  <c r="O95" i="1"/>
  <c r="S118" i="1"/>
  <c r="T35" i="1"/>
  <c r="Y119" i="1"/>
  <c r="V41" i="1"/>
  <c r="I36" i="1"/>
  <c r="P51" i="1"/>
  <c r="S41" i="1"/>
  <c r="V33" i="1"/>
  <c r="B65" i="1"/>
  <c r="L113" i="1"/>
  <c r="C95" i="1"/>
  <c r="K65" i="1"/>
  <c r="R123" i="1"/>
  <c r="R65" i="1"/>
  <c r="O70" i="125"/>
  <c r="Z119" i="1"/>
  <c r="Q28" i="1"/>
  <c r="Z65" i="1"/>
  <c r="M65" i="1"/>
  <c r="P99" i="1"/>
  <c r="J45" i="1"/>
  <c r="V64" i="1"/>
  <c r="T116" i="1"/>
  <c r="X65" i="1"/>
  <c r="O47" i="1"/>
  <c r="U35" i="1"/>
  <c r="W70" i="125"/>
  <c r="T34" i="1"/>
  <c r="E113" i="1"/>
  <c r="X116" i="1"/>
  <c r="J95" i="1"/>
  <c r="I71" i="125"/>
  <c r="N109" i="1"/>
  <c r="F47" i="1"/>
  <c r="D64" i="1"/>
  <c r="Y64" i="1"/>
  <c r="C124" i="1"/>
  <c r="T111" i="1"/>
  <c r="W65" i="1"/>
  <c r="C115" i="1"/>
  <c r="W51" i="1"/>
  <c r="D65" i="1"/>
  <c r="P35" i="1"/>
  <c r="O111" i="1"/>
  <c r="O99" i="1"/>
  <c r="W101" i="1"/>
  <c r="F113" i="1"/>
  <c r="I64" i="1"/>
  <c r="T41" i="1"/>
  <c r="O109" i="1"/>
  <c r="F115" i="1"/>
  <c r="Z96" i="1"/>
  <c r="R29" i="1"/>
  <c r="R31" i="1"/>
  <c r="L31" i="1"/>
  <c r="Z120" i="1"/>
  <c r="P105" i="1"/>
  <c r="N69" i="1"/>
  <c r="N68" i="1"/>
  <c r="N73" i="1"/>
  <c r="X38" i="1"/>
  <c r="G133" i="1"/>
  <c r="S117" i="1"/>
  <c r="E132" i="1"/>
  <c r="C38" i="1"/>
  <c r="V38" i="1"/>
  <c r="U38" i="1"/>
  <c r="M38" i="1"/>
  <c r="X69" i="1"/>
  <c r="C117" i="1"/>
  <c r="O73" i="1"/>
  <c r="Y120" i="1"/>
  <c r="B69" i="1"/>
  <c r="U131" i="1"/>
  <c r="P133" i="1"/>
  <c r="I131" i="1"/>
  <c r="E73" i="1"/>
  <c r="J131" i="1"/>
  <c r="H68" i="1"/>
  <c r="M69" i="1"/>
  <c r="Z73" i="1"/>
  <c r="T117" i="1"/>
  <c r="H73" i="1"/>
  <c r="T133" i="1"/>
  <c r="L117" i="1"/>
  <c r="T68" i="1"/>
  <c r="J68" i="1"/>
  <c r="J69" i="1"/>
  <c r="I133" i="1"/>
  <c r="O131" i="1"/>
  <c r="U132" i="1"/>
  <c r="C29" i="1"/>
  <c r="Q74" i="1"/>
  <c r="P97" i="1"/>
  <c r="K74" i="1"/>
  <c r="AY95" i="1"/>
  <c r="BK41" i="1"/>
  <c r="AY51" i="1"/>
  <c r="BS46" i="1"/>
  <c r="BS111" i="1"/>
  <c r="AU34" i="1"/>
  <c r="BK47" i="1"/>
  <c r="AY45" i="1"/>
  <c r="BS45" i="1"/>
  <c r="BH27" i="1"/>
  <c r="BK101" i="1"/>
  <c r="BA96" i="1"/>
  <c r="BA97" i="1"/>
  <c r="JG9" i="132"/>
  <c r="IL16" i="132"/>
  <c r="BT33" i="1"/>
  <c r="AI99" i="1"/>
  <c r="BC95" i="1"/>
  <c r="BD95" i="1"/>
  <c r="BN33" i="1"/>
  <c r="BG28" i="1"/>
  <c r="BW27" i="1"/>
  <c r="BW28" i="1"/>
  <c r="AU99" i="1"/>
  <c r="KH15" i="132"/>
  <c r="AP46" i="1"/>
  <c r="JW16" i="132"/>
  <c r="BO118" i="1"/>
  <c r="KD14" i="132"/>
  <c r="IO15" i="132"/>
  <c r="JN7" i="132"/>
  <c r="IY16" i="132"/>
  <c r="JO7" i="132"/>
  <c r="HP16" i="132"/>
  <c r="JS7" i="132"/>
  <c r="HS14" i="132"/>
  <c r="AM47" i="1"/>
  <c r="JB16" i="132"/>
  <c r="JL16" i="132"/>
  <c r="JQ16" i="132"/>
  <c r="IO7" i="132"/>
  <c r="IK9" i="132"/>
  <c r="IV16" i="132"/>
  <c r="JU7" i="132"/>
  <c r="JP7" i="132"/>
  <c r="JX16" i="132"/>
  <c r="KC7" i="132"/>
  <c r="IC9" i="132"/>
  <c r="KC8" i="132"/>
  <c r="IO14" i="132"/>
  <c r="IU9" i="132"/>
  <c r="IU21" i="132"/>
  <c r="BB81" i="1"/>
  <c r="JP9" i="132"/>
  <c r="KH16" i="132"/>
  <c r="BV33" i="1"/>
  <c r="JK15" i="132"/>
  <c r="HS7" i="132"/>
  <c r="JX7" i="132"/>
  <c r="JA9" i="132"/>
  <c r="JA21" i="132"/>
  <c r="BH81" i="1"/>
  <c r="IZ8" i="132"/>
  <c r="KA16" i="132"/>
  <c r="IZ16" i="132"/>
  <c r="HU9" i="132"/>
  <c r="BI47" i="1"/>
  <c r="IN9" i="132"/>
  <c r="HQ16" i="132"/>
  <c r="JM7" i="132"/>
  <c r="IB15" i="132"/>
  <c r="JM9" i="132"/>
  <c r="JM8" i="132"/>
  <c r="IM9" i="132"/>
  <c r="IB7" i="132"/>
  <c r="JW14" i="132"/>
  <c r="JW7" i="132"/>
  <c r="HS16" i="132"/>
  <c r="II15" i="132"/>
  <c r="BI27" i="1"/>
  <c r="JB15" i="132"/>
  <c r="JV7" i="132"/>
  <c r="IJ7" i="132"/>
  <c r="JH16" i="132"/>
  <c r="JH21" i="132"/>
  <c r="JL15" i="132"/>
  <c r="JC14" i="132"/>
  <c r="IA14" i="132"/>
  <c r="JA7" i="132"/>
  <c r="JD15" i="132"/>
  <c r="HW14" i="132"/>
  <c r="JY8" i="132"/>
  <c r="JZ7" i="132"/>
  <c r="HR7" i="132"/>
  <c r="HP14" i="132"/>
  <c r="ID14" i="132"/>
  <c r="HW9" i="132"/>
  <c r="IK16" i="132"/>
  <c r="JE14" i="132"/>
  <c r="IQ9" i="132"/>
  <c r="IQ16" i="132"/>
  <c r="KG15" i="132"/>
  <c r="JI14" i="132"/>
  <c r="II14" i="132"/>
  <c r="IV7" i="132"/>
  <c r="IQ14" i="132"/>
  <c r="IS8" i="132"/>
  <c r="JV15" i="132"/>
  <c r="IQ8" i="132"/>
  <c r="IH15" i="132"/>
  <c r="JO16" i="132"/>
  <c r="JO9" i="132"/>
  <c r="JO21" i="132"/>
  <c r="KE15" i="132"/>
  <c r="IT16" i="132"/>
  <c r="JJ9" i="132"/>
  <c r="HT9" i="132"/>
  <c r="KB9" i="132"/>
  <c r="JF16" i="132"/>
  <c r="KE7" i="132"/>
  <c r="HY14" i="132"/>
  <c r="HQ7" i="132"/>
  <c r="HQ14" i="132"/>
  <c r="KG14" i="132"/>
  <c r="HW16" i="132"/>
  <c r="JI15" i="132"/>
  <c r="JG16" i="132"/>
  <c r="JS9" i="132"/>
  <c r="HR9" i="132"/>
  <c r="HR21" i="132"/>
  <c r="KE16" i="132"/>
  <c r="IF14" i="132"/>
  <c r="IF7" i="132"/>
  <c r="BN36" i="1"/>
  <c r="IH8" i="132"/>
  <c r="ID7" i="132"/>
  <c r="BD28" i="1"/>
  <c r="BD29" i="1"/>
  <c r="IJ9" i="132"/>
  <c r="IJ16" i="132"/>
  <c r="IR16" i="132"/>
  <c r="IR9" i="132"/>
  <c r="JU9" i="132"/>
  <c r="IL14" i="132"/>
  <c r="KF16" i="132"/>
  <c r="JI16" i="132"/>
  <c r="JE16" i="132"/>
  <c r="IX15" i="132"/>
  <c r="AP27" i="1"/>
  <c r="JN16" i="132"/>
  <c r="IN15" i="132"/>
  <c r="JJ14" i="132"/>
  <c r="KC9" i="132"/>
  <c r="JW15" i="132"/>
  <c r="AX47" i="1"/>
  <c r="JM14" i="132"/>
  <c r="JH7" i="132"/>
  <c r="JS16" i="132"/>
  <c r="ID15" i="132"/>
  <c r="JY14" i="132"/>
  <c r="JR8" i="132"/>
  <c r="HP8" i="132"/>
  <c r="HP15" i="132"/>
  <c r="HP20" i="132"/>
  <c r="IM16" i="132"/>
  <c r="JM16" i="132"/>
  <c r="IO16" i="132"/>
  <c r="IO21" i="132"/>
  <c r="AV81" i="1"/>
  <c r="BA102" i="1"/>
  <c r="BA133" i="1"/>
  <c r="BB133" i="1"/>
  <c r="AK99" i="1"/>
  <c r="AL99" i="1"/>
  <c r="AI43" i="1"/>
  <c r="BQ27" i="1"/>
  <c r="HY16" i="132"/>
  <c r="BY118" i="1"/>
  <c r="BW41" i="1"/>
  <c r="AR47" i="1"/>
  <c r="AV46" i="1"/>
  <c r="BY116" i="1"/>
  <c r="AA116" i="1"/>
  <c r="BT28" i="1"/>
  <c r="BT29" i="1"/>
  <c r="BT31" i="1"/>
  <c r="AV47" i="1"/>
  <c r="AW33" i="1"/>
  <c r="AK115" i="1"/>
  <c r="AN30" i="1"/>
  <c r="BQ115" i="1"/>
  <c r="AV33" i="1"/>
  <c r="AO37" i="1"/>
  <c r="AQ102" i="1"/>
  <c r="AR102" i="1"/>
  <c r="AR105" i="1"/>
  <c r="BK46" i="1"/>
  <c r="BG96" i="1"/>
  <c r="BR36" i="1"/>
  <c r="AH46" i="1"/>
  <c r="AL47" i="1"/>
  <c r="BE102" i="1"/>
  <c r="BF102" i="1"/>
  <c r="BF105" i="1"/>
  <c r="BW115" i="1"/>
  <c r="JD8" i="132"/>
  <c r="JT7" i="132"/>
  <c r="HQ15" i="132"/>
  <c r="JU14" i="132"/>
  <c r="JV9" i="132"/>
  <c r="JV21" i="132"/>
  <c r="AK95" i="1"/>
  <c r="AK97" i="1"/>
  <c r="JO8" i="132"/>
  <c r="JK14" i="132"/>
  <c r="ID9" i="132"/>
  <c r="ID21" i="132"/>
  <c r="AK81" i="1"/>
  <c r="IA16" i="132"/>
  <c r="IA21" i="132"/>
  <c r="IH9" i="132"/>
  <c r="KE9" i="132"/>
  <c r="JC9" i="132"/>
  <c r="IB9" i="132"/>
  <c r="IB21" i="132"/>
  <c r="AI81" i="1"/>
  <c r="KH7" i="132"/>
  <c r="KH14" i="132"/>
  <c r="KH19" i="132"/>
  <c r="IN16" i="132"/>
  <c r="BM27" i="1"/>
  <c r="JZ16" i="132"/>
  <c r="JZ21" i="132"/>
  <c r="IC7" i="132"/>
  <c r="HT8" i="132"/>
  <c r="JY9" i="132"/>
  <c r="JY21" i="132"/>
  <c r="KH8" i="132"/>
  <c r="JU16" i="132"/>
  <c r="KD15" i="132"/>
  <c r="II16" i="132"/>
  <c r="II21" i="132"/>
  <c r="AP81" i="1"/>
  <c r="IF15" i="132"/>
  <c r="HU16" i="132"/>
  <c r="KB16" i="132"/>
  <c r="JR15" i="132"/>
  <c r="KG9" i="132"/>
  <c r="KG21" i="132"/>
  <c r="IV14" i="132"/>
  <c r="AM43" i="1"/>
  <c r="AO99" i="1"/>
  <c r="BJ34" i="1"/>
  <c r="BA41" i="1"/>
  <c r="AI37" i="1"/>
  <c r="BM99" i="1"/>
  <c r="BN99" i="1"/>
  <c r="AH119" i="1"/>
  <c r="AP51" i="1"/>
  <c r="BT34" i="1"/>
  <c r="AM37" i="1"/>
  <c r="AX45" i="1"/>
  <c r="JF7" i="132"/>
  <c r="BS95" i="1"/>
  <c r="AW46" i="1"/>
  <c r="BC119" i="1"/>
  <c r="BO43" i="1"/>
  <c r="BO47" i="1"/>
  <c r="AO27" i="1"/>
  <c r="AW96" i="1"/>
  <c r="AP35" i="1"/>
  <c r="AR27" i="1"/>
  <c r="BU41" i="1"/>
  <c r="AO51" i="1"/>
  <c r="AW99" i="1"/>
  <c r="AX99" i="1"/>
  <c r="BF34" i="1"/>
  <c r="BM109" i="1"/>
  <c r="BM64" i="1"/>
  <c r="AH116" i="1"/>
  <c r="BC43" i="1"/>
  <c r="AH41" i="1"/>
  <c r="BB51" i="1"/>
  <c r="AH51" i="1"/>
  <c r="BF51" i="1"/>
  <c r="IH16" i="132"/>
  <c r="IH21" i="132"/>
  <c r="AO81" i="1"/>
  <c r="AI36" i="1"/>
  <c r="BS28" i="1"/>
  <c r="BS29" i="1"/>
  <c r="BS31" i="1"/>
  <c r="BY115" i="1"/>
  <c r="AA115" i="1"/>
  <c r="AI30" i="1"/>
  <c r="AS37" i="1"/>
  <c r="BG113" i="1"/>
  <c r="AO45" i="1"/>
  <c r="AK109" i="1"/>
  <c r="AL109" i="1"/>
  <c r="AO101" i="1"/>
  <c r="BK115" i="1"/>
  <c r="AM116" i="1"/>
  <c r="AK131" i="1"/>
  <c r="AO105" i="1"/>
  <c r="BG73" i="1"/>
  <c r="AO131" i="1"/>
  <c r="AM117" i="1"/>
  <c r="AM121" i="1"/>
  <c r="JF19" i="132"/>
  <c r="BM82" i="1"/>
  <c r="BT37" i="1"/>
  <c r="AO9" i="1"/>
  <c r="AI31" i="1"/>
  <c r="JO20" i="132"/>
  <c r="BV83" i="1"/>
  <c r="JA19" i="132"/>
  <c r="BH82" i="1"/>
  <c r="HR19" i="132"/>
  <c r="AO129" i="1"/>
  <c r="BK117" i="1"/>
  <c r="BL116" i="1"/>
  <c r="BL117" i="1"/>
  <c r="IC19" i="132"/>
  <c r="AJ82" i="1"/>
  <c r="IJ19" i="132"/>
  <c r="AQ82" i="1"/>
  <c r="HT20" i="132"/>
  <c r="AS38" i="1"/>
  <c r="AS39" i="1"/>
  <c r="AS42" i="1"/>
  <c r="AS44" i="1"/>
  <c r="AS48" i="1"/>
  <c r="AS52" i="1"/>
  <c r="AN116" i="1"/>
  <c r="AN117" i="1"/>
  <c r="BX41" i="1"/>
  <c r="BX42" i="1"/>
  <c r="BX44" i="1"/>
  <c r="BX48" i="1"/>
  <c r="BX96" i="1"/>
  <c r="BX97" i="1"/>
  <c r="BK121" i="1"/>
  <c r="BK125" i="1"/>
  <c r="AO132" i="1"/>
  <c r="BF41" i="1"/>
  <c r="BS39" i="1"/>
  <c r="BS42" i="1"/>
  <c r="BS44" i="1"/>
  <c r="BX129" i="1"/>
  <c r="BX61" i="1"/>
  <c r="AM32" i="1"/>
  <c r="V66" i="1"/>
  <c r="U66" i="1"/>
  <c r="JJ21" i="132"/>
  <c r="BQ81" i="1"/>
  <c r="BG74" i="1"/>
  <c r="BH74" i="1"/>
  <c r="BI113" i="1"/>
  <c r="BI73" i="1"/>
  <c r="BI74" i="1"/>
  <c r="BG125" i="1"/>
  <c r="BJ74" i="1"/>
  <c r="BJ72" i="1"/>
  <c r="BT72" i="1"/>
  <c r="BS72" i="1"/>
  <c r="BS13" i="1"/>
  <c r="BI125" i="1"/>
  <c r="IC21" i="132"/>
  <c r="AJ81" i="1"/>
  <c r="AJ89" i="1"/>
  <c r="BQ89" i="1"/>
  <c r="AS132" i="1"/>
  <c r="JN19" i="132"/>
  <c r="BU82" i="1"/>
  <c r="AM125" i="1" l="1"/>
  <c r="AM126" i="1" s="1"/>
  <c r="BI126" i="1"/>
  <c r="T69" i="1"/>
  <c r="S38" i="1"/>
  <c r="I68" i="1"/>
  <c r="V132" i="1"/>
  <c r="Z69" i="1"/>
  <c r="O68" i="1"/>
  <c r="L73" i="1"/>
  <c r="G29" i="1"/>
  <c r="G31" i="1" s="1"/>
  <c r="X117" i="1"/>
  <c r="T38" i="1"/>
  <c r="X73" i="1"/>
  <c r="S105" i="1"/>
  <c r="K69" i="1"/>
  <c r="F132" i="1"/>
  <c r="P69" i="1"/>
  <c r="F117" i="1"/>
  <c r="N131" i="1"/>
  <c r="W29" i="1"/>
  <c r="W31" i="1" s="1"/>
  <c r="D117" i="1"/>
  <c r="Z131" i="1"/>
  <c r="P131" i="1"/>
  <c r="D13" i="1"/>
  <c r="W69" i="1"/>
  <c r="X68" i="1"/>
  <c r="K131" i="1"/>
  <c r="U133" i="1"/>
  <c r="U68" i="1"/>
  <c r="R73" i="1"/>
  <c r="R74" i="1" s="1"/>
  <c r="S131" i="1"/>
  <c r="R69" i="1"/>
  <c r="G97" i="1"/>
  <c r="G106" i="1" s="1"/>
  <c r="F97" i="1"/>
  <c r="F129" i="1" s="1"/>
  <c r="S97" i="1"/>
  <c r="P74" i="1"/>
  <c r="D97" i="1"/>
  <c r="C97" i="1"/>
  <c r="H97" i="1"/>
  <c r="J97" i="1"/>
  <c r="M97" i="1"/>
  <c r="W97" i="1"/>
  <c r="U97" i="1"/>
  <c r="U61" i="1" s="1"/>
  <c r="T97" i="1"/>
  <c r="T129" i="1" s="1"/>
  <c r="Y97" i="1"/>
  <c r="D12" i="1"/>
  <c r="R39" i="1"/>
  <c r="R72" i="1"/>
  <c r="KH21" i="132"/>
  <c r="JX21" i="132"/>
  <c r="JB21" i="132"/>
  <c r="BI81" i="1" s="1"/>
  <c r="IM21" i="132"/>
  <c r="AT81" i="1" s="1"/>
  <c r="JS21" i="132"/>
  <c r="HS21" i="132"/>
  <c r="JH19" i="132"/>
  <c r="BO82" i="1" s="1"/>
  <c r="BU90" i="1"/>
  <c r="O31" i="1"/>
  <c r="O32" i="1" s="1"/>
  <c r="Y73" i="1"/>
  <c r="Z74" i="1" s="1"/>
  <c r="Q29" i="1"/>
  <c r="I29" i="1"/>
  <c r="C105" i="1"/>
  <c r="S69" i="1"/>
  <c r="H105" i="1"/>
  <c r="P29" i="1"/>
  <c r="P31" i="1" s="1"/>
  <c r="N105" i="1"/>
  <c r="Z29" i="1"/>
  <c r="Z31" i="1" s="1"/>
  <c r="S73" i="1"/>
  <c r="M133" i="1"/>
  <c r="X29" i="1"/>
  <c r="X31" i="1" s="1"/>
  <c r="S68" i="1"/>
  <c r="Y29" i="1"/>
  <c r="Y31" i="1" s="1"/>
  <c r="Z32" i="1" s="1"/>
  <c r="F29" i="1"/>
  <c r="S133" i="1"/>
  <c r="N133" i="1"/>
  <c r="H38" i="1"/>
  <c r="Z38" i="1"/>
  <c r="W38" i="1"/>
  <c r="P38" i="1"/>
  <c r="P120" i="1"/>
  <c r="P121" i="1" s="1"/>
  <c r="P125" i="1" s="1"/>
  <c r="V31" i="1"/>
  <c r="K29" i="1"/>
  <c r="K31" i="1" s="1"/>
  <c r="K39" i="1" s="1"/>
  <c r="N38" i="1"/>
  <c r="C133" i="1"/>
  <c r="C120" i="1"/>
  <c r="F131" i="1"/>
  <c r="W125" i="1"/>
  <c r="G69" i="1"/>
  <c r="G117" i="1"/>
  <c r="G121" i="1" s="1"/>
  <c r="G125" i="1" s="1"/>
  <c r="G126" i="1" s="1"/>
  <c r="X105" i="1"/>
  <c r="Y38" i="1"/>
  <c r="I38" i="1"/>
  <c r="F133" i="1"/>
  <c r="F68" i="1"/>
  <c r="Y105" i="1"/>
  <c r="S120" i="1"/>
  <c r="S121" i="1" s="1"/>
  <c r="L38" i="1"/>
  <c r="I117" i="1"/>
  <c r="I121" i="1" s="1"/>
  <c r="I125" i="1" s="1"/>
  <c r="O105" i="1"/>
  <c r="V133" i="1"/>
  <c r="R131" i="1"/>
  <c r="M29" i="1"/>
  <c r="M31" i="1" s="1"/>
  <c r="M32" i="1" s="1"/>
  <c r="S29" i="1"/>
  <c r="G73" i="1"/>
  <c r="H74" i="1" s="1"/>
  <c r="F73" i="1"/>
  <c r="D131" i="1"/>
  <c r="Q69" i="1"/>
  <c r="Q133" i="1"/>
  <c r="T131" i="1"/>
  <c r="P32" i="1"/>
  <c r="Q68" i="1"/>
  <c r="D133" i="1"/>
  <c r="D69" i="1"/>
  <c r="D73" i="1"/>
  <c r="H133" i="1"/>
  <c r="D120" i="1"/>
  <c r="D121" i="1" s="1"/>
  <c r="D125" i="1" s="1"/>
  <c r="L120" i="1"/>
  <c r="D68" i="1"/>
  <c r="H69" i="1"/>
  <c r="Q131" i="1"/>
  <c r="J133" i="1"/>
  <c r="I69" i="1"/>
  <c r="M73" i="1"/>
  <c r="N74" i="1" s="1"/>
  <c r="M68" i="1"/>
  <c r="E117" i="1"/>
  <c r="O69" i="1"/>
  <c r="L69" i="1"/>
  <c r="J31" i="1"/>
  <c r="Y69" i="1"/>
  <c r="Y131" i="1"/>
  <c r="Y68" i="1"/>
  <c r="Y133" i="1"/>
  <c r="Z117" i="1"/>
  <c r="D38" i="1"/>
  <c r="D18" i="1" s="1"/>
  <c r="V68" i="1"/>
  <c r="G38" i="1"/>
  <c r="E38" i="1"/>
  <c r="B73" i="1"/>
  <c r="V69" i="1"/>
  <c r="K120" i="1"/>
  <c r="K121" i="1" s="1"/>
  <c r="J38" i="1"/>
  <c r="C31" i="1"/>
  <c r="D29" i="1"/>
  <c r="U31" i="1"/>
  <c r="F38" i="1"/>
  <c r="E31" i="1"/>
  <c r="H32" i="1"/>
  <c r="M117" i="1"/>
  <c r="M121" i="1" s="1"/>
  <c r="Q105" i="1"/>
  <c r="W131" i="1"/>
  <c r="J105" i="1"/>
  <c r="M105" i="1"/>
  <c r="V73" i="1"/>
  <c r="W74" i="1" s="1"/>
  <c r="R105" i="1"/>
  <c r="H125" i="1"/>
  <c r="B125" i="1"/>
  <c r="B126" i="1" s="1"/>
  <c r="G131" i="1"/>
  <c r="N117" i="1"/>
  <c r="N121" i="1" s="1"/>
  <c r="N125" i="1" s="1"/>
  <c r="O125" i="1"/>
  <c r="J117" i="1"/>
  <c r="J121" i="1" s="1"/>
  <c r="R117" i="1"/>
  <c r="K68" i="1"/>
  <c r="Q125" i="1"/>
  <c r="U125" i="1"/>
  <c r="R133" i="1"/>
  <c r="E131" i="1"/>
  <c r="X133" i="1"/>
  <c r="V125" i="1"/>
  <c r="U73" i="1"/>
  <c r="U69" i="1"/>
  <c r="V131" i="1"/>
  <c r="R68" i="1"/>
  <c r="D22" i="1"/>
  <c r="D20" i="1"/>
  <c r="X97" i="1"/>
  <c r="Z97" i="1"/>
  <c r="Z129" i="1" s="1"/>
  <c r="O97" i="1"/>
  <c r="V97" i="1"/>
  <c r="I97" i="1"/>
  <c r="L97" i="1"/>
  <c r="K97" i="1"/>
  <c r="E97" i="1"/>
  <c r="R97" i="1"/>
  <c r="L106" i="1"/>
  <c r="E106" i="1"/>
  <c r="D106" i="1"/>
  <c r="Z106" i="1"/>
  <c r="L74" i="1"/>
  <c r="G4" i="1"/>
  <c r="Q4" i="1"/>
  <c r="U9" i="1"/>
  <c r="U106" i="1"/>
  <c r="F106" i="1"/>
  <c r="F9" i="1"/>
  <c r="V106" i="1"/>
  <c r="U4" i="1"/>
  <c r="O74" i="1"/>
  <c r="J74" i="1"/>
  <c r="T106" i="1"/>
  <c r="T9" i="1"/>
  <c r="S9" i="1"/>
  <c r="T4" i="1"/>
  <c r="P9" i="1"/>
  <c r="P106" i="1"/>
  <c r="N4" i="1"/>
  <c r="I74" i="1"/>
  <c r="I4" i="1"/>
  <c r="H4" i="1"/>
  <c r="S106" i="1"/>
  <c r="AH81" i="1"/>
  <c r="AP99" i="1"/>
  <c r="BT95" i="1"/>
  <c r="BB102" i="1"/>
  <c r="BB105" i="1" s="1"/>
  <c r="AL4" i="1"/>
  <c r="AK4" i="1"/>
  <c r="BM65" i="1"/>
  <c r="BN109" i="1"/>
  <c r="AA118" i="1"/>
  <c r="AA120" i="1" s="1"/>
  <c r="BG97" i="1"/>
  <c r="BM133" i="1"/>
  <c r="BN133" i="1" s="1"/>
  <c r="IF20" i="132"/>
  <c r="AM83" i="1" s="1"/>
  <c r="BS97" i="1"/>
  <c r="BQ29" i="1"/>
  <c r="BC120" i="1"/>
  <c r="BD119" i="1" s="1"/>
  <c r="BD120" i="1" s="1"/>
  <c r="HY21" i="132"/>
  <c r="KD20" i="132"/>
  <c r="AV38" i="1"/>
  <c r="AV39" i="1" s="1"/>
  <c r="BE133" i="1"/>
  <c r="BF133" i="1" s="1"/>
  <c r="AI38" i="1"/>
  <c r="AI39" i="1" s="1"/>
  <c r="AM38" i="1"/>
  <c r="AM39" i="1" s="1"/>
  <c r="AM42" i="1" s="1"/>
  <c r="AM44" i="1" s="1"/>
  <c r="BM29" i="1"/>
  <c r="BM31" i="1" s="1"/>
  <c r="JK19" i="132"/>
  <c r="BR82" i="1" s="1"/>
  <c r="BW117" i="1"/>
  <c r="AO106" i="1"/>
  <c r="AR29" i="1"/>
  <c r="IV19" i="132"/>
  <c r="BC82" i="1" s="1"/>
  <c r="BY117" i="1"/>
  <c r="BM131" i="1"/>
  <c r="JT19" i="132"/>
  <c r="HQ20" i="132"/>
  <c r="AO29" i="1"/>
  <c r="AO31" i="1" s="1"/>
  <c r="AO38" i="1"/>
  <c r="BX32" i="1"/>
  <c r="BM73" i="1"/>
  <c r="AL95" i="1"/>
  <c r="AK117" i="1"/>
  <c r="BQ117" i="1"/>
  <c r="BJ38" i="1"/>
  <c r="BJ39" i="1" s="1"/>
  <c r="BJ42" i="1" s="1"/>
  <c r="BJ44" i="1" s="1"/>
  <c r="BJ48" i="1" s="1"/>
  <c r="AQ105" i="1"/>
  <c r="AQ106" i="1" s="1"/>
  <c r="AW97" i="1"/>
  <c r="BA105" i="1"/>
  <c r="BE105" i="1"/>
  <c r="BR38" i="1"/>
  <c r="BR39" i="1" s="1"/>
  <c r="BR42" i="1" s="1"/>
  <c r="BR44" i="1" s="1"/>
  <c r="BR48" i="1" s="1"/>
  <c r="AN31" i="1"/>
  <c r="AN39" i="1" s="1"/>
  <c r="AW38" i="1"/>
  <c r="AW39" i="1" s="1"/>
  <c r="BA42" i="1"/>
  <c r="BA44" i="1" s="1"/>
  <c r="BA48" i="1" s="1"/>
  <c r="AL48" i="1"/>
  <c r="AL96" i="1" s="1"/>
  <c r="AP38" i="1"/>
  <c r="BM106" i="1"/>
  <c r="BQ131" i="1"/>
  <c r="BY120" i="1"/>
  <c r="AQ133" i="1"/>
  <c r="AR133" i="1" s="1"/>
  <c r="BF38" i="1"/>
  <c r="BF39" i="1" s="1"/>
  <c r="BF42" i="1" s="1"/>
  <c r="BF44" i="1" s="1"/>
  <c r="BF48" i="1" s="1"/>
  <c r="BO44" i="1"/>
  <c r="BO48" i="1" s="1"/>
  <c r="AK106" i="1"/>
  <c r="BM125" i="1"/>
  <c r="BM126" i="1" s="1"/>
  <c r="BU42" i="1"/>
  <c r="BU44" i="1" s="1"/>
  <c r="BU48" i="1" s="1"/>
  <c r="BT32" i="1"/>
  <c r="AW106" i="1"/>
  <c r="BJ132" i="1"/>
  <c r="AH117" i="1"/>
  <c r="AH120" i="1"/>
  <c r="BB52" i="1"/>
  <c r="F120" i="1"/>
  <c r="H106" i="1"/>
  <c r="H9" i="1"/>
  <c r="I105" i="1"/>
  <c r="W105" i="1"/>
  <c r="I132" i="1"/>
  <c r="C121" i="1"/>
  <c r="C125" i="1" s="1"/>
  <c r="P132" i="1"/>
  <c r="T121" i="1"/>
  <c r="T125" i="1" s="1"/>
  <c r="L121" i="1"/>
  <c r="L125" i="1" s="1"/>
  <c r="C129" i="1"/>
  <c r="Y129" i="1"/>
  <c r="K72" i="1"/>
  <c r="BG29" i="1"/>
  <c r="IY21" i="132"/>
  <c r="BF81" i="1" s="1"/>
  <c r="JQ21" i="132"/>
  <c r="BX81" i="1" s="1"/>
  <c r="JE21" i="132"/>
  <c r="BL81" i="1" s="1"/>
  <c r="IT21" i="132"/>
  <c r="BA81" i="1" s="1"/>
  <c r="B42" i="1"/>
  <c r="B44" i="1" s="1"/>
  <c r="B48" i="1" s="1"/>
  <c r="K42" i="1"/>
  <c r="K44" i="1" s="1"/>
  <c r="K48" i="1" s="1"/>
  <c r="R42" i="1"/>
  <c r="R44" i="1" s="1"/>
  <c r="R48" i="1" s="1"/>
  <c r="E5" i="1"/>
  <c r="D126" i="1"/>
  <c r="G5" i="1"/>
  <c r="V126" i="1"/>
  <c r="U5" i="1"/>
  <c r="T126" i="1"/>
  <c r="T39" i="1"/>
  <c r="AY97" i="1"/>
  <c r="BB4" i="1"/>
  <c r="BA4" i="1"/>
  <c r="KE21" i="132"/>
  <c r="KB21" i="132"/>
  <c r="JU21" i="132"/>
  <c r="II20" i="132"/>
  <c r="AP83" i="1" s="1"/>
  <c r="ID20" i="132"/>
  <c r="AK83" i="1" s="1"/>
  <c r="IN20" i="132"/>
  <c r="AU83" i="1" s="1"/>
  <c r="AU91" i="1" s="1"/>
  <c r="IA19" i="132"/>
  <c r="AH82" i="1" s="1"/>
  <c r="AH90" i="1" s="1"/>
  <c r="JC19" i="132"/>
  <c r="BJ82" i="1" s="1"/>
  <c r="BN38" i="1"/>
  <c r="KC20" i="132"/>
  <c r="BK105" i="1"/>
  <c r="JZ19" i="132"/>
  <c r="IB20" i="132"/>
  <c r="AI83" i="1" s="1"/>
  <c r="AI91" i="1" s="1"/>
  <c r="KG20" i="132"/>
  <c r="BH29" i="1"/>
  <c r="IQ19" i="132"/>
  <c r="AX82" i="1" s="1"/>
  <c r="JV20" i="132"/>
  <c r="JI19" i="132"/>
  <c r="BP82" i="1" s="1"/>
  <c r="BP90" i="1" s="1"/>
  <c r="HP19" i="132"/>
  <c r="IL21" i="132"/>
  <c r="AS81" i="1" s="1"/>
  <c r="AS89" i="1" s="1"/>
  <c r="BC97" i="1"/>
  <c r="HS19" i="132"/>
  <c r="ID19" i="132"/>
  <c r="AK82" i="1" s="1"/>
  <c r="AK90" i="1" s="1"/>
  <c r="IH20" i="132"/>
  <c r="AO83" i="1" s="1"/>
  <c r="AO91" i="1" s="1"/>
  <c r="BT38" i="1"/>
  <c r="JB20" i="132"/>
  <c r="BI83" i="1" s="1"/>
  <c r="BI91" i="1" s="1"/>
  <c r="JY19" i="132"/>
  <c r="JO19" i="132"/>
  <c r="BV82" i="1" s="1"/>
  <c r="JM19" i="132"/>
  <c r="BT82" i="1" s="1"/>
  <c r="JM20" i="132"/>
  <c r="BT83" i="1" s="1"/>
  <c r="JS19" i="132"/>
  <c r="KG19" i="132"/>
  <c r="HW21" i="132"/>
  <c r="AM48" i="1"/>
  <c r="KD19" i="132"/>
  <c r="IO19" i="132"/>
  <c r="AV82" i="1" s="1"/>
  <c r="IZ20" i="132"/>
  <c r="BG83" i="1" s="1"/>
  <c r="IB19" i="132"/>
  <c r="AI82" i="1" s="1"/>
  <c r="AI90" i="1" s="1"/>
  <c r="AP29" i="1"/>
  <c r="JP19" i="132"/>
  <c r="BW82" i="1" s="1"/>
  <c r="BW90" i="1" s="1"/>
  <c r="AU38" i="1"/>
  <c r="JR20" i="132"/>
  <c r="BY83" i="1" s="1"/>
  <c r="HU21" i="132"/>
  <c r="JW21" i="132"/>
  <c r="JI20" i="132"/>
  <c r="BP83" i="1" s="1"/>
  <c r="BP91" i="1" s="1"/>
  <c r="IK21" i="132"/>
  <c r="AR81" i="1" s="1"/>
  <c r="IS20" i="132"/>
  <c r="AZ83" i="1" s="1"/>
  <c r="JV19" i="132"/>
  <c r="KE20" i="132"/>
  <c r="BV38" i="1"/>
  <c r="JW20" i="132"/>
  <c r="JX19" i="132"/>
  <c r="KC19" i="132"/>
  <c r="BO120" i="1"/>
  <c r="IL19" i="132"/>
  <c r="AS82" i="1" s="1"/>
  <c r="AS90" i="1" s="1"/>
  <c r="KF21" i="132"/>
  <c r="JE19" i="132"/>
  <c r="BL82" i="1" s="1"/>
  <c r="BL90" i="1" s="1"/>
  <c r="II19" i="132"/>
  <c r="AP82" i="1" s="1"/>
  <c r="JL20" i="132"/>
  <c r="BS83" i="1" s="1"/>
  <c r="HW19" i="132"/>
  <c r="JD20" i="132"/>
  <c r="BK83" i="1" s="1"/>
  <c r="BK91" i="1" s="1"/>
  <c r="JK20" i="132"/>
  <c r="BR83" i="1" s="1"/>
  <c r="KH20" i="132"/>
  <c r="IX20" i="132"/>
  <c r="BE83" i="1" s="1"/>
  <c r="BE91" i="1" s="1"/>
  <c r="JU19" i="132"/>
  <c r="HY19" i="132"/>
  <c r="IO20" i="132"/>
  <c r="AV83" i="1" s="1"/>
  <c r="IN21" i="132"/>
  <c r="AU81" i="1" s="1"/>
  <c r="AU89" i="1" s="1"/>
  <c r="HQ21" i="132"/>
  <c r="JF21" i="132"/>
  <c r="BM81" i="1" s="1"/>
  <c r="BA106" i="1"/>
  <c r="AX48" i="1"/>
  <c r="BS48" i="1"/>
  <c r="BB96" i="1"/>
  <c r="BB97" i="1" s="1"/>
  <c r="BK42" i="1"/>
  <c r="BK44" i="1" s="1"/>
  <c r="BK48" i="1" s="1"/>
  <c r="AY48" i="1"/>
  <c r="HP21" i="132"/>
  <c r="JL21" i="132"/>
  <c r="BS81" i="1" s="1"/>
  <c r="IV21" i="132"/>
  <c r="BC81" i="1" s="1"/>
  <c r="BI29" i="1"/>
  <c r="IF19" i="132"/>
  <c r="AM82" i="1" s="1"/>
  <c r="AM90" i="1" s="1"/>
  <c r="JI21" i="132"/>
  <c r="BP81" i="1" s="1"/>
  <c r="JM21" i="132"/>
  <c r="BT81" i="1" s="1"/>
  <c r="BE9" i="1"/>
  <c r="Z66" i="1"/>
  <c r="U62" i="1"/>
  <c r="T61" i="1"/>
  <c r="T66" i="1"/>
  <c r="S61" i="1"/>
  <c r="S66" i="1"/>
  <c r="Y66" i="1"/>
  <c r="X66" i="1"/>
  <c r="BF57" i="1"/>
  <c r="R66" i="1"/>
  <c r="Q66" i="1"/>
  <c r="Q62" i="1" s="1"/>
  <c r="W66" i="1"/>
  <c r="P61" i="1"/>
  <c r="P66" i="1"/>
  <c r="O61" i="1"/>
  <c r="BC44" i="1"/>
  <c r="BC48" i="1" s="1"/>
  <c r="O66" i="1"/>
  <c r="BA57" i="1"/>
  <c r="BA61" i="1"/>
  <c r="BA62" i="1" s="1"/>
  <c r="M66" i="1"/>
  <c r="W72" i="1"/>
  <c r="M61" i="1"/>
  <c r="M62" i="1" s="1"/>
  <c r="L61" i="1"/>
  <c r="L66" i="1"/>
  <c r="AW40" i="1"/>
  <c r="K61" i="1"/>
  <c r="K66" i="1"/>
  <c r="W39" i="1"/>
  <c r="J61" i="1"/>
  <c r="J66" i="1"/>
  <c r="AW61" i="1"/>
  <c r="AW62" i="1" s="1"/>
  <c r="I61" i="1"/>
  <c r="I66" i="1"/>
  <c r="H61" i="1"/>
  <c r="H66" i="1"/>
  <c r="BJ57" i="1"/>
  <c r="G66" i="1"/>
  <c r="G61" i="1"/>
  <c r="G62" i="1" s="1"/>
  <c r="F61" i="1"/>
  <c r="F66" i="1"/>
  <c r="AS57" i="1"/>
  <c r="E61" i="1"/>
  <c r="E62" i="1" s="1"/>
  <c r="D61" i="1"/>
  <c r="D66" i="1"/>
  <c r="C61" i="1"/>
  <c r="C62" i="1" s="1"/>
  <c r="C89" i="1" s="1"/>
  <c r="AQ90" i="1"/>
  <c r="AO89" i="1"/>
  <c r="AK61" i="1"/>
  <c r="AK62" i="1" s="1"/>
  <c r="AK89" i="1"/>
  <c r="AJ90" i="1"/>
  <c r="AI89" i="1"/>
  <c r="X61" i="1"/>
  <c r="X4" i="1"/>
  <c r="AU106" i="1"/>
  <c r="BM66" i="1"/>
  <c r="BM62" i="1" s="1"/>
  <c r="BM91" i="1" s="1"/>
  <c r="BM90" i="1"/>
  <c r="BO90" i="1"/>
  <c r="Y61" i="1"/>
  <c r="BX57" i="1"/>
  <c r="AH42" i="1"/>
  <c r="AH44" i="1" s="1"/>
  <c r="AH48" i="1" s="1"/>
  <c r="BS125" i="1"/>
  <c r="AI106" i="1"/>
  <c r="AL73" i="1"/>
  <c r="AM74" i="1" s="1"/>
  <c r="AM72" i="1" s="1"/>
  <c r="AK73" i="1"/>
  <c r="BD72" i="1"/>
  <c r="BX62" i="1"/>
  <c r="BX9" i="1"/>
  <c r="AA41" i="1"/>
  <c r="AA28" i="1"/>
  <c r="AA33" i="1"/>
  <c r="AA38" i="1" s="1"/>
  <c r="AQ126" i="1"/>
  <c r="AA27" i="1"/>
  <c r="I31" i="1"/>
  <c r="Y121" i="1"/>
  <c r="Y125" i="1" s="1"/>
  <c r="N32" i="1"/>
  <c r="S31" i="1"/>
  <c r="L32" i="1"/>
  <c r="E121" i="1"/>
  <c r="E125" i="1" s="1"/>
  <c r="X121" i="1"/>
  <c r="X125" i="1" s="1"/>
  <c r="D31" i="1"/>
  <c r="K125" i="1"/>
  <c r="G129" i="1"/>
  <c r="D129" i="1"/>
  <c r="P129" i="1"/>
  <c r="U129" i="1"/>
  <c r="D14" i="1"/>
  <c r="D17" i="1" s="1"/>
  <c r="D19" i="1" s="1"/>
  <c r="D21" i="1" s="1"/>
  <c r="D23" i="1" s="1"/>
  <c r="BW29" i="1"/>
  <c r="AV99" i="1"/>
  <c r="KA21" i="132"/>
  <c r="IZ21" i="132"/>
  <c r="BG81" i="1" s="1"/>
  <c r="JW19" i="132"/>
  <c r="BO81" i="1"/>
  <c r="BO89" i="1" s="1"/>
  <c r="BV81" i="1"/>
  <c r="HQ19" i="132"/>
  <c r="JG21" i="132"/>
  <c r="BN81" i="1" s="1"/>
  <c r="BD31" i="1"/>
  <c r="IJ21" i="132"/>
  <c r="AQ81" i="1" s="1"/>
  <c r="AQ89" i="1" s="1"/>
  <c r="JN21" i="132"/>
  <c r="BU81" i="1" s="1"/>
  <c r="BU89" i="1" s="1"/>
  <c r="AM4" i="1"/>
  <c r="AN4" i="1"/>
  <c r="BS32" i="1"/>
  <c r="AK133" i="1"/>
  <c r="AL133" i="1" s="1"/>
  <c r="AK129" i="1"/>
  <c r="BS40" i="1"/>
  <c r="AK9" i="1"/>
  <c r="BO52" i="1"/>
  <c r="BY49" i="1"/>
  <c r="BU52" i="1"/>
  <c r="BR18" i="1"/>
  <c r="BR19" i="1" s="1"/>
  <c r="BR21" i="1" s="1"/>
  <c r="BR23" i="1" s="1"/>
  <c r="JC21" i="132"/>
  <c r="BJ81" i="1" s="1"/>
  <c r="BA129" i="1"/>
  <c r="BA132" i="1"/>
  <c r="BA9" i="1"/>
  <c r="JY20" i="132"/>
  <c r="JP21" i="132"/>
  <c r="BW81" i="1" s="1"/>
  <c r="BW89" i="1" s="1"/>
  <c r="KC21" i="132"/>
  <c r="KE19" i="132"/>
  <c r="IQ20" i="132"/>
  <c r="AX83" i="1" s="1"/>
  <c r="BF40" i="1"/>
  <c r="AQ9" i="1"/>
  <c r="AQ129" i="1"/>
  <c r="AQ132" i="1"/>
  <c r="BF49" i="1"/>
  <c r="BX106" i="1"/>
  <c r="BX121" i="1" s="1"/>
  <c r="BX125" i="1" s="1"/>
  <c r="BX126" i="1" s="1"/>
  <c r="AU132" i="1"/>
  <c r="BX52" i="1"/>
  <c r="BI89" i="1"/>
  <c r="BS14" i="1"/>
  <c r="BS17" i="1" s="1"/>
  <c r="BS19" i="1" s="1"/>
  <c r="BS21" i="1" s="1"/>
  <c r="BS23" i="1" s="1"/>
  <c r="HT21" i="132"/>
  <c r="AO72" i="1"/>
  <c r="AN32" i="1"/>
  <c r="AN40" i="1"/>
  <c r="AW126" i="1"/>
  <c r="BX20" i="1"/>
  <c r="BX21" i="1" s="1"/>
  <c r="BX23" i="1" s="1"/>
  <c r="O133" i="1"/>
  <c r="S125" i="1"/>
  <c r="S126" i="1" s="1"/>
  <c r="Z121" i="1"/>
  <c r="Z125" i="1" s="1"/>
  <c r="Z126" i="1" s="1"/>
  <c r="P72" i="1"/>
  <c r="I129" i="1"/>
  <c r="R129" i="1"/>
  <c r="N72" i="1"/>
  <c r="AZ95" i="1"/>
  <c r="AZ97" i="1" s="1"/>
  <c r="AJ99" i="1"/>
  <c r="AJ106" i="1" s="1"/>
  <c r="AJ121" i="1" s="1"/>
  <c r="AJ125" i="1" s="1"/>
  <c r="AJ126" i="1" s="1"/>
  <c r="IQ21" i="132"/>
  <c r="AX81" i="1" s="1"/>
  <c r="IR21" i="132"/>
  <c r="AY81" i="1" s="1"/>
  <c r="JJ19" i="132"/>
  <c r="BQ82" i="1" s="1"/>
  <c r="BQ90" i="1" s="1"/>
  <c r="AP131" i="1"/>
  <c r="AP132" i="1"/>
  <c r="AR132" i="1"/>
  <c r="Y74" i="1" l="1"/>
  <c r="X74" i="1"/>
  <c r="S129" i="1"/>
  <c r="T132" i="1"/>
  <c r="Q72" i="1"/>
  <c r="Q31" i="1"/>
  <c r="H13" i="1"/>
  <c r="J4" i="1"/>
  <c r="G9" i="1"/>
  <c r="D9" i="1"/>
  <c r="D4" i="1"/>
  <c r="M74" i="1"/>
  <c r="M72" i="1" s="1"/>
  <c r="O39" i="1"/>
  <c r="G39" i="1"/>
  <c r="H72" i="1"/>
  <c r="F15" i="1"/>
  <c r="U39" i="1"/>
  <c r="L39" i="1"/>
  <c r="L40" i="1"/>
  <c r="H5" i="1"/>
  <c r="H126" i="1"/>
  <c r="M39" i="1"/>
  <c r="P126" i="1"/>
  <c r="T5" i="1"/>
  <c r="N39" i="1"/>
  <c r="H39" i="1"/>
  <c r="H18" i="1"/>
  <c r="H20" i="1"/>
  <c r="F12" i="1"/>
  <c r="W61" i="1"/>
  <c r="W62" i="1" s="1"/>
  <c r="AW4" i="1"/>
  <c r="AX4" i="1"/>
  <c r="W4" i="1"/>
  <c r="AT89" i="1"/>
  <c r="AL57" i="1"/>
  <c r="AM91" i="1"/>
  <c r="BJ40" i="1"/>
  <c r="AH89" i="1"/>
  <c r="X72" i="1"/>
  <c r="Y72" i="1"/>
  <c r="X39" i="1"/>
  <c r="Y39" i="1"/>
  <c r="BR57" i="1"/>
  <c r="BU57" i="1"/>
  <c r="BO57" i="1"/>
  <c r="AW9" i="1"/>
  <c r="X9" i="1"/>
  <c r="AW129" i="1"/>
  <c r="AW5" i="1"/>
  <c r="AX5" i="1"/>
  <c r="Y9" i="1"/>
  <c r="AS5" i="1"/>
  <c r="AT5" i="1"/>
  <c r="BO5" i="1"/>
  <c r="BP5" i="1"/>
  <c r="F121" i="1"/>
  <c r="F125" i="1" s="1"/>
  <c r="M125" i="1"/>
  <c r="R121" i="1"/>
  <c r="R125" i="1" s="1"/>
  <c r="C106" i="1"/>
  <c r="C132" i="1"/>
  <c r="D132" i="1"/>
  <c r="H129" i="1"/>
  <c r="H132" i="1"/>
  <c r="P39" i="1"/>
  <c r="Q32" i="1"/>
  <c r="N106" i="1"/>
  <c r="N9" i="1"/>
  <c r="N129" i="1"/>
  <c r="N132" i="1"/>
  <c r="T74" i="1"/>
  <c r="T72" i="1" s="1"/>
  <c r="S74" i="1"/>
  <c r="S72" i="1" s="1"/>
  <c r="X32" i="1"/>
  <c r="Y32" i="1"/>
  <c r="F31" i="1"/>
  <c r="V39" i="1"/>
  <c r="W32" i="1"/>
  <c r="X106" i="1"/>
  <c r="X126" i="1" s="1"/>
  <c r="X129" i="1"/>
  <c r="Y106" i="1"/>
  <c r="Y126" i="1" s="1"/>
  <c r="Z132" i="1"/>
  <c r="Y132" i="1"/>
  <c r="O9" i="1"/>
  <c r="O106" i="1"/>
  <c r="O132" i="1"/>
  <c r="F74" i="1"/>
  <c r="G74" i="1"/>
  <c r="G72" i="1" s="1"/>
  <c r="D74" i="1"/>
  <c r="D72" i="1" s="1"/>
  <c r="E74" i="1"/>
  <c r="E72" i="1" s="1"/>
  <c r="J39" i="1"/>
  <c r="K32" i="1"/>
  <c r="C39" i="1"/>
  <c r="C32" i="1"/>
  <c r="V32" i="1"/>
  <c r="U32" i="1"/>
  <c r="E39" i="1"/>
  <c r="F32" i="1"/>
  <c r="Q106" i="1"/>
  <c r="Q9" i="1"/>
  <c r="Q129" i="1"/>
  <c r="Q132" i="1"/>
  <c r="J106" i="1"/>
  <c r="J9" i="1"/>
  <c r="J129" i="1"/>
  <c r="K132" i="1"/>
  <c r="M9" i="1"/>
  <c r="M129" i="1"/>
  <c r="M106" i="1"/>
  <c r="R106" i="1"/>
  <c r="R9" i="1"/>
  <c r="R132" i="1"/>
  <c r="S132" i="1"/>
  <c r="V74" i="1"/>
  <c r="V72" i="1" s="1"/>
  <c r="U74" i="1"/>
  <c r="U72" i="1" s="1"/>
  <c r="O4" i="1"/>
  <c r="P4" i="1"/>
  <c r="V61" i="1"/>
  <c r="V62" i="1" s="1"/>
  <c r="V129" i="1"/>
  <c r="M4" i="1"/>
  <c r="L9" i="1"/>
  <c r="L129" i="1"/>
  <c r="L4" i="1"/>
  <c r="K4" i="1"/>
  <c r="K9" i="1"/>
  <c r="K129" i="1"/>
  <c r="K106" i="1"/>
  <c r="F4" i="1"/>
  <c r="E4" i="1"/>
  <c r="E9" i="1"/>
  <c r="S4" i="1"/>
  <c r="R4" i="1"/>
  <c r="BN65" i="1"/>
  <c r="BN66" i="1" s="1"/>
  <c r="BN64" i="1"/>
  <c r="BN73" i="1"/>
  <c r="BO74" i="1" s="1"/>
  <c r="BO72" i="1" s="1"/>
  <c r="BN102" i="1"/>
  <c r="BN105" i="1" s="1"/>
  <c r="BI4" i="1"/>
  <c r="BJ4" i="1"/>
  <c r="BG4" i="1"/>
  <c r="BH4" i="1"/>
  <c r="BS129" i="1"/>
  <c r="BV4" i="1"/>
  <c r="AA4" i="1" s="1"/>
  <c r="BU4" i="1"/>
  <c r="BS61" i="1"/>
  <c r="BS62" i="1" s="1"/>
  <c r="BT4" i="1"/>
  <c r="BS4" i="1"/>
  <c r="BS9" i="1"/>
  <c r="BQ72" i="1"/>
  <c r="BQ31" i="1"/>
  <c r="AZ40" i="1"/>
  <c r="AV42" i="1"/>
  <c r="AV44" i="1" s="1"/>
  <c r="AV48" i="1" s="1"/>
  <c r="AI42" i="1"/>
  <c r="AI44" i="1" s="1"/>
  <c r="AI48" i="1" s="1"/>
  <c r="AM40" i="1"/>
  <c r="BM39" i="1"/>
  <c r="BQ32" i="1"/>
  <c r="BX116" i="1"/>
  <c r="BX117" i="1" s="1"/>
  <c r="BW121" i="1"/>
  <c r="BW125" i="1" s="1"/>
  <c r="BW126" i="1" s="1"/>
  <c r="AP5" i="1"/>
  <c r="AO5" i="1"/>
  <c r="AR72" i="1"/>
  <c r="AR31" i="1"/>
  <c r="BY121" i="1"/>
  <c r="AA117" i="1"/>
  <c r="AO32" i="1"/>
  <c r="AS32" i="1"/>
  <c r="AO39" i="1"/>
  <c r="AK121" i="1"/>
  <c r="AK125" i="1" s="1"/>
  <c r="AK126" i="1" s="1"/>
  <c r="AL116" i="1"/>
  <c r="AL117" i="1" s="1"/>
  <c r="BQ121" i="1"/>
  <c r="BQ125" i="1" s="1"/>
  <c r="BQ126" i="1" s="1"/>
  <c r="BR116" i="1"/>
  <c r="BR117" i="1" s="1"/>
  <c r="BJ52" i="1"/>
  <c r="BJ96" i="1"/>
  <c r="BJ97" i="1" s="1"/>
  <c r="AR5" i="1"/>
  <c r="AQ5" i="1"/>
  <c r="BE129" i="1"/>
  <c r="BE132" i="1"/>
  <c r="BI132" i="1"/>
  <c r="BE106" i="1"/>
  <c r="BE126" i="1" s="1"/>
  <c r="BR96" i="1"/>
  <c r="BR97" i="1" s="1"/>
  <c r="BR52" i="1"/>
  <c r="AN42" i="1"/>
  <c r="AN44" i="1" s="1"/>
  <c r="AN48" i="1" s="1"/>
  <c r="BA40" i="1"/>
  <c r="AW42" i="1"/>
  <c r="AW44" i="1" s="1"/>
  <c r="AW48" i="1" s="1"/>
  <c r="BJ49" i="1"/>
  <c r="BF52" i="1"/>
  <c r="BF96" i="1"/>
  <c r="BF97" i="1" s="1"/>
  <c r="U126" i="1"/>
  <c r="AL97" i="1"/>
  <c r="AH121" i="1"/>
  <c r="AH125" i="1" s="1"/>
  <c r="AH126" i="1" s="1"/>
  <c r="J132" i="1"/>
  <c r="M132" i="1"/>
  <c r="J125" i="1"/>
  <c r="O129" i="1"/>
  <c r="E129" i="1"/>
  <c r="L72" i="1"/>
  <c r="O72" i="1"/>
  <c r="J72" i="1"/>
  <c r="O42" i="1"/>
  <c r="O44" i="1" s="1"/>
  <c r="O48" i="1" s="1"/>
  <c r="G42" i="1"/>
  <c r="G44" i="1" s="1"/>
  <c r="G48" i="1" s="1"/>
  <c r="L126" i="1"/>
  <c r="F5" i="1"/>
  <c r="G20" i="1" s="1"/>
  <c r="AK91" i="1"/>
  <c r="G18" i="1"/>
  <c r="F18" i="1"/>
  <c r="F22" i="1"/>
  <c r="H22" i="1"/>
  <c r="U18" i="1"/>
  <c r="I18" i="1"/>
  <c r="I20" i="1"/>
  <c r="BM89" i="1"/>
  <c r="V9" i="1"/>
  <c r="V4" i="1"/>
  <c r="V5" i="1"/>
  <c r="BG9" i="1"/>
  <c r="R61" i="1"/>
  <c r="BG129" i="1"/>
  <c r="BG61" i="1"/>
  <c r="BG62" i="1" s="1"/>
  <c r="BG90" i="1" s="1"/>
  <c r="K62" i="1"/>
  <c r="AQ40" i="1"/>
  <c r="D62" i="1"/>
  <c r="Z72" i="1"/>
  <c r="Z39" i="1"/>
  <c r="AO126" i="1"/>
  <c r="Z61" i="1"/>
  <c r="Z9" i="1"/>
  <c r="BC121" i="1"/>
  <c r="BC125" i="1" s="1"/>
  <c r="BG106" i="1"/>
  <c r="AL52" i="1"/>
  <c r="BS106" i="1"/>
  <c r="BE49" i="1"/>
  <c r="BA52" i="1"/>
  <c r="AK5" i="1"/>
  <c r="AL5" i="1"/>
  <c r="AM5" i="1"/>
  <c r="AN5" i="1"/>
  <c r="AO18" i="1"/>
  <c r="AM18" i="1"/>
  <c r="BM74" i="1"/>
  <c r="BM72" i="1" s="1"/>
  <c r="BL89" i="1"/>
  <c r="E126" i="1"/>
  <c r="F126" i="1"/>
  <c r="I72" i="1"/>
  <c r="I106" i="1"/>
  <c r="I9" i="1"/>
  <c r="W129" i="1"/>
  <c r="X132" i="1"/>
  <c r="W9" i="1"/>
  <c r="W106" i="1"/>
  <c r="W132" i="1"/>
  <c r="BG72" i="1"/>
  <c r="BG31" i="1"/>
  <c r="B57" i="1"/>
  <c r="B52" i="1"/>
  <c r="K57" i="1"/>
  <c r="K58" i="1" s="1"/>
  <c r="K75" i="1"/>
  <c r="K52" i="1"/>
  <c r="R57" i="1"/>
  <c r="R58" i="1" s="1"/>
  <c r="R52" i="1"/>
  <c r="R75" i="1"/>
  <c r="F7" i="1"/>
  <c r="G22" i="1"/>
  <c r="G12" i="1"/>
  <c r="G13" i="1"/>
  <c r="G15" i="1"/>
  <c r="F13" i="1"/>
  <c r="F14" i="1" s="1"/>
  <c r="F17" i="1" s="1"/>
  <c r="F19" i="1" s="1"/>
  <c r="F20" i="1"/>
  <c r="H12" i="1"/>
  <c r="H15" i="1"/>
  <c r="V22" i="1"/>
  <c r="V13" i="1"/>
  <c r="V18" i="1"/>
  <c r="V20" i="1"/>
  <c r="V15" i="1"/>
  <c r="V12" i="1"/>
  <c r="V14" i="1" s="1"/>
  <c r="V17" i="1" s="1"/>
  <c r="V19" i="1" s="1"/>
  <c r="V21" i="1" s="1"/>
  <c r="V23" i="1" s="1"/>
  <c r="L42" i="1"/>
  <c r="L44" i="1" s="1"/>
  <c r="L48" i="1" s="1"/>
  <c r="I15" i="1"/>
  <c r="I13" i="1"/>
  <c r="I12" i="1"/>
  <c r="I14" i="1" s="1"/>
  <c r="I17" i="1" s="1"/>
  <c r="H7" i="1"/>
  <c r="N40" i="1"/>
  <c r="M42" i="1"/>
  <c r="M44" i="1" s="1"/>
  <c r="M48" i="1" s="1"/>
  <c r="U15" i="1"/>
  <c r="U22" i="1"/>
  <c r="U20" i="1"/>
  <c r="U13" i="1"/>
  <c r="U12" i="1"/>
  <c r="U14" i="1" s="1"/>
  <c r="U17" i="1" s="1"/>
  <c r="N42" i="1"/>
  <c r="N44" i="1" s="1"/>
  <c r="N48" i="1" s="1"/>
  <c r="O40" i="1"/>
  <c r="H42" i="1"/>
  <c r="H44" i="1" s="1"/>
  <c r="H48" i="1" s="1"/>
  <c r="U40" i="1"/>
  <c r="T42" i="1"/>
  <c r="T44" i="1" s="1"/>
  <c r="T48" i="1" s="1"/>
  <c r="AY61" i="1"/>
  <c r="AY62" i="1" s="1"/>
  <c r="AY129" i="1"/>
  <c r="AY9" i="1"/>
  <c r="AY4" i="1"/>
  <c r="AY106" i="1"/>
  <c r="AZ4" i="1"/>
  <c r="BN39" i="1"/>
  <c r="BK9" i="1"/>
  <c r="BK106" i="1"/>
  <c r="BO132" i="1"/>
  <c r="BK129" i="1"/>
  <c r="BK132" i="1"/>
  <c r="BN132" i="1" s="1"/>
  <c r="BH72" i="1"/>
  <c r="BH31" i="1"/>
  <c r="BE4" i="1"/>
  <c r="BF4" i="1"/>
  <c r="BC61" i="1"/>
  <c r="BC62" i="1" s="1"/>
  <c r="BC9" i="1"/>
  <c r="BC129" i="1"/>
  <c r="BD4" i="1"/>
  <c r="BC4" i="1"/>
  <c r="BC106" i="1"/>
  <c r="BT39" i="1"/>
  <c r="AA82" i="1"/>
  <c r="AA90" i="1" s="1"/>
  <c r="AM57" i="1"/>
  <c r="AQ49" i="1"/>
  <c r="AM52" i="1"/>
  <c r="AP72" i="1"/>
  <c r="AP31" i="1"/>
  <c r="AU39" i="1"/>
  <c r="AA83" i="1"/>
  <c r="AA91" i="1" s="1"/>
  <c r="BY91" i="1"/>
  <c r="BZ91" i="1" s="1"/>
  <c r="BV39" i="1"/>
  <c r="BO121" i="1"/>
  <c r="BO125" i="1" s="1"/>
  <c r="BO126" i="1" s="1"/>
  <c r="BP119" i="1"/>
  <c r="BP120" i="1" s="1"/>
  <c r="BA126" i="1"/>
  <c r="BA5" i="1"/>
  <c r="BB5" i="1"/>
  <c r="AX49" i="1"/>
  <c r="AX52" i="1"/>
  <c r="BB49" i="1"/>
  <c r="AX57" i="1"/>
  <c r="AX96" i="1"/>
  <c r="AX97" i="1" s="1"/>
  <c r="BS57" i="1"/>
  <c r="BS52" i="1"/>
  <c r="BS49" i="1"/>
  <c r="BB9" i="1"/>
  <c r="BB129" i="1"/>
  <c r="BB61" i="1"/>
  <c r="BB62" i="1" s="1"/>
  <c r="BB106" i="1"/>
  <c r="BB121" i="1" s="1"/>
  <c r="BB125" i="1" s="1"/>
  <c r="BB126" i="1" s="1"/>
  <c r="BK52" i="1"/>
  <c r="BO49" i="1"/>
  <c r="BK57" i="1"/>
  <c r="AY52" i="1"/>
  <c r="BC49" i="1"/>
  <c r="AY57" i="1"/>
  <c r="BI31" i="1"/>
  <c r="BI72" i="1"/>
  <c r="U91" i="1"/>
  <c r="U89" i="1"/>
  <c r="U90" i="1"/>
  <c r="W20" i="1"/>
  <c r="W22" i="1"/>
  <c r="V7" i="1"/>
  <c r="Q89" i="1"/>
  <c r="Q90" i="1"/>
  <c r="Q91" i="1"/>
  <c r="BC52" i="1"/>
  <c r="BC57" i="1"/>
  <c r="BC58" i="1" s="1"/>
  <c r="BB58" i="1"/>
  <c r="BA90" i="1"/>
  <c r="BA91" i="1"/>
  <c r="M90" i="1"/>
  <c r="M89" i="1"/>
  <c r="M91" i="1"/>
  <c r="K91" i="1"/>
  <c r="K90" i="1"/>
  <c r="K89" i="1"/>
  <c r="X40" i="1"/>
  <c r="W42" i="1"/>
  <c r="W44" i="1" s="1"/>
  <c r="W48" i="1" s="1"/>
  <c r="AW90" i="1"/>
  <c r="AW91" i="1"/>
  <c r="AW89" i="1"/>
  <c r="W90" i="1"/>
  <c r="G91" i="1"/>
  <c r="G89" i="1"/>
  <c r="G90" i="1"/>
  <c r="E90" i="1"/>
  <c r="E91" i="1"/>
  <c r="E89" i="1"/>
  <c r="AU126" i="1"/>
  <c r="AU5" i="1"/>
  <c r="AV5" i="1"/>
  <c r="AH52" i="1"/>
  <c r="AL49" i="1"/>
  <c r="AH57" i="1"/>
  <c r="AI126" i="1"/>
  <c r="AJ5" i="1"/>
  <c r="AI5" i="1"/>
  <c r="AL74" i="1"/>
  <c r="AL72" i="1" s="1"/>
  <c r="AK74" i="1"/>
  <c r="AK72" i="1" s="1"/>
  <c r="BX91" i="1"/>
  <c r="BX90" i="1"/>
  <c r="AA29" i="1"/>
  <c r="AA31" i="1" s="1"/>
  <c r="J32" i="1"/>
  <c r="I39" i="1"/>
  <c r="I32" i="1"/>
  <c r="S32" i="1"/>
  <c r="T32" i="1"/>
  <c r="S39" i="1"/>
  <c r="E32" i="1"/>
  <c r="D32" i="1"/>
  <c r="D39" i="1"/>
  <c r="BW72" i="1"/>
  <c r="BW31" i="1"/>
  <c r="BD32" i="1"/>
  <c r="BD39" i="1"/>
  <c r="AZ129" i="1"/>
  <c r="AZ9" i="1"/>
  <c r="AZ61" i="1"/>
  <c r="AZ62" i="1" s="1"/>
  <c r="AZ106" i="1"/>
  <c r="AZ121" i="1" s="1"/>
  <c r="AZ125" i="1" s="1"/>
  <c r="AZ126" i="1" s="1"/>
  <c r="BX89" i="1"/>
  <c r="BA89" i="1"/>
  <c r="T62" i="1"/>
  <c r="S62" i="1"/>
  <c r="P62" i="1"/>
  <c r="O62" i="1"/>
  <c r="L62" i="1"/>
  <c r="J62" i="1"/>
  <c r="I62" i="1"/>
  <c r="H62" i="1"/>
  <c r="F62" i="1"/>
  <c r="X62" i="1"/>
  <c r="Y62" i="1"/>
  <c r="BP89" i="1"/>
  <c r="AR131" i="1"/>
  <c r="AT132" i="1"/>
  <c r="AU18" i="1" l="1"/>
  <c r="Q39" i="1"/>
  <c r="R32" i="1"/>
  <c r="H40" i="1"/>
  <c r="Z4" i="1"/>
  <c r="J126" i="1"/>
  <c r="P40" i="1"/>
  <c r="G7" i="1"/>
  <c r="H14" i="1"/>
  <c r="U7" i="1"/>
  <c r="V40" i="1"/>
  <c r="U42" i="1"/>
  <c r="U44" i="1" s="1"/>
  <c r="U48" i="1" s="1"/>
  <c r="M40" i="1"/>
  <c r="I22" i="1"/>
  <c r="I19" i="1"/>
  <c r="I21" i="1" s="1"/>
  <c r="I23" i="1" s="1"/>
  <c r="W91" i="1"/>
  <c r="W89" i="1"/>
  <c r="D89" i="1"/>
  <c r="D91" i="1"/>
  <c r="D90" i="1"/>
  <c r="Y40" i="1"/>
  <c r="X42" i="1"/>
  <c r="X44" i="1" s="1"/>
  <c r="X48" i="1" s="1"/>
  <c r="Z40" i="1"/>
  <c r="Y42" i="1"/>
  <c r="Y44" i="1" s="1"/>
  <c r="Y48" i="1" s="1"/>
  <c r="AX18" i="1"/>
  <c r="AX20" i="1"/>
  <c r="AX12" i="1"/>
  <c r="AX22" i="1"/>
  <c r="AX15" i="1"/>
  <c r="AW7" i="1"/>
  <c r="AX13" i="1"/>
  <c r="AY15" i="1"/>
  <c r="AX7" i="1"/>
  <c r="AY18" i="1"/>
  <c r="AY20" i="1"/>
  <c r="AY13" i="1"/>
  <c r="AY12" i="1"/>
  <c r="AY14" i="1" s="1"/>
  <c r="AY17" i="1" s="1"/>
  <c r="AY19" i="1" s="1"/>
  <c r="AY21" i="1" s="1"/>
  <c r="AY22" i="1"/>
  <c r="AL15" i="1"/>
  <c r="AL18" i="1"/>
  <c r="AM15" i="1"/>
  <c r="AM13" i="1"/>
  <c r="AM22" i="1"/>
  <c r="AM20" i="1"/>
  <c r="AM12" i="1"/>
  <c r="AM14" i="1" s="1"/>
  <c r="AM17" i="1" s="1"/>
  <c r="AM19" i="1" s="1"/>
  <c r="AM21" i="1" s="1"/>
  <c r="AM23" i="1" s="1"/>
  <c r="AN22" i="1"/>
  <c r="AN20" i="1"/>
  <c r="AN18" i="1"/>
  <c r="AN13" i="1"/>
  <c r="AN12" i="1"/>
  <c r="AN14" i="1" s="1"/>
  <c r="AN15" i="1"/>
  <c r="AO22" i="1"/>
  <c r="AO20" i="1"/>
  <c r="AO15" i="1"/>
  <c r="AO13" i="1"/>
  <c r="AO12" i="1"/>
  <c r="AO14" i="1" s="1"/>
  <c r="AO17" i="1" s="1"/>
  <c r="AO19" i="1" s="1"/>
  <c r="AO21" i="1" s="1"/>
  <c r="AO23" i="1" s="1"/>
  <c r="AT22" i="1"/>
  <c r="AT20" i="1"/>
  <c r="AT18" i="1"/>
  <c r="AT15" i="1"/>
  <c r="AT13" i="1"/>
  <c r="AT12" i="1"/>
  <c r="AT14" i="1" s="1"/>
  <c r="AT17" i="1" s="1"/>
  <c r="AT19" i="1" s="1"/>
  <c r="AT21" i="1" s="1"/>
  <c r="AT23" i="1" s="1"/>
  <c r="AU12" i="1"/>
  <c r="AU15" i="1"/>
  <c r="AU20" i="1"/>
  <c r="AU22" i="1"/>
  <c r="AU13" i="1"/>
  <c r="BP22" i="1"/>
  <c r="BP20" i="1"/>
  <c r="BP18" i="1"/>
  <c r="BP15" i="1"/>
  <c r="BP13" i="1"/>
  <c r="BP12" i="1"/>
  <c r="BP14" i="1" s="1"/>
  <c r="BP17" i="1" s="1"/>
  <c r="BP19" i="1" s="1"/>
  <c r="BP21" i="1" s="1"/>
  <c r="BP23" i="1" s="1"/>
  <c r="BQ22" i="1"/>
  <c r="BQ20" i="1"/>
  <c r="BQ18" i="1"/>
  <c r="BQ15" i="1"/>
  <c r="BQ13" i="1"/>
  <c r="BQ12" i="1"/>
  <c r="BQ14" i="1" s="1"/>
  <c r="BQ17" i="1" s="1"/>
  <c r="BQ19" i="1" s="1"/>
  <c r="BQ21" i="1" s="1"/>
  <c r="BQ23" i="1" s="1"/>
  <c r="BG91" i="1"/>
  <c r="R62" i="1"/>
  <c r="Z62" i="1"/>
  <c r="BS126" i="1"/>
  <c r="BG89" i="1"/>
  <c r="D5" i="1"/>
  <c r="C126" i="1"/>
  <c r="Q40" i="1"/>
  <c r="P42" i="1"/>
  <c r="P44" i="1" s="1"/>
  <c r="P48" i="1" s="1"/>
  <c r="N126" i="1"/>
  <c r="O5" i="1"/>
  <c r="F39" i="1"/>
  <c r="G32" i="1"/>
  <c r="W40" i="1"/>
  <c r="V42" i="1"/>
  <c r="V44" i="1" s="1"/>
  <c r="V48" i="1" s="1"/>
  <c r="O126" i="1"/>
  <c r="P5" i="1"/>
  <c r="K40" i="1"/>
  <c r="J42" i="1"/>
  <c r="J44" i="1" s="1"/>
  <c r="J48" i="1" s="1"/>
  <c r="C40" i="1"/>
  <c r="C42" i="1"/>
  <c r="C44" i="1" s="1"/>
  <c r="C48" i="1" s="1"/>
  <c r="F40" i="1"/>
  <c r="E42" i="1"/>
  <c r="E44" i="1" s="1"/>
  <c r="E48" i="1" s="1"/>
  <c r="R5" i="1"/>
  <c r="Q5" i="1"/>
  <c r="Q126" i="1"/>
  <c r="M126" i="1"/>
  <c r="N5" i="1"/>
  <c r="R126" i="1"/>
  <c r="S5" i="1"/>
  <c r="V90" i="1"/>
  <c r="V91" i="1"/>
  <c r="V89" i="1"/>
  <c r="K126" i="1"/>
  <c r="L5" i="1"/>
  <c r="BS89" i="1"/>
  <c r="BS91" i="1"/>
  <c r="BS90" i="1"/>
  <c r="BQ39" i="1"/>
  <c r="BU32" i="1"/>
  <c r="AV96" i="1"/>
  <c r="AV97" i="1" s="1"/>
  <c r="AV57" i="1"/>
  <c r="AZ49" i="1"/>
  <c r="AV52" i="1"/>
  <c r="AI57" i="1"/>
  <c r="AI52" i="1"/>
  <c r="BM42" i="1"/>
  <c r="BM44" i="1" s="1"/>
  <c r="BM48" i="1" s="1"/>
  <c r="AQ15" i="1"/>
  <c r="AQ18" i="1"/>
  <c r="AQ13" i="1"/>
  <c r="AQ20" i="1"/>
  <c r="AQ22" i="1"/>
  <c r="AQ12" i="1"/>
  <c r="AQ14" i="1" s="1"/>
  <c r="AQ17" i="1" s="1"/>
  <c r="AQ19" i="1" s="1"/>
  <c r="AQ21" i="1" s="1"/>
  <c r="AQ23" i="1" s="1"/>
  <c r="AP7" i="1"/>
  <c r="AP18" i="1"/>
  <c r="AP22" i="1"/>
  <c r="AP13" i="1"/>
  <c r="AO7" i="1"/>
  <c r="AP15" i="1"/>
  <c r="AP20" i="1"/>
  <c r="AP12" i="1"/>
  <c r="AP14" i="1" s="1"/>
  <c r="AP17" i="1" s="1"/>
  <c r="AP19" i="1" s="1"/>
  <c r="AP21" i="1" s="1"/>
  <c r="AP23" i="1" s="1"/>
  <c r="AR32" i="1"/>
  <c r="AR39" i="1"/>
  <c r="AV32" i="1"/>
  <c r="BY125" i="1"/>
  <c r="BY126" i="1" s="1"/>
  <c r="AA121" i="1"/>
  <c r="AA125" i="1" s="1"/>
  <c r="AA126" i="1" s="1"/>
  <c r="AO40" i="1"/>
  <c r="AS40" i="1"/>
  <c r="AO42" i="1"/>
  <c r="AO44" i="1" s="1"/>
  <c r="AO48" i="1" s="1"/>
  <c r="BJ106" i="1"/>
  <c r="BJ121" i="1" s="1"/>
  <c r="BJ125" i="1" s="1"/>
  <c r="BJ126" i="1" s="1"/>
  <c r="BJ9" i="1"/>
  <c r="BJ61" i="1"/>
  <c r="BJ62" i="1" s="1"/>
  <c r="BJ129" i="1"/>
  <c r="AS15" i="1"/>
  <c r="AS13" i="1"/>
  <c r="AS18" i="1"/>
  <c r="AS20" i="1"/>
  <c r="AR7" i="1"/>
  <c r="AS22" i="1"/>
  <c r="AS12" i="1"/>
  <c r="AS14" i="1" s="1"/>
  <c r="AS17" i="1" s="1"/>
  <c r="AS19" i="1" s="1"/>
  <c r="AS21" i="1" s="1"/>
  <c r="AS23" i="1" s="1"/>
  <c r="AQ7" i="1"/>
  <c r="AR15" i="1"/>
  <c r="AR22" i="1"/>
  <c r="AR20" i="1"/>
  <c r="AR18" i="1"/>
  <c r="AR13" i="1"/>
  <c r="AR12" i="1"/>
  <c r="AR14" i="1" s="1"/>
  <c r="AR17" i="1" s="1"/>
  <c r="AR19" i="1" s="1"/>
  <c r="AR21" i="1" s="1"/>
  <c r="AR23" i="1" s="1"/>
  <c r="BR106" i="1"/>
  <c r="BR121" i="1" s="1"/>
  <c r="BR125" i="1" s="1"/>
  <c r="BR126" i="1" s="1"/>
  <c r="BR9" i="1"/>
  <c r="BR61" i="1"/>
  <c r="BR62" i="1" s="1"/>
  <c r="BR129" i="1"/>
  <c r="AN49" i="1"/>
  <c r="AN57" i="1"/>
  <c r="AN52" i="1"/>
  <c r="AN96" i="1"/>
  <c r="AN97" i="1" s="1"/>
  <c r="AW57" i="1"/>
  <c r="AW52" i="1"/>
  <c r="AW49" i="1"/>
  <c r="BA49" i="1"/>
  <c r="BF9" i="1"/>
  <c r="BF129" i="1"/>
  <c r="BF61" i="1"/>
  <c r="BF62" i="1" s="1"/>
  <c r="BF106" i="1"/>
  <c r="BF121" i="1" s="1"/>
  <c r="BF125" i="1" s="1"/>
  <c r="BF126" i="1" s="1"/>
  <c r="AL129" i="1"/>
  <c r="AL106" i="1"/>
  <c r="AL121" i="1" s="1"/>
  <c r="AL125" i="1" s="1"/>
  <c r="AL126" i="1" s="1"/>
  <c r="AL9" i="1"/>
  <c r="AL61" i="1"/>
  <c r="AL62" i="1" s="1"/>
  <c r="W18" i="1"/>
  <c r="W15" i="1"/>
  <c r="W13" i="1"/>
  <c r="W12" i="1"/>
  <c r="W14" i="1" s="1"/>
  <c r="W17" i="1" s="1"/>
  <c r="W19" i="1" s="1"/>
  <c r="W21" i="1" s="1"/>
  <c r="W23" i="1" s="1"/>
  <c r="F72" i="1"/>
  <c r="K5" i="1"/>
  <c r="M5" i="1"/>
  <c r="BN74" i="1"/>
  <c r="BN72" i="1" s="1"/>
  <c r="O57" i="1"/>
  <c r="O58" i="1" s="1"/>
  <c r="O75" i="1"/>
  <c r="O52" i="1"/>
  <c r="P49" i="1"/>
  <c r="G57" i="1"/>
  <c r="G58" i="1" s="1"/>
  <c r="G52" i="1"/>
  <c r="G75" i="1"/>
  <c r="U19" i="1"/>
  <c r="U21" i="1" s="1"/>
  <c r="U23" i="1" s="1"/>
  <c r="I40" i="1"/>
  <c r="AM49" i="1"/>
  <c r="Z42" i="1"/>
  <c r="Z44" i="1" s="1"/>
  <c r="Z48" i="1" s="1"/>
  <c r="BJ5" i="1"/>
  <c r="BI5" i="1"/>
  <c r="BG126" i="1"/>
  <c r="BH5" i="1"/>
  <c r="BG5" i="1"/>
  <c r="BU5" i="1"/>
  <c r="BV18" i="1" s="1"/>
  <c r="BT5" i="1"/>
  <c r="BV5" i="1"/>
  <c r="BS5" i="1"/>
  <c r="BT18" i="1" s="1"/>
  <c r="AL22" i="1"/>
  <c r="AL12" i="1"/>
  <c r="AL13" i="1"/>
  <c r="AL20" i="1"/>
  <c r="AS7" i="1"/>
  <c r="AT7" i="1"/>
  <c r="BP132" i="1"/>
  <c r="BR132" i="1"/>
  <c r="J5" i="1"/>
  <c r="I126" i="1"/>
  <c r="I5" i="1"/>
  <c r="W5" i="1"/>
  <c r="W126" i="1"/>
  <c r="X5" i="1"/>
  <c r="BG32" i="1"/>
  <c r="BK32" i="1"/>
  <c r="BG39" i="1"/>
  <c r="B90" i="1"/>
  <c r="B91" i="1"/>
  <c r="B58" i="1"/>
  <c r="L57" i="1"/>
  <c r="L58" i="1" s="1"/>
  <c r="L75" i="1"/>
  <c r="M49" i="1"/>
  <c r="L52" i="1"/>
  <c r="M57" i="1"/>
  <c r="M58" i="1" s="1"/>
  <c r="M52" i="1"/>
  <c r="N49" i="1"/>
  <c r="M75" i="1"/>
  <c r="N57" i="1"/>
  <c r="N58" i="1" s="1"/>
  <c r="N52" i="1"/>
  <c r="N75" i="1"/>
  <c r="O49" i="1"/>
  <c r="H57" i="1"/>
  <c r="H58" i="1" s="1"/>
  <c r="H52" i="1"/>
  <c r="H75" i="1"/>
  <c r="T57" i="1"/>
  <c r="T58" i="1" s="1"/>
  <c r="T75" i="1"/>
  <c r="U49" i="1"/>
  <c r="T52" i="1"/>
  <c r="AY89" i="1"/>
  <c r="AY90" i="1"/>
  <c r="AY91" i="1"/>
  <c r="AY126" i="1"/>
  <c r="AZ5" i="1"/>
  <c r="AY5" i="1"/>
  <c r="BR40" i="1"/>
  <c r="BN40" i="1"/>
  <c r="BN42" i="1"/>
  <c r="BN44" i="1" s="1"/>
  <c r="BN48" i="1" s="1"/>
  <c r="BN5" i="1"/>
  <c r="BL5" i="1"/>
  <c r="BM5" i="1"/>
  <c r="BK5" i="1"/>
  <c r="BK126" i="1"/>
  <c r="BL32" i="1"/>
  <c r="BH39" i="1"/>
  <c r="BC90" i="1"/>
  <c r="BC89" i="1"/>
  <c r="BC91" i="1"/>
  <c r="BC126" i="1"/>
  <c r="BD5" i="1"/>
  <c r="BC5" i="1"/>
  <c r="BF5" i="1"/>
  <c r="BE5" i="1"/>
  <c r="BT40" i="1"/>
  <c r="BX40" i="1"/>
  <c r="BT42" i="1"/>
  <c r="BT44" i="1" s="1"/>
  <c r="BT48" i="1" s="1"/>
  <c r="AP32" i="1"/>
  <c r="AT32" i="1"/>
  <c r="AP39" i="1"/>
  <c r="AY40" i="1"/>
  <c r="AU40" i="1"/>
  <c r="AU42" i="1"/>
  <c r="AU44" i="1" s="1"/>
  <c r="AU48" i="1" s="1"/>
  <c r="CA91" i="1"/>
  <c r="BV40" i="1"/>
  <c r="BV42" i="1"/>
  <c r="BV44" i="1" s="1"/>
  <c r="BV48" i="1" s="1"/>
  <c r="BB18" i="1"/>
  <c r="BB20" i="1"/>
  <c r="BB22" i="1"/>
  <c r="BB13" i="1"/>
  <c r="BB15" i="1"/>
  <c r="BA7" i="1"/>
  <c r="BB12" i="1"/>
  <c r="BB14" i="1" s="1"/>
  <c r="BB17" i="1" s="1"/>
  <c r="BC18" i="1"/>
  <c r="BC15" i="1"/>
  <c r="BC20" i="1"/>
  <c r="BC22" i="1"/>
  <c r="BC13" i="1"/>
  <c r="BC12" i="1"/>
  <c r="BC14" i="1" s="1"/>
  <c r="BC17" i="1" s="1"/>
  <c r="BC19" i="1" s="1"/>
  <c r="BC21" i="1" s="1"/>
  <c r="BC23" i="1" s="1"/>
  <c r="BB7" i="1"/>
  <c r="AX9" i="1"/>
  <c r="AX129" i="1"/>
  <c r="AX61" i="1"/>
  <c r="AX62" i="1" s="1"/>
  <c r="AX106" i="1"/>
  <c r="AX121" i="1" s="1"/>
  <c r="AX125" i="1" s="1"/>
  <c r="AX126" i="1" s="1"/>
  <c r="BB89" i="1"/>
  <c r="BB90" i="1"/>
  <c r="BB91" i="1"/>
  <c r="BI32" i="1"/>
  <c r="BI39" i="1"/>
  <c r="BM32" i="1"/>
  <c r="X49" i="1"/>
  <c r="W52" i="1"/>
  <c r="W57" i="1"/>
  <c r="W58" i="1" s="1"/>
  <c r="W75" i="1"/>
  <c r="X57" i="1"/>
  <c r="X58" i="1" s="1"/>
  <c r="X52" i="1"/>
  <c r="X75" i="1"/>
  <c r="Y49" i="1"/>
  <c r="Y57" i="1"/>
  <c r="Y58" i="1" s="1"/>
  <c r="Y75" i="1"/>
  <c r="Y52" i="1"/>
  <c r="AV18" i="1"/>
  <c r="AV22" i="1"/>
  <c r="AV12" i="1"/>
  <c r="AV13" i="1"/>
  <c r="AU7" i="1"/>
  <c r="AV20" i="1"/>
  <c r="AV15" i="1"/>
  <c r="AW18" i="1"/>
  <c r="AW12" i="1"/>
  <c r="AW13" i="1"/>
  <c r="AV7" i="1"/>
  <c r="AW22" i="1"/>
  <c r="AW20" i="1"/>
  <c r="AW15" i="1"/>
  <c r="AK15" i="1"/>
  <c r="AK22" i="1"/>
  <c r="AK12" i="1"/>
  <c r="AK20" i="1"/>
  <c r="AK18" i="1"/>
  <c r="AK13" i="1"/>
  <c r="AJ18" i="1"/>
  <c r="AJ12" i="1"/>
  <c r="AJ13" i="1"/>
  <c r="AJ20" i="1"/>
  <c r="AJ15" i="1"/>
  <c r="AJ22" i="1"/>
  <c r="AA32" i="1"/>
  <c r="AA39" i="1"/>
  <c r="J40" i="1"/>
  <c r="I42" i="1"/>
  <c r="I44" i="1" s="1"/>
  <c r="I48" i="1" s="1"/>
  <c r="S40" i="1"/>
  <c r="T40" i="1"/>
  <c r="S42" i="1"/>
  <c r="S44" i="1" s="1"/>
  <c r="S48" i="1" s="1"/>
  <c r="D40" i="1"/>
  <c r="E40" i="1"/>
  <c r="D42" i="1"/>
  <c r="D44" i="1" s="1"/>
  <c r="D48" i="1" s="1"/>
  <c r="BW32" i="1"/>
  <c r="BW39" i="1"/>
  <c r="BD40" i="1"/>
  <c r="BD42" i="1"/>
  <c r="BD44" i="1" s="1"/>
  <c r="BD48" i="1" s="1"/>
  <c r="AZ91" i="1"/>
  <c r="AZ89" i="1"/>
  <c r="AZ90" i="1"/>
  <c r="T91" i="1"/>
  <c r="T90" i="1"/>
  <c r="T89" i="1"/>
  <c r="S91" i="1"/>
  <c r="S90" i="1"/>
  <c r="S89" i="1"/>
  <c r="P91" i="1"/>
  <c r="P89" i="1"/>
  <c r="P90" i="1"/>
  <c r="O91" i="1"/>
  <c r="O89" i="1"/>
  <c r="O90" i="1"/>
  <c r="L89" i="1"/>
  <c r="L91" i="1"/>
  <c r="L90" i="1"/>
  <c r="J89" i="1"/>
  <c r="J90" i="1"/>
  <c r="J91" i="1"/>
  <c r="I90" i="1"/>
  <c r="I89" i="1"/>
  <c r="I91" i="1"/>
  <c r="H89" i="1"/>
  <c r="H91" i="1"/>
  <c r="H90" i="1"/>
  <c r="F90" i="1"/>
  <c r="F89" i="1"/>
  <c r="F91" i="1"/>
  <c r="X89" i="1"/>
  <c r="X90" i="1"/>
  <c r="X91" i="1"/>
  <c r="Y89" i="1"/>
  <c r="Y90" i="1"/>
  <c r="Y91" i="1"/>
  <c r="Z89" i="1"/>
  <c r="Z91" i="1"/>
  <c r="Z90" i="1"/>
  <c r="AT131" i="1"/>
  <c r="AV131" i="1"/>
  <c r="AV132" i="1"/>
  <c r="AX132" i="1"/>
  <c r="H49" i="1"/>
  <c r="L49" i="1"/>
  <c r="G14" i="1"/>
  <c r="G17" i="1" s="1"/>
  <c r="G19" i="1" s="1"/>
  <c r="G21" i="1" s="1"/>
  <c r="G23" i="1" s="1"/>
  <c r="F21" i="1"/>
  <c r="F23" i="1" s="1"/>
  <c r="H17" i="1"/>
  <c r="H19" i="1" s="1"/>
  <c r="H21" i="1" s="1"/>
  <c r="H23" i="1" s="1"/>
  <c r="BA58" i="1"/>
  <c r="AX14" i="1"/>
  <c r="AX17" i="1" s="1"/>
  <c r="AX19" i="1" s="1"/>
  <c r="AX21" i="1" s="1"/>
  <c r="AX23" i="1" s="1"/>
  <c r="AY23" i="1"/>
  <c r="AM7" i="1"/>
  <c r="AN17" i="1"/>
  <c r="AN19" i="1" s="1"/>
  <c r="AN21" i="1" s="1"/>
  <c r="AN23" i="1" s="1"/>
  <c r="AN7" i="1"/>
  <c r="BH32" i="1"/>
  <c r="AU14" i="1" l="1"/>
  <c r="AU17" i="1" s="1"/>
  <c r="AU19" i="1" s="1"/>
  <c r="AU21" i="1" s="1"/>
  <c r="AU23" i="1" s="1"/>
  <c r="R40" i="1"/>
  <c r="Q42" i="1"/>
  <c r="Q44" i="1" s="1"/>
  <c r="Q48" i="1" s="1"/>
  <c r="BQ40" i="1"/>
  <c r="U57" i="1"/>
  <c r="U58" i="1" s="1"/>
  <c r="V49" i="1"/>
  <c r="U75" i="1"/>
  <c r="U52" i="1"/>
  <c r="W49" i="1"/>
  <c r="Z57" i="1"/>
  <c r="Z58" i="1" s="1"/>
  <c r="Z52" i="1"/>
  <c r="Z75" i="1"/>
  <c r="BK20" i="1"/>
  <c r="BK22" i="1"/>
  <c r="BK18" i="1"/>
  <c r="BK15" i="1"/>
  <c r="BK13" i="1"/>
  <c r="BK12" i="1"/>
  <c r="BK14" i="1" s="1"/>
  <c r="BK17" i="1" s="1"/>
  <c r="BK19" i="1" s="1"/>
  <c r="BK21" i="1" s="1"/>
  <c r="BK23" i="1" s="1"/>
  <c r="BJ18" i="1"/>
  <c r="BJ22" i="1"/>
  <c r="BJ20" i="1"/>
  <c r="BJ15" i="1"/>
  <c r="BJ13" i="1"/>
  <c r="BJ12" i="1"/>
  <c r="BJ14" i="1" s="1"/>
  <c r="BJ17" i="1" s="1"/>
  <c r="BJ19" i="1" s="1"/>
  <c r="BJ21" i="1" s="1"/>
  <c r="BJ23" i="1" s="1"/>
  <c r="BI12" i="1"/>
  <c r="BI18" i="1"/>
  <c r="BI13" i="1"/>
  <c r="BI15" i="1"/>
  <c r="BI20" i="1"/>
  <c r="BI22" i="1"/>
  <c r="BH12" i="1"/>
  <c r="BH22" i="1"/>
  <c r="BH18" i="1"/>
  <c r="BH15" i="1"/>
  <c r="BH20" i="1"/>
  <c r="BH13" i="1"/>
  <c r="BU7" i="1"/>
  <c r="BY7" i="1"/>
  <c r="BV22" i="1"/>
  <c r="BV20" i="1"/>
  <c r="BV15" i="1"/>
  <c r="BV12" i="1"/>
  <c r="BV13" i="1"/>
  <c r="BX7" i="1"/>
  <c r="BU18" i="1"/>
  <c r="BU13" i="1"/>
  <c r="BU20" i="1"/>
  <c r="BU12" i="1"/>
  <c r="BU14" i="1" s="1"/>
  <c r="BU15" i="1"/>
  <c r="BU22" i="1"/>
  <c r="BT7" i="1"/>
  <c r="BW12" i="1"/>
  <c r="BW13" i="1"/>
  <c r="BV7" i="1"/>
  <c r="BZ7" i="1"/>
  <c r="AA5" i="1"/>
  <c r="BW22" i="1"/>
  <c r="BW18" i="1"/>
  <c r="BW15" i="1"/>
  <c r="BW20" i="1"/>
  <c r="BW7" i="1"/>
  <c r="Z5" i="1"/>
  <c r="BT15" i="1"/>
  <c r="BT12" i="1"/>
  <c r="BT13" i="1"/>
  <c r="BT22" i="1"/>
  <c r="BT20" i="1"/>
  <c r="BS7" i="1"/>
  <c r="R90" i="1"/>
  <c r="R89" i="1"/>
  <c r="R91" i="1"/>
  <c r="AL14" i="1"/>
  <c r="AL17" i="1" s="1"/>
  <c r="AL19" i="1" s="1"/>
  <c r="AL21" i="1" s="1"/>
  <c r="AL23" i="1" s="1"/>
  <c r="E15" i="1"/>
  <c r="E20" i="1"/>
  <c r="E22" i="1"/>
  <c r="E13" i="1"/>
  <c r="D7" i="1"/>
  <c r="E7" i="1"/>
  <c r="E18" i="1"/>
  <c r="E12" i="1"/>
  <c r="P57" i="1"/>
  <c r="P58" i="1" s="1"/>
  <c r="P52" i="1"/>
  <c r="P75" i="1"/>
  <c r="Q49" i="1"/>
  <c r="P13" i="1"/>
  <c r="P15" i="1"/>
  <c r="O7" i="1"/>
  <c r="P12" i="1"/>
  <c r="P14" i="1" s="1"/>
  <c r="P17" i="1" s="1"/>
  <c r="P20" i="1"/>
  <c r="P22" i="1"/>
  <c r="P18" i="1"/>
  <c r="F42" i="1"/>
  <c r="F44" i="1" s="1"/>
  <c r="F48" i="1" s="1"/>
  <c r="G40" i="1"/>
  <c r="V52" i="1"/>
  <c r="V57" i="1"/>
  <c r="V58" i="1" s="1"/>
  <c r="V75" i="1"/>
  <c r="Q20" i="1"/>
  <c r="Q12" i="1"/>
  <c r="Q22" i="1"/>
  <c r="Q15" i="1"/>
  <c r="P7" i="1"/>
  <c r="Q18" i="1"/>
  <c r="Q13" i="1"/>
  <c r="J75" i="1"/>
  <c r="J52" i="1"/>
  <c r="K49" i="1"/>
  <c r="J57" i="1"/>
  <c r="J58" i="1" s="1"/>
  <c r="C49" i="1"/>
  <c r="C52" i="1"/>
  <c r="C57" i="1"/>
  <c r="E57" i="1"/>
  <c r="E58" i="1" s="1"/>
  <c r="E52" i="1"/>
  <c r="E75" i="1"/>
  <c r="S15" i="1"/>
  <c r="S12" i="1"/>
  <c r="R7" i="1"/>
  <c r="S22" i="1"/>
  <c r="S18" i="1"/>
  <c r="S20" i="1"/>
  <c r="S13" i="1"/>
  <c r="R15" i="1"/>
  <c r="Q7" i="1"/>
  <c r="R13" i="1"/>
  <c r="R12" i="1"/>
  <c r="R14" i="1" s="1"/>
  <c r="R17" i="1" s="1"/>
  <c r="R22" i="1"/>
  <c r="R18" i="1"/>
  <c r="R20" i="1"/>
  <c r="O13" i="1"/>
  <c r="O18" i="1"/>
  <c r="O12" i="1"/>
  <c r="O14" i="1" s="1"/>
  <c r="O20" i="1"/>
  <c r="O15" i="1"/>
  <c r="O22" i="1"/>
  <c r="N7" i="1"/>
  <c r="T22" i="1"/>
  <c r="T12" i="1"/>
  <c r="S7" i="1"/>
  <c r="T15" i="1"/>
  <c r="T13" i="1"/>
  <c r="T7" i="1"/>
  <c r="T18" i="1"/>
  <c r="T20" i="1"/>
  <c r="M22" i="1"/>
  <c r="M13" i="1"/>
  <c r="M20" i="1"/>
  <c r="M12" i="1"/>
  <c r="M14" i="1" s="1"/>
  <c r="L7" i="1"/>
  <c r="M18" i="1"/>
  <c r="M15" i="1"/>
  <c r="BU40" i="1"/>
  <c r="BQ42" i="1"/>
  <c r="BQ44" i="1" s="1"/>
  <c r="BQ48" i="1" s="1"/>
  <c r="AV106" i="1"/>
  <c r="AV121" i="1" s="1"/>
  <c r="AV125" i="1" s="1"/>
  <c r="AV126" i="1" s="1"/>
  <c r="AV61" i="1"/>
  <c r="AV62" i="1" s="1"/>
  <c r="AV9" i="1"/>
  <c r="AV129" i="1"/>
  <c r="BM57" i="1"/>
  <c r="BM58" i="1" s="1"/>
  <c r="BM52" i="1"/>
  <c r="BQ49" i="1"/>
  <c r="AR40" i="1"/>
  <c r="AV40" i="1"/>
  <c r="AR42" i="1"/>
  <c r="AR44" i="1" s="1"/>
  <c r="AR48" i="1" s="1"/>
  <c r="AO57" i="1"/>
  <c r="AO58" i="1" s="1"/>
  <c r="AO49" i="1"/>
  <c r="AO52" i="1"/>
  <c r="AS49" i="1"/>
  <c r="BJ89" i="1"/>
  <c r="BJ90" i="1"/>
  <c r="BJ91" i="1"/>
  <c r="BR90" i="1"/>
  <c r="BR89" i="1"/>
  <c r="BR91" i="1"/>
  <c r="AN9" i="1"/>
  <c r="AN129" i="1"/>
  <c r="AN61" i="1"/>
  <c r="AN62" i="1" s="1"/>
  <c r="AN106" i="1"/>
  <c r="AN121" i="1" s="1"/>
  <c r="AN125" i="1" s="1"/>
  <c r="AN126" i="1" s="1"/>
  <c r="BF89" i="1"/>
  <c r="BF91" i="1"/>
  <c r="BF90" i="1"/>
  <c r="AL90" i="1"/>
  <c r="AL91" i="1"/>
  <c r="AL89" i="1"/>
  <c r="L13" i="1"/>
  <c r="L22" i="1"/>
  <c r="L12" i="1"/>
  <c r="L14" i="1" s="1"/>
  <c r="L20" i="1"/>
  <c r="L15" i="1"/>
  <c r="L18" i="1"/>
  <c r="N22" i="1"/>
  <c r="N18" i="1"/>
  <c r="N13" i="1"/>
  <c r="N20" i="1"/>
  <c r="N12" i="1"/>
  <c r="N14" i="1" s="1"/>
  <c r="N15" i="1"/>
  <c r="M7" i="1"/>
  <c r="BB19" i="1"/>
  <c r="BB21" i="1" s="1"/>
  <c r="BB23" i="1" s="1"/>
  <c r="AZ58" i="1"/>
  <c r="AY58" i="1"/>
  <c r="Z49" i="1"/>
  <c r="BG7" i="1"/>
  <c r="K12" i="1"/>
  <c r="K15" i="1"/>
  <c r="K20" i="1"/>
  <c r="K22" i="1"/>
  <c r="K18" i="1"/>
  <c r="K13" i="1"/>
  <c r="J7" i="1"/>
  <c r="K7" i="1"/>
  <c r="J20" i="1"/>
  <c r="J13" i="1"/>
  <c r="J12" i="1"/>
  <c r="J14" i="1" s="1"/>
  <c r="I7" i="1"/>
  <c r="J15" i="1"/>
  <c r="J22" i="1"/>
  <c r="J18" i="1"/>
  <c r="W7" i="1"/>
  <c r="X13" i="1"/>
  <c r="X20" i="1"/>
  <c r="X22" i="1"/>
  <c r="X18" i="1"/>
  <c r="X12" i="1"/>
  <c r="X14" i="1" s="1"/>
  <c r="X15" i="1"/>
  <c r="Y15" i="1"/>
  <c r="Y12" i="1"/>
  <c r="Y13" i="1"/>
  <c r="Y18" i="1"/>
  <c r="Y22" i="1"/>
  <c r="Y20" i="1"/>
  <c r="X7" i="1"/>
  <c r="BG40" i="1"/>
  <c r="BK40" i="1"/>
  <c r="BG42" i="1"/>
  <c r="BG44" i="1" s="1"/>
  <c r="BG48" i="1" s="1"/>
  <c r="AZ7" i="1"/>
  <c r="BA12" i="1"/>
  <c r="BA20" i="1"/>
  <c r="BA22" i="1"/>
  <c r="BA18" i="1"/>
  <c r="BA15" i="1"/>
  <c r="BA13" i="1"/>
  <c r="AZ18" i="1"/>
  <c r="AZ15" i="1"/>
  <c r="AZ12" i="1"/>
  <c r="AZ22" i="1"/>
  <c r="AZ13" i="1"/>
  <c r="AY7" i="1"/>
  <c r="AZ20" i="1"/>
  <c r="BN57" i="1"/>
  <c r="BN49" i="1"/>
  <c r="BR49" i="1"/>
  <c r="BN52" i="1"/>
  <c r="BN96" i="1"/>
  <c r="BN97" i="1" s="1"/>
  <c r="BR7" i="1"/>
  <c r="BO12" i="1"/>
  <c r="BO18" i="1"/>
  <c r="BO20" i="1"/>
  <c r="BO15" i="1"/>
  <c r="BO22" i="1"/>
  <c r="BO13" i="1"/>
  <c r="Y5" i="1"/>
  <c r="BN7" i="1"/>
  <c r="BP7" i="1"/>
  <c r="BM22" i="1"/>
  <c r="BM18" i="1"/>
  <c r="BL7" i="1"/>
  <c r="BM13" i="1"/>
  <c r="BM15" i="1"/>
  <c r="BM12" i="1"/>
  <c r="BM14" i="1" s="1"/>
  <c r="BM17" i="1" s="1"/>
  <c r="BM20" i="1"/>
  <c r="BN18" i="1"/>
  <c r="BQ7" i="1"/>
  <c r="BN15" i="1"/>
  <c r="BM7" i="1"/>
  <c r="BN12" i="1"/>
  <c r="BN13" i="1"/>
  <c r="BN22" i="1"/>
  <c r="BN20" i="1"/>
  <c r="BO7" i="1"/>
  <c r="BL22" i="1"/>
  <c r="BL18" i="1"/>
  <c r="BL15" i="1"/>
  <c r="BL13" i="1"/>
  <c r="BL20" i="1"/>
  <c r="BL12" i="1"/>
  <c r="BL14" i="1" s="1"/>
  <c r="BL17" i="1" s="1"/>
  <c r="BL19" i="1" s="1"/>
  <c r="BL21" i="1" s="1"/>
  <c r="BL23" i="1" s="1"/>
  <c r="BK7" i="1"/>
  <c r="BL40" i="1"/>
  <c r="BH42" i="1"/>
  <c r="BH44" i="1" s="1"/>
  <c r="BH48" i="1" s="1"/>
  <c r="BE15" i="1"/>
  <c r="BD7" i="1"/>
  <c r="BE22" i="1"/>
  <c r="BE12" i="1"/>
  <c r="BE13" i="1"/>
  <c r="BE18" i="1"/>
  <c r="BE20" i="1"/>
  <c r="BD13" i="1"/>
  <c r="BD12" i="1"/>
  <c r="BD14" i="1" s="1"/>
  <c r="BC7" i="1"/>
  <c r="BD18" i="1"/>
  <c r="BD22" i="1"/>
  <c r="BD15" i="1"/>
  <c r="BD20" i="1"/>
  <c r="BG13" i="1"/>
  <c r="BG22" i="1"/>
  <c r="BG18" i="1"/>
  <c r="BG20" i="1"/>
  <c r="BF7" i="1"/>
  <c r="BG15" i="1"/>
  <c r="BG12" i="1"/>
  <c r="BF18" i="1"/>
  <c r="BF20" i="1"/>
  <c r="BF22" i="1"/>
  <c r="BF13" i="1"/>
  <c r="BE7" i="1"/>
  <c r="BF12" i="1"/>
  <c r="BF14" i="1" s="1"/>
  <c r="BF15" i="1"/>
  <c r="BT49" i="1"/>
  <c r="BT96" i="1"/>
  <c r="BT97" i="1" s="1"/>
  <c r="BT57" i="1"/>
  <c r="BX49" i="1"/>
  <c r="BT52" i="1"/>
  <c r="AP40" i="1"/>
  <c r="AT40" i="1"/>
  <c r="AP42" i="1"/>
  <c r="AP44" i="1" s="1"/>
  <c r="AP48" i="1" s="1"/>
  <c r="AU49" i="1"/>
  <c r="AU57" i="1"/>
  <c r="AY49" i="1"/>
  <c r="AU52" i="1"/>
  <c r="CB91" i="1"/>
  <c r="BV52" i="1"/>
  <c r="BV57" i="1"/>
  <c r="BV49" i="1"/>
  <c r="BV96" i="1"/>
  <c r="BV97" i="1" s="1"/>
  <c r="AX89" i="1"/>
  <c r="AX91" i="1"/>
  <c r="AX90" i="1"/>
  <c r="BM40" i="1"/>
  <c r="BI40" i="1"/>
  <c r="BI42" i="1"/>
  <c r="BI44" i="1" s="1"/>
  <c r="BI48" i="1" s="1"/>
  <c r="AA40" i="1"/>
  <c r="AA42" i="1"/>
  <c r="AA44" i="1" s="1"/>
  <c r="AA48" i="1" s="1"/>
  <c r="I57" i="1"/>
  <c r="I58" i="1" s="1"/>
  <c r="J49" i="1"/>
  <c r="I52" i="1"/>
  <c r="I75" i="1"/>
  <c r="S49" i="1"/>
  <c r="S57" i="1"/>
  <c r="S58" i="1" s="1"/>
  <c r="S75" i="1"/>
  <c r="S52" i="1"/>
  <c r="T49" i="1"/>
  <c r="D49" i="1"/>
  <c r="D57" i="1"/>
  <c r="D58" i="1" s="1"/>
  <c r="D75" i="1"/>
  <c r="D52" i="1"/>
  <c r="E49" i="1"/>
  <c r="BW40" i="1"/>
  <c r="BW42" i="1"/>
  <c r="BW44" i="1" s="1"/>
  <c r="BW48" i="1" s="1"/>
  <c r="BD49" i="1"/>
  <c r="BD57" i="1"/>
  <c r="BD52" i="1"/>
  <c r="BD96" i="1"/>
  <c r="BD97" i="1" s="1"/>
  <c r="I49" i="1"/>
  <c r="AV14" i="1"/>
  <c r="AV17" i="1" s="1"/>
  <c r="AV19" i="1" s="1"/>
  <c r="AV21" i="1" s="1"/>
  <c r="AV23" i="1" s="1"/>
  <c r="AW14" i="1"/>
  <c r="AW17" i="1" s="1"/>
  <c r="AW19" i="1" s="1"/>
  <c r="AW21" i="1" s="1"/>
  <c r="AW23" i="1" s="1"/>
  <c r="BJ7" i="1"/>
  <c r="BI7" i="1"/>
  <c r="BH7" i="1"/>
  <c r="AK14" i="1"/>
  <c r="AK17" i="1" s="1"/>
  <c r="AK19" i="1" s="1"/>
  <c r="AK21" i="1" s="1"/>
  <c r="AK23" i="1" s="1"/>
  <c r="AJ14" i="1"/>
  <c r="AJ17" i="1" s="1"/>
  <c r="AJ19" i="1" s="1"/>
  <c r="AJ21" i="1" s="1"/>
  <c r="AJ23" i="1" s="1"/>
  <c r="BH40" i="1"/>
  <c r="AX131" i="1"/>
  <c r="AZ132" i="1"/>
  <c r="BB132" i="1" s="1"/>
  <c r="BG14" i="1" l="1"/>
  <c r="BG17" i="1" s="1"/>
  <c r="BG19" i="1" s="1"/>
  <c r="BG21" i="1" s="1"/>
  <c r="BG23" i="1" s="1"/>
  <c r="BI14" i="1"/>
  <c r="BI17" i="1" s="1"/>
  <c r="BI19" i="1" s="1"/>
  <c r="BI21" i="1" s="1"/>
  <c r="BI23" i="1" s="1"/>
  <c r="BH14" i="1"/>
  <c r="BH17" i="1" s="1"/>
  <c r="BH19" i="1" s="1"/>
  <c r="BH21" i="1" s="1"/>
  <c r="BH23" i="1" s="1"/>
  <c r="BZ13" i="1"/>
  <c r="BU17" i="1"/>
  <c r="BU19" i="1" s="1"/>
  <c r="BU21" i="1" s="1"/>
  <c r="BU23" i="1" s="1"/>
  <c r="AA7" i="1"/>
  <c r="BT14" i="1"/>
  <c r="BT17" i="1" s="1"/>
  <c r="BT19" i="1" s="1"/>
  <c r="BT21" i="1" s="1"/>
  <c r="BT23" i="1" s="1"/>
  <c r="Q75" i="1"/>
  <c r="Q52" i="1"/>
  <c r="Q57" i="1"/>
  <c r="Q58" i="1" s="1"/>
  <c r="R49" i="1"/>
  <c r="F49" i="1"/>
  <c r="M17" i="1"/>
  <c r="M19" i="1" s="1"/>
  <c r="M21" i="1" s="1"/>
  <c r="M23" i="1" s="1"/>
  <c r="BZ12" i="1"/>
  <c r="BV14" i="1"/>
  <c r="BV17" i="1" s="1"/>
  <c r="BV19" i="1" s="1"/>
  <c r="BV21" i="1" s="1"/>
  <c r="BV23" i="1" s="1"/>
  <c r="BW14" i="1"/>
  <c r="BW17" i="1" s="1"/>
  <c r="BW19" i="1" s="1"/>
  <c r="BW21" i="1" s="1"/>
  <c r="BW23" i="1" s="1"/>
  <c r="CA12" i="1"/>
  <c r="AA12" i="1"/>
  <c r="AA18" i="1"/>
  <c r="AA13" i="1"/>
  <c r="AA20" i="1"/>
  <c r="Z7" i="1"/>
  <c r="AA22" i="1"/>
  <c r="AA15" i="1"/>
  <c r="G49" i="1"/>
  <c r="F75" i="1"/>
  <c r="F52" i="1"/>
  <c r="F57" i="1"/>
  <c r="F58" i="1" s="1"/>
  <c r="C58" i="1"/>
  <c r="C91" i="1"/>
  <c r="C90" i="1"/>
  <c r="BQ57" i="1"/>
  <c r="BU49" i="1"/>
  <c r="BQ52" i="1"/>
  <c r="AV89" i="1"/>
  <c r="AV90" i="1"/>
  <c r="AV91" i="1"/>
  <c r="AR49" i="1"/>
  <c r="AR57" i="1"/>
  <c r="AT58" i="1" s="1"/>
  <c r="AV49" i="1"/>
  <c r="AR52" i="1"/>
  <c r="AR96" i="1"/>
  <c r="AR97" i="1" s="1"/>
  <c r="AN91" i="1"/>
  <c r="AN90" i="1"/>
  <c r="AN89" i="1"/>
  <c r="E14" i="1"/>
  <c r="E17" i="1" s="1"/>
  <c r="E19" i="1" s="1"/>
  <c r="E21" i="1" s="1"/>
  <c r="E23" i="1" s="1"/>
  <c r="P19" i="1"/>
  <c r="P21" i="1" s="1"/>
  <c r="P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R19" i="1"/>
  <c r="R21" i="1" s="1"/>
  <c r="R23" i="1" s="1"/>
  <c r="O17" i="1"/>
  <c r="O19" i="1" s="1"/>
  <c r="O21" i="1" s="1"/>
  <c r="O23" i="1" s="1"/>
  <c r="T14" i="1"/>
  <c r="T17" i="1" s="1"/>
  <c r="T19" i="1" s="1"/>
  <c r="T21" i="1" s="1"/>
  <c r="T23" i="1" s="1"/>
  <c r="L17" i="1"/>
  <c r="L19" i="1" s="1"/>
  <c r="L21" i="1" s="1"/>
  <c r="L23" i="1" s="1"/>
  <c r="N17" i="1"/>
  <c r="N19" i="1" s="1"/>
  <c r="N21" i="1" s="1"/>
  <c r="N23" i="1" s="1"/>
  <c r="BV58" i="1"/>
  <c r="BD132" i="1"/>
  <c r="BF132" i="1"/>
  <c r="K14" i="1"/>
  <c r="K17" i="1" s="1"/>
  <c r="K19" i="1" s="1"/>
  <c r="K21" i="1" s="1"/>
  <c r="K23" i="1" s="1"/>
  <c r="J17" i="1"/>
  <c r="J19" i="1" s="1"/>
  <c r="J21" i="1" s="1"/>
  <c r="J23" i="1" s="1"/>
  <c r="BG49" i="1"/>
  <c r="BG57" i="1"/>
  <c r="BG58" i="1" s="1"/>
  <c r="BK49" i="1"/>
  <c r="BG52" i="1"/>
  <c r="BO58" i="1"/>
  <c r="BP58" i="1"/>
  <c r="BN58" i="1"/>
  <c r="BN9" i="1"/>
  <c r="BN61" i="1"/>
  <c r="BN62" i="1" s="1"/>
  <c r="BN129" i="1"/>
  <c r="BN106" i="1"/>
  <c r="BN121" i="1" s="1"/>
  <c r="BN125" i="1" s="1"/>
  <c r="BN126" i="1" s="1"/>
  <c r="Z18" i="1"/>
  <c r="Z13" i="1"/>
  <c r="Z22" i="1"/>
  <c r="Z15" i="1"/>
  <c r="Z20" i="1"/>
  <c r="Z12" i="1"/>
  <c r="Y7" i="1"/>
  <c r="BH57" i="1"/>
  <c r="BL49" i="1"/>
  <c r="BH52" i="1"/>
  <c r="BH96" i="1"/>
  <c r="BH97" i="1" s="1"/>
  <c r="BT61" i="1"/>
  <c r="BT62" i="1" s="1"/>
  <c r="BT106" i="1"/>
  <c r="BT121" i="1" s="1"/>
  <c r="BT125" i="1" s="1"/>
  <c r="BT126" i="1" s="1"/>
  <c r="BT129" i="1"/>
  <c r="BT9" i="1"/>
  <c r="BU58" i="1"/>
  <c r="AP49" i="1"/>
  <c r="AP57" i="1"/>
  <c r="AP52" i="1"/>
  <c r="AT49" i="1"/>
  <c r="AP96" i="1"/>
  <c r="AP97" i="1" s="1"/>
  <c r="AW58" i="1"/>
  <c r="AX58" i="1"/>
  <c r="AV58" i="1"/>
  <c r="CC91" i="1"/>
  <c r="BV129" i="1"/>
  <c r="BV9" i="1"/>
  <c r="BV61" i="1"/>
  <c r="BV62" i="1" s="1"/>
  <c r="BV106" i="1"/>
  <c r="BV121" i="1" s="1"/>
  <c r="BV125" i="1" s="1"/>
  <c r="BV126" i="1" s="1"/>
  <c r="BI49" i="1"/>
  <c r="BI57" i="1"/>
  <c r="BM49" i="1"/>
  <c r="BI52" i="1"/>
  <c r="CB12" i="1"/>
  <c r="AA49" i="1"/>
  <c r="AA57" i="1"/>
  <c r="AA58" i="1" s="1"/>
  <c r="AA75" i="1"/>
  <c r="BW49" i="1"/>
  <c r="BW57" i="1"/>
  <c r="BW52" i="1"/>
  <c r="BF58" i="1"/>
  <c r="BE58" i="1"/>
  <c r="BD58" i="1"/>
  <c r="BD61" i="1"/>
  <c r="BD62" i="1" s="1"/>
  <c r="BD9" i="1"/>
  <c r="BD129" i="1"/>
  <c r="BD106" i="1"/>
  <c r="BD121" i="1" s="1"/>
  <c r="BD125" i="1" s="1"/>
  <c r="BD126" i="1" s="1"/>
  <c r="CA13" i="1"/>
  <c r="AZ131" i="1"/>
  <c r="BB131" i="1"/>
  <c r="X17" i="1"/>
  <c r="X19" i="1" s="1"/>
  <c r="X21" i="1" s="1"/>
  <c r="X23" i="1" s="1"/>
  <c r="Y14" i="1"/>
  <c r="Y17" i="1" s="1"/>
  <c r="Y19" i="1" s="1"/>
  <c r="Y21" i="1" s="1"/>
  <c r="Y23" i="1" s="1"/>
  <c r="BA14" i="1"/>
  <c r="BA17" i="1" s="1"/>
  <c r="BA19" i="1" s="1"/>
  <c r="BA21" i="1" s="1"/>
  <c r="BA23" i="1" s="1"/>
  <c r="AZ14" i="1"/>
  <c r="AZ17" i="1" s="1"/>
  <c r="AZ19" i="1" s="1"/>
  <c r="AZ21" i="1" s="1"/>
  <c r="AZ23" i="1" s="1"/>
  <c r="BO14" i="1"/>
  <c r="BO17" i="1" s="1"/>
  <c r="BO19" i="1" s="1"/>
  <c r="BO21" i="1" s="1"/>
  <c r="BO23" i="1" s="1"/>
  <c r="BE14" i="1"/>
  <c r="BE17" i="1" s="1"/>
  <c r="BE19" i="1" s="1"/>
  <c r="BE21" i="1" s="1"/>
  <c r="BE23" i="1" s="1"/>
  <c r="BD17" i="1"/>
  <c r="BD19" i="1" s="1"/>
  <c r="BD21" i="1" s="1"/>
  <c r="BD23" i="1" s="1"/>
  <c r="BM19" i="1"/>
  <c r="BM21" i="1" s="1"/>
  <c r="BM23" i="1" s="1"/>
  <c r="BN14" i="1"/>
  <c r="BN17" i="1" s="1"/>
  <c r="BN19" i="1" s="1"/>
  <c r="BN21" i="1" s="1"/>
  <c r="BN23" i="1" s="1"/>
  <c r="BF17" i="1"/>
  <c r="BF19" i="1" s="1"/>
  <c r="BF21" i="1" s="1"/>
  <c r="BF23" i="1" s="1"/>
  <c r="BH49" i="1"/>
  <c r="BZ14" i="1" l="1"/>
  <c r="BZ17" i="1" s="1"/>
  <c r="BZ19" i="1" s="1"/>
  <c r="BZ21" i="1" s="1"/>
  <c r="AA14" i="1"/>
  <c r="AA17" i="1" s="1"/>
  <c r="AA19" i="1" s="1"/>
  <c r="AA21" i="1" s="1"/>
  <c r="AA23" i="1" s="1"/>
  <c r="BZ27" i="1"/>
  <c r="CA27" i="1"/>
  <c r="BZ28" i="1"/>
  <c r="Z14" i="1"/>
  <c r="Z17" i="1" s="1"/>
  <c r="Z19" i="1" s="1"/>
  <c r="Z21" i="1" s="1"/>
  <c r="Z23" i="1" s="1"/>
  <c r="BH58" i="1"/>
  <c r="BR58" i="1"/>
  <c r="BS58" i="1"/>
  <c r="AR9" i="1"/>
  <c r="AR129" i="1"/>
  <c r="AR61" i="1"/>
  <c r="AR62" i="1" s="1"/>
  <c r="AR106" i="1"/>
  <c r="AR121" i="1" s="1"/>
  <c r="AR125" i="1" s="1"/>
  <c r="AR126" i="1" s="1"/>
  <c r="BH132" i="1"/>
  <c r="BQ58" i="1"/>
  <c r="BT58" i="1"/>
  <c r="AU58" i="1"/>
  <c r="CA14" i="1"/>
  <c r="CA17" i="1" s="1"/>
  <c r="CA19" i="1" s="1"/>
  <c r="CA21" i="1" s="1"/>
  <c r="BD131" i="1"/>
  <c r="BN89" i="1"/>
  <c r="BN91" i="1"/>
  <c r="BN90" i="1"/>
  <c r="BH129" i="1"/>
  <c r="BH9" i="1"/>
  <c r="BH61" i="1"/>
  <c r="BH62" i="1" s="1"/>
  <c r="BH106" i="1"/>
  <c r="BH121" i="1" s="1"/>
  <c r="BH125" i="1" s="1"/>
  <c r="BH126" i="1" s="1"/>
  <c r="BT89" i="1"/>
  <c r="BT91" i="1"/>
  <c r="BT90" i="1"/>
  <c r="AS58" i="1"/>
  <c r="AR58" i="1"/>
  <c r="AP58" i="1"/>
  <c r="AQ58" i="1"/>
  <c r="AP106" i="1"/>
  <c r="AP121" i="1" s="1"/>
  <c r="AP125" i="1" s="1"/>
  <c r="AP126" i="1" s="1"/>
  <c r="AP129" i="1"/>
  <c r="AP9" i="1"/>
  <c r="AP61" i="1"/>
  <c r="AP62" i="1" s="1"/>
  <c r="CD91" i="1"/>
  <c r="BV90" i="1"/>
  <c r="BV89" i="1"/>
  <c r="BV91" i="1"/>
  <c r="BK58" i="1"/>
  <c r="BL58" i="1"/>
  <c r="BJ58" i="1"/>
  <c r="BI58" i="1"/>
  <c r="BY58" i="1"/>
  <c r="BX58" i="1"/>
  <c r="BW58" i="1"/>
  <c r="BD89" i="1"/>
  <c r="BD90" i="1"/>
  <c r="BD91" i="1"/>
  <c r="CA28" i="1"/>
  <c r="CC12" i="1"/>
  <c r="CB13" i="1"/>
  <c r="CC13" i="1"/>
  <c r="CD12" i="1"/>
  <c r="BZ29" i="1" l="1"/>
  <c r="AR91" i="1"/>
  <c r="AR90" i="1"/>
  <c r="AR89" i="1"/>
  <c r="BF131" i="1"/>
  <c r="BJ131" i="1" s="1"/>
  <c r="BH131" i="1"/>
  <c r="BL131" i="1" s="1"/>
  <c r="BH89" i="1"/>
  <c r="BH91" i="1"/>
  <c r="BH90" i="1"/>
  <c r="AP89" i="1"/>
  <c r="AP90" i="1"/>
  <c r="AP91" i="1"/>
  <c r="CE91" i="1"/>
  <c r="BZ31" i="1"/>
  <c r="BZ72" i="1"/>
  <c r="CA29" i="1"/>
  <c r="CC14" i="1"/>
  <c r="CC17" i="1" s="1"/>
  <c r="CC19" i="1" s="1"/>
  <c r="CC21" i="1" s="1"/>
  <c r="CE12" i="1"/>
  <c r="CB14" i="1"/>
  <c r="CB17" i="1" s="1"/>
  <c r="CB19" i="1" s="1"/>
  <c r="CB21" i="1" s="1"/>
  <c r="CD13" i="1"/>
  <c r="BN131" i="1" l="1"/>
  <c r="BP131" i="1" s="1"/>
  <c r="BR131" i="1" s="1"/>
  <c r="CD14" i="1"/>
  <c r="CD17" i="1" s="1"/>
  <c r="CD19" i="1" s="1"/>
  <c r="CD21" i="1" s="1"/>
  <c r="CF91" i="1"/>
  <c r="BZ32" i="1"/>
  <c r="BZ39" i="1"/>
  <c r="CA72" i="1"/>
  <c r="CA31" i="1"/>
  <c r="CF12" i="1"/>
  <c r="CE13" i="1"/>
  <c r="CG91" i="1" l="1"/>
  <c r="BZ40" i="1"/>
  <c r="BZ42" i="1"/>
  <c r="CA32" i="1"/>
  <c r="CA39" i="1"/>
  <c r="CE14" i="1"/>
  <c r="CE17" i="1" s="1"/>
  <c r="CE19" i="1" s="1"/>
  <c r="CE21" i="1" s="1"/>
  <c r="CG12" i="1"/>
  <c r="CF13" i="1"/>
  <c r="CG13" i="1"/>
  <c r="CF14" i="1" l="1"/>
  <c r="CF17" i="1" s="1"/>
  <c r="CF19" i="1" s="1"/>
  <c r="CF21" i="1" s="1"/>
  <c r="CH91" i="1"/>
  <c r="BZ43" i="1"/>
  <c r="CA40" i="1"/>
  <c r="CA42" i="1"/>
  <c r="CH12" i="1"/>
  <c r="CG14" i="1"/>
  <c r="CG17" i="1" s="1"/>
  <c r="CG19" i="1" s="1"/>
  <c r="CG21" i="1" s="1"/>
  <c r="CH13" i="1"/>
  <c r="CI12" i="1" l="1"/>
  <c r="CI91" i="1"/>
  <c r="BZ22" i="1"/>
  <c r="BZ23" i="1" s="1"/>
  <c r="CA43" i="1"/>
  <c r="CA22" i="1" s="1"/>
  <c r="CA23" i="1" s="1"/>
  <c r="CJ12" i="1"/>
  <c r="CH14" i="1"/>
  <c r="CH17" i="1" s="1"/>
  <c r="CH19" i="1" s="1"/>
  <c r="CH21" i="1" s="1"/>
  <c r="CI13" i="1"/>
  <c r="BZ44" i="1"/>
  <c r="BZ48" i="1" s="1"/>
  <c r="CJ91" i="1" l="1"/>
  <c r="CK12" i="1"/>
  <c r="CJ14" i="1"/>
  <c r="CJ17" i="1" s="1"/>
  <c r="CJ19" i="1" s="1"/>
  <c r="CJ21" i="1" s="1"/>
  <c r="BZ57" i="1"/>
  <c r="BZ58" i="1" s="1"/>
  <c r="BZ96" i="1"/>
  <c r="BZ49" i="1"/>
  <c r="CA44" i="1"/>
  <c r="CA48" i="1" s="1"/>
  <c r="CL13" i="1"/>
  <c r="CI14" i="1"/>
  <c r="CI17" i="1" s="1"/>
  <c r="CI19" i="1" s="1"/>
  <c r="CI21" i="1" s="1"/>
  <c r="CJ13" i="1"/>
  <c r="CK13" i="1"/>
  <c r="CK91" i="1" l="1"/>
  <c r="CL12" i="1"/>
  <c r="CK14" i="1"/>
  <c r="CK17" i="1" s="1"/>
  <c r="CK19" i="1" s="1"/>
  <c r="CK21" i="1" s="1"/>
  <c r="CA96" i="1"/>
  <c r="BZ97" i="1"/>
  <c r="CA57" i="1"/>
  <c r="CA58" i="1" s="1"/>
  <c r="CA49" i="1"/>
  <c r="CM13" i="1"/>
  <c r="CL91" i="1" l="1"/>
  <c r="CL14" i="1"/>
  <c r="CL17" i="1" s="1"/>
  <c r="CL19" i="1" s="1"/>
  <c r="CL21" i="1" s="1"/>
  <c r="CA97" i="1"/>
  <c r="BZ9" i="1"/>
  <c r="BZ129" i="1"/>
  <c r="BZ106" i="1"/>
  <c r="BZ121" i="1" s="1"/>
  <c r="BZ125" i="1" s="1"/>
  <c r="BZ126" i="1" s="1"/>
  <c r="BZ61" i="1"/>
  <c r="BZ62" i="1" s="1"/>
  <c r="CM12" i="1"/>
  <c r="CN13" i="1"/>
  <c r="CO13" i="1" l="1"/>
  <c r="CM91" i="1"/>
  <c r="CA106" i="1"/>
  <c r="CA9" i="1"/>
  <c r="CA129" i="1"/>
  <c r="CA61" i="1"/>
  <c r="CA62" i="1" s="1"/>
  <c r="CB4" i="1"/>
  <c r="CA4" i="1"/>
  <c r="BZ83" i="1"/>
  <c r="BZ89" i="1"/>
  <c r="BZ82" i="1"/>
  <c r="CM14" i="1"/>
  <c r="CM17" i="1" s="1"/>
  <c r="CM19" i="1" s="1"/>
  <c r="CM21" i="1" s="1"/>
  <c r="CN12" i="1"/>
  <c r="CO12" i="1"/>
  <c r="CN91" i="1" l="1"/>
  <c r="CA121" i="1"/>
  <c r="CA125" i="1" s="1"/>
  <c r="CA126" i="1" s="1"/>
  <c r="CB5" i="1"/>
  <c r="CA5" i="1"/>
  <c r="CA83" i="1"/>
  <c r="CA86" i="1" s="1"/>
  <c r="CA82" i="1"/>
  <c r="CA85" i="1" s="1"/>
  <c r="CA89" i="1"/>
  <c r="BZ86" i="1"/>
  <c r="BZ85" i="1"/>
  <c r="CN14" i="1"/>
  <c r="CN17" i="1" s="1"/>
  <c r="CN19" i="1" s="1"/>
  <c r="CN21" i="1" s="1"/>
  <c r="CO14" i="1"/>
  <c r="CO17" i="1" s="1"/>
  <c r="CO19" i="1" s="1"/>
  <c r="CO21" i="1" s="1"/>
  <c r="CO91" i="1" l="1"/>
  <c r="CC28" i="1"/>
  <c r="CC27" i="1"/>
  <c r="CC41" i="1"/>
  <c r="CC33" i="1"/>
  <c r="CC38" i="1" s="1"/>
  <c r="CC30" i="1"/>
  <c r="CB7" i="1"/>
  <c r="CB28" i="1"/>
  <c r="CB27" i="1"/>
  <c r="CB41" i="1"/>
  <c r="CB33" i="1"/>
  <c r="CB30" i="1"/>
  <c r="AB30" i="1" s="1"/>
  <c r="AB15" i="1" s="1"/>
  <c r="CA7" i="1"/>
  <c r="AB28" i="1" l="1"/>
  <c r="AB13" i="1" s="1"/>
  <c r="AB41" i="1"/>
  <c r="AB20" i="1" s="1"/>
  <c r="AB27" i="1"/>
  <c r="CB29" i="1"/>
  <c r="AB33" i="1"/>
  <c r="AB38" i="1" s="1"/>
  <c r="AB18" i="1" s="1"/>
  <c r="CB38" i="1"/>
  <c r="CC29" i="1"/>
  <c r="AB12" i="1" l="1"/>
  <c r="AB14" i="1" s="1"/>
  <c r="AB17" i="1" s="1"/>
  <c r="AB19" i="1" s="1"/>
  <c r="AB21" i="1" s="1"/>
  <c r="AB29" i="1"/>
  <c r="AB31" i="1" s="1"/>
  <c r="CB72" i="1"/>
  <c r="CB31" i="1"/>
  <c r="CC72" i="1"/>
  <c r="CC31" i="1"/>
  <c r="AB32" i="1" l="1"/>
  <c r="AB39" i="1"/>
  <c r="CB32" i="1"/>
  <c r="CB39" i="1"/>
  <c r="CC32" i="1"/>
  <c r="CC39" i="1"/>
  <c r="AB40" i="1" l="1"/>
  <c r="AB42" i="1"/>
  <c r="CB40" i="1"/>
  <c r="CB42" i="1"/>
  <c r="CC40" i="1"/>
  <c r="CC42" i="1"/>
  <c r="CB43" i="1" l="1"/>
  <c r="CC43" i="1"/>
  <c r="CC22" i="1" s="1"/>
  <c r="CC23" i="1" s="1"/>
  <c r="CB44" i="1" l="1"/>
  <c r="CB48" i="1" s="1"/>
  <c r="AB43" i="1"/>
  <c r="CB22" i="1"/>
  <c r="CB23" i="1" s="1"/>
  <c r="CC44" i="1"/>
  <c r="CC48" i="1" s="1"/>
  <c r="CB96" i="1" l="1"/>
  <c r="CB49" i="1"/>
  <c r="CB57" i="1"/>
  <c r="CB58" i="1" s="1"/>
  <c r="CC96" i="1"/>
  <c r="AB44" i="1"/>
  <c r="AB48" i="1" s="1"/>
  <c r="AB22" i="1"/>
  <c r="AB23" i="1" s="1"/>
  <c r="CC57" i="1"/>
  <c r="CC49" i="1"/>
  <c r="CB97" i="1" l="1"/>
  <c r="CC58" i="1"/>
  <c r="CC60" i="1" s="1"/>
  <c r="CB61" i="1"/>
  <c r="CB62" i="1" s="1"/>
  <c r="CB129" i="1"/>
  <c r="CB9" i="1"/>
  <c r="CB106" i="1"/>
  <c r="CB121" i="1" s="1"/>
  <c r="CB125" i="1" s="1"/>
  <c r="CB126" i="1" s="1"/>
  <c r="CC97" i="1"/>
  <c r="AB96" i="1"/>
  <c r="AB97" i="1" s="1"/>
  <c r="AB57" i="1"/>
  <c r="AB58" i="1" s="1"/>
  <c r="AB49" i="1"/>
  <c r="AB75" i="1" l="1"/>
  <c r="CB83" i="1"/>
  <c r="CB82" i="1"/>
  <c r="CB89" i="1"/>
  <c r="CC61" i="1"/>
  <c r="CC62" i="1" s="1"/>
  <c r="CC9" i="1"/>
  <c r="CC106" i="1"/>
  <c r="CC129" i="1"/>
  <c r="CD4" i="1"/>
  <c r="CC4" i="1"/>
  <c r="AB4" i="1" s="1"/>
  <c r="AB9" i="1"/>
  <c r="AB106" i="1"/>
  <c r="AB129" i="1"/>
  <c r="AB61" i="1"/>
  <c r="AB62" i="1" s="1"/>
  <c r="CB86" i="1" l="1"/>
  <c r="AB83" i="1"/>
  <c r="CB85" i="1"/>
  <c r="CC83" i="1"/>
  <c r="CC86" i="1" s="1"/>
  <c r="CC82" i="1"/>
  <c r="CC85" i="1" s="1"/>
  <c r="CC89" i="1"/>
  <c r="CC121" i="1"/>
  <c r="CD5" i="1"/>
  <c r="CC5" i="1"/>
  <c r="AB5" i="1" s="1"/>
  <c r="AB7" i="1" s="1"/>
  <c r="AB89" i="1"/>
  <c r="AB82" i="1" l="1"/>
  <c r="AB90" i="1" s="1"/>
  <c r="AB91" i="1"/>
  <c r="AB121" i="1"/>
  <c r="AB125" i="1" s="1"/>
  <c r="AB126" i="1" s="1"/>
  <c r="CC125" i="1"/>
  <c r="CC126" i="1" s="1"/>
  <c r="CE28" i="1"/>
  <c r="CE27" i="1"/>
  <c r="CE41" i="1"/>
  <c r="CE33" i="1"/>
  <c r="CE38" i="1" s="1"/>
  <c r="CE30" i="1"/>
  <c r="CD7" i="1"/>
  <c r="CD28" i="1"/>
  <c r="CD27" i="1"/>
  <c r="CD41" i="1"/>
  <c r="CD33" i="1"/>
  <c r="CD30" i="1"/>
  <c r="CC7" i="1"/>
  <c r="CD29" i="1" l="1"/>
  <c r="CD38" i="1"/>
  <c r="CE29" i="1"/>
  <c r="CD72" i="1" l="1"/>
  <c r="CD31" i="1"/>
  <c r="CE31" i="1"/>
  <c r="CE72" i="1"/>
  <c r="CD32" i="1" l="1"/>
  <c r="CD39" i="1"/>
  <c r="CE32" i="1"/>
  <c r="CE39" i="1"/>
  <c r="CD40" i="1" l="1"/>
  <c r="CD42" i="1"/>
  <c r="CE40" i="1"/>
  <c r="CE42" i="1"/>
  <c r="CD43" i="1" l="1"/>
  <c r="CE43" i="1"/>
  <c r="CE22" i="1" s="1"/>
  <c r="CE23" i="1" s="1"/>
  <c r="CD44" i="1" l="1"/>
  <c r="CD48" i="1" s="1"/>
  <c r="CD57" i="1"/>
  <c r="CD58" i="1" s="1"/>
  <c r="CD22" i="1"/>
  <c r="CD23" i="1" s="1"/>
  <c r="CE44" i="1"/>
  <c r="CE48" i="1" s="1"/>
  <c r="CD96" i="1" l="1"/>
  <c r="CD49" i="1"/>
  <c r="CD97" i="1"/>
  <c r="CE57" i="1"/>
  <c r="CE58" i="1" s="1"/>
  <c r="CE49" i="1"/>
  <c r="CE96" i="1" l="1"/>
  <c r="CD129" i="1"/>
  <c r="CD106" i="1"/>
  <c r="CD121" i="1" s="1"/>
  <c r="CD125" i="1" s="1"/>
  <c r="CD126" i="1" s="1"/>
  <c r="CD9" i="1"/>
  <c r="CD61" i="1"/>
  <c r="CD62" i="1" s="1"/>
  <c r="CE97" i="1"/>
  <c r="CD83" i="1" l="1"/>
  <c r="CD82" i="1"/>
  <c r="CD89" i="1"/>
  <c r="CE9" i="1"/>
  <c r="CE129" i="1"/>
  <c r="CE61" i="1"/>
  <c r="CE62" i="1" s="1"/>
  <c r="CE106" i="1"/>
  <c r="CF4" i="1"/>
  <c r="CE4" i="1"/>
  <c r="CD86" i="1" l="1"/>
  <c r="CD85" i="1"/>
  <c r="CE83" i="1"/>
  <c r="CE86" i="1" s="1"/>
  <c r="CE82" i="1"/>
  <c r="CE85" i="1" s="1"/>
  <c r="CE89" i="1"/>
  <c r="CE121" i="1"/>
  <c r="CE125" i="1" s="1"/>
  <c r="CE126" i="1" s="1"/>
  <c r="CF5" i="1"/>
  <c r="CE5" i="1"/>
  <c r="CG28" i="1" l="1"/>
  <c r="CG27" i="1"/>
  <c r="CG29" i="1" s="1"/>
  <c r="CG41" i="1"/>
  <c r="CG33" i="1"/>
  <c r="CG38" i="1" s="1"/>
  <c r="CG30" i="1"/>
  <c r="CF7" i="1"/>
  <c r="CF28" i="1"/>
  <c r="AC28" i="1" s="1"/>
  <c r="AC13" i="1" s="1"/>
  <c r="CF27" i="1"/>
  <c r="CF41" i="1"/>
  <c r="AC41" i="1" s="1"/>
  <c r="AC20" i="1" s="1"/>
  <c r="CF33" i="1"/>
  <c r="CF30" i="1"/>
  <c r="AC30" i="1" s="1"/>
  <c r="AC15" i="1" s="1"/>
  <c r="CE7" i="1"/>
  <c r="CF29" i="1" l="1"/>
  <c r="AC27" i="1"/>
  <c r="CF38" i="1"/>
  <c r="AC33" i="1"/>
  <c r="AC38" i="1" s="1"/>
  <c r="AC18" i="1" s="1"/>
  <c r="CG31" i="1"/>
  <c r="CG32" i="1" s="1"/>
  <c r="CG72" i="1"/>
  <c r="CF31" i="1" l="1"/>
  <c r="CF32" i="1" s="1"/>
  <c r="CF72" i="1"/>
  <c r="AC12" i="1"/>
  <c r="AC14" i="1" s="1"/>
  <c r="AC17" i="1" s="1"/>
  <c r="AC19" i="1" s="1"/>
  <c r="AC21" i="1" s="1"/>
  <c r="AC29" i="1"/>
  <c r="AC31" i="1" s="1"/>
  <c r="CG39" i="1"/>
  <c r="CG40" i="1" s="1"/>
  <c r="CF39" i="1" l="1"/>
  <c r="CF40" i="1" s="1"/>
  <c r="AC39" i="1"/>
  <c r="AC32" i="1"/>
  <c r="CG42" i="1"/>
  <c r="CF42" i="1" l="1"/>
  <c r="AC42" i="1"/>
  <c r="AC40" i="1"/>
  <c r="CG43" i="1"/>
  <c r="CG22" i="1" s="1"/>
  <c r="CG23" i="1" s="1"/>
  <c r="CF43" i="1" l="1"/>
  <c r="CF44" i="1"/>
  <c r="CF48" i="1" s="1"/>
  <c r="CF49" i="1" s="1"/>
  <c r="CF22" i="1"/>
  <c r="CF23" i="1" s="1"/>
  <c r="AC43" i="1"/>
  <c r="CG44" i="1"/>
  <c r="CG48" i="1" s="1"/>
  <c r="CG49" i="1" s="1"/>
  <c r="AC44" i="1" l="1"/>
  <c r="AC48" i="1" s="1"/>
  <c r="AC22" i="1"/>
  <c r="AC23" i="1" s="1"/>
  <c r="CF96" i="1"/>
  <c r="CF57" i="1"/>
  <c r="CF58" i="1" s="1"/>
  <c r="CG57" i="1"/>
  <c r="CG96" i="1" l="1"/>
  <c r="CF97" i="1"/>
  <c r="AC49" i="1"/>
  <c r="AC57" i="1"/>
  <c r="AC58" i="1" s="1"/>
  <c r="CG58" i="1"/>
  <c r="CG60" i="1" s="1"/>
  <c r="AC96" i="1" l="1"/>
  <c r="AC97" i="1" s="1"/>
  <c r="CG97" i="1"/>
  <c r="CF61" i="1"/>
  <c r="CF62" i="1" s="1"/>
  <c r="CF129" i="1"/>
  <c r="CF106" i="1"/>
  <c r="CF121" i="1" s="1"/>
  <c r="CF125" i="1" s="1"/>
  <c r="CF126" i="1" s="1"/>
  <c r="CF9" i="1"/>
  <c r="CF82" i="1"/>
  <c r="CF89" i="1"/>
  <c r="CG61" i="1"/>
  <c r="CG62" i="1" s="1"/>
  <c r="CG106" i="1"/>
  <c r="CG129" i="1"/>
  <c r="CH4" i="1"/>
  <c r="CG4" i="1"/>
  <c r="AC4" i="1" s="1"/>
  <c r="AC106" i="1"/>
  <c r="AC9" i="1"/>
  <c r="AC61" i="1"/>
  <c r="AC62" i="1" s="1"/>
  <c r="AC129" i="1"/>
  <c r="CG9" i="1" l="1"/>
  <c r="AC75" i="1"/>
  <c r="CF83" i="1"/>
  <c r="CF86" i="1"/>
  <c r="CF85" i="1"/>
  <c r="CG83" i="1"/>
  <c r="CG86" i="1" s="1"/>
  <c r="CG82" i="1"/>
  <c r="CG85" i="1" s="1"/>
  <c r="CG89" i="1"/>
  <c r="CG121" i="1"/>
  <c r="CH5" i="1"/>
  <c r="CG5" i="1"/>
  <c r="AC5" i="1" s="1"/>
  <c r="AC7" i="1" s="1"/>
  <c r="AC89" i="1"/>
  <c r="AC83" i="1" l="1"/>
  <c r="AC91" i="1" s="1"/>
  <c r="AC82" i="1"/>
  <c r="AC90" i="1" s="1"/>
  <c r="CG125" i="1"/>
  <c r="CG126" i="1" s="1"/>
  <c r="AC121" i="1"/>
  <c r="AC125" i="1" s="1"/>
  <c r="AC126" i="1" s="1"/>
  <c r="CI28" i="1"/>
  <c r="CI27" i="1"/>
  <c r="CI29" i="1" s="1"/>
  <c r="CI41" i="1"/>
  <c r="CI33" i="1"/>
  <c r="CI38" i="1" s="1"/>
  <c r="CI30" i="1"/>
  <c r="CH7" i="1"/>
  <c r="CH28" i="1"/>
  <c r="CH27" i="1"/>
  <c r="CH41" i="1"/>
  <c r="CH33" i="1"/>
  <c r="CH30" i="1"/>
  <c r="CG7" i="1"/>
  <c r="CI31" i="1" l="1"/>
  <c r="CI32" i="1" s="1"/>
  <c r="CI72" i="1"/>
  <c r="CH29" i="1"/>
  <c r="CH38" i="1"/>
  <c r="CI39" i="1" l="1"/>
  <c r="CI40" i="1" s="1"/>
  <c r="CH72" i="1"/>
  <c r="CH31" i="1"/>
  <c r="CH32" i="1" s="1"/>
  <c r="CI42" i="1" l="1"/>
  <c r="CH39" i="1"/>
  <c r="CH40" i="1" s="1"/>
  <c r="CI43" i="1" l="1"/>
  <c r="CI22" i="1" s="1"/>
  <c r="CI23" i="1" s="1"/>
  <c r="CH42" i="1"/>
  <c r="CH43" i="1" l="1"/>
  <c r="CI44" i="1"/>
  <c r="CI48" i="1" s="1"/>
  <c r="CI49" i="1" s="1"/>
  <c r="CH22" i="1" l="1"/>
  <c r="CH23" i="1" s="1"/>
  <c r="CI57" i="1"/>
  <c r="CH44" i="1"/>
  <c r="CH48" i="1" s="1"/>
  <c r="CH49" i="1" s="1"/>
  <c r="CH57" i="1" l="1"/>
  <c r="CH96" i="1"/>
  <c r="CI58" i="1" l="1"/>
  <c r="CH58" i="1"/>
  <c r="CH97" i="1"/>
  <c r="CI96" i="1"/>
  <c r="CH129" i="1" l="1"/>
  <c r="CH106" i="1"/>
  <c r="CH121" i="1" s="1"/>
  <c r="CH125" i="1" s="1"/>
  <c r="CH126" i="1" s="1"/>
  <c r="CH9" i="1"/>
  <c r="CH61" i="1"/>
  <c r="CH62" i="1" s="1"/>
  <c r="CI97" i="1"/>
  <c r="CH83" i="1" l="1"/>
  <c r="CH82" i="1"/>
  <c r="CH89" i="1"/>
  <c r="CI9" i="1"/>
  <c r="CI129" i="1"/>
  <c r="CI106" i="1"/>
  <c r="CI61" i="1"/>
  <c r="CI62" i="1" s="1"/>
  <c r="CJ4" i="1"/>
  <c r="CI4" i="1"/>
  <c r="CH86" i="1" l="1"/>
  <c r="CH85" i="1"/>
  <c r="CJ5" i="1"/>
  <c r="CI5" i="1"/>
  <c r="CI121" i="1"/>
  <c r="CI125" i="1" s="1"/>
  <c r="CI126" i="1" s="1"/>
  <c r="CI83" i="1"/>
  <c r="CI86" i="1" s="1"/>
  <c r="CI82" i="1"/>
  <c r="CI85" i="1" s="1"/>
  <c r="CI89" i="1"/>
  <c r="CK28" i="1" l="1"/>
  <c r="CK27" i="1"/>
  <c r="CK29" i="1" s="1"/>
  <c r="CK41" i="1"/>
  <c r="CK33" i="1"/>
  <c r="CK38" i="1" s="1"/>
  <c r="CK30" i="1"/>
  <c r="CJ7" i="1"/>
  <c r="CJ28" i="1"/>
  <c r="AD28" i="1" s="1"/>
  <c r="AD13" i="1" s="1"/>
  <c r="CJ27" i="1"/>
  <c r="CJ41" i="1"/>
  <c r="AD41" i="1" s="1"/>
  <c r="AD20" i="1" s="1"/>
  <c r="CJ33" i="1"/>
  <c r="CJ30" i="1"/>
  <c r="AD30" i="1" s="1"/>
  <c r="AD15" i="1" s="1"/>
  <c r="CI7" i="1"/>
  <c r="CJ29" i="1" l="1"/>
  <c r="AD27" i="1"/>
  <c r="CJ38" i="1"/>
  <c r="AD33" i="1"/>
  <c r="AD38" i="1" s="1"/>
  <c r="AD18" i="1" s="1"/>
  <c r="CK31" i="1"/>
  <c r="CK32" i="1" s="1"/>
  <c r="CK72" i="1"/>
  <c r="CJ31" i="1"/>
  <c r="CJ32" i="1" s="1"/>
  <c r="CJ72" i="1" l="1"/>
  <c r="AD29" i="1"/>
  <c r="AD31" i="1" s="1"/>
  <c r="AD12" i="1"/>
  <c r="AD14" i="1" s="1"/>
  <c r="AD17" i="1" s="1"/>
  <c r="AD19" i="1" s="1"/>
  <c r="AD21" i="1" s="1"/>
  <c r="CK39" i="1"/>
  <c r="CK40" i="1" s="1"/>
  <c r="CJ39" i="1"/>
  <c r="CJ40" i="1" s="1"/>
  <c r="AD39" i="1" l="1"/>
  <c r="AD32" i="1"/>
  <c r="CK42" i="1"/>
  <c r="CJ42" i="1"/>
  <c r="AD42" i="1" l="1"/>
  <c r="AD40" i="1"/>
  <c r="CK43" i="1"/>
  <c r="CK22" i="1" s="1"/>
  <c r="CK23" i="1" s="1"/>
  <c r="CJ43" i="1"/>
  <c r="CJ22" i="1" l="1"/>
  <c r="CJ23" i="1" s="1"/>
  <c r="AD43" i="1"/>
  <c r="CK44" i="1"/>
  <c r="CK48" i="1" s="1"/>
  <c r="CK49" i="1" s="1"/>
  <c r="CJ44" i="1"/>
  <c r="CJ48" i="1" s="1"/>
  <c r="CJ49" i="1" s="1"/>
  <c r="AD44" i="1" l="1"/>
  <c r="AD48" i="1" s="1"/>
  <c r="AD22" i="1"/>
  <c r="AD23" i="1" s="1"/>
  <c r="CK57" i="1"/>
  <c r="CJ57" i="1"/>
  <c r="CJ58" i="1" s="1"/>
  <c r="CJ96" i="1"/>
  <c r="AD49" i="1" l="1"/>
  <c r="AD57" i="1"/>
  <c r="AD58" i="1" s="1"/>
  <c r="CK58" i="1"/>
  <c r="CK60" i="1" s="1"/>
  <c r="CJ97" i="1"/>
  <c r="CK96" i="1"/>
  <c r="CJ106" i="1" l="1"/>
  <c r="CJ121" i="1" s="1"/>
  <c r="CJ125" i="1" s="1"/>
  <c r="CJ126" i="1" s="1"/>
  <c r="CJ129" i="1"/>
  <c r="CJ61" i="1"/>
  <c r="CJ62" i="1" s="1"/>
  <c r="CJ9" i="1"/>
  <c r="CK97" i="1"/>
  <c r="AD96" i="1"/>
  <c r="AD97" i="1" s="1"/>
  <c r="CJ83" i="1" l="1"/>
  <c r="CJ82" i="1"/>
  <c r="CJ89" i="1"/>
  <c r="CK106" i="1"/>
  <c r="CK129" i="1"/>
  <c r="CK61" i="1"/>
  <c r="CK62" i="1" s="1"/>
  <c r="CK9" i="1"/>
  <c r="CL4" i="1"/>
  <c r="CK4" i="1"/>
  <c r="AD4" i="1" s="1"/>
  <c r="AD75" i="1"/>
  <c r="AD61" i="1"/>
  <c r="AD62" i="1" s="1"/>
  <c r="AD129" i="1"/>
  <c r="AD106" i="1"/>
  <c r="AD9" i="1"/>
  <c r="CJ86" i="1" l="1"/>
  <c r="CJ85" i="1"/>
  <c r="CK121" i="1"/>
  <c r="CL5" i="1"/>
  <c r="CK5" i="1"/>
  <c r="AD5" i="1" s="1"/>
  <c r="AD7" i="1" s="1"/>
  <c r="CK83" i="1"/>
  <c r="CK86" i="1" s="1"/>
  <c r="CK82" i="1"/>
  <c r="CK85" i="1" s="1"/>
  <c r="CK89" i="1"/>
  <c r="AD89" i="1"/>
  <c r="AD83" i="1" l="1"/>
  <c r="AD91" i="1" s="1"/>
  <c r="AD82" i="1"/>
  <c r="AD90" i="1" s="1"/>
  <c r="AD121" i="1"/>
  <c r="AD125" i="1" s="1"/>
  <c r="AD126" i="1" s="1"/>
  <c r="CK125" i="1"/>
  <c r="CK126" i="1" s="1"/>
  <c r="CM27" i="1"/>
  <c r="CM28" i="1"/>
  <c r="CL7" i="1"/>
  <c r="CM33" i="1"/>
  <c r="CM38" i="1" s="1"/>
  <c r="CM30" i="1"/>
  <c r="CM41" i="1"/>
  <c r="CL27" i="1"/>
  <c r="CL28" i="1"/>
  <c r="CL41" i="1"/>
  <c r="CL33" i="1"/>
  <c r="CL30" i="1"/>
  <c r="CK7" i="1"/>
  <c r="CM29" i="1" l="1"/>
  <c r="CL29" i="1"/>
  <c r="CL38" i="1"/>
  <c r="CM31" i="1" l="1"/>
  <c r="CM72" i="1"/>
  <c r="CL72" i="1"/>
  <c r="CL31" i="1"/>
  <c r="CM32" i="1" l="1"/>
  <c r="CM39" i="1"/>
  <c r="CL39" i="1"/>
  <c r="CL32" i="1"/>
  <c r="CM40" i="1" l="1"/>
  <c r="CM42" i="1"/>
  <c r="CL40" i="1"/>
  <c r="CL42" i="1"/>
  <c r="CL43" i="1" s="1"/>
  <c r="CL22" i="1" s="1"/>
  <c r="CL23" i="1" s="1"/>
  <c r="CL44" i="1" l="1"/>
  <c r="CL48" i="1" s="1"/>
  <c r="CL49" i="1" s="1"/>
  <c r="CM43" i="1"/>
  <c r="CL96" i="1" l="1"/>
  <c r="CL57" i="1"/>
  <c r="CM22" i="1"/>
  <c r="CM23" i="1" s="1"/>
  <c r="CM44" i="1"/>
  <c r="CM48" i="1" s="1"/>
  <c r="CL58" i="1" l="1"/>
  <c r="CL97" i="1"/>
  <c r="CM57" i="1"/>
  <c r="CM58" i="1" s="1"/>
  <c r="CM49" i="1"/>
  <c r="CM96" i="1"/>
  <c r="CL9" i="1"/>
  <c r="CL106" i="1" l="1"/>
  <c r="CL121" i="1" s="1"/>
  <c r="CL125" i="1" s="1"/>
  <c r="CL126" i="1" s="1"/>
  <c r="CL129" i="1"/>
  <c r="CL61" i="1"/>
  <c r="CL62" i="1" s="1"/>
  <c r="CM97" i="1"/>
  <c r="CL83" i="1" l="1"/>
  <c r="CL82" i="1"/>
  <c r="CL89" i="1"/>
  <c r="CM129" i="1"/>
  <c r="CM106" i="1"/>
  <c r="CM9" i="1"/>
  <c r="CM61" i="1"/>
  <c r="CM62" i="1" s="1"/>
  <c r="CN4" i="1"/>
  <c r="CM4" i="1"/>
  <c r="CL86" i="1"/>
  <c r="CM82" i="1"/>
  <c r="CM85" i="1" s="1"/>
  <c r="CM89" i="1"/>
  <c r="CL85" i="1" l="1"/>
  <c r="CM121" i="1"/>
  <c r="CM125" i="1" s="1"/>
  <c r="CM126" i="1" s="1"/>
  <c r="CN5" i="1"/>
  <c r="CM5" i="1"/>
  <c r="CM83" i="1"/>
  <c r="CM86" i="1" s="1"/>
  <c r="CN7" i="1"/>
  <c r="CO41" i="1"/>
  <c r="CO30" i="1"/>
  <c r="CO33" i="1"/>
  <c r="CO38" i="1" s="1"/>
  <c r="CN28" i="1"/>
  <c r="AE28" i="1" s="1"/>
  <c r="AE13" i="1" s="1"/>
  <c r="CN33" i="1"/>
  <c r="CO27" i="1" l="1"/>
  <c r="CO28" i="1"/>
  <c r="CN27" i="1"/>
  <c r="AE27" i="1" s="1"/>
  <c r="CM7" i="1"/>
  <c r="CN41" i="1"/>
  <c r="AE41" i="1" s="1"/>
  <c r="AE20" i="1" s="1"/>
  <c r="CN30" i="1"/>
  <c r="AE30" i="1" s="1"/>
  <c r="AE15" i="1" s="1"/>
  <c r="CN38" i="1"/>
  <c r="AE33" i="1"/>
  <c r="AE38" i="1" s="1"/>
  <c r="AE18" i="1" s="1"/>
  <c r="AE29" i="1" l="1"/>
  <c r="AE31" i="1" s="1"/>
  <c r="AE12" i="1"/>
  <c r="AE14" i="1" s="1"/>
  <c r="AE17" i="1" s="1"/>
  <c r="CN29" i="1"/>
  <c r="CO29" i="1"/>
  <c r="AE32" i="1"/>
  <c r="CN31" i="1"/>
  <c r="CN72" i="1"/>
  <c r="CO72" i="1"/>
  <c r="CO31" i="1"/>
  <c r="AE39" i="1" l="1"/>
  <c r="AE19" i="1"/>
  <c r="AE21" i="1" s="1"/>
  <c r="AE40" i="1"/>
  <c r="CN39" i="1"/>
  <c r="CN32" i="1"/>
  <c r="CO39" i="1"/>
  <c r="CO32" i="1"/>
  <c r="AE42" i="1" l="1"/>
  <c r="CN40" i="1"/>
  <c r="CN42" i="1"/>
  <c r="CN43" i="1" s="1"/>
  <c r="CN22" i="1" s="1"/>
  <c r="CN23" i="1" s="1"/>
  <c r="CO40" i="1"/>
  <c r="CO42" i="1"/>
  <c r="CO43" i="1" s="1"/>
  <c r="CO22" i="1" s="1"/>
  <c r="CO23" i="1" s="1"/>
  <c r="AE43" i="1"/>
  <c r="CO44" i="1" l="1"/>
  <c r="CO48" i="1" s="1"/>
  <c r="CN44" i="1"/>
  <c r="CN48" i="1" s="1"/>
  <c r="CN49" i="1" s="1"/>
  <c r="AE44" i="1"/>
  <c r="AE48" i="1" s="1"/>
  <c r="AE22" i="1"/>
  <c r="AE23" i="1" s="1"/>
  <c r="CO49" i="1"/>
  <c r="CO57" i="1" l="1"/>
  <c r="CN57" i="1"/>
  <c r="CN96" i="1"/>
  <c r="AE49" i="1"/>
  <c r="AE57" i="1"/>
  <c r="AE58" i="1" s="1"/>
  <c r="CO58" i="1" l="1"/>
  <c r="CO60" i="1" s="1"/>
  <c r="CN58" i="1"/>
  <c r="CO96" i="1"/>
  <c r="CN97" i="1"/>
  <c r="CN106" i="1" l="1"/>
  <c r="CN121" i="1" s="1"/>
  <c r="CN125" i="1" s="1"/>
  <c r="CN126" i="1" s="1"/>
  <c r="CN61" i="1"/>
  <c r="CN62" i="1" s="1"/>
  <c r="CN129" i="1"/>
  <c r="AE96" i="1"/>
  <c r="AE97" i="1" s="1"/>
  <c r="CO97" i="1"/>
  <c r="CN9" i="1"/>
  <c r="AE75" i="1"/>
  <c r="AH4" i="1"/>
  <c r="AE106" i="1"/>
  <c r="AH5" i="1" s="1"/>
  <c r="CO4" i="1"/>
  <c r="AE4" i="1" s="1"/>
  <c r="CN83" i="1"/>
  <c r="CN89" i="1"/>
  <c r="CN82" i="1"/>
  <c r="AE61" i="1" l="1"/>
  <c r="AE62" i="1" s="1"/>
  <c r="AE129" i="1"/>
  <c r="AE9" i="1"/>
  <c r="CO9" i="1"/>
  <c r="CO106" i="1"/>
  <c r="CO61" i="1"/>
  <c r="CO62" i="1" s="1"/>
  <c r="CO129" i="1"/>
  <c r="CN86" i="1"/>
  <c r="CN85" i="1"/>
  <c r="AE82" i="1"/>
  <c r="AL7" i="1"/>
  <c r="AI13" i="1"/>
  <c r="AI12" i="1"/>
  <c r="AI15" i="1"/>
  <c r="AI18" i="1"/>
  <c r="AI20" i="1"/>
  <c r="AI22" i="1"/>
  <c r="CO82" i="1"/>
  <c r="CO85" i="1" s="1"/>
  <c r="CO89" i="1"/>
  <c r="CO83" i="1" l="1"/>
  <c r="CO86" i="1" s="1"/>
  <c r="AE89" i="1"/>
  <c r="CO5" i="1"/>
  <c r="CO121" i="1"/>
  <c r="AE83" i="1"/>
  <c r="AE91" i="1" s="1"/>
  <c r="AE90" i="1"/>
  <c r="AE5" i="1"/>
  <c r="AE7" i="1" s="1"/>
  <c r="AI14" i="1"/>
  <c r="AI17" i="1" s="1"/>
  <c r="AI19" i="1" s="1"/>
  <c r="AI21" i="1" s="1"/>
  <c r="AI23" i="1" s="1"/>
  <c r="CO7" i="1" l="1"/>
  <c r="AE121" i="1"/>
  <c r="AE125" i="1" s="1"/>
  <c r="AE126" i="1" s="1"/>
  <c r="CO125" i="1"/>
  <c r="CO1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<sst xmlns="http://schemas.openxmlformats.org/spreadsheetml/2006/main" count="646" uniqueCount="496">
  <si>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</si>
  <si>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</si>
  <si>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</si>
  <si>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</si>
  <si>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</si>
  <si>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</si>
  <si>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</si>
  <si>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</si>
  <si>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</si>
  <si>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</si>
  <si>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</si>
  <si>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</si>
  <si>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</si>
  <si>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</si>
  <si>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</si>
  <si>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</si>
  <si>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</si>
  <si>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</si>
  <si>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</si>
  <si>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</si>
  <si>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</si>
  <si>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</si>
  <si>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</si>
  <si>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</si>
  <si>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</si>
  <si>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</si>
  <si>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</si>
  <si>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</si>
  <si>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</si>
  <si>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</si>
  <si>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</si>
  <si>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</si>
  <si>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</si>
  <si>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</si>
  <si>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</si>
  <si>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</si>
  <si>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</si>
  <si>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</si>
  <si>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</si>
  <si>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</si>
  <si>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</si>
  <si>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</si>
  <si>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</si>
  <si>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</si>
  <si>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</si>
  <si>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</si>
  <si>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</si>
  <si>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</si>
  <si>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</si>
  <si>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</si>
  <si>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</si>
  <si>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</si>
  <si>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</si>
  <si>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</si>
  <si>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</si>
  <si>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</si>
  <si>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</si>
  <si>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</si>
  <si>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</si>
  <si>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</si>
  <si>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</si>
  <si>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</si>
  <si>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</si>
  <si>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</si>
  <si>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</si>
  <si>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</si>
  <si>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</si>
  <si>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</si>
  <si>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</si>
  <si>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</si>
  <si>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</si>
  <si>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</si>
  <si>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</si>
  <si>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</si>
  <si>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</si>
  <si>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</si>
  <si>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</si>
  <si>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</si>
  <si>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</si>
  <si>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</si>
  <si>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</si>
  <si>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</si>
  <si>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</si>
  <si>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</si>
  <si>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</si>
  <si>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</si>
  <si>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</si>
  <si>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</si>
  <si>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</si>
  <si>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</si>
  <si>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</si>
  <si>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</si>
  <si>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</si>
  <si>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</si>
  <si>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</si>
  <si>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</si>
  <si>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</si>
  <si>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</si>
  <si>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</si>
  <si>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</si>
  <si>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</si>
  <si>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</si>
  <si>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</si>
  <si>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</si>
  <si>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</si>
  <si>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</si>
  <si>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</si>
  <si>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</si>
  <si>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</si>
  <si>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</si>
  <si>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</si>
  <si>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</si>
  <si>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</si>
  <si>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</si>
  <si>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</si>
  <si>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</si>
  <si>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</si>
  <si>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</si>
  <si>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</si>
  <si>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</si>
  <si>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</si>
  <si>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</si>
  <si>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</si>
  <si>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</si>
  <si>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</si>
  <si>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</si>
  <si>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</si>
  <si>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</si>
  <si>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</si>
  <si>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</si>
  <si>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</si>
  <si>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</si>
  <si>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</si>
  <si>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</si>
  <si>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</si>
  <si>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</si>
  <si>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</si>
  <si>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</si>
  <si>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</si>
  <si>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</si>
  <si>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</si>
  <si>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</si>
  <si>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</si>
  <si>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</si>
  <si>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</si>
  <si>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</si>
  <si>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</si>
  <si>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</si>
  <si>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</si>
  <si>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</si>
  <si>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</si>
  <si>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</si>
  <si>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</si>
  <si>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</si>
  <si>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</si>
  <si>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</si>
  <si>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</si>
  <si>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</si>
  <si>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</si>
  <si>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</si>
  <si>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</si>
  <si>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</si>
  <si>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</si>
  <si>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</si>
  <si>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</si>
  <si>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</si>
  <si>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</si>
  <si>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</si>
  <si>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</si>
  <si>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</si>
  <si>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</si>
  <si>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</si>
  <si>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</si>
  <si>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</si>
  <si>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</si>
  <si>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</si>
  <si>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</si>
  <si>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</si>
  <si>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</si>
  <si>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</si>
  <si>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</si>
  <si>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</si>
  <si>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</si>
  <si>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</si>
  <si>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</si>
  <si>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</si>
  <si>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</si>
  <si>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</si>
  <si>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</si>
  <si>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</si>
  <si>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</si>
  <si>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</si>
  <si>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</si>
  <si>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</si>
  <si>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</si>
  <si>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</si>
  <si>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</si>
  <si>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</si>
  <si>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</si>
  <si>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</si>
  <si>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</si>
  <si>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</si>
  <si>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</si>
  <si>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</si>
  <si>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</si>
  <si>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</si>
  <si>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</si>
  <si>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</si>
  <si>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</si>
  <si>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</si>
  <si>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</si>
  <si>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</si>
  <si>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</si>
  <si>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</si>
  <si>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</si>
  <si>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</si>
  <si>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</si>
  <si>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</si>
  <si>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</si>
  <si>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</si>
  <si>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</si>
  <si>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</si>
  <si>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</si>
  <si>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</si>
  <si>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</si>
  <si>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</si>
  <si>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</si>
  <si>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</si>
  <si>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</si>
  <si>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</si>
  <si>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</si>
  <si>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</si>
  <si>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</si>
  <si>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</si>
  <si>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</si>
  <si>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TFA</t>
  </si>
  <si>
    <t>Non Current Investments</t>
  </si>
  <si>
    <t>Short Term Loans and Advances</t>
  </si>
  <si>
    <t>TCA</t>
  </si>
  <si>
    <t>Long Term Provisions</t>
  </si>
  <si>
    <t>Short Term Provisions</t>
  </si>
  <si>
    <t>TCL</t>
  </si>
  <si>
    <t>Currents Investments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</si>
  <si>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</si>
  <si>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</si>
  <si>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</si>
  <si>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</si>
  <si>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</si>
  <si>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</si>
  <si>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</si>
  <si>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</si>
  <si>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</si>
  <si>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</si>
  <si>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</si>
  <si>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</si>
  <si>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</si>
  <si>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</si>
  <si>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</si>
  <si>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</si>
  <si>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</si>
  <si>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</si>
  <si>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</si>
  <si>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</si>
  <si>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</si>
  <si>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</si>
  <si>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</si>
  <si>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</si>
  <si>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</si>
  <si>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</si>
  <si>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</si>
  <si>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</si>
  <si>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</si>
  <si>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</si>
  <si>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</si>
  <si>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</si>
  <si>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</si>
  <si>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</si>
  <si>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</si>
  <si>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</si>
  <si>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</si>
  <si>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</si>
  <si>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</si>
  <si>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</si>
  <si>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</si>
  <si>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</si>
  <si>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</si>
  <si>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</si>
  <si>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</si>
  <si>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</si>
  <si>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</si>
  <si>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</si>
  <si>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</si>
  <si>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</si>
  <si>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</si>
  <si>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</si>
  <si>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</si>
  <si>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</si>
  <si>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</si>
  <si>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</si>
  <si>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</si>
  <si>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</si>
  <si>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</si>
  <si>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</si>
  <si>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</si>
  <si>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</si>
  <si>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</si>
  <si>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</si>
  <si>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</si>
  <si>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</si>
  <si>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</si>
  <si>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</si>
  <si>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</si>
  <si>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</si>
  <si>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</si>
  <si>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</si>
  <si>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</si>
  <si>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</si>
  <si>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</si>
  <si>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</si>
  <si>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</si>
  <si>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</si>
  <si>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</si>
  <si>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</si>
  <si>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</si>
  <si>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</si>
  <si>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</si>
  <si>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</si>
  <si>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</si>
  <si>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</si>
  <si>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</si>
  <si>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</si>
  <si>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</si>
  <si>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</si>
  <si>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</si>
  <si>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</si>
  <si>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</si>
  <si>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</si>
  <si>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</si>
  <si>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</si>
  <si>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</si>
  <si>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</si>
  <si>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</si>
  <si>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</si>
  <si>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</si>
  <si>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</si>
  <si>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</si>
  <si>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</si>
  <si>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</si>
  <si>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</si>
  <si>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</si>
  <si>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</si>
  <si>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</si>
  <si>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</si>
  <si>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</si>
  <si>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</si>
  <si>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</si>
  <si>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</si>
  <si>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</si>
  <si>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</si>
  <si>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</si>
  <si>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</si>
  <si>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</si>
  <si>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</si>
  <si>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</si>
  <si>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</si>
  <si>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</si>
  <si>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</si>
  <si>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</si>
  <si>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</si>
  <si>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</si>
  <si>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</si>
  <si>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</si>
  <si>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</si>
  <si>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</si>
  <si>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</si>
  <si>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</si>
  <si>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</si>
  <si>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</si>
  <si>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</si>
  <si>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</si>
  <si>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</si>
  <si>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</si>
  <si>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</si>
  <si>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</si>
  <si>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</si>
  <si>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</si>
  <si>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</si>
  <si>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</si>
  <si>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</si>
  <si>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</si>
  <si>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</si>
  <si>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</si>
  <si>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</si>
  <si>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</si>
  <si>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</si>
  <si>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</si>
  <si>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</si>
  <si>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</si>
  <si>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</si>
  <si>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</si>
  <si>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</si>
  <si>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</si>
  <si>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</si>
  <si>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</si>
  <si>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</si>
  <si>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</si>
  <si>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</si>
  <si>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</si>
  <si>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</si>
  <si>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</si>
  <si>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</si>
  <si>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</si>
  <si>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</si>
  <si>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</si>
  <si>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</si>
  <si>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</si>
  <si>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</si>
  <si>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</si>
  <si>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</si>
  <si>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</si>
  <si>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</si>
  <si>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</si>
  <si>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</si>
  <si>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</si>
  <si>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</si>
  <si>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</si>
  <si>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</si>
  <si>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</si>
  <si>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</si>
  <si>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</si>
  <si>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</si>
  <si>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</si>
  <si>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</si>
  <si>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</si>
  <si>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</si>
  <si>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</si>
  <si>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</si>
  <si>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</si>
  <si>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</si>
  <si>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</si>
  <si>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</si>
  <si>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</si>
  <si>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</si>
  <si>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</si>
  <si>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</si>
  <si>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</si>
  <si>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</si>
  <si>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</si>
  <si>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</si>
  <si>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</si>
  <si>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</si>
  <si>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</si>
  <si>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</si>
  <si>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</si>
  <si>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</si>
  <si>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</si>
  <si>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</si>
  <si>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</si>
  <si>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</si>
  <si>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</si>
  <si>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</si>
  <si>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</si>
  <si>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</si>
  <si>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</si>
  <si>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</si>
  <si>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</si>
  <si>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</si>
  <si>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</si>
  <si>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</si>
  <si>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</si>
  <si>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</si>
  <si>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</si>
  <si>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</si>
  <si>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</si>
  <si>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</si>
  <si>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 - Term Loans</t>
  </si>
  <si>
    <t>Current maturity - Foreign Loans</t>
  </si>
  <si>
    <t>Current maturity - Others</t>
  </si>
  <si>
    <t>BS_CURMATDEB_RUPLOAN</t>
  </si>
  <si>
    <t>BS_CURMATDEB_FRGNLOAN</t>
  </si>
  <si>
    <t>BS_CL_CURMAT_OTHERS</t>
  </si>
  <si>
    <t>QTRB_SHAREWARNDOUT</t>
  </si>
  <si>
    <t>PLC_CONSOLIDATED_NETPROFIT</t>
  </si>
  <si>
    <t>Share Price - Close</t>
  </si>
  <si>
    <t>Share Price - High</t>
  </si>
  <si>
    <t>Share Price - Low</t>
  </si>
  <si>
    <t>P/ABVPS - Close</t>
  </si>
  <si>
    <t>P/ABVPS - High</t>
  </si>
  <si>
    <t>P/ABVPS - Low</t>
  </si>
  <si>
    <t>GNPA %(taken from quarterly results)</t>
  </si>
  <si>
    <t>NNPA %(taken from quarterly results)</t>
  </si>
  <si>
    <t>Debt Securities</t>
  </si>
  <si>
    <t>QTRBIND_DEBT_SECURITIES</t>
  </si>
  <si>
    <t>QTRCBIND_DEBT_SECURITIES</t>
  </si>
  <si>
    <t>QTRCBIND_DEPOSITS_FIN</t>
  </si>
  <si>
    <t>Debt Other Than  Borrowing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</si>
</sst>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7" borderId="0" xfId="0" applyFont="1" applyFill="1"/>
    <xf numFmtId="9" fontId="13" fillId="0" borderId="0" xfId="2" applyFont="1"/>
    <xf numFmtId="0" fontId="8" fillId="0" borderId="0" xfId="0" applyFont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" fontId="14" fillId="0" borderId="0" xfId="0" applyNumberFormat="1" applyFont="1"/>
    <xf numFmtId="43" fontId="1" fillId="0" borderId="0" xfId="1" applyFont="1"/>
    <xf numFmtId="165" fontId="9" fillId="0" borderId="0" xfId="1" applyNumberFormat="1" applyFont="1"/>
    <xf numFmtId="165" fontId="9" fillId="3" borderId="0" xfId="1" applyNumberFormat="1" applyFont="1" applyFill="1"/>
    <xf numFmtId="165" fontId="9" fillId="7" borderId="0" xfId="1" applyNumberFormat="1" applyFont="1" applyFill="1"/>
    <xf numFmtId="165" fontId="9" fillId="3" borderId="0" xfId="2" applyNumberFormat="1" applyFont="1" applyFill="1"/>
    <xf numFmtId="0" fontId="10" fillId="10" borderId="0" xfId="0" applyFont="1" applyFill="1"/>
  </cellXfs>
  <cellStyles count="8">
    <cellStyle name="Comma" xfId="1" builtinId="3"/>
    <cellStyle name="Comma 2" xfId="3" xr:uid="{00000000-0005-0000-0000-000001000000}"/>
    <cellStyle name="Comma 2 2" xfId="6" xr:uid="{DF2C35B0-D2FE-41E3-A60E-C9E3FD61A57B}"/>
    <cellStyle name="Comma 3" xfId="4" xr:uid="{00000000-0005-0000-0000-000002000000}"/>
    <cellStyle name="Comma 3 2" xfId="7" xr:uid="{662B70D9-87D7-4B9C-870E-3C138783A1FB}"/>
    <cellStyle name="Comma 4" xfId="5" xr:uid="{AB2B951A-ECA2-49D8-AA7C-619C11F23802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458a5932996f485b8b1b8d7cbb3f77a6">
      <tp>
        <v>1</v>
        <stp/>
        <stp>626d0952-ab2d-468e-939a-32017ef6e0b8</stp>
        <tr r="ER14" s="132"/>
      </tp>
      <tp>
        <v>1</v>
        <stp/>
        <stp>da2f0fb0-0196-4c3d-befd-2e4ad428957d</stp>
        <tr r="Q6" s="132"/>
      </tp>
    </main>
    <main first="rtdsrv.458a5932996f485b8b1b8d7cbb3f77a6">
      <tp>
        <v>1</v>
        <stp/>
        <stp>77b22f25-606b-4b43-9d64-c8e8f9258276</stp>
        <tr r="DE11" s="132"/>
      </tp>
      <tp>
        <v>1</v>
        <stp/>
        <stp>b2a00d8d-6418-4992-95e3-4e830ae1db78</stp>
        <tr r="DA6" s="132"/>
      </tp>
    </main>
    <main first="rtdsrv.458a5932996f485b8b1b8d7cbb3f77a6">
      <tp>
        <v>1</v>
        <stp/>
        <stp>d84ea93c-255a-4361-971e-e10c060a5ecc</stp>
        <tr r="BD16" s="132"/>
      </tp>
    </main>
    <main first="rtdsrv.458a5932996f485b8b1b8d7cbb3f77a6">
      <tp>
        <v>1</v>
        <stp/>
        <stp>09084db3-628d-4083-b73f-16d234cea850</stp>
        <tr r="N24" s="130"/>
      </tp>
      <tp>
        <v>1</v>
        <stp/>
        <stp>c22532ba-4e15-4fd4-b5c6-30c6d55f37a4</stp>
        <tr r="AX15" s="132"/>
      </tp>
    </main>
    <main first="rtdsrv.458a5932996f485b8b1b8d7cbb3f77a6">
      <tp>
        <v>1</v>
        <stp/>
        <stp>42d62b84-6d74-4f29-b2c2-90805dd2b9b7</stp>
        <tr r="AT74" s="130"/>
      </tp>
    </main>
    <main first="rtdsrv.458a5932996f485b8b1b8d7cbb3f77a6">
      <tp>
        <v>1</v>
        <stp/>
        <stp>8fffee21-d7ed-479f-a745-9b7a40f4d633</stp>
        <tr r="AN13" s="130"/>
      </tp>
      <tp>
        <v>1</v>
        <stp/>
        <stp>bc7b99d6-01b4-4390-936d-e917c1027539</stp>
        <tr r="BD5" s="132"/>
      </tp>
      <tp>
        <v>1</v>
        <stp/>
        <stp>26667721-2e4c-44ec-bb07-7bbb46c2eec5</stp>
        <tr r="AB71" s="130"/>
      </tp>
    </main>
    <main first="rtdsrv.458a5932996f485b8b1b8d7cbb3f77a6">
      <tp>
        <v>1</v>
        <stp/>
        <stp>1240f21a-8813-4a7d-838e-30cf8597006e</stp>
        <tr r="AK81" s="130"/>
      </tp>
    </main>
    <main first="rtdsrv.458a5932996f485b8b1b8d7cbb3f77a6">
      <tp>
        <v>1</v>
        <stp/>
        <stp>d3c282eb-cfb8-4c8d-8f5e-c6bfae2e61ab</stp>
        <tr r="BC72" s="130"/>
      </tp>
    </main>
    <main first="rtdsrv.458a5932996f485b8b1b8d7cbb3f77a6">
      <tp>
        <v>1</v>
        <stp/>
        <stp>ed027f41-83c5-4b57-9bf3-8829bff4bdeb</stp>
        <tr r="K94" s="130"/>
      </tp>
    </main>
    <main first="rtdsrv.458a5932996f485b8b1b8d7cbb3f77a6">
      <tp>
        <v>1</v>
        <stp/>
        <stp>87072b07-2456-453a-b8bc-9bb3af7b217a</stp>
        <tr r="AE24" s="130"/>
      </tp>
    </main>
    <main first="rtdsrv.458a5932996f485b8b1b8d7cbb3f77a6">
      <tp>
        <v>1</v>
        <stp/>
        <stp>ea84829c-4299-466c-83ec-60c6cb33eb5b</stp>
        <tr r="Y13" s="132"/>
      </tp>
    </main>
    <main first="rtdsrv.458a5932996f485b8b1b8d7cbb3f77a6">
      <tp>
        <v>1</v>
        <stp/>
        <stp>dec180f9-3c17-4938-9b91-c4a7aa43ac78</stp>
        <tr r="AZ64" s="130"/>
      </tp>
    </main>
    <main first="rtdsrv.458a5932996f485b8b1b8d7cbb3f77a6">
      <tp>
        <v>1</v>
        <stp/>
        <stp>98c0bc29-220a-489e-b4ab-0e734a5ce863</stp>
        <tr r="AM18" s="130"/>
      </tp>
    </main>
    <main first="rtdsrv.458a5932996f485b8b1b8d7cbb3f77a6">
      <tp>
        <v>1</v>
        <stp/>
        <stp>7456f903-dd73-43c4-8c91-36542ad3eb46</stp>
        <tr r="AZ35" s="130"/>
      </tp>
    </main>
    <main first="rtdsrv.458a5932996f485b8b1b8d7cbb3f77a6">
      <tp>
        <v>1</v>
        <stp/>
        <stp>3b883a81-54c6-42b5-8d5e-2da3a7d784b1</stp>
        <tr r="DL15" s="132"/>
      </tp>
    </main>
    <main first="rtdsrv.458a5932996f485b8b1b8d7cbb3f77a6">
      <tp>
        <v>1</v>
        <stp/>
        <stp>e3462ebf-974f-4589-a17b-12c15721c5dc</stp>
        <tr r="AR15" s="132"/>
      </tp>
    </main>
    <main first="rtdsrv.458a5932996f485b8b1b8d7cbb3f77a6">
      <tp>
        <v>1</v>
        <stp/>
        <stp>504c2bf2-c9a7-4593-9f33-7116dc98e2fc</stp>
        <tr r="BG40" s="130"/>
      </tp>
    </main>
    <main first="rtdsrv.458a5932996f485b8b1b8d7cbb3f77a6">
      <tp>
        <v>1</v>
        <stp/>
        <stp>d655d734-6313-4d87-932f-b5fe4d0e7233</stp>
        <tr r="BP9" s="132"/>
      </tp>
    </main>
    <main first="rtdsrv.458a5932996f485b8b1b8d7cbb3f77a6">
      <tp>
        <v>1</v>
        <stp/>
        <stp>e2fd1292-0bc3-4a03-92dc-347c6491d6fc</stp>
        <tr r="X27" s="130"/>
      </tp>
    </main>
    <main first="rtdsrv.458a5932996f485b8b1b8d7cbb3f77a6">
      <tp>
        <v>1</v>
        <stp/>
        <stp>44af6961-0977-49b4-9d95-1ec29a6fee86</stp>
        <tr r="AM47" s="130"/>
        <tr r="AM52" s="130"/>
      </tp>
    </main>
    <main first="rtdsrv.458a5932996f485b8b1b8d7cbb3f77a6">
      <tp>
        <v>1</v>
        <stp/>
        <stp>af2b640d-3261-491c-9c6b-206be7cf5b19</stp>
        <tr r="T96" s="130"/>
      </tp>
    </main>
    <main first="rtdsrv.458a5932996f485b8b1b8d7cbb3f77a6">
      <tp>
        <v>1</v>
        <stp/>
        <stp>31a5d336-fee4-4415-a8a2-e6a83a3f66ae</stp>
        <tr r="S90" s="130"/>
      </tp>
    </main>
    <main first="rtdsrv.458a5932996f485b8b1b8d7cbb3f77a6">
      <tp>
        <v>1</v>
        <stp/>
        <stp>2ab4dcf1-e001-4e70-a197-a53482aa58f2</stp>
        <tr r="GV13" s="132"/>
      </tp>
    </main>
    <main first="rtdsrv.458a5932996f485b8b1b8d7cbb3f77a6">
      <tp>
        <v>1</v>
        <stp/>
        <stp>cd07c068-76e5-4951-8a4e-8308da0cbebb</stp>
        <tr r="E15" s="130"/>
      </tp>
      <tp>
        <v>1</v>
        <stp/>
        <stp>761ab8b1-f765-4726-ad1b-6de4cbbdb861</stp>
        <tr r="BJ7" s="130"/>
      </tp>
    </main>
    <main first="rtdsrv.458a5932996f485b8b1b8d7cbb3f77a6">
      <tp>
        <v>1</v>
        <stp/>
        <stp>46a01628-b2de-4c2a-93f2-3ceebbb345cd</stp>
        <tr r="EG16" s="132"/>
      </tp>
    </main>
    <main first="rtdsrv.458a5932996f485b8b1b8d7cbb3f77a6">
      <tp>
        <v>1</v>
        <stp/>
        <stp>30cd56c3-38d4-4fd2-a420-0f34e55a479c</stp>
        <tr r="AA78" s="130"/>
      </tp>
      <tp>
        <v>1</v>
        <stp/>
        <stp>e07af2ca-6c02-4407-a40d-0a0806cec578</stp>
        <tr r="AX90" s="130"/>
      </tp>
    </main>
    <main first="rtdsrv.458a5932996f485b8b1b8d7cbb3f77a6">
      <tp>
        <v>1</v>
        <stp/>
        <stp>c7a5166f-0542-4ce3-bb32-33e92a47526f</stp>
        <tr r="BD71" s="130"/>
      </tp>
    </main>
    <main first="rtdsrv.458a5932996f485b8b1b8d7cbb3f77a6">
      <tp>
        <v>1</v>
        <stp/>
        <stp>84a11a32-cc3c-4b28-a2b1-82ec77d8a86d</stp>
        <tr r="J19" s="130"/>
      </tp>
    </main>
    <main first="rtdsrv.458a5932996f485b8b1b8d7cbb3f77a6">
      <tp>
        <v>1</v>
        <stp/>
        <stp>49c680ef-4447-4636-9cb1-5922a1405059</stp>
        <tr r="AT62" s="130"/>
      </tp>
    </main>
    <main first="rtdsrv.458a5932996f485b8b1b8d7cbb3f77a6">
      <tp>
        <v>1</v>
        <stp/>
        <stp>2baba77d-0343-49dd-a0f0-30a281426707</stp>
        <tr r="V28" s="130"/>
      </tp>
      <tp>
        <v>1</v>
        <stp/>
        <stp>50bf61f8-9dce-40b1-a78e-76b13223ede2</stp>
        <tr r="AY57" s="130"/>
      </tp>
    </main>
    <main first="rtdsrv.458a5932996f485b8b1b8d7cbb3f77a6">
      <tp>
        <v>1</v>
        <stp/>
        <stp>d2c4ff3c-97a5-4273-8395-476997e8a61d</stp>
        <tr r="AL52" s="130"/>
        <tr r="AL47" s="130"/>
      </tp>
    </main>
    <main first="rtdsrv.458a5932996f485b8b1b8d7cbb3f77a6">
      <tp>
        <v>1</v>
        <stp/>
        <stp>3f860b72-db76-41e2-9f39-b38577d85482</stp>
        <tr r="J37" s="130"/>
      </tp>
    </main>
    <main first="rtdsrv.458a5932996f485b8b1b8d7cbb3f77a6">
      <tp>
        <v>1</v>
        <stp/>
        <stp>48246804-4e2f-49d1-9c2e-cf4bde3d9e56</stp>
        <tr r="K34" s="130"/>
      </tp>
    </main>
    <main first="rtdsrv.458a5932996f485b8b1b8d7cbb3f77a6">
      <tp>
        <v>1</v>
        <stp/>
        <stp>04b3d128-55c5-4405-9a43-7752b4e03c72</stp>
        <tr r="BW6" s="132"/>
      </tp>
    </main>
    <main first="rtdsrv.458a5932996f485b8b1b8d7cbb3f77a6">
      <tp>
        <v>1</v>
        <stp/>
        <stp>71a7fcf2-2e4c-4197-9a29-9608c0c0529e</stp>
        <tr r="AT15" s="132"/>
      </tp>
      <tp>
        <v>1</v>
        <stp/>
        <stp>1d272de6-43e1-4b4e-93ad-b3296a0f1332</stp>
        <tr r="AA58" s="130"/>
      </tp>
    </main>
    <main first="rtdsrv.458a5932996f485b8b1b8d7cbb3f77a6">
      <tp>
        <v>1</v>
        <stp/>
        <stp>2a915014-77f6-4c1a-96f4-eb550b80907b</stp>
        <tr r="AM58" s="130"/>
      </tp>
    </main>
    <main first="rtdsrv.458a5932996f485b8b1b8d7cbb3f77a6">
      <tp>
        <v>1</v>
        <stp/>
        <stp>52cc8360-3be2-4d01-bd32-0a2815cf75e3</stp>
        <tr r="AA19" s="130"/>
      </tp>
      <tp>
        <v>1</v>
        <stp/>
        <stp>5dbe47d1-2e81-48ea-9720-5eecb0ad76f6</stp>
        <tr r="AK68" s="130"/>
      </tp>
    </main>
    <main first="rtdsrv.458a5932996f485b8b1b8d7cbb3f77a6">
      <tp>
        <v>1</v>
        <stp/>
        <stp>7ed844ab-5a43-4f4a-aada-9e92535dff8e</stp>
        <tr r="AC64" s="130"/>
      </tp>
    </main>
    <main first="rtdsrv.458a5932996f485b8b1b8d7cbb3f77a6">
      <tp>
        <v>1</v>
        <stp/>
        <stp>7fe662ed-e2a0-4ad6-ad46-e023c4f4cfa3</stp>
        <tr r="BM8" s="132"/>
      </tp>
    </main>
    <main first="rtdsrv.458a5932996f485b8b1b8d7cbb3f77a6">
      <tp>
        <v>1</v>
        <stp/>
        <stp>26fb3915-27a8-4eee-ba22-72b0580ee11b</stp>
        <tr r="AF18" s="130"/>
      </tp>
    </main>
    <main first="rtdsrv.458a5932996f485b8b1b8d7cbb3f77a6">
      <tp>
        <v>1</v>
        <stp/>
        <stp>8d252f66-e20d-4568-ac91-f257d22fd712</stp>
        <tr r="EF12" s="132"/>
      </tp>
      <tp>
        <v>1</v>
        <stp/>
        <stp>85edb473-4b68-4b32-b95e-f3d7ab2ca221</stp>
        <tr r="AP70" s="130"/>
      </tp>
    </main>
    <main first="rtdsrv.458a5932996f485b8b1b8d7cbb3f77a6">
      <tp>
        <v>1</v>
        <stp/>
        <stp>0ad1403d-2677-4f47-9577-6ae2bc144032</stp>
        <tr r="BF12" s="132"/>
      </tp>
    </main>
    <main first="rtdsrv.458a5932996f485b8b1b8d7cbb3f77a6">
      <tp>
        <v>1</v>
        <stp/>
        <stp>1cb6fc5f-e0ed-4572-be3f-7d24f7801f93</stp>
        <tr r="AE26" s="130"/>
        <tr r="AE14" s="130"/>
      </tp>
    </main>
    <main first="rtdsrv.458a5932996f485b8b1b8d7cbb3f77a6">
      <tp>
        <v>1</v>
        <stp/>
        <stp>53106a3b-67d9-4a73-ad73-b66f00db27fa</stp>
        <tr r="FM12" s="132"/>
      </tp>
    </main>
    <main first="rtdsrv.458a5932996f485b8b1b8d7cbb3f77a6">
      <tp>
        <v>1</v>
        <stp/>
        <stp>04fbff97-c802-4d5d-bd70-1200c14490a8</stp>
        <tr r="DY15" s="132"/>
      </tp>
    </main>
    <main first="rtdsrv.458a5932996f485b8b1b8d7cbb3f77a6">
      <tp>
        <v>1</v>
        <stp/>
        <stp>64aa7c1a-9563-4158-b966-6ca727c47ec8</stp>
        <tr r="AK38" s="130"/>
      </tp>
      <tp>
        <v>1</v>
        <stp/>
        <stp>c53c8bdc-50db-4466-8c0e-74fb620d73f3</stp>
        <tr r="AY11" s="132"/>
      </tp>
    </main>
    <main first="rtdsrv.458a5932996f485b8b1b8d7cbb3f77a6">
      <tp>
        <v>1</v>
        <stp/>
        <stp>06295dca-010c-49b2-865f-eb30aa5b572f</stp>
        <tr r="F56" s="130"/>
      </tp>
    </main>
    <main first="rtdsrv.458a5932996f485b8b1b8d7cbb3f77a6">
      <tp>
        <v>1</v>
        <stp/>
        <stp>a742383b-8535-4af8-802c-18c88b9cd699</stp>
        <tr r="AW9" s="132"/>
      </tp>
      <tp>
        <v>1</v>
        <stp/>
        <stp>ac205cee-130a-48d4-8dcb-eb1b7bf9c7cf</stp>
        <tr r="Q11" s="130"/>
      </tp>
    </main>
    <main first="rtdsrv.458a5932996f485b8b1b8d7cbb3f77a6">
      <tp>
        <v>1</v>
        <stp/>
        <stp>c061d067-e8f8-47b7-adc5-8a6f8203d39a</stp>
        <tr r="AA13" s="132"/>
      </tp>
      <tp>
        <v>1</v>
        <stp/>
        <stp>f22556b7-2ee2-4753-b47e-0bf2e91f285d</stp>
        <tr r="CR8" s="132"/>
      </tp>
    </main>
    <main first="rtdsrv.458a5932996f485b8b1b8d7cbb3f77a6">
      <tp>
        <v>1</v>
        <stp/>
        <stp>a649fb91-4ef5-4c56-b2a6-07421ea8849d</stp>
        <tr r="DR9" s="132"/>
      </tp>
    </main>
    <main first="rtdsrv.458a5932996f485b8b1b8d7cbb3f77a6">
      <tp>
        <v>1</v>
        <stp/>
        <stp>92800acf-2040-4ffc-b37b-47252518af8e</stp>
        <tr r="CD6" s="132"/>
      </tp>
    </main>
    <main first="rtdsrv.458a5932996f485b8b1b8d7cbb3f77a6">
      <tp>
        <v>1</v>
        <stp/>
        <stp>3860f9b8-da9d-43bc-b506-e208fd46f149</stp>
        <tr r="AU23" s="130"/>
      </tp>
    </main>
    <main first="rtdsrv.458a5932996f485b8b1b8d7cbb3f77a6">
      <tp>
        <v>1</v>
        <stp/>
        <stp>f6fdb307-cd33-41dc-8d75-f35deb2c4231</stp>
        <tr r="S38" s="130"/>
      </tp>
    </main>
    <main first="rtdsrv.458a5932996f485b8b1b8d7cbb3f77a6">
      <tp>
        <v>1</v>
        <stp/>
        <stp>f328a03e-2c4f-4b79-a48d-06709ffb01db</stp>
        <tr r="P57" s="130"/>
      </tp>
      <tp>
        <v>1</v>
        <stp/>
        <stp>a2bc0d2e-73cd-41b4-8c55-9b8072ea2a8e</stp>
        <tr r="G96" s="130"/>
      </tp>
    </main>
    <main first="rtdsrv.458a5932996f485b8b1b8d7cbb3f77a6">
      <tp>
        <v>1</v>
        <stp/>
        <stp>cdc89e61-9912-4449-9eae-308984f685d9</stp>
        <tr r="AX39" s="130"/>
      </tp>
    </main>
    <main first="rtdsrv.458a5932996f485b8b1b8d7cbb3f77a6">
      <tp>
        <v>1</v>
        <stp/>
        <stp>e6b50286-3ce5-474a-b162-b898196af07a</stp>
        <tr r="BI36" s="130"/>
      </tp>
    </main>
    <main first="rtdsrv.458a5932996f485b8b1b8d7cbb3f77a6">
      <tp>
        <v>1</v>
        <stp/>
        <stp>0f3ee2b5-e1ae-4ae1-bb0c-e04bba86b030</stp>
        <tr r="AF42" s="130"/>
      </tp>
      <tp>
        <v>1</v>
        <stp/>
        <stp>263033e6-b7ff-45b2-975f-aad921f30a93</stp>
        <tr r="FF15" s="132"/>
      </tp>
    </main>
    <main first="rtdsrv.458a5932996f485b8b1b8d7cbb3f77a6">
      <tp>
        <v>1</v>
        <stp/>
        <stp>ffb88645-2b6b-4f68-8417-f1882922e253</stp>
        <tr r="G24" s="130"/>
      </tp>
    </main>
    <main first="rtdsrv.458a5932996f485b8b1b8d7cbb3f77a6">
      <tp>
        <v>1</v>
        <stp/>
        <stp>8411c263-9991-49c6-9344-4998dc9d866b</stp>
        <tr r="BD27" s="130"/>
      </tp>
    </main>
    <main first="rtdsrv.458a5932996f485b8b1b8d7cbb3f77a6">
      <tp>
        <v>1</v>
        <stp/>
        <stp>08a66149-cf62-4e7e-b454-59a936818db5</stp>
        <tr r="BV13" s="132"/>
      </tp>
    </main>
    <main first="rtdsrv.458a5932996f485b8b1b8d7cbb3f77a6">
      <tp>
        <v>1</v>
        <stp/>
        <stp>cf8a97d9-6eb0-4d48-9470-def8cdffb859</stp>
        <tr r="T63" s="130"/>
      </tp>
    </main>
    <main first="rtdsrv.458a5932996f485b8b1b8d7cbb3f77a6">
      <tp>
        <v>1</v>
        <stp/>
        <stp>754ee30d-1862-4a5d-bb43-15b467b5c42e</stp>
        <tr r="GV11" s="132"/>
      </tp>
    </main>
    <main first="rtdsrv.458a5932996f485b8b1b8d7cbb3f77a6">
      <tp>
        <v>1</v>
        <stp/>
        <stp>23b608e1-31d5-4876-bf40-c70ff8237d91</stp>
        <tr r="AB16" s="130"/>
      </tp>
    </main>
    <main first="rtdsrv.458a5932996f485b8b1b8d7cbb3f77a6">
      <tp>
        <v>1</v>
        <stp/>
        <stp>db81545c-6670-485e-8916-7423104e2a67</stp>
        <tr r="DI15" s="132"/>
      </tp>
    </main>
    <main first="rtdsrv.458a5932996f485b8b1b8d7cbb3f77a6">
      <tp>
        <v>1</v>
        <stp/>
        <stp>2a4ec6b7-4413-40ad-99d8-9b6254b5bd3b</stp>
        <tr r="C15" s="132"/>
      </tp>
    </main>
    <main first="rtdsrv.458a5932996f485b8b1b8d7cbb3f77a6">
      <tp>
        <v>1</v>
        <stp/>
        <stp>db98bdbe-a7fc-45ef-851a-b4a046564cd9</stp>
        <tr r="T15" s="132"/>
      </tp>
    </main>
    <main first="rtdsrv.458a5932996f485b8b1b8d7cbb3f77a6">
      <tp>
        <v>1</v>
        <stp/>
        <stp>0354110f-68e2-48b3-baea-d08bb5a63680</stp>
        <tr r="AI8" s="130"/>
      </tp>
    </main>
    <main first="rtdsrv.458a5932996f485b8b1b8d7cbb3f77a6">
      <tp>
        <v>1</v>
        <stp/>
        <stp>674dc27a-7954-4417-a551-61d23c5353d3</stp>
        <tr r="M11" s="132"/>
      </tp>
    </main>
    <main first="rtdsrv.458a5932996f485b8b1b8d7cbb3f77a6">
      <tp>
        <v>1</v>
        <stp/>
        <stp>fad79646-2c34-4306-b91a-1661f0b5c582</stp>
        <tr r="M42" s="130"/>
      </tp>
    </main>
    <main first="rtdsrv.458a5932996f485b8b1b8d7cbb3f77a6">
      <tp>
        <v>1</v>
        <stp/>
        <stp>66af0b1b-0a3d-4096-9a6a-343b1888b9e5</stp>
        <tr r="AC44" s="130"/>
      </tp>
    </main>
    <main first="rtdsrv.458a5932996f485b8b1b8d7cbb3f77a6">
      <tp>
        <v>1</v>
        <stp/>
        <stp>a9ae34b2-e52c-4949-b6ed-76650d8ea7b1</stp>
        <tr r="AZ9" s="130"/>
      </tp>
    </main>
    <main first="rtdsrv.458a5932996f485b8b1b8d7cbb3f77a6">
      <tp>
        <v>1</v>
        <stp/>
        <stp>530ea30f-20aa-41dc-853d-6114a59a07bc</stp>
        <tr r="BT7" s="132"/>
      </tp>
    </main>
    <main first="rtdsrv.458a5932996f485b8b1b8d7cbb3f77a6">
      <tp>
        <v>1</v>
        <stp/>
        <stp>168e1785-6c53-4034-97b1-9742c5a2b295</stp>
        <tr r="AI39" s="130"/>
      </tp>
    </main>
    <main first="rtdsrv.458a5932996f485b8b1b8d7cbb3f77a6">
      <tp>
        <v>1</v>
        <stp/>
        <stp>6c448a00-b352-456a-986c-5d934612b4b9</stp>
        <tr r="AT14" s="132"/>
      </tp>
      <tp>
        <v>1</v>
        <stp/>
        <stp>1255cc95-6d82-442f-9788-959068bade5a</stp>
        <tr r="S99" s="130"/>
      </tp>
    </main>
    <main first="rtdsrv.458a5932996f485b8b1b8d7cbb3f77a6">
      <tp>
        <v>1</v>
        <stp/>
        <stp>9505d669-c382-4c2c-a365-dd2faf811f4b</stp>
        <tr r="H81" s="130"/>
      </tp>
    </main>
    <main first="rtdsrv.458a5932996f485b8b1b8d7cbb3f77a6">
      <tp>
        <v>1</v>
        <stp/>
        <stp>60474791-1cd4-45bf-9d4c-6254cf492a2c</stp>
        <tr r="AG82" s="130"/>
      </tp>
    </main>
    <main first="rtdsrv.458a5932996f485b8b1b8d7cbb3f77a6">
      <tp>
        <v>1</v>
        <stp/>
        <stp>1b0ea87e-47e0-4b2f-b0e9-786e8fed5be7</stp>
        <tr r="K27" s="130"/>
      </tp>
    </main>
    <main first="rtdsrv.458a5932996f485b8b1b8d7cbb3f77a6">
      <tp>
        <v>1</v>
        <stp/>
        <stp>729691a8-fea6-4ca0-a9a4-0b457f79aa59</stp>
        <tr r="C86" s="130"/>
      </tp>
    </main>
    <main first="rtdsrv.458a5932996f485b8b1b8d7cbb3f77a6">
      <tp>
        <v>1</v>
        <stp/>
        <stp>31968162-7728-4600-b3c4-f00f8fac7cba</stp>
        <tr r="AL40" s="130"/>
      </tp>
      <tp>
        <v>1</v>
        <stp/>
        <stp>06b98ef3-8cd2-4e71-927b-899412003730</stp>
        <tr r="D62" s="130"/>
      </tp>
    </main>
    <main first="rtdsrv.458a5932996f485b8b1b8d7cbb3f77a6">
      <tp>
        <v>1</v>
        <stp/>
        <stp>716ea994-3657-4dd5-92b0-59e815f4c155</stp>
        <tr r="FC6" s="132"/>
      </tp>
    </main>
    <main first="rtdsrv.458a5932996f485b8b1b8d7cbb3f77a6">
      <tp>
        <v>1</v>
        <stp/>
        <stp>0a6fbae3-4efe-4ac0-8cdb-269a6ef77b43</stp>
        <tr r="AN13" s="132"/>
      </tp>
      <tp>
        <v>1</v>
        <stp/>
        <stp>9bd51c12-48e7-4293-a4a1-2ddc01198c6e</stp>
        <tr r="AM39" s="130"/>
      </tp>
    </main>
    <main first="rtdsrv.458a5932996f485b8b1b8d7cbb3f77a6">
      <tp>
        <v>1</v>
        <stp/>
        <stp>3354d83e-825e-41f2-8d29-256b84033c46</stp>
        <tr r="AL79" s="130"/>
      </tp>
    </main>
    <main first="rtdsrv.458a5932996f485b8b1b8d7cbb3f77a6">
      <tp>
        <v>1</v>
        <stp/>
        <stp>ad8a3094-bba5-45e6-9ab9-f3bc444f8435</stp>
        <tr r="FI5" s="132"/>
      </tp>
    </main>
    <main first="rtdsrv.458a5932996f485b8b1b8d7cbb3f77a6">
      <tp>
        <v>1</v>
        <stp/>
        <stp>55c66ea9-a213-4d1d-a8b7-1d96b0b9a2da</stp>
        <tr r="HA7" s="132"/>
      </tp>
    </main>
    <main first="rtdsrv.458a5932996f485b8b1b8d7cbb3f77a6">
      <tp>
        <v>1</v>
        <stp/>
        <stp>1d321a11-0691-46cc-affd-464f6f9011ed</stp>
        <tr r="BC5" s="132"/>
      </tp>
      <tp>
        <v>1</v>
        <stp/>
        <stp>fa8cc738-3ea0-4c24-a8d3-fa630d072acb</stp>
        <tr r="BJ62" s="130"/>
      </tp>
    </main>
    <main first="rtdsrv.458a5932996f485b8b1b8d7cbb3f77a6">
      <tp>
        <v>1</v>
        <stp/>
        <stp>b362e171-d36a-4e5b-8c21-56638f461791</stp>
        <tr r="F72" s="130"/>
      </tp>
    </main>
    <main first="rtdsrv.458a5932996f485b8b1b8d7cbb3f77a6">
      <tp>
        <v>1</v>
        <stp/>
        <stp>1cc709e0-7845-43e8-895c-6707a3d0d51e</stp>
        <tr r="BA22" s="130"/>
      </tp>
    </main>
    <main first="rtdsrv.458a5932996f485b8b1b8d7cbb3f77a6">
      <tp>
        <v>1</v>
        <stp/>
        <stp>a0529fc9-5cb3-4224-b308-c46df700c53f</stp>
        <tr r="R81" s="130"/>
      </tp>
    </main>
    <main first="rtdsrv.458a5932996f485b8b1b8d7cbb3f77a6">
      <tp>
        <v>1</v>
        <stp/>
        <stp>cfd80067-f3cb-4b2e-967b-5354f061f09e</stp>
        <tr r="BE92" s="130"/>
      </tp>
    </main>
    <main first="rtdsrv.458a5932996f485b8b1b8d7cbb3f77a6">
      <tp>
        <v>1</v>
        <stp/>
        <stp>ef6e87f8-34d1-4c7a-b55a-6051010e5f98</stp>
        <tr r="F93" s="130"/>
      </tp>
    </main>
    <main first="rtdsrv.458a5932996f485b8b1b8d7cbb3f77a6">
      <tp>
        <v>1</v>
        <stp/>
        <stp>222fc8bb-473f-4cb9-8d24-570eb682eebd</stp>
        <tr r="CG11" s="132"/>
      </tp>
    </main>
    <main first="rtdsrv.458a5932996f485b8b1b8d7cbb3f77a6">
      <tp>
        <v>1</v>
        <stp/>
        <stp>43502b86-ab44-4f0f-8e65-63facdc04ffb</stp>
        <tr r="N17" s="130"/>
      </tp>
    </main>
    <main first="rtdsrv.458a5932996f485b8b1b8d7cbb3f77a6">
      <tp>
        <v>1</v>
        <stp/>
        <stp>b4dc0148-2381-4214-9a9b-78932e057614</stp>
        <tr r="N65" s="130"/>
      </tp>
    </main>
    <main first="rtdsrv.458a5932996f485b8b1b8d7cbb3f77a6">
      <tp>
        <v>1</v>
        <stp/>
        <stp>2ef39787-862a-44b8-aba9-058b2ef50263</stp>
        <tr r="HA8" s="132"/>
      </tp>
    </main>
    <main first="rtdsrv.458a5932996f485b8b1b8d7cbb3f77a6">
      <tp>
        <v>1</v>
        <stp/>
        <stp>bd0fd49d-df03-4ec5-ad05-04a08c080721</stp>
        <tr r="R12" s="132"/>
      </tp>
      <tp>
        <v>1</v>
        <stp/>
        <stp>f195a35a-1b4d-438f-887f-7a148ea747ae</stp>
        <tr r="EJ16" s="132"/>
      </tp>
    </main>
    <main first="rtdsrv.458a5932996f485b8b1b8d7cbb3f77a6">
      <tp>
        <v>1</v>
        <stp/>
        <stp>a1634777-815d-48d6-a9ac-b95f179d36fc</stp>
        <tr r="V29" s="130"/>
      </tp>
      <tp>
        <v>1</v>
        <stp/>
        <stp>eedac677-c7e1-40da-8c59-b4de92ff33f0</stp>
        <tr r="BZ15" s="132"/>
      </tp>
      <tp>
        <v>1</v>
        <stp/>
        <stp>d48feef2-da7b-499b-9dda-6c30106621a3</stp>
        <tr r="AV7" s="130"/>
      </tp>
    </main>
    <main first="rtdsrv.458a5932996f485b8b1b8d7cbb3f77a6">
      <tp>
        <v>1</v>
        <stp/>
        <stp>2f414d1e-f958-40b3-bc6a-f53fa1a02457</stp>
        <tr r="AX89" s="130"/>
      </tp>
    </main>
    <main first="rtdsrv.458a5932996f485b8b1b8d7cbb3f77a6">
      <tp>
        <v>1</v>
        <stp/>
        <stp>99f85011-7979-4238-89a0-ed1d4ab36378</stp>
        <tr r="G5" s="130"/>
      </tp>
    </main>
    <main first="rtdsrv.458a5932996f485b8b1b8d7cbb3f77a6">
      <tp>
        <v>1</v>
        <stp/>
        <stp>7a48a72a-9846-4518-9b3c-def9b611cf03</stp>
        <tr r="BD15" s="130"/>
      </tp>
    </main>
    <main first="rtdsrv.458a5932996f485b8b1b8d7cbb3f77a6">
      <tp>
        <v>1</v>
        <stp/>
        <stp>5034f380-a71f-43e2-bf52-2c24e5c28bed</stp>
        <tr r="AO92" s="130"/>
      </tp>
      <tp>
        <v>1</v>
        <stp/>
        <stp>ffbfafc1-a5c4-4110-8569-660d9f4e4f39</stp>
        <tr r="AK76" s="130"/>
      </tp>
    </main>
    <main first="rtdsrv.458a5932996f485b8b1b8d7cbb3f77a6">
      <tp>
        <v>1</v>
        <stp/>
        <stp>36e48f1a-ece4-40e7-bf6e-602433c02f9f</stp>
        <tr r="CH13" s="132"/>
      </tp>
      <tp>
        <v>1</v>
        <stp/>
        <stp>e6637f9c-86a7-4c7e-8fc7-da74285eef61</stp>
        <tr r="H62" s="130"/>
      </tp>
    </main>
    <main first="rtdsrv.458a5932996f485b8b1b8d7cbb3f77a6">
      <tp>
        <v>1</v>
        <stp/>
        <stp>3c0cc5d9-bdeb-4622-aac6-0d6b1327ac84</stp>
        <tr r="AZ15" s="132"/>
      </tp>
    </main>
    <main first="rtdsrv.458a5932996f485b8b1b8d7cbb3f77a6">
      <tp>
        <v>1</v>
        <stp/>
        <stp>ebfae1b3-4b8d-4d35-9425-3ce817524e8b</stp>
        <tr r="ER11" s="132"/>
      </tp>
      <tp>
        <v>1</v>
        <stp/>
        <stp>0aacebdb-d511-48ff-b253-171dfb13808c</stp>
        <tr r="BH33" s="130"/>
      </tp>
      <tp>
        <v>1</v>
        <stp/>
        <stp>557a5869-6a31-487c-b08d-bb99317d8b10</stp>
        <tr r="Q31" s="130"/>
      </tp>
    </main>
    <main first="rtdsrv.458a5932996f485b8b1b8d7cbb3f77a6">
      <tp>
        <v>1</v>
        <stp/>
        <stp>0c818b1b-41fe-4392-af1f-a2e42eaae0a4</stp>
        <tr r="AU61" s="130"/>
      </tp>
    </main>
    <main first="rtdsrv.458a5932996f485b8b1b8d7cbb3f77a6">
      <tp>
        <v>1</v>
        <stp/>
        <stp>88dbc203-f349-4410-b6df-0243bb808960</stp>
        <tr r="BB7" s="132"/>
      </tp>
    </main>
    <main first="rtdsrv.458a5932996f485b8b1b8d7cbb3f77a6">
      <tp>
        <v>1</v>
        <stp/>
        <stp>0a5e3b40-5f5f-4ef8-a61b-0899dc51652a</stp>
        <tr r="BB65" s="130"/>
      </tp>
    </main>
    <main first="rtdsrv.458a5932996f485b8b1b8d7cbb3f77a6">
      <tp>
        <v>1</v>
        <stp/>
        <stp>43f89278-172a-43bb-a726-946aa3ad36c0</stp>
        <tr r="Z55" s="130"/>
      </tp>
      <tp>
        <v>1</v>
        <stp/>
        <stp>faa7bb40-ea97-430f-83df-117bcee62ad4</stp>
        <tr r="AE25" s="130"/>
      </tp>
    </main>
    <main first="rtdsrv.458a5932996f485b8b1b8d7cbb3f77a6">
      <tp>
        <v>1</v>
        <stp/>
        <stp>075c7cb5-5d63-49d8-9331-fab0c966fc23</stp>
        <tr r="AS37" s="130"/>
      </tp>
    </main>
    <main first="rtdsrv.458a5932996f485b8b1b8d7cbb3f77a6">
      <tp>
        <v>1</v>
        <stp/>
        <stp>efee21d8-df12-49df-8e01-2eb0e2e59c58</stp>
        <tr r="AP12" s="132"/>
      </tp>
    </main>
    <main first="rtdsrv.458a5932996f485b8b1b8d7cbb3f77a6">
      <tp>
        <v>1</v>
        <stp/>
        <stp>54fe1968-9ead-421e-acc7-0073ecade00f</stp>
        <tr r="EN13" s="132"/>
      </tp>
      <tp>
        <v>1</v>
        <stp/>
        <stp>fc3ca779-1229-42fe-b556-ea920593f0dd</stp>
        <tr r="AM62" s="130"/>
      </tp>
    </main>
    <main first="rtdsrv.458a5932996f485b8b1b8d7cbb3f77a6">
      <tp>
        <v>1</v>
        <stp/>
        <stp>e6739b71-f304-4ff6-ad4a-14b857095bd3</stp>
        <tr r="DI13" s="132"/>
      </tp>
    </main>
    <main first="rtdsrv.458a5932996f485b8b1b8d7cbb3f77a6">
      <tp>
        <v>1</v>
        <stp/>
        <stp>ba80fa9d-c372-4925-8961-4e48fa1835be</stp>
        <tr r="Q12" s="130"/>
      </tp>
    </main>
    <main first="rtdsrv.458a5932996f485b8b1b8d7cbb3f77a6">
      <tp>
        <v>1</v>
        <stp/>
        <stp>9cc516bc-d981-4954-9a5b-5bc420dd2392</stp>
        <tr r="R91" s="130"/>
      </tp>
    </main>
    <main first="rtdsrv.458a5932996f485b8b1b8d7cbb3f77a6">
      <tp>
        <v>1</v>
        <stp/>
        <stp>518ebf62-55e0-4b4f-8865-b4c4de01a29e</stp>
        <tr r="GO12" s="132"/>
      </tp>
      <tp>
        <v>1</v>
        <stp/>
        <stp>0058f015-da35-41f6-9a63-4c1b4fd130f2</stp>
        <tr r="ER12" s="132"/>
      </tp>
    </main>
    <main first="rtdsrv.458a5932996f485b8b1b8d7cbb3f77a6">
      <tp>
        <v>1</v>
        <stp/>
        <stp>fe544724-c031-41d2-97e4-302d3f140ae9</stp>
        <tr r="AY20" s="130"/>
      </tp>
    </main>
    <main first="rtdsrv.458a5932996f485b8b1b8d7cbb3f77a6">
      <tp>
        <v>1</v>
        <stp/>
        <stp>857a3f23-fa32-42b3-9a3d-0bc3ace04ec9</stp>
        <tr r="GZ7" s="132"/>
      </tp>
    </main>
    <main first="rtdsrv.458a5932996f485b8b1b8d7cbb3f77a6">
      <tp>
        <v>1</v>
        <stp/>
        <stp>acb1f711-e6aa-4275-8063-8cbe45b5653e</stp>
        <tr r="GP8" s="132"/>
      </tp>
      <tp>
        <v>1</v>
        <stp/>
        <stp>356129ca-f754-4aa1-8305-227ff84a001e</stp>
        <tr r="M8" s="132"/>
      </tp>
    </main>
    <main first="rtdsrv.458a5932996f485b8b1b8d7cbb3f77a6">
      <tp>
        <v>1</v>
        <stp/>
        <stp>2c17e2e9-ad1e-434c-93ae-9fe5e5be2079</stp>
        <tr r="GR13" s="132"/>
      </tp>
      <tp>
        <v>1</v>
        <stp/>
        <stp>a1d3105f-cc37-46a7-89d2-8cac72b191ff</stp>
        <tr r="BE89" s="130"/>
      </tp>
    </main>
    <main first="rtdsrv.458a5932996f485b8b1b8d7cbb3f77a6">
      <tp>
        <v>1</v>
        <stp/>
        <stp>d6ff71fe-f402-4580-af85-884da1b5411a</stp>
        <tr r="I26" s="130"/>
        <tr r="I14" s="130"/>
      </tp>
    </main>
    <main first="rtdsrv.458a5932996f485b8b1b8d7cbb3f77a6">
      <tp>
        <v>1</v>
        <stp/>
        <stp>508109e6-6346-4026-b3d8-f8f57b3ddfef</stp>
        <tr r="D24" s="130"/>
      </tp>
    </main>
    <main first="rtdsrv.458a5932996f485b8b1b8d7cbb3f77a6">
      <tp>
        <v>1</v>
        <stp/>
        <stp>b7712276-a5e8-4c0a-975c-9c6b8de72fc8</stp>
        <tr r="AX16" s="132"/>
      </tp>
      <tp>
        <v>1</v>
        <stp/>
        <stp>b760d0e9-3570-49a3-b8bc-6a726a5fe4ad</stp>
        <tr r="AM83" s="130"/>
      </tp>
    </main>
    <main first="rtdsrv.458a5932996f485b8b1b8d7cbb3f77a6">
      <tp>
        <v>1</v>
        <stp/>
        <stp>59943303-49e6-450a-aa66-b01bf82a40cd</stp>
        <tr r="X23" s="130"/>
      </tp>
    </main>
    <main first="rtdsrv.458a5932996f485b8b1b8d7cbb3f77a6">
      <tp>
        <v>1</v>
        <stp/>
        <stp>5a68883d-287d-48eb-99ab-aebcaecc2982</stp>
        <tr r="BK40" s="130"/>
      </tp>
    </main>
    <main first="rtdsrv.458a5932996f485b8b1b8d7cbb3f77a6">
      <tp>
        <v>1</v>
        <stp/>
        <stp>566951eb-cc45-4d4f-b34b-9f42d898299f</stp>
        <tr r="F40" s="130"/>
      </tp>
    </main>
    <main first="rtdsrv.458a5932996f485b8b1b8d7cbb3f77a6">
      <tp>
        <v>1</v>
        <stp/>
        <stp>43710a5d-eefe-467a-8dbb-c15317042cf9</stp>
        <tr r="F28" s="130"/>
      </tp>
    </main>
    <main first="rtdsrv.458a5932996f485b8b1b8d7cbb3f77a6">
      <tp>
        <v>1</v>
        <stp/>
        <stp>f78f8fc1-591e-410d-b720-3b633630a718</stp>
        <tr r="AT59" s="130"/>
      </tp>
    </main>
    <main first="rtdsrv.458a5932996f485b8b1b8d7cbb3f77a6">
      <tp>
        <v>1</v>
        <stp/>
        <stp>2c0e94db-b02d-4c79-8092-f57cc2e83ccc</stp>
        <tr r="AQ69" s="130"/>
      </tp>
      <tp>
        <v>1</v>
        <stp/>
        <stp>2d2bc52a-8108-4544-a707-7835f7c43310</stp>
        <tr r="FL15" s="132"/>
      </tp>
    </main>
    <main first="rtdsrv.458a5932996f485b8b1b8d7cbb3f77a6">
      <tp>
        <v>1</v>
        <stp/>
        <stp>177c25f8-dc56-44f6-875f-5ad64e6530a5</stp>
        <tr r="BI18" s="130"/>
      </tp>
    </main>
    <main first="rtdsrv.458a5932996f485b8b1b8d7cbb3f77a6">
      <tp>
        <v>1</v>
        <stp/>
        <stp>d28c6822-39b4-4903-b59b-5ac40ab37b71</stp>
        <tr r="W30" s="130"/>
      </tp>
    </main>
    <main first="rtdsrv.458a5932996f485b8b1b8d7cbb3f77a6">
      <tp>
        <v>1</v>
        <stp/>
        <stp>9b575bad-4789-4955-8d0e-04ce1b7c5654</stp>
        <tr r="BN8" s="132"/>
      </tp>
      <tp>
        <v>1</v>
        <stp/>
        <stp>5c41c322-b46e-40cc-bff6-d03073f65e6f</stp>
        <tr r="K72" s="130"/>
      </tp>
    </main>
    <main first="rtdsrv.458a5932996f485b8b1b8d7cbb3f77a6">
      <tp>
        <v>1</v>
        <stp/>
        <stp>4db588d0-0ee5-46ba-913c-2927ab0f54e8</stp>
        <tr r="BH41" s="130"/>
      </tp>
    </main>
    <main first="rtdsrv.458a5932996f485b8b1b8d7cbb3f77a6">
      <tp>
        <v>1</v>
        <stp/>
        <stp>b0a70145-03ce-4e51-8483-1b7dd83aa361</stp>
        <tr r="BK11" s="132"/>
      </tp>
    </main>
    <main first="rtdsrv.458a5932996f485b8b1b8d7cbb3f77a6">
      <tp>
        <v>1</v>
        <stp/>
        <stp>752406bc-4ccb-4c1d-ac9c-a9e2bab7bc7c</stp>
        <tr r="GE8" s="132"/>
      </tp>
      <tp>
        <v>1</v>
        <stp/>
        <stp>133a03ac-5117-4426-bdf5-622da414225e</stp>
        <tr r="AO16" s="132"/>
      </tp>
    </main>
    <main first="rtdsrv.458a5932996f485b8b1b8d7cbb3f77a6">
      <tp>
        <v>1</v>
        <stp/>
        <stp>96c96d8b-b2e1-4ab6-87fe-a4e3ed965a09</stp>
        <tr r="U7" s="130"/>
      </tp>
    </main>
    <main first="rtdsrv.458a5932996f485b8b1b8d7cbb3f77a6">
      <tp>
        <v>1</v>
        <stp/>
        <stp>ac6dafde-aaf7-473e-8673-6bac8a613d7a</stp>
        <tr r="BH10" s="130"/>
      </tp>
    </main>
    <main first="rtdsrv.458a5932996f485b8b1b8d7cbb3f77a6">
      <tp>
        <v>1</v>
        <stp/>
        <stp>50bde419-13e6-4d7c-89c1-248e35099e9b</stp>
        <tr r="C66" s="130"/>
      </tp>
    </main>
    <main first="rtdsrv.458a5932996f485b8b1b8d7cbb3f77a6">
      <tp>
        <v>1</v>
        <stp/>
        <stp>544887b5-2c14-41a6-abf2-924964f4e659</stp>
        <tr r="BK35" s="130"/>
      </tp>
    </main>
    <main first="rtdsrv.458a5932996f485b8b1b8d7cbb3f77a6">
      <tp>
        <v>1</v>
        <stp/>
        <stp>9c871428-799d-415f-9161-1af8cd612d24</stp>
        <tr r="D23" s="130"/>
      </tp>
      <tp>
        <v>1</v>
        <stp/>
        <stp>69b8d101-dabc-49a3-bf54-c66498acd50e</stp>
        <tr r="Y8" s="130"/>
      </tp>
    </main>
    <main first="rtdsrv.458a5932996f485b8b1b8d7cbb3f77a6">
      <tp>
        <v>1</v>
        <stp/>
        <stp>737a4f1c-3ccd-4332-9e0a-6ff9f17ebb59</stp>
        <tr r="Z35" s="130"/>
      </tp>
    </main>
    <main first="rtdsrv.458a5932996f485b8b1b8d7cbb3f77a6">
      <tp>
        <v>1</v>
        <stp/>
        <stp>5fd91c98-ada9-4872-93f0-0691cd0f93aa</stp>
        <tr r="AL58" s="130"/>
      </tp>
    </main>
    <main first="rtdsrv.458a5932996f485b8b1b8d7cbb3f77a6">
      <tp>
        <v>1</v>
        <stp/>
        <stp>7a3988ee-02cd-400c-9ff2-a2d746f6895c</stp>
        <tr r="ET5" s="132"/>
      </tp>
    </main>
    <main first="rtdsrv.458a5932996f485b8b1b8d7cbb3f77a6">
      <tp>
        <v>1</v>
        <stp/>
        <stp>cd92a6be-14f7-49e4-8269-dc3adcf4a0b8</stp>
        <tr r="BD8" s="132"/>
      </tp>
      <tp>
        <v>1</v>
        <stp/>
        <stp>29dfcfc2-114b-4287-8d91-d150ec582cf9</stp>
        <tr r="AA96" s="130"/>
      </tp>
    </main>
    <main first="rtdsrv.458a5932996f485b8b1b8d7cbb3f77a6">
      <tp>
        <v>1</v>
        <stp/>
        <stp>fbce2efe-e71b-478c-9940-75ced0aebaa1</stp>
        <tr r="C28" s="130"/>
      </tp>
    </main>
    <main first="rtdsrv.458a5932996f485b8b1b8d7cbb3f77a6">
      <tp>
        <v>1</v>
        <stp/>
        <stp>36baff47-67a5-4ce7-ba84-ddf9feb73902</stp>
        <tr r="BH74" s="130"/>
      </tp>
    </main>
    <main first="rtdsrv.458a5932996f485b8b1b8d7cbb3f77a6">
      <tp>
        <v>1</v>
        <stp/>
        <stp>c209eada-e59b-4f55-ad40-3605ff4b067f</stp>
        <tr r="AY23" s="130"/>
      </tp>
    </main>
    <main first="rtdsrv.458a5932996f485b8b1b8d7cbb3f77a6">
      <tp>
        <v>1</v>
        <stp/>
        <stp>88d241e0-d45f-4a00-af54-30fbc0af09df</stp>
        <tr r="AU70" s="130"/>
      </tp>
      <tp>
        <v>1</v>
        <stp/>
        <stp>4a593692-8912-48e4-b19a-03e718e08864</stp>
        <tr r="GU7" s="132"/>
      </tp>
    </main>
    <main first="rtdsrv.458a5932996f485b8b1b8d7cbb3f77a6">
      <tp>
        <v>1</v>
        <stp/>
        <stp>7292b31a-241d-4a63-9f32-93925dfce530</stp>
        <tr r="AJ69" s="130"/>
      </tp>
    </main>
    <main first="rtdsrv.458a5932996f485b8b1b8d7cbb3f77a6">
      <tp>
        <v>1</v>
        <stp/>
        <stp>c4fb300a-b67f-41f2-a155-7a7190d7dade</stp>
        <tr r="AZ42" s="130"/>
      </tp>
    </main>
    <main first="rtdsrv.458a5932996f485b8b1b8d7cbb3f77a6">
      <tp>
        <v>1</v>
        <stp/>
        <stp>102fe94e-7bf1-4a89-bbdd-960e80d0a465</stp>
        <tr r="S12" s="132"/>
      </tp>
    </main>
    <main first="rtdsrv.458a5932996f485b8b1b8d7cbb3f77a6">
      <tp>
        <v>1</v>
        <stp/>
        <stp>7678904c-bedb-42e6-90b4-4f5f745b2303</stp>
        <tr r="DO16" s="132"/>
      </tp>
    </main>
    <main first="rtdsrv.458a5932996f485b8b1b8d7cbb3f77a6">
      <tp>
        <v>1</v>
        <stp/>
        <stp>ababb337-f054-4b34-a6b3-28b420f0f87f</stp>
        <tr r="AT82" s="130"/>
      </tp>
    </main>
    <main first="rtdsrv.458a5932996f485b8b1b8d7cbb3f77a6">
      <tp>
        <v>1</v>
        <stp/>
        <stp>1f5d6c8d-6e1f-45b1-8347-178a7ff366ca</stp>
        <tr r="AY82" s="130"/>
      </tp>
    </main>
    <main first="rtdsrv.458a5932996f485b8b1b8d7cbb3f77a6">
      <tp>
        <v>1</v>
        <stp/>
        <stp>6be86d32-7af0-4e5e-aaa5-9daadb6c1b7c</stp>
        <tr r="AB12" s="130"/>
      </tp>
    </main>
    <main first="rtdsrv.458a5932996f485b8b1b8d7cbb3f77a6">
      <tp>
        <v>1</v>
        <stp/>
        <stp>e59c1a51-aafe-40c4-b324-409a9f6b3453</stp>
        <tr r="AF39" s="130"/>
      </tp>
    </main>
    <main first="rtdsrv.458a5932996f485b8b1b8d7cbb3f77a6">
      <tp>
        <v>1</v>
        <stp/>
        <stp>5852be7d-0c0a-43a9-b7be-7cb662cd16f6</stp>
        <tr r="BF74" s="130"/>
      </tp>
      <tp>
        <v>1</v>
        <stp/>
        <stp>b9d7ce0b-2b96-4378-b04c-31a0a5cf5748</stp>
        <tr r="F6" s="132"/>
      </tp>
    </main>
    <main first="rtdsrv.458a5932996f485b8b1b8d7cbb3f77a6">
      <tp>
        <v>1</v>
        <stp/>
        <stp>405cb70f-f24a-47f7-adc5-f9a6f8d07ed2</stp>
        <tr r="FA9" s="132"/>
      </tp>
      <tp>
        <v>1</v>
        <stp/>
        <stp>a4a2d408-bfa6-4b9e-92b7-d2ac0571a350</stp>
        <tr r="EX16" s="132"/>
      </tp>
    </main>
    <main first="rtdsrv.458a5932996f485b8b1b8d7cbb3f77a6">
      <tp>
        <v>1</v>
        <stp/>
        <stp>6b0ce3b0-48a9-4295-9e72-f649928e9275</stp>
        <tr r="I15" s="132"/>
      </tp>
      <tp>
        <v>1</v>
        <stp/>
        <stp>7d44acde-3493-461c-9100-1a7df2b87ebd</stp>
        <tr r="AY43" s="130"/>
      </tp>
    </main>
    <main first="rtdsrv.458a5932996f485b8b1b8d7cbb3f77a6">
      <tp>
        <v>1</v>
        <stp/>
        <stp>11e0f2bc-ca8e-45da-b27b-e2c41da401ea</stp>
        <tr r="BG68" s="130"/>
      </tp>
    </main>
    <main first="rtdsrv.458a5932996f485b8b1b8d7cbb3f77a6">
      <tp>
        <v>1</v>
        <stp/>
        <stp>6de9db01-bb3d-46bf-aac0-c3b6f6d5a5b3</stp>
        <tr r="J6" s="132"/>
      </tp>
    </main>
    <main first="rtdsrv.458a5932996f485b8b1b8d7cbb3f77a6">
      <tp>
        <v>1</v>
        <stp/>
        <stp>dfaecff5-b3bf-4580-bbb7-bd272148b4f1</stp>
        <tr r="BI12" s="132"/>
      </tp>
    </main>
    <main first="rtdsrv.458a5932996f485b8b1b8d7cbb3f77a6">
      <tp>
        <v>1</v>
        <stp/>
        <stp>055304e4-b5fd-4383-9404-d076b95bd80f</stp>
        <tr r="BI92" s="130"/>
      </tp>
    </main>
    <main first="rtdsrv.458a5932996f485b8b1b8d7cbb3f77a6">
      <tp>
        <v>1</v>
        <stp/>
        <stp>bc4e56e2-f38e-4723-807f-ab160fe30b3f</stp>
        <tr r="GP16" s="132"/>
      </tp>
    </main>
    <main first="rtdsrv.458a5932996f485b8b1b8d7cbb3f77a6">
      <tp>
        <v>1</v>
        <stp/>
        <stp>11a34d2f-0d2f-433b-b676-c17c864edfa0</stp>
        <tr r="G72" s="130"/>
      </tp>
    </main>
    <main first="rtdsrv.458a5932996f485b8b1b8d7cbb3f77a6">
      <tp>
        <v>1</v>
        <stp/>
        <stp>0d6950bd-5b61-40a5-b870-06f87b857f4a</stp>
        <tr r="AV13" s="130"/>
      </tp>
      <tp>
        <v>1</v>
        <stp/>
        <stp>bec91f11-12c1-4882-8741-f4dea0ab2a88</stp>
        <tr r="AC70" s="130"/>
      </tp>
    </main>
    <main first="rtdsrv.458a5932996f485b8b1b8d7cbb3f77a6">
      <tp>
        <v>1</v>
        <stp/>
        <stp>fc6f31d5-8d9c-4ebf-bb87-fa9ea42670fe</stp>
        <tr r="E33" s="130"/>
      </tp>
    </main>
    <main first="rtdsrv.458a5932996f485b8b1b8d7cbb3f77a6">
      <tp>
        <v>1</v>
        <stp/>
        <stp>441a3281-a0a8-4e9e-a218-2b10708590d3</stp>
        <tr r="D16" s="132"/>
      </tp>
    </main>
    <main first="rtdsrv.458a5932996f485b8b1b8d7cbb3f77a6">
      <tp>
        <v>1</v>
        <stp/>
        <stp>b09f37de-24c5-4422-8948-389c5cf049b3</stp>
        <tr r="H76" s="130"/>
      </tp>
    </main>
    <main first="rtdsrv.458a5932996f485b8b1b8d7cbb3f77a6">
      <tp>
        <v>1</v>
        <stp/>
        <stp>358c7c62-038a-491b-8ffc-3f2510c78ecf</stp>
        <tr r="BI91" s="130"/>
      </tp>
    </main>
    <main first="rtdsrv.458a5932996f485b8b1b8d7cbb3f77a6">
      <tp>
        <v>1</v>
        <stp/>
        <stp>65e295c2-ff8e-4263-98e1-b0986f38e779</stp>
        <tr r="T31" s="130"/>
      </tp>
    </main>
    <main first="rtdsrv.458a5932996f485b8b1b8d7cbb3f77a6">
      <tp>
        <v>1</v>
        <stp/>
        <stp>be30d16f-ec98-4149-bdb8-ce37ff554847</stp>
        <tr r="AF63" s="130"/>
      </tp>
      <tp>
        <v>1</v>
        <stp/>
        <stp>f9dc085a-5e8d-4bef-a437-801c3ff3af8a</stp>
        <tr r="AY61" s="130"/>
      </tp>
      <tp>
        <v>1</v>
        <stp/>
        <stp>56f60bab-d710-463d-a831-618b5dcdec7c</stp>
        <tr r="GX8" s="132"/>
      </tp>
    </main>
    <main first="rtdsrv.458a5932996f485b8b1b8d7cbb3f77a6">
      <tp>
        <v>1</v>
        <stp/>
        <stp>c02df495-f5dc-4e81-8dd3-9f469464f4b2</stp>
        <tr r="AE78" s="130"/>
      </tp>
      <tp>
        <v>1</v>
        <stp/>
        <stp>d2617ba3-0968-4792-9843-fd003add32d6</stp>
        <tr r="AM82" s="130"/>
      </tp>
    </main>
    <main first="rtdsrv.458a5932996f485b8b1b8d7cbb3f77a6">
      <tp>
        <v>1</v>
        <stp/>
        <stp>6e124d04-7899-45e2-a9e0-021662e5700c</stp>
        <tr r="Z16" s="130"/>
      </tp>
    </main>
    <main first="rtdsrv.458a5932996f485b8b1b8d7cbb3f77a6">
      <tp>
        <v>1</v>
        <stp/>
        <stp>e1f63834-a8ac-4564-ba3b-9d1a5c6809ed</stp>
        <tr r="EG9" s="132"/>
      </tp>
      <tp>
        <v>1</v>
        <stp/>
        <stp>e7af8d08-36eb-44cf-b3bf-a19672d5c628</stp>
        <tr r="AS77" s="130"/>
      </tp>
    </main>
    <main first="rtdsrv.458a5932996f485b8b1b8d7cbb3f77a6">
      <tp>
        <v>1</v>
        <stp/>
        <stp>5ad06dd5-3111-4810-9036-80e67d8c5042</stp>
        <tr r="BI28" s="130"/>
      </tp>
    </main>
    <main first="rtdsrv.458a5932996f485b8b1b8d7cbb3f77a6">
      <tp>
        <v>1</v>
        <stp/>
        <stp>e39a05e8-a99e-467b-bf98-d9067e0c1130</stp>
        <tr r="GI15" s="132"/>
      </tp>
      <tp>
        <v>1</v>
        <stp/>
        <stp>84bb2f82-32a8-45d1-9a8a-8e86a9fbde99</stp>
        <tr r="AC25" s="130"/>
      </tp>
    </main>
    <main first="rtdsrv.458a5932996f485b8b1b8d7cbb3f77a6">
      <tp>
        <v>1</v>
        <stp/>
        <stp>d993f819-339f-4a02-b35f-47d461384bdd</stp>
        <tr r="EZ14" s="132"/>
      </tp>
    </main>
    <main first="rtdsrv.458a5932996f485b8b1b8d7cbb3f77a6">
      <tp>
        <v>1</v>
        <stp/>
        <stp>f9fac062-465b-4d5e-996b-4bfe9e58389e</stp>
        <tr r="AB5" s="132"/>
      </tp>
    </main>
    <main first="rtdsrv.458a5932996f485b8b1b8d7cbb3f77a6">
      <tp>
        <v>1</v>
        <stp/>
        <stp>eeb23e50-0cef-4bf5-b237-faa0ad871b50</stp>
        <tr r="BC13" s="130"/>
      </tp>
    </main>
    <main first="rtdsrv.458a5932996f485b8b1b8d7cbb3f77a6">
      <tp>
        <v>1</v>
        <stp/>
        <stp>5980fd28-92e3-4f3d-a72b-f4de14e5cc4c</stp>
        <tr r="AU25" s="130"/>
      </tp>
    </main>
    <main first="rtdsrv.458a5932996f485b8b1b8d7cbb3f77a6">
      <tp>
        <v>1</v>
        <stp/>
        <stp>ff361594-b6a8-46e9-a40b-cc5d2915b35c</stp>
        <tr r="Z11" s="132"/>
      </tp>
    </main>
    <main first="rtdsrv.458a5932996f485b8b1b8d7cbb3f77a6">
      <tp>
        <v>1</v>
        <stp/>
        <stp>e2c89f22-2ad6-45c8-ab8f-bd97aac822c4</stp>
        <tr r="V19" s="130"/>
      </tp>
    </main>
    <main first="rtdsrv.458a5932996f485b8b1b8d7cbb3f77a6">
      <tp>
        <v>1</v>
        <stp/>
        <stp>8b7335b7-56c3-4756-aa29-0bc1d128edd8</stp>
        <tr r="BI85" s="130"/>
      </tp>
    </main>
    <main first="rtdsrv.458a5932996f485b8b1b8d7cbb3f77a6">
      <tp>
        <v>1</v>
        <stp/>
        <stp>29eb8f3d-95b6-43f7-8991-3884cd409e1e</stp>
        <tr r="AW90" s="130"/>
      </tp>
    </main>
    <main first="rtdsrv.458a5932996f485b8b1b8d7cbb3f77a6">
      <tp>
        <v>1</v>
        <stp/>
        <stp>2ecf8d96-ff24-4644-9146-85c63e125f7e</stp>
        <tr r="AQ73" s="130"/>
      </tp>
    </main>
    <main first="rtdsrv.458a5932996f485b8b1b8d7cbb3f77a6">
      <tp>
        <v>1</v>
        <stp/>
        <stp>190a88a7-4ec3-47f8-9809-384b0f05c2a9</stp>
        <tr r="CG5" s="132"/>
      </tp>
    </main>
    <main first="rtdsrv.458a5932996f485b8b1b8d7cbb3f77a6">
      <tp>
        <v>1</v>
        <stp/>
        <stp>72cc7ca8-104a-4412-bd2f-7ff44ebae287</stp>
        <tr r="AR51" s="130"/>
        <tr r="AR46" s="130"/>
      </tp>
      <tp>
        <v>1</v>
        <stp/>
        <stp>6ae5fcef-f97f-405f-89c6-8761ab77cef3</stp>
        <tr r="CJ6" s="132"/>
      </tp>
    </main>
    <main first="rtdsrv.458a5932996f485b8b1b8d7cbb3f77a6">
      <tp>
        <v>1</v>
        <stp/>
        <stp>8a607c77-1091-46c0-8469-5d33efdf6f7b</stp>
        <tr r="BH61" s="130"/>
      </tp>
    </main>
    <main first="rtdsrv.458a5932996f485b8b1b8d7cbb3f77a6">
      <tp>
        <v>1</v>
        <stp/>
        <stp>e92849cc-4b4d-47e2-977c-2e82410ad406</stp>
        <tr r="E67" s="130"/>
      </tp>
    </main>
    <main first="rtdsrv.458a5932996f485b8b1b8d7cbb3f77a6">
      <tp>
        <v>1</v>
        <stp/>
        <stp>fcd48066-3ee1-420a-9783-2f31e992b7fd</stp>
        <tr r="M10" s="130"/>
      </tp>
      <tp>
        <v>1</v>
        <stp/>
        <stp>89f5b9c6-0ebe-49e9-ad9a-4dd5f25ae78f</stp>
        <tr r="Y15" s="132"/>
      </tp>
    </main>
    <main first="rtdsrv.458a5932996f485b8b1b8d7cbb3f77a6">
      <tp>
        <v>1</v>
        <stp/>
        <stp>0eceff40-9468-45b8-b92e-da353a98ead1</stp>
        <tr r="ED8" s="132"/>
      </tp>
    </main>
    <main first="rtdsrv.458a5932996f485b8b1b8d7cbb3f77a6">
      <tp>
        <v>1</v>
        <stp/>
        <stp>5d91d65b-cb5b-4209-bad0-0fa95c7df8a8</stp>
        <tr r="AS76" s="130"/>
      </tp>
      <tp>
        <v>1</v>
        <stp/>
        <stp>5dd7a0e3-79b3-497d-92ae-84af92b0c17c</stp>
        <tr r="BF36" s="130"/>
      </tp>
      <tp>
        <v>1</v>
        <stp/>
        <stp>f71f9862-f738-4a2c-aa8a-e0122616ce81</stp>
        <tr r="FP9" s="132"/>
      </tp>
      <tp>
        <v>1</v>
        <stp/>
        <stp>6c91050c-fb20-4a2e-9abf-77014b5c93a4</stp>
        <tr r="AY63" s="130"/>
      </tp>
    </main>
    <main first="rtdsrv.458a5932996f485b8b1b8d7cbb3f77a6">
      <tp>
        <v>1</v>
        <stp/>
        <stp>97dcad09-70eb-4335-a559-ebc16ac27647</stp>
        <tr r="AU5" s="132"/>
      </tp>
      <tp>
        <v>1</v>
        <stp/>
        <stp>b05fbe69-d929-4cd9-b74f-19a361ef6e1a</stp>
        <tr r="AA14" s="132"/>
      </tp>
    </main>
    <main first="rtdsrv.458a5932996f485b8b1b8d7cbb3f77a6">
      <tp>
        <v>1</v>
        <stp/>
        <stp>7c3d9ae3-b4ce-4a34-bd8f-791ba4db1080</stp>
        <tr r="BE30" s="130"/>
      </tp>
    </main>
    <main first="rtdsrv.458a5932996f485b8b1b8d7cbb3f77a6">
      <tp>
        <v>1</v>
        <stp/>
        <stp>7cdfc322-fc12-40a6-8adf-7c61978aea45</stp>
        <tr r="CW11" s="132"/>
      </tp>
    </main>
    <main first="rtdsrv.458a5932996f485b8b1b8d7cbb3f77a6">
      <tp>
        <v>1</v>
        <stp/>
        <stp>8cd0187b-5628-41e8-a5c7-2792373b4d23</stp>
        <tr r="AZ57" s="130"/>
      </tp>
      <tp>
        <v>1</v>
        <stp/>
        <stp>c5809bd7-4269-4af0-9f16-da38da766365</stp>
        <tr r="AB85" s="130"/>
      </tp>
    </main>
    <main first="rtdsrv.458a5932996f485b8b1b8d7cbb3f77a6">
      <tp>
        <v>1</v>
        <stp/>
        <stp>8704f229-08f1-43a0-9d73-a57765147cea</stp>
        <tr r="G71" s="130"/>
      </tp>
      <tp>
        <v>1</v>
        <stp/>
        <stp>d991302d-7545-4819-8a1a-6cbd0efc8a1d</stp>
        <tr r="BK87" s="130"/>
      </tp>
    </main>
    <main first="rtdsrv.458a5932996f485b8b1b8d7cbb3f77a6">
      <tp>
        <v>1</v>
        <stp/>
        <stp>ed9f80e2-26f4-47a4-a70e-c6423da78a0a</stp>
        <tr r="BL5" s="132"/>
      </tp>
      <tp>
        <v>1</v>
        <stp/>
        <stp>97a01eac-675d-438a-a657-4ffec15da695</stp>
        <tr r="AM71" s="130"/>
      </tp>
    </main>
    <main first="rtdsrv.458a5932996f485b8b1b8d7cbb3f77a6">
      <tp>
        <v>1</v>
        <stp/>
        <stp>922d1662-fabe-43c6-9769-cb863a843066</stp>
        <tr r="I46" s="130"/>
        <tr r="I51" s="130"/>
      </tp>
      <tp>
        <v>1</v>
        <stp/>
        <stp>bb1f87c8-204f-4a64-8709-803784f7d6d9</stp>
        <tr r="GQ5" s="132"/>
      </tp>
      <tp>
        <v>1</v>
        <stp/>
        <stp>27bac777-6a69-447b-92f0-5fb3054bb086</stp>
        <tr r="W99" s="130"/>
      </tp>
    </main>
    <main first="rtdsrv.458a5932996f485b8b1b8d7cbb3f77a6">
      <tp>
        <v>1</v>
        <stp/>
        <stp>9f82afc6-e535-49ab-a1e9-3f84febac0fe</stp>
        <tr r="AR32" s="130"/>
      </tp>
    </main>
    <main first="rtdsrv.458a5932996f485b8b1b8d7cbb3f77a6">
      <tp>
        <v>1</v>
        <stp/>
        <stp>b39c66e6-3265-49e6-b4c3-ea6beda8d7a9</stp>
        <tr r="AL77" s="130"/>
      </tp>
    </main>
    <main first="rtdsrv.458a5932996f485b8b1b8d7cbb3f77a6">
      <tp>
        <v>1</v>
        <stp/>
        <stp>de3e846d-8b35-48b3-875b-bd2b68d4bb8b</stp>
        <tr r="AC77" s="130"/>
      </tp>
    </main>
    <main first="rtdsrv.458a5932996f485b8b1b8d7cbb3f77a6">
      <tp>
        <v>1</v>
        <stp/>
        <stp>703ce4b6-e8c7-4cfc-bf84-197c9a87939b</stp>
        <tr r="M27" s="130"/>
      </tp>
    </main>
    <main first="rtdsrv.458a5932996f485b8b1b8d7cbb3f77a6">
      <tp>
        <v>1</v>
        <stp/>
        <stp>d27c6368-eca2-4d6f-bb40-4e817f108d00</stp>
        <tr r="AB13" s="132"/>
      </tp>
    </main>
    <main first="rtdsrv.458a5932996f485b8b1b8d7cbb3f77a6">
      <tp>
        <v>1</v>
        <stp/>
        <stp>72ee369b-d5d0-4c20-955c-40df5e1d5a42</stp>
        <tr r="AN27" s="130"/>
      </tp>
      <tp>
        <v>1</v>
        <stp/>
        <stp>6eaf5a33-daad-471d-8b33-e0c9a345adca</stp>
        <tr r="AC99" s="130"/>
      </tp>
    </main>
    <main first="rtdsrv.458a5932996f485b8b1b8d7cbb3f77a6">
      <tp>
        <v>1</v>
        <stp/>
        <stp>c162f06d-8fcf-4779-b46b-de574f340e67</stp>
        <tr r="AY81" s="130"/>
      </tp>
    </main>
    <main first="rtdsrv.458a5932996f485b8b1b8d7cbb3f77a6">
      <tp>
        <v>1</v>
        <stp/>
        <stp>862f1d65-42d2-468a-b654-0076d661ed74</stp>
        <tr r="BF41" s="130"/>
      </tp>
    </main>
    <main first="rtdsrv.458a5932996f485b8b1b8d7cbb3f77a6">
      <tp>
        <v>1</v>
        <stp/>
        <stp>eaa23528-c4b0-460b-b53f-36dc3cd31c51</stp>
        <tr r="AS34" s="130"/>
      </tp>
    </main>
    <main first="rtdsrv.458a5932996f485b8b1b8d7cbb3f77a6">
      <tp>
        <v>1</v>
        <stp/>
        <stp>204c1f47-168a-47d2-9fd5-43d9dd7996df</stp>
        <tr r="DE15" s="132"/>
      </tp>
    </main>
    <main first="rtdsrv.458a5932996f485b8b1b8d7cbb3f77a6">
      <tp>
        <v>1</v>
        <stp/>
        <stp>3f5d68c3-886a-4837-9a59-8b622c6555cf</stp>
        <tr r="AY38" s="130"/>
      </tp>
    </main>
    <main first="rtdsrv.458a5932996f485b8b1b8d7cbb3f77a6">
      <tp>
        <v>1</v>
        <stp/>
        <stp>bb35c952-1d3f-4e02-9077-586675fa4214</stp>
        <tr r="AF10" s="130"/>
      </tp>
    </main>
    <main first="rtdsrv.458a5932996f485b8b1b8d7cbb3f77a6">
      <tp>
        <v>1</v>
        <stp/>
        <stp>bf50cb44-5166-440b-b7e4-47a85e7084fd</stp>
        <tr r="CC13" s="132"/>
      </tp>
    </main>
    <main first="rtdsrv.458a5932996f485b8b1b8d7cbb3f77a6">
      <tp>
        <v>1</v>
        <stp/>
        <stp>038cd4e5-fe81-492e-af1f-0db7141fd586</stp>
        <tr r="AZ5" s="132"/>
      </tp>
    </main>
    <main first="rtdsrv.458a5932996f485b8b1b8d7cbb3f77a6">
      <tp>
        <v>1</v>
        <stp/>
        <stp>87e56f9a-c0e5-4577-a576-613c1287aad2</stp>
        <tr r="E97" s="130"/>
      </tp>
    </main>
    <main first="rtdsrv.458a5932996f485b8b1b8d7cbb3f77a6">
      <tp>
        <v>1</v>
        <stp/>
        <stp>a7f78e49-68d5-4820-bcb0-91f59699ca03</stp>
        <tr r="GD7" s="132"/>
      </tp>
    </main>
    <main first="rtdsrv.458a5932996f485b8b1b8d7cbb3f77a6">
      <tp>
        <v>1</v>
        <stp/>
        <stp>0bb3df1c-a6ef-4913-a12a-df301e12573c</stp>
        <tr r="BU8" s="132"/>
      </tp>
    </main>
    <main first="rtdsrv.458a5932996f485b8b1b8d7cbb3f77a6">
      <tp>
        <v>1</v>
        <stp/>
        <stp>9100442e-ecca-405a-8062-87304c3613f3</stp>
        <tr r="CC14" s="132"/>
      </tp>
    </main>
    <main first="rtdsrv.458a5932996f485b8b1b8d7cbb3f77a6">
      <tp>
        <v>1</v>
        <stp/>
        <stp>6c2f728b-d92a-4eaa-9418-4bffac9164bb</stp>
        <tr r="BA15" s="130"/>
      </tp>
    </main>
    <main first="rtdsrv.458a5932996f485b8b1b8d7cbb3f77a6">
      <tp>
        <v>1</v>
        <stp/>
        <stp>508104ed-3119-4b2c-8cb8-5fb566b1c6bf</stp>
        <tr r="AA64" s="130"/>
      </tp>
    </main>
    <main first="rtdsrv.458a5932996f485b8b1b8d7cbb3f77a6">
      <tp>
        <v>1</v>
        <stp/>
        <stp>fc91c2f0-cced-4211-9cd9-74df103f03d7</stp>
        <tr r="Y41" s="130"/>
      </tp>
    </main>
    <main first="rtdsrv.458a5932996f485b8b1b8d7cbb3f77a6">
      <tp>
        <v>1</v>
        <stp/>
        <stp>265bfbfa-aa86-4a8c-8fbb-15f75e31943a</stp>
        <tr r="DE9" s="132"/>
      </tp>
    </main>
    <main first="rtdsrv.458a5932996f485b8b1b8d7cbb3f77a6">
      <tp>
        <v>1</v>
        <stp/>
        <stp>495e28c1-96db-489f-9c47-44e1c8b3a6f3</stp>
        <tr r="GS12" s="132"/>
      </tp>
      <tp>
        <v>1</v>
        <stp/>
        <stp>a7aa5d80-48fc-4c8f-bcdb-66ff74fac751</stp>
        <tr r="AI98" s="130"/>
      </tp>
      <tp>
        <v>1</v>
        <stp/>
        <stp>54de5505-ec42-47bb-8786-28b8177eaab9</stp>
        <tr r="BB11" s="132"/>
      </tp>
    </main>
    <main first="rtdsrv.458a5932996f485b8b1b8d7cbb3f77a6">
      <tp>
        <v>1</v>
        <stp/>
        <stp>8dab6eea-90ae-4038-90a2-a2919a0b8b95</stp>
        <tr r="GM6" s="132"/>
      </tp>
    </main>
    <main first="rtdsrv.458a5932996f485b8b1b8d7cbb3f77a6">
      <tp>
        <v>1</v>
        <stp/>
        <stp>a1fca6a0-16a2-4f3a-abf5-14689fade3ec</stp>
        <tr r="CU16" s="132"/>
      </tp>
      <tp>
        <v>1</v>
        <stp/>
        <stp>afff067a-3cd4-486f-a7f2-576b44cad0c0</stp>
        <tr r="AJ61" s="130"/>
      </tp>
    </main>
    <main first="rtdsrv.458a5932996f485b8b1b8d7cbb3f77a6">
      <tp>
        <v>1</v>
        <stp/>
        <stp>fe74e5c5-6219-4d12-bb54-c554af32fbcf</stp>
        <tr r="AX79" s="130"/>
      </tp>
    </main>
    <main first="rtdsrv.458a5932996f485b8b1b8d7cbb3f77a6">
      <tp>
        <v>1</v>
        <stp/>
        <stp>5e3160e1-e10e-48a4-9dc6-9765dca62c1b</stp>
        <tr r="AM69" s="130"/>
      </tp>
      <tp>
        <v>1</v>
        <stp/>
        <stp>59d13903-fabe-4357-8617-098ac080a95e</stp>
        <tr r="S58" s="130"/>
      </tp>
    </main>
    <main first="rtdsrv.458a5932996f485b8b1b8d7cbb3f77a6">
      <tp>
        <v>1</v>
        <stp/>
        <stp>ae2a3f65-6275-47a5-9ea5-cf47fbe405e0</stp>
        <tr r="BV16" s="132"/>
      </tp>
    </main>
    <main first="rtdsrv.458a5932996f485b8b1b8d7cbb3f77a6">
      <tp>
        <v>1</v>
        <stp/>
        <stp>10cb75a7-8733-4fcf-815e-5f12997e8aa5</stp>
        <tr r="BE86" s="130"/>
      </tp>
      <tp>
        <v>1</v>
        <stp/>
        <stp>4dfd1900-8bb7-426f-81a2-614351afe2d3</stp>
        <tr r="D14" s="130"/>
        <tr r="D26" s="130"/>
      </tp>
    </main>
    <main first="rtdsrv.458a5932996f485b8b1b8d7cbb3f77a6">
      <tp>
        <v>1</v>
        <stp/>
        <stp>e5449b98-2de1-49c5-a74a-4590126fe30b</stp>
        <tr r="BE7" s="132"/>
      </tp>
    </main>
    <main first="rtdsrv.458a5932996f485b8b1b8d7cbb3f77a6">
      <tp>
        <v>1</v>
        <stp/>
        <stp>fa6799ef-1d45-4cdb-9a26-a93aa2cdbbf4</stp>
        <tr r="W89" s="130"/>
      </tp>
    </main>
    <main first="rtdsrv.458a5932996f485b8b1b8d7cbb3f77a6">
      <tp>
        <v>1</v>
        <stp/>
        <stp>91c1f30f-d4ed-4633-8a60-dfba2c11363f</stp>
        <tr r="AI56" s="130"/>
      </tp>
    </main>
    <main first="rtdsrv.458a5932996f485b8b1b8d7cbb3f77a6">
      <tp>
        <v>1</v>
        <stp/>
        <stp>288f1b2f-e5b3-4c2a-a4f6-b88bc2252b3c</stp>
        <tr r="BE93" s="130"/>
      </tp>
      <tp>
        <v>1</v>
        <stp/>
        <stp>7008c623-b559-470a-a234-09c39fa8f910</stp>
        <tr r="AF47" s="130"/>
        <tr r="AF52" s="130"/>
      </tp>
    </main>
    <main first="rtdsrv.458a5932996f485b8b1b8d7cbb3f77a6">
      <tp>
        <v>1</v>
        <stp/>
        <stp>e407f017-db7e-4516-a130-e96185a11941</stp>
        <tr r="L11" s="130"/>
      </tp>
    </main>
    <main first="rtdsrv.458a5932996f485b8b1b8d7cbb3f77a6">
      <tp>
        <v>1</v>
        <stp/>
        <stp>6d0661c2-ba6c-4c30-8022-014aca3fb573</stp>
        <tr r="AU76" s="130"/>
      </tp>
    </main>
    <main first="rtdsrv.458a5932996f485b8b1b8d7cbb3f77a6">
      <tp>
        <v>1</v>
        <stp/>
        <stp>1b6c3b57-f7f9-4915-8c3d-d108835df2e7</stp>
        <tr r="GM12" s="132"/>
      </tp>
    </main>
    <main first="rtdsrv.458a5932996f485b8b1b8d7cbb3f77a6">
      <tp>
        <v>1</v>
        <stp/>
        <stp>b3435b7b-044d-4d25-a9a0-a14dd075bd43</stp>
        <tr r="GV7" s="132"/>
      </tp>
    </main>
    <main first="rtdsrv.458a5932996f485b8b1b8d7cbb3f77a6">
      <tp>
        <v>1</v>
        <stp/>
        <stp>2e358007-de76-400a-b032-601c07b92473</stp>
        <tr r="V80" s="130"/>
      </tp>
    </main>
    <main first="rtdsrv.458a5932996f485b8b1b8d7cbb3f77a6">
      <tp>
        <v>1</v>
        <stp/>
        <stp>855f44c0-9d77-41a7-8cf3-0c0e79607c76</stp>
        <tr r="Y80" s="130"/>
      </tp>
    </main>
    <main first="rtdsrv.458a5932996f485b8b1b8d7cbb3f77a6">
      <tp>
        <v>1</v>
        <stp/>
        <stp>0b102cab-63e3-4410-ab67-6726b4e1db22</stp>
        <tr r="BK15" s="130"/>
      </tp>
    </main>
    <main first="rtdsrv.458a5932996f485b8b1b8d7cbb3f77a6">
      <tp>
        <v>1</v>
        <stp/>
        <stp>af836cd2-4e6e-4e18-8285-0208924e5a9a</stp>
        <tr r="AF34" s="130"/>
      </tp>
    </main>
    <main first="rtdsrv.458a5932996f485b8b1b8d7cbb3f77a6">
      <tp>
        <v>1</v>
        <stp/>
        <stp>dfd727bd-1a78-43a3-9983-f553e9b19722</stp>
        <tr r="AA7" s="132"/>
      </tp>
    </main>
    <main first="rtdsrv.458a5932996f485b8b1b8d7cbb3f77a6">
      <tp>
        <v>1</v>
        <stp/>
        <stp>71c69682-d589-43ff-9b3e-37642a48d08f</stp>
        <tr r="L86" s="130"/>
      </tp>
    </main>
    <main first="rtdsrv.458a5932996f485b8b1b8d7cbb3f77a6">
      <tp>
        <v>1</v>
        <stp/>
        <stp>f451995e-9f30-424c-930e-870493742354</stp>
        <tr r="K16" s="130"/>
      </tp>
    </main>
    <main first="rtdsrv.458a5932996f485b8b1b8d7cbb3f77a6">
      <tp>
        <v>1</v>
        <stp/>
        <stp>474ea57d-058b-4db3-919b-513b2871daa2</stp>
        <tr r="AU24" s="130"/>
      </tp>
    </main>
    <main first="rtdsrv.458a5932996f485b8b1b8d7cbb3f77a6">
      <tp>
        <v>1</v>
        <stp/>
        <stp>5464867e-f010-4c03-a2fd-f4d4ed8a8185</stp>
        <tr r="AW16" s="132"/>
      </tp>
    </main>
    <main first="rtdsrv.458a5932996f485b8b1b8d7cbb3f77a6">
      <tp>
        <v>1</v>
        <stp/>
        <stp>df92aa8f-a100-411d-962a-9ac1f913482a</stp>
        <tr r="BN14" s="132"/>
      </tp>
      <tp>
        <v>1</v>
        <stp/>
        <stp>e3ed6cdb-dced-405c-b66c-bdb6a4396aa0</stp>
        <tr r="F11" s="130"/>
      </tp>
    </main>
    <main first="rtdsrv.458a5932996f485b8b1b8d7cbb3f77a6">
      <tp>
        <v>1</v>
        <stp/>
        <stp>af0104bb-f73c-45bd-b724-15c933eff4fd</stp>
        <tr r="CJ13" s="132"/>
      </tp>
      <tp>
        <v>1</v>
        <stp/>
        <stp>e8d529ff-a9b3-4f37-9ffc-161f039d5daf</stp>
        <tr r="AA72" s="130"/>
      </tp>
      <tp>
        <v>1</v>
        <stp/>
        <stp>1f632d43-5755-42e7-8bab-31019e5baece</stp>
        <tr r="AU35" s="130"/>
      </tp>
    </main>
    <main first="rtdsrv.458a5932996f485b8b1b8d7cbb3f77a6">
      <tp>
        <v>1</v>
        <stp/>
        <stp>cfa2d27e-1e97-42ba-8726-8444574a9e72</stp>
        <tr r="F12" s="130"/>
      </tp>
    </main>
    <main first="rtdsrv.458a5932996f485b8b1b8d7cbb3f77a6">
      <tp>
        <v>1</v>
        <stp/>
        <stp>b28d3c2c-3790-4eeb-95d0-3ade6c85a6bd</stp>
        <tr r="AP83" s="130"/>
      </tp>
    </main>
    <main first="rtdsrv.458a5932996f485b8b1b8d7cbb3f77a6">
      <tp>
        <v>1</v>
        <stp/>
        <stp>ce40e68d-a9fd-41ef-be18-fbb0eeea229e</stp>
        <tr r="AP67" s="130"/>
      </tp>
    </main>
    <main first="rtdsrv.458a5932996f485b8b1b8d7cbb3f77a6">
      <tp>
        <v>1</v>
        <stp/>
        <stp>14ee7c73-d389-45b5-a023-fd616b24cbeb</stp>
        <tr r="S42" s="130"/>
      </tp>
      <tp>
        <v>1</v>
        <stp/>
        <stp>a8b3fd5d-7d75-4d7a-ad15-3826dbd041c9</stp>
        <tr r="AL35" s="130"/>
      </tp>
    </main>
    <main first="rtdsrv.458a5932996f485b8b1b8d7cbb3f77a6">
      <tp>
        <v>1</v>
        <stp/>
        <stp>9c55f4cd-7119-44d4-b204-475c42cc5160</stp>
        <tr r="X75" s="130"/>
      </tp>
      <tp>
        <v>1</v>
        <stp/>
        <stp>72bdd515-61ce-44f6-923c-411b31580d6a</stp>
        <tr r="BQ13" s="132"/>
      </tp>
      <tp>
        <v>1</v>
        <stp/>
        <stp>38d9f1c1-6674-4679-88fa-a6566d4f1bbe</stp>
        <tr r="AF72" s="130"/>
      </tp>
    </main>
    <main first="rtdsrv.458a5932996f485b8b1b8d7cbb3f77a6">
      <tp>
        <v>1</v>
        <stp/>
        <stp>5780a328-b0db-462c-817a-f0dcd72e3e13</stp>
        <tr r="AN34" s="130"/>
      </tp>
    </main>
    <main first="rtdsrv.458a5932996f485b8b1b8d7cbb3f77a6">
      <tp>
        <v>1</v>
        <stp/>
        <stp>23e391f0-fc67-4937-bd06-471892c0f686</stp>
        <tr r="ET15" s="132"/>
      </tp>
      <tp>
        <v>1</v>
        <stp/>
        <stp>23038896-adb4-4564-8883-377b65bd7473</stp>
        <tr r="AH11" s="132"/>
      </tp>
      <tp>
        <v>1</v>
        <stp/>
        <stp>72d3a139-7e5a-4d8b-9037-e73f133cb198</stp>
        <tr r="CA13" s="132"/>
      </tp>
    </main>
    <main first="rtdsrv.458a5932996f485b8b1b8d7cbb3f77a6">
      <tp>
        <v>1</v>
        <stp/>
        <stp>3e8c3389-7853-42ca-b55b-5ed4d443946c</stp>
        <tr r="AD88" s="130"/>
      </tp>
    </main>
    <main first="rtdsrv.458a5932996f485b8b1b8d7cbb3f77a6">
      <tp>
        <v>1</v>
        <stp/>
        <stp>028947ae-3b9f-4240-9a1c-824947e7ab58</stp>
        <tr r="AD97" s="130"/>
      </tp>
    </main>
    <main first="rtdsrv.458a5932996f485b8b1b8d7cbb3f77a6">
      <tp>
        <v>1</v>
        <stp/>
        <stp>a1751ce6-ca0d-4d88-83bc-f8ffb124a289</stp>
        <tr r="M36" s="130"/>
      </tp>
      <tp>
        <v>1</v>
        <stp/>
        <stp>4fd66eef-0909-4807-98ec-772af3b4b576</stp>
        <tr r="CT7" s="132"/>
      </tp>
    </main>
    <main first="rtdsrv.458a5932996f485b8b1b8d7cbb3f77a6">
      <tp>
        <v>1</v>
        <stp/>
        <stp>fc4a6d77-cd89-4cb9-84b6-79eaad1e3291</stp>
        <tr r="EF6" s="132"/>
      </tp>
    </main>
    <main first="rtdsrv.458a5932996f485b8b1b8d7cbb3f77a6">
      <tp>
        <v>1</v>
        <stp/>
        <stp>77ab6e0d-2f34-4bd4-8d28-e3f6d31f66d3</stp>
        <tr r="N97" s="130"/>
      </tp>
    </main>
    <main first="rtdsrv.458a5932996f485b8b1b8d7cbb3f77a6">
      <tp>
        <v>1</v>
        <stp/>
        <stp>2213f284-0a61-4c27-817d-c62f7ed1d3f7</stp>
        <tr r="EU5" s="132"/>
      </tp>
    </main>
    <main first="rtdsrv.458a5932996f485b8b1b8d7cbb3f77a6">
      <tp>
        <v>1</v>
        <stp/>
        <stp>753a9e8a-f379-4405-b8cd-3ca745b47fb5</stp>
        <tr r="CX13" s="132"/>
      </tp>
      <tp>
        <v>1</v>
        <stp/>
        <stp>5c5bd0e4-fac5-4343-a176-f51f8d9c8027</stp>
        <tr r="AN72" s="130"/>
      </tp>
    </main>
    <main first="rtdsrv.458a5932996f485b8b1b8d7cbb3f77a6">
      <tp>
        <v>1</v>
        <stp/>
        <stp>223d49ba-f930-4842-adfc-a0c75a4768a0</stp>
        <tr r="BA94" s="130"/>
      </tp>
    </main>
    <main first="rtdsrv.458a5932996f485b8b1b8d7cbb3f77a6">
      <tp>
        <v>1</v>
        <stp/>
        <stp>1a3a30f1-08dc-4e41-83d0-a7361265cae6</stp>
        <tr r="BG15" s="132"/>
      </tp>
    </main>
    <main first="rtdsrv.458a5932996f485b8b1b8d7cbb3f77a6">
      <tp>
        <v>1</v>
        <stp/>
        <stp>cfd5a185-3ab8-4a16-84be-efe0d46dc264</stp>
        <tr r="DC15" s="132"/>
      </tp>
      <tp>
        <v>1</v>
        <stp/>
        <stp>d44aa9f4-bade-4711-9949-97ac7845d5b2</stp>
        <tr r="AT76" s="130"/>
      </tp>
    </main>
    <main first="rtdsrv.458a5932996f485b8b1b8d7cbb3f77a6">
      <tp>
        <v>1</v>
        <stp/>
        <stp>25839c52-2a8e-4790-9729-2f85fbf09265</stp>
        <tr r="M32" s="130"/>
      </tp>
    </main>
    <main first="rtdsrv.458a5932996f485b8b1b8d7cbb3f77a6">
      <tp>
        <v>1</v>
        <stp/>
        <stp>9e97775c-c5da-4adc-ac6b-db12a2bcbd5e</stp>
        <tr r="L7" s="132"/>
      </tp>
      <tp>
        <v>1</v>
        <stp/>
        <stp>28643db1-d955-48e3-97c2-59e74b565c20</stp>
        <tr r="AA5" s="132"/>
      </tp>
      <tp>
        <v>1</v>
        <stp/>
        <stp>d77dbcc9-2c75-4b12-9bfa-9f9e07cea311</stp>
        <tr r="V27" s="130"/>
      </tp>
    </main>
    <main first="rtdsrv.458a5932996f485b8b1b8d7cbb3f77a6">
      <tp>
        <v>1</v>
        <stp/>
        <stp>7d0a4f4b-57b7-48aa-a12d-9d858f4b76fe</stp>
        <tr r="AI15" s="132"/>
      </tp>
    </main>
    <main first="rtdsrv.458a5932996f485b8b1b8d7cbb3f77a6">
      <tp>
        <v>1</v>
        <stp/>
        <stp>7bd99084-7f2b-4f7b-9034-8b73c70b7148</stp>
        <tr r="AR63" s="130"/>
      </tp>
    </main>
    <main first="rtdsrv.458a5932996f485b8b1b8d7cbb3f77a6">
      <tp>
        <v>1</v>
        <stp/>
        <stp>a9cf5060-bbe4-44f6-ba31-44d8b29978e7</stp>
        <tr r="J5" s="130"/>
      </tp>
      <tp>
        <v>1</v>
        <stp/>
        <stp>123fbd20-f71b-4826-958e-4e85126449c5</stp>
        <tr r="V13" s="132"/>
      </tp>
    </main>
    <main first="rtdsrv.458a5932996f485b8b1b8d7cbb3f77a6">
      <tp>
        <v>1</v>
        <stp/>
        <stp>c64ddb4e-332d-436f-8717-3560e3864f4e</stp>
        <tr r="AG80" s="130"/>
      </tp>
    </main>
    <main first="rtdsrv.458a5932996f485b8b1b8d7cbb3f77a6">
      <tp>
        <v>1</v>
        <stp/>
        <stp>2332f791-5f58-4a65-81e3-bd4cbabfb472</stp>
        <tr r="AT63" s="130"/>
      </tp>
    </main>
    <main first="rtdsrv.458a5932996f485b8b1b8d7cbb3f77a6">
      <tp>
        <v>1</v>
        <stp/>
        <stp>64e019b3-cc80-4f76-98dd-69155d7f6182</stp>
        <tr r="H57" s="130"/>
      </tp>
      <tp>
        <v>1</v>
        <stp/>
        <stp>659d6ec4-0494-47da-84e2-8881589b64c1</stp>
        <tr r="AI81" s="130"/>
      </tp>
    </main>
    <main first="rtdsrv.458a5932996f485b8b1b8d7cbb3f77a6">
      <tp>
        <v>1</v>
        <stp/>
        <stp>d7a6b58c-f49e-413e-bc6b-ae0a3577476a</stp>
        <tr r="I95" s="130"/>
      </tp>
      <tp>
        <v>1</v>
        <stp/>
        <stp>d2ecfca2-5873-472d-962c-63d2d007ea5e</stp>
        <tr r="J9" s="132"/>
      </tp>
    </main>
    <main first="rtdsrv.458a5932996f485b8b1b8d7cbb3f77a6">
      <tp>
        <v>1</v>
        <stp/>
        <stp>6034f4ac-669f-411f-8651-7e60d5875ad5</stp>
        <tr r="BM14" s="132"/>
      </tp>
    </main>
    <main first="rtdsrv.458a5932996f485b8b1b8d7cbb3f77a6">
      <tp>
        <v>1</v>
        <stp/>
        <stp>a5bdab09-ec43-4aef-925f-2799ad3e1bb7</stp>
        <tr r="AL64" s="130"/>
      </tp>
      <tp>
        <v>1</v>
        <stp/>
        <stp>d88b895f-5b0b-41c5-8c95-b27808ff7b4d</stp>
        <tr r="BJ13" s="132"/>
      </tp>
    </main>
    <main first="rtdsrv.458a5932996f485b8b1b8d7cbb3f77a6">
      <tp>
        <v>1</v>
        <stp/>
        <stp>d7a2e08c-753d-4b60-a5d2-665f04d28603</stp>
        <tr r="L23" s="130"/>
      </tp>
    </main>
    <main first="rtdsrv.458a5932996f485b8b1b8d7cbb3f77a6">
      <tp>
        <v>1</v>
        <stp/>
        <stp>fb16fa23-d29a-45ac-b449-d1d9c45c0ef0</stp>
        <tr r="F13" s="130"/>
      </tp>
    </main>
    <main first="rtdsrv.458a5932996f485b8b1b8d7cbb3f77a6">
      <tp>
        <v>1</v>
        <stp/>
        <stp>6e605c04-d0ae-4da9-84d2-cfd790a5599c</stp>
        <tr r="BO14" s="132"/>
      </tp>
    </main>
    <main first="rtdsrv.458a5932996f485b8b1b8d7cbb3f77a6">
      <tp>
        <v>1</v>
        <stp/>
        <stp>9afea785-5b6c-45c6-a3e0-73b4a7799da9</stp>
        <tr r="Z90" s="130"/>
      </tp>
    </main>
    <main first="rtdsrv.458a5932996f485b8b1b8d7cbb3f77a6">
      <tp>
        <v>1</v>
        <stp/>
        <stp>4aac3988-c062-448a-885c-e943671d0173</stp>
        <tr r="M7" s="130"/>
      </tp>
    </main>
    <main first="rtdsrv.458a5932996f485b8b1b8d7cbb3f77a6">
      <tp>
        <v>1</v>
        <stp/>
        <stp>b5baea57-4850-4057-9dc7-5ee3c76e8638</stp>
        <tr r="R63" s="130"/>
      </tp>
    </main>
    <main first="rtdsrv.458a5932996f485b8b1b8d7cbb3f77a6">
      <tp>
        <v>1</v>
        <stp/>
        <stp>cb2a3689-d67b-4ee5-a73a-1f1c976a37bc</stp>
        <tr r="G7" s="130"/>
      </tp>
    </main>
    <main first="rtdsrv.458a5932996f485b8b1b8d7cbb3f77a6">
      <tp>
        <v>1</v>
        <stp/>
        <stp>be68eb61-1dae-440d-8310-0e01ec98a5d9</stp>
        <tr r="N82" s="130"/>
      </tp>
    </main>
    <main first="rtdsrv.458a5932996f485b8b1b8d7cbb3f77a6">
      <tp>
        <v>1</v>
        <stp/>
        <stp>f4e6d938-9ccf-456e-a7e4-dd9503c503bf</stp>
        <tr r="FJ7" s="132"/>
      </tp>
    </main>
    <main first="rtdsrv.458a5932996f485b8b1b8d7cbb3f77a6">
      <tp>
        <v>1</v>
        <stp/>
        <stp>05941fab-05cf-4b1d-9b5c-abb14c36bcf3</stp>
        <tr r="AN36" s="130"/>
      </tp>
    </main>
    <main first="rtdsrv.458a5932996f485b8b1b8d7cbb3f77a6">
      <tp>
        <v>1</v>
        <stp/>
        <stp>04a64edb-570c-4843-9115-3586d350203b</stp>
        <tr r="BZ11" s="132"/>
      </tp>
      <tp>
        <v>1</v>
        <stp/>
        <stp>3e8dc5e6-537d-4fbb-86b6-9fa05b073103</stp>
        <tr r="AO64" s="130"/>
      </tp>
      <tp>
        <v>1</v>
        <stp/>
        <stp>affbf46a-6879-4149-aae0-f43e8d0808b7</stp>
        <tr r="GI6" s="132"/>
      </tp>
    </main>
    <main first="rtdsrv.458a5932996f485b8b1b8d7cbb3f77a6">
      <tp>
        <v>1</v>
        <stp/>
        <stp>80b7b22e-2998-41e0-aaec-07bba0d0625a</stp>
        <tr r="DO7" s="132"/>
      </tp>
      <tp>
        <v>1</v>
        <stp/>
        <stp>f531a914-97e3-4afc-bf7e-33ab5433468d</stp>
        <tr r="AB55" s="130"/>
      </tp>
    </main>
    <main first="rtdsrv.458a5932996f485b8b1b8d7cbb3f77a6">
      <tp>
        <v>1</v>
        <stp/>
        <stp>ba33d504-d52f-43eb-8971-937e41382793</stp>
        <tr r="AD86" s="130"/>
      </tp>
    </main>
    <main first="rtdsrv.458a5932996f485b8b1b8d7cbb3f77a6">
      <tp>
        <v>1</v>
        <stp/>
        <stp>76df3061-5873-4861-aa9b-7a0e12c098a0</stp>
        <tr r="BN7" s="132"/>
      </tp>
    </main>
    <main first="rtdsrv.458a5932996f485b8b1b8d7cbb3f77a6">
      <tp>
        <v>1</v>
        <stp/>
        <stp>9cdbf46e-e18d-45e1-bbd3-3fc6ac814214</stp>
        <tr r="BB61" s="130"/>
      </tp>
      <tp>
        <v>1</v>
        <stp/>
        <stp>3f04d7c8-3097-4b25-9d32-c79094bbf70e</stp>
        <tr r="BC61" s="130"/>
      </tp>
    </main>
    <main first="rtdsrv.458a5932996f485b8b1b8d7cbb3f77a6">
      <tp>
        <v>1</v>
        <stp/>
        <stp>1b5fc42b-f676-48b7-92c9-94cbe05190df</stp>
        <tr r="EZ15" s="132"/>
      </tp>
    </main>
    <main first="rtdsrv.458a5932996f485b8b1b8d7cbb3f77a6">
      <tp>
        <v>1</v>
        <stp/>
        <stp>26c784fd-2e28-4eeb-b349-007116ba1069</stp>
        <tr r="AK35" s="130"/>
      </tp>
    </main>
    <main first="rtdsrv.458a5932996f485b8b1b8d7cbb3f77a6">
      <tp>
        <v>1</v>
        <stp/>
        <stp>f5063d9b-17b9-4aa8-92d9-5c8eb8ca67fc</stp>
        <tr r="AE52" s="130"/>
        <tr r="AE47" s="130"/>
      </tp>
    </main>
    <main first="rtdsrv.458a5932996f485b8b1b8d7cbb3f77a6">
      <tp>
        <v>1</v>
        <stp/>
        <stp>a70d8c82-0a66-4c01-a213-d0f700f4a4a4</stp>
        <tr r="EP7" s="132"/>
      </tp>
    </main>
    <main first="rtdsrv.458a5932996f485b8b1b8d7cbb3f77a6">
      <tp>
        <v>1</v>
        <stp/>
        <stp>83bf51c8-3abc-43d2-ae39-8e65cf17ece7</stp>
        <tr r="AT9" s="130"/>
      </tp>
      <tp>
        <v>1</v>
        <stp/>
        <stp>1f949cab-ef4a-4c06-81e7-e0f7d7d92d03</stp>
        <tr r="AD73" s="130"/>
      </tp>
    </main>
    <main first="rtdsrv.458a5932996f485b8b1b8d7cbb3f77a6">
      <tp>
        <v>1</v>
        <stp/>
        <stp>713002c8-35ac-4273-9f78-8fe3ea005c3c</stp>
        <tr r="AG61" s="130"/>
      </tp>
    </main>
    <main first="rtdsrv.458a5932996f485b8b1b8d7cbb3f77a6">
      <tp>
        <v>1</v>
        <stp/>
        <stp>85e711fa-3051-4257-add6-26138d3c0fc6</stp>
        <tr r="AH7" s="132"/>
      </tp>
    </main>
    <main first="rtdsrv.458a5932996f485b8b1b8d7cbb3f77a6">
      <tp>
        <v>1</v>
        <stp/>
        <stp>5570d591-c463-4a50-bde9-0c2e767993b7</stp>
        <tr r="CJ9" s="132"/>
      </tp>
    </main>
    <main first="rtdsrv.458a5932996f485b8b1b8d7cbb3f77a6">
      <tp>
        <v>1</v>
        <stp/>
        <stp>561d9f45-4272-4188-8294-9569bcf94c74</stp>
        <tr r="I85" s="130"/>
      </tp>
    </main>
    <main first="rtdsrv.458a5932996f485b8b1b8d7cbb3f77a6">
      <tp>
        <v>1</v>
        <stp/>
        <stp>168b43b7-3326-4860-b648-151123329d7d</stp>
        <tr r="AQ5" s="130"/>
      </tp>
    </main>
    <main first="rtdsrv.458a5932996f485b8b1b8d7cbb3f77a6">
      <tp>
        <v>1</v>
        <stp/>
        <stp>af2e643e-e4bf-4ccf-b754-d52dd8ce594e</stp>
        <tr r="BJ16" s="132"/>
      </tp>
      <tp>
        <v>1</v>
        <stp/>
        <stp>8856aa15-2abb-48d3-ad11-18b4334112f8</stp>
        <tr r="EF16" s="132"/>
      </tp>
    </main>
    <main first="rtdsrv.458a5932996f485b8b1b8d7cbb3f77a6">
      <tp>
        <v>1</v>
        <stp/>
        <stp>f3096c1e-7d3b-4555-98b7-95648773ab7f</stp>
        <tr r="AQ20" s="130"/>
      </tp>
    </main>
    <main first="rtdsrv.458a5932996f485b8b1b8d7cbb3f77a6">
      <tp>
        <v>1</v>
        <stp/>
        <stp>73642e7a-ba2a-498a-9b90-2ec848bcda57</stp>
        <tr r="BZ12" s="132"/>
      </tp>
    </main>
    <main first="rtdsrv.458a5932996f485b8b1b8d7cbb3f77a6">
      <tp>
        <v>1</v>
        <stp/>
        <stp>316ef334-47bf-4b52-9bab-020e0b50ce15</stp>
        <tr r="ES9" s="132"/>
      </tp>
    </main>
    <main first="rtdsrv.458a5932996f485b8b1b8d7cbb3f77a6">
      <tp>
        <v>1</v>
        <stp/>
        <stp>5737ce62-ee44-41cb-8104-7e605e490536</stp>
        <tr r="AQ61" s="130"/>
      </tp>
    </main>
    <main first="rtdsrv.458a5932996f485b8b1b8d7cbb3f77a6">
      <tp>
        <v>1</v>
        <stp/>
        <stp>cd1022d1-9fe7-419e-9c0e-8c52b1dee8b4</stp>
        <tr r="GH15" s="132"/>
      </tp>
    </main>
    <main first="rtdsrv.458a5932996f485b8b1b8d7cbb3f77a6">
      <tp>
        <v>1</v>
        <stp/>
        <stp>7ab8e651-307b-4490-a461-7301f831a90e</stp>
        <tr r="BD42" s="130"/>
      </tp>
    </main>
    <main first="rtdsrv.458a5932996f485b8b1b8d7cbb3f77a6">
      <tp>
        <v>1</v>
        <stp/>
        <stp>225b9065-1333-4222-9644-9339ce4303e2</stp>
        <tr r="W11" s="132"/>
      </tp>
    </main>
    <main first="rtdsrv.458a5932996f485b8b1b8d7cbb3f77a6">
      <tp>
        <v>1</v>
        <stp/>
        <stp>358c4e6e-b20b-4bbd-b92b-b3c2b188d6cd</stp>
        <tr r="F96" s="130"/>
      </tp>
    </main>
    <main first="rtdsrv.458a5932996f485b8b1b8d7cbb3f77a6">
      <tp>
        <v>1</v>
        <stp/>
        <stp>1dad2eab-dd03-4040-bc63-0dd5cc4fb4a0</stp>
        <tr r="AT52" s="130"/>
        <tr r="AT47" s="130"/>
      </tp>
    </main>
    <main first="rtdsrv.458a5932996f485b8b1b8d7cbb3f77a6">
      <tp>
        <v>1</v>
        <stp/>
        <stp>24ab101d-6308-427f-b6aa-1133f7b1fc5a</stp>
        <tr r="DB6" s="132"/>
      </tp>
    </main>
    <main first="rtdsrv.458a5932996f485b8b1b8d7cbb3f77a6">
      <tp>
        <v>1</v>
        <stp/>
        <stp>40aa8dfd-0bdd-4753-8227-e2c303ae0466</stp>
        <tr r="V26" s="130"/>
        <tr r="V14" s="130"/>
      </tp>
      <tp>
        <v>1</v>
        <stp/>
        <stp>0ba8eddd-3355-445b-857b-38c1197821fa</stp>
        <tr r="AT23" s="130"/>
      </tp>
    </main>
    <main first="rtdsrv.458a5932996f485b8b1b8d7cbb3f77a6">
      <tp>
        <v>1</v>
        <stp/>
        <stp>6ec649c6-8b70-44a8-8b09-0a0ddd51f998</stp>
        <tr r="CG15" s="132"/>
      </tp>
    </main>
    <main first="rtdsrv.458a5932996f485b8b1b8d7cbb3f77a6">
      <tp>
        <v>1</v>
        <stp/>
        <stp>2e719cd1-b427-4b01-a285-f62e99193269</stp>
        <tr r="AC63" s="130"/>
      </tp>
      <tp>
        <v>1</v>
        <stp/>
        <stp>880266c1-6568-448c-b1a7-69aa8be4012e</stp>
        <tr r="Z41" s="130"/>
      </tp>
    </main>
    <main first="rtdsrv.458a5932996f485b8b1b8d7cbb3f77a6">
      <tp>
        <v>1</v>
        <stp/>
        <stp>ab8f5ab6-b129-4d6f-97b9-6c2e5f61a018</stp>
        <tr r="AC76" s="130"/>
      </tp>
    </main>
    <main first="rtdsrv.458a5932996f485b8b1b8d7cbb3f77a6">
      <tp>
        <v>1</v>
        <stp/>
        <stp>3c0ad760-4f2a-4043-b6ab-0a5c0f64eef8</stp>
        <tr r="W93" s="130"/>
      </tp>
    </main>
    <main first="rtdsrv.458a5932996f485b8b1b8d7cbb3f77a6">
      <tp>
        <v>1</v>
        <stp/>
        <stp>169063ae-eca4-47cd-aae8-4d01ee7650c9</stp>
        <tr r="AE16" s="130"/>
      </tp>
    </main>
    <main first="rtdsrv.458a5932996f485b8b1b8d7cbb3f77a6">
      <tp>
        <v>1</v>
        <stp/>
        <stp>36471c05-e73c-4be5-bbe1-11e6e9815889</stp>
        <tr r="J75" s="130"/>
      </tp>
    </main>
    <main first="rtdsrv.458a5932996f485b8b1b8d7cbb3f77a6">
      <tp>
        <v>1</v>
        <stp/>
        <stp>50ec0ffe-07e0-4c81-9dc1-50b22f62b265</stp>
        <tr r="AK10" s="130"/>
      </tp>
      <tp>
        <v>1</v>
        <stp/>
        <stp>8c2dcccb-4034-4b32-97e6-0f49334e1f09</stp>
        <tr r="I57" s="130"/>
      </tp>
    </main>
    <main first="rtdsrv.458a5932996f485b8b1b8d7cbb3f77a6">
      <tp>
        <v>1</v>
        <stp/>
        <stp>1dc3b6b6-2b98-4138-bc84-9b16a67afd1c</stp>
        <tr r="G28" s="130"/>
      </tp>
    </main>
    <main first="rtdsrv.458a5932996f485b8b1b8d7cbb3f77a6">
      <tp>
        <v>1</v>
        <stp/>
        <stp>984f6dbd-84a7-4e30-965d-3314b424b6ee</stp>
        <tr r="AN57" s="130"/>
      </tp>
    </main>
    <main first="rtdsrv.458a5932996f485b8b1b8d7cbb3f77a6">
      <tp>
        <v>1</v>
        <stp/>
        <stp>e8dd03ce-1b43-4301-bdc6-62a579a4833d</stp>
        <tr r="AP45" s="130"/>
      </tp>
      <tp>
        <v>1</v>
        <stp/>
        <stp>0fe6aaee-30f0-4cce-a775-3821a82d76eb</stp>
        <tr r="CP7" s="132"/>
      </tp>
      <tp>
        <v>1</v>
        <stp/>
        <stp>03a1c461-cb8c-4ad8-b71e-e30006ad08ac</stp>
        <tr r="BK60" s="130"/>
      </tp>
    </main>
    <main first="rtdsrv.458a5932996f485b8b1b8d7cbb3f77a6">
      <tp>
        <v>1</v>
        <stp/>
        <stp>d9e42557-28d9-4275-8939-742eedbf48ad</stp>
        <tr r="N10" s="130"/>
      </tp>
    </main>
    <main first="rtdsrv.458a5932996f485b8b1b8d7cbb3f77a6">
      <tp>
        <v>1</v>
        <stp/>
        <stp>5f888b99-3d2f-4b6a-9d53-e2bb7571d4c2</stp>
        <tr r="DI8" s="132"/>
      </tp>
    </main>
    <main first="rtdsrv.458a5932996f485b8b1b8d7cbb3f77a6">
      <tp>
        <v>1</v>
        <stp/>
        <stp>93fffacb-2e65-4384-a3ff-1111cfc4d553</stp>
        <tr r="AY66" s="130"/>
      </tp>
    </main>
    <main first="rtdsrv.458a5932996f485b8b1b8d7cbb3f77a6">
      <tp>
        <v>1</v>
        <stp/>
        <stp>3d0b771b-aa01-47df-bfa3-57edaf1bd4f2</stp>
        <tr r="Z43" s="130"/>
      </tp>
    </main>
    <main first="rtdsrv.458a5932996f485b8b1b8d7cbb3f77a6">
      <tp>
        <v>1</v>
        <stp/>
        <stp>c2e57439-1633-4261-9e22-ff69f7fc55c0</stp>
        <tr r="T67" s="130"/>
      </tp>
    </main>
    <main first="rtdsrv.458a5932996f485b8b1b8d7cbb3f77a6">
      <tp>
        <v>1</v>
        <stp/>
        <stp>7447f509-8bcd-42f0-a615-90c5fa5319dd</stp>
        <tr r="V67" s="130"/>
      </tp>
    </main>
    <main first="rtdsrv.458a5932996f485b8b1b8d7cbb3f77a6">
      <tp>
        <v>1</v>
        <stp/>
        <stp>e62591f6-ad32-4523-9e97-c817d0ad8466</stp>
        <tr r="BJ16" s="130"/>
      </tp>
    </main>
    <main first="rtdsrv.458a5932996f485b8b1b8d7cbb3f77a6">
      <tp>
        <v>1</v>
        <stp/>
        <stp>6756bcce-7711-4c7c-aa3e-777dd2744fe5</stp>
        <tr r="G9" s="132"/>
      </tp>
    </main>
    <main first="rtdsrv.458a5932996f485b8b1b8d7cbb3f77a6">
      <tp>
        <v>1</v>
        <stp/>
        <stp>7e126116-5ff0-4237-8f03-93648228d70e</stp>
        <tr r="AX27" s="130"/>
      </tp>
      <tp>
        <v>1</v>
        <stp/>
        <stp>b1844b67-39bc-4f3e-a1fc-f7b5bbae6f67</stp>
        <tr r="C73" s="130"/>
      </tp>
      <tp>
        <v>1</v>
        <stp/>
        <stp>530662f4-0ff5-4b2d-82e2-1416de61c1d9</stp>
        <tr r="DP14" s="132"/>
      </tp>
    </main>
    <main first="rtdsrv.458a5932996f485b8b1b8d7cbb3f77a6">
      <tp>
        <v>1</v>
        <stp/>
        <stp>423c6a34-bc0c-454b-84bf-16d22e7a1276</stp>
        <tr r="HG5" s="132"/>
      </tp>
    </main>
    <main first="rtdsrv.458a5932996f485b8b1b8d7cbb3f77a6">
      <tp>
        <v>1</v>
        <stp/>
        <stp>402e0159-0a22-4512-b7ad-e2017fc28f04</stp>
        <tr r="AL16" s="132"/>
      </tp>
    </main>
    <main first="rtdsrv.458a5932996f485b8b1b8d7cbb3f77a6">
      <tp>
        <v>1</v>
        <stp/>
        <stp>fdbe92ae-cf53-46fd-916f-a44e13b6e04d</stp>
        <tr r="AU40" s="130"/>
      </tp>
    </main>
    <main first="rtdsrv.458a5932996f485b8b1b8d7cbb3f77a6">
      <tp>
        <v>1</v>
        <stp/>
        <stp>b2111132-ad97-4895-8d7f-c82780bb6829</stp>
        <tr r="K44" s="130"/>
      </tp>
    </main>
    <main first="rtdsrv.458a5932996f485b8b1b8d7cbb3f77a6">
      <tp>
        <v>1</v>
        <stp/>
        <stp>1caf07ed-e312-486f-8054-9f7210fddd05</stp>
        <tr r="CI7" s="132"/>
      </tp>
    </main>
    <main first="rtdsrv.458a5932996f485b8b1b8d7cbb3f77a6">
      <tp>
        <v>1</v>
        <stp/>
        <stp>a771e81c-f906-4bfd-9c23-4c94c94705cd</stp>
        <tr r="EM16" s="132"/>
      </tp>
    </main>
    <main first="rtdsrv.458a5932996f485b8b1b8d7cbb3f77a6">
      <tp>
        <v>1</v>
        <stp/>
        <stp>81d1b09b-028b-471e-914a-38014999d1e1</stp>
        <tr r="Y12" s="130"/>
      </tp>
      <tp>
        <v>1</v>
        <stp/>
        <stp>a5a76fce-37e1-4c65-81f6-eeb4c3e215f1</stp>
        <tr r="D75" s="130"/>
      </tp>
    </main>
    <main first="rtdsrv.458a5932996f485b8b1b8d7cbb3f77a6">
      <tp>
        <v>1</v>
        <stp/>
        <stp>0e2c6b93-ee3a-4657-b679-2828f8137269</stp>
        <tr r="N36" s="130"/>
      </tp>
    </main>
    <main first="rtdsrv.458a5932996f485b8b1b8d7cbb3f77a6">
      <tp>
        <v>1</v>
        <stp/>
        <stp>7523727d-9237-4adc-9f2d-58338cd61df8</stp>
        <tr r="AU45" s="130"/>
      </tp>
    </main>
    <main first="rtdsrv.458a5932996f485b8b1b8d7cbb3f77a6">
      <tp>
        <v>1</v>
        <stp/>
        <stp>6e68b7d9-3ff3-4c14-9ad2-a24475a54f11</stp>
        <tr r="FP14" s="132"/>
      </tp>
    </main>
    <main first="rtdsrv.458a5932996f485b8b1b8d7cbb3f77a6">
      <tp>
        <v>1</v>
        <stp/>
        <stp>997d97ca-867c-4184-82bf-88e571b1b9a6</stp>
        <tr r="BG79" s="130"/>
      </tp>
    </main>
    <main first="rtdsrv.458a5932996f485b8b1b8d7cbb3f77a6">
      <tp>
        <v>1</v>
        <stp/>
        <stp>88674e60-94f2-48e1-8836-34ab4cab2aa6</stp>
        <tr r="AV97" s="130"/>
      </tp>
    </main>
    <main first="rtdsrv.458a5932996f485b8b1b8d7cbb3f77a6">
      <tp>
        <v>1</v>
        <stp/>
        <stp>282e9413-8267-4dc1-9ed6-ee43dcee5755</stp>
        <tr r="N12" s="132"/>
      </tp>
    </main>
    <main first="rtdsrv.458a5932996f485b8b1b8d7cbb3f77a6">
      <tp>
        <v>1</v>
        <stp/>
        <stp>63fb9575-602a-4bf3-8e23-bfd40261e5cc</stp>
        <tr r="AM36" s="130"/>
      </tp>
      <tp>
        <v>1</v>
        <stp/>
        <stp>18366123-6214-4e1e-bf79-895342da768f</stp>
        <tr r="AG52" s="130"/>
        <tr r="AG47" s="130"/>
      </tp>
    </main>
    <main first="rtdsrv.458a5932996f485b8b1b8d7cbb3f77a6">
      <tp>
        <v>1</v>
        <stp/>
        <stp>8bc06d48-60b9-462b-973b-3040cbc46c1d</stp>
        <tr r="AR16" s="130"/>
      </tp>
    </main>
    <main first="rtdsrv.458a5932996f485b8b1b8d7cbb3f77a6">
      <tp>
        <v>1</v>
        <stp/>
        <stp>ffd42909-98c0-4a76-9c76-faaa779bbaa4</stp>
        <tr r="AJ91" s="130"/>
      </tp>
      <tp>
        <v>1</v>
        <stp/>
        <stp>9e8fd1c8-0146-4d55-85a9-1d257e346a17</stp>
        <tr r="AG77" s="130"/>
      </tp>
      <tp>
        <v>1</v>
        <stp/>
        <stp>60be9fc3-cb2e-443a-8ba3-16af45f17f40</stp>
        <tr r="DZ16" s="132"/>
      </tp>
      <tp>
        <v>1</v>
        <stp/>
        <stp>cde235dd-efed-4e88-98c8-6090b86c6732</stp>
        <tr r="BH23" s="130"/>
      </tp>
    </main>
    <main first="rtdsrv.458a5932996f485b8b1b8d7cbb3f77a6">
      <tp>
        <v>1</v>
        <stp/>
        <stp>4e92dc12-af9d-450b-bc0f-e16f6c08a7bd</stp>
        <tr r="AS55" s="130"/>
      </tp>
    </main>
    <main first="rtdsrv.458a5932996f485b8b1b8d7cbb3f77a6">
      <tp>
        <v>1</v>
        <stp/>
        <stp>c6984265-015d-46e2-9be7-7ddb02c92eb6</stp>
        <tr r="BF18" s="130"/>
      </tp>
    </main>
    <main first="rtdsrv.458a5932996f485b8b1b8d7cbb3f77a6">
      <tp>
        <v>1</v>
        <stp/>
        <stp>905d49d4-395b-4447-8069-088206482e1d</stp>
        <tr r="BH6" s="132"/>
      </tp>
    </main>
    <main first="rtdsrv.458a5932996f485b8b1b8d7cbb3f77a6">
      <tp>
        <v>1</v>
        <stp/>
        <stp>c72447c8-ebe7-4ffb-8cf6-033fe18753bd</stp>
        <tr r="DZ11" s="132"/>
      </tp>
    </main>
    <main first="rtdsrv.458a5932996f485b8b1b8d7cbb3f77a6">
      <tp>
        <v>1</v>
        <stp/>
        <stp>a3c30d48-6a22-47f5-a874-cfa5ae9ec061</stp>
        <tr r="EE12" s="132"/>
      </tp>
    </main>
    <main first="rtdsrv.458a5932996f485b8b1b8d7cbb3f77a6">
      <tp>
        <v>1</v>
        <stp/>
        <stp>27d2b099-3a8f-4516-865d-2e45d2c230c3</stp>
        <tr r="AD40" s="130"/>
      </tp>
    </main>
    <main first="rtdsrv.458a5932996f485b8b1b8d7cbb3f77a6">
      <tp>
        <v>1</v>
        <stp/>
        <stp>14d5c8fc-9704-4926-a9ff-38054483f96b</stp>
        <tr r="AK45" s="130"/>
      </tp>
    </main>
    <main first="rtdsrv.458a5932996f485b8b1b8d7cbb3f77a6">
      <tp>
        <v>1</v>
        <stp/>
        <stp>6200f4a1-d86a-4f03-a76c-e3c926b7d2f3</stp>
        <tr r="AU87" s="130"/>
      </tp>
    </main>
    <main first="rtdsrv.458a5932996f485b8b1b8d7cbb3f77a6">
      <tp>
        <v>1</v>
        <stp/>
        <stp>1789df4d-758b-453e-90f2-2bff532acd2f</stp>
        <tr r="AC35" s="130"/>
      </tp>
    </main>
    <main first="rtdsrv.458a5932996f485b8b1b8d7cbb3f77a6">
      <tp>
        <v>1</v>
        <stp/>
        <stp>5fc615f4-47a9-48ac-8fc2-c490506643a3</stp>
        <tr r="AD74" s="130"/>
      </tp>
    </main>
    <main first="rtdsrv.458a5932996f485b8b1b8d7cbb3f77a6">
      <tp>
        <v>1</v>
        <stp/>
        <stp>8452d3a1-b0f0-4fb4-814e-af830a2212ea</stp>
        <tr r="HD6" s="132"/>
      </tp>
    </main>
    <main first="rtdsrv.458a5932996f485b8b1b8d7cbb3f77a6">
      <tp>
        <v>1</v>
        <stp/>
        <stp>180ecaf8-4635-4c11-bb98-9cbf37f90a26</stp>
        <tr r="BI67" s="130"/>
      </tp>
    </main>
    <main first="rtdsrv.458a5932996f485b8b1b8d7cbb3f77a6">
      <tp>
        <v>1</v>
        <stp/>
        <stp>1ee4ec32-f02c-473b-8158-b36ca7e28cce</stp>
        <tr r="FF13" s="132"/>
      </tp>
      <tp>
        <v>1</v>
        <stp/>
        <stp>4f971d13-3974-45a9-b084-913812914cac</stp>
        <tr r="HH8" s="132"/>
      </tp>
    </main>
    <main first="rtdsrv.458a5932996f485b8b1b8d7cbb3f77a6">
      <tp>
        <v>1</v>
        <stp/>
        <stp>6694e40c-b5eb-4825-8967-5755904514ee</stp>
        <tr r="EW16" s="132"/>
      </tp>
      <tp>
        <v>1</v>
        <stp/>
        <stp>9710b51d-694a-49b4-9ed2-242415a51577</stp>
        <tr r="D5" s="130"/>
      </tp>
      <tp>
        <v>1</v>
        <stp/>
        <stp>452348ae-4319-49d7-9de0-309928385352</stp>
        <tr r="GX5" s="132"/>
      </tp>
    </main>
    <main first="rtdsrv.458a5932996f485b8b1b8d7cbb3f77a6">
      <tp>
        <v>1</v>
        <stp/>
        <stp>a6fb3e80-27dc-4522-8bc7-fe2fb3757646</stp>
        <tr r="GS13" s="132"/>
      </tp>
    </main>
    <main first="rtdsrv.458a5932996f485b8b1b8d7cbb3f77a6">
      <tp>
        <v>1</v>
        <stp/>
        <stp>6d72aab4-eff3-40ff-92db-19d393b84889</stp>
        <tr r="DF8" s="132"/>
      </tp>
    </main>
    <main first="rtdsrv.458a5932996f485b8b1b8d7cbb3f77a6">
      <tp>
        <v>1</v>
        <stp/>
        <stp>a79d8e16-2f6d-4000-8e63-c744a1be70d2</stp>
        <tr r="BK22" s="130"/>
      </tp>
    </main>
    <main first="rtdsrv.458a5932996f485b8b1b8d7cbb3f77a6">
      <tp>
        <v>1</v>
        <stp/>
        <stp>c26151d8-6033-45fb-a550-8496c75b2111</stp>
        <tr r="AC72" s="130"/>
      </tp>
    </main>
    <main first="rtdsrv.458a5932996f485b8b1b8d7cbb3f77a6">
      <tp>
        <v>1</v>
        <stp/>
        <stp>3c115ea3-9231-4b15-9a86-36860a40457d</stp>
        <tr r="AY5" s="130"/>
      </tp>
    </main>
    <main first="rtdsrv.458a5932996f485b8b1b8d7cbb3f77a6">
      <tp>
        <v>1</v>
        <stp/>
        <stp>3ac42cd5-f353-46ec-884a-50cb10863cf2</stp>
        <tr r="AD10" s="130"/>
      </tp>
    </main>
    <main first="rtdsrv.458a5932996f485b8b1b8d7cbb3f77a6">
      <tp>
        <v>1</v>
        <stp/>
        <stp>575e114a-91b1-4cf0-bfa0-29893be6ee53</stp>
        <tr r="O77" s="130"/>
      </tp>
      <tp>
        <v>1</v>
        <stp/>
        <stp>545ce550-f67d-4d1a-985a-1ecc95d4f384</stp>
        <tr r="P77" s="130"/>
      </tp>
    </main>
    <main first="rtdsrv.458a5932996f485b8b1b8d7cbb3f77a6">
      <tp>
        <v>1</v>
        <stp/>
        <stp>8cf462cc-c76c-44be-af68-3deff3054f7a</stp>
        <tr r="V73" s="130"/>
      </tp>
      <tp>
        <v>1</v>
        <stp/>
        <stp>3cfe9f38-a8c7-4281-bdc4-d7487a04b05f</stp>
        <tr r="T85" s="130"/>
      </tp>
      <tp>
        <v>1</v>
        <stp/>
        <stp>002d3500-0076-4600-af0b-84c66a9e60bc</stp>
        <tr r="AL98" s="130"/>
      </tp>
    </main>
    <main first="rtdsrv.458a5932996f485b8b1b8d7cbb3f77a6">
      <tp>
        <v>1</v>
        <stp/>
        <stp>e589d284-96d1-4928-966a-6490562fcb41</stp>
        <tr r="M12" s="130"/>
      </tp>
    </main>
    <main first="rtdsrv.458a5932996f485b8b1b8d7cbb3f77a6">
      <tp>
        <v>1</v>
        <stp/>
        <stp>a4be566f-4954-42fc-bdd6-ec24c37b017c</stp>
        <tr r="FN7" s="132"/>
      </tp>
    </main>
    <main first="rtdsrv.458a5932996f485b8b1b8d7cbb3f77a6">
      <tp>
        <v>1</v>
        <stp/>
        <stp>10a751fa-fed1-470c-bfa8-a5f741b1b171</stp>
        <tr r="AV10" s="130"/>
      </tp>
    </main>
    <main first="rtdsrv.458a5932996f485b8b1b8d7cbb3f77a6">
      <tp>
        <v>1</v>
        <stp/>
        <stp>b8f540e8-48fc-4e7a-9b85-dea8a5e5eecd</stp>
        <tr r="AD92" s="130"/>
      </tp>
    </main>
    <main first="rtdsrv.458a5932996f485b8b1b8d7cbb3f77a6">
      <tp>
        <v>1</v>
        <stp/>
        <stp>3e44fce8-b860-4d2e-aacd-57c2bc575f2a</stp>
        <tr r="AU42" s="130"/>
      </tp>
    </main>
    <main first="rtdsrv.458a5932996f485b8b1b8d7cbb3f77a6">
      <tp>
        <v>1</v>
        <stp/>
        <stp>0b784265-e8b4-4707-ab74-f1d80d9a0098</stp>
        <tr r="CE6" s="132"/>
      </tp>
    </main>
    <main first="rtdsrv.458a5932996f485b8b1b8d7cbb3f77a6">
      <tp>
        <v>1</v>
        <stp/>
        <stp>099ec81a-3936-43ba-b939-ce5a43a3df54</stp>
        <tr r="AQ6" s="132"/>
      </tp>
      <tp>
        <v>1</v>
        <stp/>
        <stp>b754699b-583b-411d-a572-c99077f28608</stp>
        <tr r="N33" s="130"/>
      </tp>
    </main>
    <main first="rtdsrv.458a5932996f485b8b1b8d7cbb3f77a6">
      <tp>
        <v>1</v>
        <stp/>
        <stp>1155d645-f536-416d-883b-06bdeeeb1587</stp>
        <tr r="GE6" s="132"/>
      </tp>
    </main>
    <main first="rtdsrv.458a5932996f485b8b1b8d7cbb3f77a6">
      <tp>
        <v>1</v>
        <stp/>
        <stp>a6dc54aa-50f3-410c-845f-9a8fb4fabddb</stp>
        <tr r="BD7" s="132"/>
      </tp>
    </main>
    <main first="rtdsrv.458a5932996f485b8b1b8d7cbb3f77a6">
      <tp>
        <v>1</v>
        <stp/>
        <stp>4037dc85-6a09-4bc7-8e44-ac26b312af4d</stp>
        <tr r="Q63" s="130"/>
      </tp>
    </main>
    <main first="rtdsrv.458a5932996f485b8b1b8d7cbb3f77a6">
      <tp>
        <v>1</v>
        <stp/>
        <stp>43c93989-30c3-4f8a-b071-cced19122eda</stp>
        <tr r="AC87" s="130"/>
      </tp>
    </main>
    <main first="rtdsrv.458a5932996f485b8b1b8d7cbb3f77a6">
      <tp>
        <v>1</v>
        <stp/>
        <stp>ab1426c8-07b4-407a-96bf-c39c3630d2c3</stp>
        <tr r="AI75" s="130"/>
      </tp>
    </main>
    <main first="rtdsrv.458a5932996f485b8b1b8d7cbb3f77a6">
      <tp>
        <v>1</v>
        <stp/>
        <stp>91b2e79c-2a14-4d8b-90d3-b0a64ac243a9</stp>
        <tr r="M15" s="132"/>
      </tp>
    </main>
    <main first="rtdsrv.458a5932996f485b8b1b8d7cbb3f77a6">
      <tp>
        <v>1</v>
        <stp/>
        <stp>2c885f2c-26db-4cdd-81ad-a038ff92b48f</stp>
        <tr r="AX76" s="130"/>
      </tp>
      <tp>
        <v>1</v>
        <stp/>
        <stp>33748c53-a3c0-451d-90d9-74e1f3d6dfb8</stp>
        <tr r="Q82" s="130"/>
      </tp>
    </main>
    <main first="rtdsrv.458a5932996f485b8b1b8d7cbb3f77a6">
      <tp>
        <v>1</v>
        <stp/>
        <stp>157cd13b-8bad-4902-9487-81847125ff03</stp>
        <tr r="AN23" s="130"/>
      </tp>
    </main>
    <main first="rtdsrv.458a5932996f485b8b1b8d7cbb3f77a6">
      <tp>
        <v>1</v>
        <stp/>
        <stp>56a9987a-f719-4ec7-a080-cb6333849f46</stp>
        <tr r="FE12" s="132"/>
      </tp>
    </main>
    <main first="rtdsrv.458a5932996f485b8b1b8d7cbb3f77a6">
      <tp>
        <v>1</v>
        <stp/>
        <stp>f074244e-295c-4422-8207-2abb5777c237</stp>
        <tr r="BI74" s="130"/>
      </tp>
      <tp>
        <v>1</v>
        <stp/>
        <stp>64ff3710-c137-480d-93dd-c1b4c388823b</stp>
        <tr r="AE6" s="132"/>
      </tp>
    </main>
    <main first="rtdsrv.458a5932996f485b8b1b8d7cbb3f77a6">
      <tp>
        <v>1</v>
        <stp/>
        <stp>c46eb630-57fb-405b-adda-265a1afd6547</stp>
        <tr r="S12" s="130"/>
      </tp>
    </main>
    <main first="rtdsrv.458a5932996f485b8b1b8d7cbb3f77a6">
      <tp>
        <v>1</v>
        <stp/>
        <stp>295bda7b-2305-412f-8a8f-65c09d7e5670</stp>
        <tr r="Z40" s="130"/>
      </tp>
      <tp>
        <v>1</v>
        <stp/>
        <stp>07a29b3c-fc3b-4739-9a11-a327bbc339e4</stp>
        <tr r="BJ72" s="130"/>
      </tp>
    </main>
    <main first="rtdsrv.458a5932996f485b8b1b8d7cbb3f77a6">
      <tp>
        <v>1</v>
        <stp/>
        <stp>1bceed06-a4ed-41fa-9ffc-fa46c11b1c51</stp>
        <tr r="BK84" s="130"/>
      </tp>
    </main>
    <main first="rtdsrv.458a5932996f485b8b1b8d7cbb3f77a6">
      <tp>
        <v>1</v>
        <stp/>
        <stp>94206709-d931-4ce8-9e96-b7754f625d8a</stp>
        <tr r="DC6" s="132"/>
      </tp>
    </main>
    <main first="rtdsrv.458a5932996f485b8b1b8d7cbb3f77a6">
      <tp>
        <v>1</v>
        <stp/>
        <stp>efcbad9d-860e-4ba7-9818-b8c1f53e8b04</stp>
        <tr r="M19" s="130"/>
      </tp>
    </main>
    <main first="rtdsrv.458a5932996f485b8b1b8d7cbb3f77a6">
      <tp>
        <v>1</v>
        <stp/>
        <stp>850326bd-1713-4e57-bb4d-47ee3c4446d9</stp>
        <tr r="BK62" s="130"/>
      </tp>
    </main>
    <main first="rtdsrv.458a5932996f485b8b1b8d7cbb3f77a6">
      <tp>
        <v>1</v>
        <stp/>
        <stp>c4a29651-a426-4e0b-834f-1ed4baa6eb7f</stp>
        <tr r="BH25" s="130"/>
      </tp>
    </main>
    <main first="rtdsrv.458a5932996f485b8b1b8d7cbb3f77a6">
      <tp>
        <v>1</v>
        <stp/>
        <stp>82aa4489-fb14-4727-8fd9-2a339d1fee5f</stp>
        <tr r="AR42" s="130"/>
      </tp>
      <tp>
        <v>1</v>
        <stp/>
        <stp>c3a62609-2018-4896-a09d-aa55f803c254</stp>
        <tr r="AB74" s="130"/>
      </tp>
    </main>
    <main first="rtdsrv.458a5932996f485b8b1b8d7cbb3f77a6">
      <tp>
        <v>1</v>
        <stp/>
        <stp>e988fc0e-4a74-45aa-91ed-86844962d660</stp>
        <tr r="AC67" s="130"/>
      </tp>
      <tp>
        <v>1</v>
        <stp/>
        <stp>0aef013c-a73f-42e2-9fc2-4cdda4130d35</stp>
        <tr r="GJ5" s="132"/>
      </tp>
      <tp>
        <v>1</v>
        <stp/>
        <stp>db8a5969-f639-4144-bcba-30c2c97a9185</stp>
        <tr r="AV19" s="130"/>
      </tp>
    </main>
    <main first="rtdsrv.458a5932996f485b8b1b8d7cbb3f77a6">
      <tp>
        <v>1</v>
        <stp/>
        <stp>36e56615-fba8-4df3-adbb-afcbc71e9538</stp>
        <tr r="AU15" s="132"/>
      </tp>
    </main>
    <main first="rtdsrv.458a5932996f485b8b1b8d7cbb3f77a6">
      <tp>
        <v>1</v>
        <stp/>
        <stp>8ac7ecad-c737-4a03-bff4-f4cd6bc6c146</stp>
        <tr r="BA39" s="130"/>
      </tp>
    </main>
    <main first="rtdsrv.458a5932996f485b8b1b8d7cbb3f77a6">
      <tp>
        <v>1</v>
        <stp/>
        <stp>4cba9a89-d08a-4293-8bd0-6bf77e12ce8c</stp>
        <tr r="I90" s="130"/>
      </tp>
      <tp>
        <v>1</v>
        <stp/>
        <stp>af881e70-b735-46ac-96fb-06e54c240b89</stp>
        <tr r="Y93" s="130"/>
      </tp>
    </main>
    <main first="rtdsrv.458a5932996f485b8b1b8d7cbb3f77a6">
      <tp>
        <v>1</v>
        <stp/>
        <stp>940d5f98-a049-4552-914d-9ae76a927f74</stp>
        <tr r="T16" s="132"/>
      </tp>
      <tp>
        <v>1</v>
        <stp/>
        <stp>b63ea619-d73b-400e-a4ed-346a07d84456</stp>
        <tr r="DF7" s="132"/>
      </tp>
    </main>
    <main first="rtdsrv.458a5932996f485b8b1b8d7cbb3f77a6">
      <tp>
        <v>1</v>
        <stp/>
        <stp>616fec79-17f3-40ce-8616-cf100db3afec</stp>
        <tr r="T10" s="130"/>
      </tp>
    </main>
    <main first="rtdsrv.458a5932996f485b8b1b8d7cbb3f77a6">
      <tp>
        <v>1</v>
        <stp/>
        <stp>b3b0ea22-4b30-4c6a-95ea-9eeb65c34acd</stp>
        <tr r="AO24" s="130"/>
      </tp>
    </main>
    <main first="rtdsrv.458a5932996f485b8b1b8d7cbb3f77a6">
      <tp>
        <v>1</v>
        <stp/>
        <stp>d9936a9f-630c-4dcd-810b-793a51b7aa67</stp>
        <tr r="DW13" s="132"/>
      </tp>
    </main>
    <main first="rtdsrv.458a5932996f485b8b1b8d7cbb3f77a6">
      <tp>
        <v>1</v>
        <stp/>
        <stp>33afc490-fb44-491e-9ab9-5c5175da3cd7</stp>
        <tr r="R67" s="130"/>
      </tp>
    </main>
    <main first="rtdsrv.458a5932996f485b8b1b8d7cbb3f77a6">
      <tp>
        <v>1</v>
        <stp/>
        <stp>5fd99a27-a3c3-467e-bddb-b3463739f066</stp>
        <tr r="AS24" s="130"/>
      </tp>
    </main>
    <main first="rtdsrv.458a5932996f485b8b1b8d7cbb3f77a6">
      <tp>
        <v>1</v>
        <stp/>
        <stp>53be70ce-a325-4097-b489-6074c68d683e</stp>
        <tr r="M60" s="130"/>
      </tp>
      <tp>
        <v>1</v>
        <stp/>
        <stp>09d087d9-5298-4b7a-ab91-6fccbcf36516</stp>
        <tr r="AB32" s="130"/>
      </tp>
    </main>
    <main first="rtdsrv.458a5932996f485b8b1b8d7cbb3f77a6">
      <tp>
        <v>1</v>
        <stp/>
        <stp>7c86658e-267c-4d9b-99ba-a0e9b7a030dd</stp>
        <tr r="BI5" s="132"/>
      </tp>
    </main>
    <main first="rtdsrv.458a5932996f485b8b1b8d7cbb3f77a6">
      <tp>
        <v>1</v>
        <stp/>
        <stp>9f3e88db-0ced-474e-b43c-15b1bf5dc870</stp>
        <tr r="AK13" s="132"/>
      </tp>
    </main>
    <main first="rtdsrv.458a5932996f485b8b1b8d7cbb3f77a6">
      <tp>
        <v>1</v>
        <stp/>
        <stp>0c7837d6-a517-41a1-b07c-5fdfcc5fdec3</stp>
        <tr r="AC42" s="130"/>
      </tp>
    </main>
    <main first="rtdsrv.458a5932996f485b8b1b8d7cbb3f77a6">
      <tp>
        <v>1</v>
        <stp/>
        <stp>5002e06a-f884-4da5-b478-5553c25d301f</stp>
        <tr r="GS11" s="132"/>
      </tp>
    </main>
    <main first="rtdsrv.458a5932996f485b8b1b8d7cbb3f77a6">
      <tp>
        <v>1</v>
        <stp/>
        <stp>454f54fc-b790-4802-8274-be2ad6610fb5</stp>
        <tr r="AS39" s="130"/>
      </tp>
      <tp>
        <v>1</v>
        <stp/>
        <stp>2402ef47-c38c-4792-bbe7-a1ab9a7efea7</stp>
        <tr r="AM42" s="130"/>
      </tp>
      <tp>
        <v>1</v>
        <stp/>
        <stp>dd07432f-69ee-4104-838f-137dc5eb388c</stp>
        <tr r="GJ11" s="132"/>
      </tp>
    </main>
    <main first="rtdsrv.458a5932996f485b8b1b8d7cbb3f77a6">
      <tp>
        <v>1</v>
        <stp/>
        <stp>2038d54a-1e14-4a6d-99fd-17c30ff3c446</stp>
        <tr r="CH5" s="132"/>
      </tp>
    </main>
    <main first="rtdsrv.458a5932996f485b8b1b8d7cbb3f77a6">
      <tp>
        <v>1</v>
        <stp/>
        <stp>a0419647-8149-4f1c-bd2c-6211c60e98dc</stp>
        <tr r="BM12" s="132"/>
      </tp>
    </main>
    <main first="rtdsrv.458a5932996f485b8b1b8d7cbb3f77a6">
      <tp>
        <v>1</v>
        <stp/>
        <stp>92838439-175e-417d-a0e9-ea84848b8027</stp>
        <tr r="AD15" s="132"/>
      </tp>
      <tp>
        <v>1</v>
        <stp/>
        <stp>23b8fbda-1fb5-48cb-8184-8c78797533c8</stp>
        <tr r="BE83" s="130"/>
      </tp>
    </main>
    <main first="rtdsrv.458a5932996f485b8b1b8d7cbb3f77a6">
      <tp>
        <v>1</v>
        <stp/>
        <stp>a18b5f17-1199-4f9e-a3c9-49f213c5893f</stp>
        <tr r="BC18" s="130"/>
      </tp>
    </main>
    <main first="rtdsrv.458a5932996f485b8b1b8d7cbb3f77a6">
      <tp>
        <v>1</v>
        <stp/>
        <stp>e56a6da6-1674-4dcd-be75-dbdfef9cad95</stp>
        <tr r="FC16" s="132"/>
      </tp>
    </main>
    <main first="rtdsrv.458a5932996f485b8b1b8d7cbb3f77a6">
      <tp>
        <v>1</v>
        <stp/>
        <stp>b6ac6a40-22b3-4bdc-87ea-05ae163f83d7</stp>
        <tr r="GH9" s="132"/>
      </tp>
    </main>
    <main first="rtdsrv.458a5932996f485b8b1b8d7cbb3f77a6">
      <tp>
        <v>1</v>
        <stp/>
        <stp>6c920f80-a531-4460-adde-e5365a1017ca</stp>
        <tr r="CT8" s="132"/>
      </tp>
    </main>
    <main first="rtdsrv.458a5932996f485b8b1b8d7cbb3f77a6">
      <tp>
        <v>1</v>
        <stp/>
        <stp>f7fd8ab5-e216-4914-98cf-82293c083fba</stp>
        <tr r="BB39" s="130"/>
      </tp>
      <tp>
        <v>1</v>
        <stp/>
        <stp>ab9ccb32-fe54-4c64-8672-3d91d3166ae6</stp>
        <tr r="CD8" s="132"/>
      </tp>
    </main>
    <main first="rtdsrv.458a5932996f485b8b1b8d7cbb3f77a6">
      <tp>
        <v>1</v>
        <stp/>
        <stp>ebbb6c8a-4db8-4fda-9006-b58622445041</stp>
        <tr r="X55" s="130"/>
      </tp>
    </main>
    <main first="rtdsrv.458a5932996f485b8b1b8d7cbb3f77a6">
      <tp>
        <v>1</v>
        <stp/>
        <stp>cb403236-929f-4d3f-ab9d-b32cd56aace4</stp>
        <tr r="AN73" s="130"/>
      </tp>
    </main>
    <main first="rtdsrv.458a5932996f485b8b1b8d7cbb3f77a6">
      <tp>
        <v>1</v>
        <stp/>
        <stp>9a1c3a35-4597-4dd2-b209-8c96bcbf5ee0</stp>
        <tr r="X7" s="132"/>
      </tp>
    </main>
    <main first="rtdsrv.458a5932996f485b8b1b8d7cbb3f77a6">
      <tp>
        <v>1</v>
        <stp/>
        <stp>7fe10518-45d3-4b77-84b4-0c4bd550e7e1</stp>
        <tr r="Z9" s="130"/>
      </tp>
    </main>
    <main first="rtdsrv.458a5932996f485b8b1b8d7cbb3f77a6">
      <tp>
        <v>1</v>
        <stp/>
        <stp>bb0d05f7-1365-4919-bf73-d2ffc8c091b9</stp>
        <tr r="Z36" s="130"/>
      </tp>
      <tp>
        <v>1</v>
        <stp/>
        <stp>e2101f51-b0c1-4c9c-8f16-dfae57b33f00</stp>
        <tr r="EK6" s="132"/>
      </tp>
      <tp>
        <v>1</v>
        <stp/>
        <stp>ca5c6520-7b11-46af-8e5d-57221128ce09</stp>
        <tr r="DU12" s="132"/>
      </tp>
    </main>
    <main first="rtdsrv.458a5932996f485b8b1b8d7cbb3f77a6">
      <tp>
        <v>1</v>
        <stp/>
        <stp>f6be2e1b-c564-441f-8ac4-40ac3a5c3772</stp>
        <tr r="BK36" s="130"/>
      </tp>
    </main>
    <main first="rtdsrv.458a5932996f485b8b1b8d7cbb3f77a6">
      <tp>
        <v>1</v>
        <stp/>
        <stp>cfb58ce3-b14d-4f88-8bf7-57e40d7c59b1</stp>
        <tr r="AJ79" s="130"/>
      </tp>
      <tp>
        <v>1</v>
        <stp/>
        <stp>ed56f2db-e6c6-4aa6-a6a3-0febd022da11</stp>
        <tr r="CD11" s="132"/>
      </tp>
    </main>
    <main first="rtdsrv.458a5932996f485b8b1b8d7cbb3f77a6">
      <tp>
        <v>1</v>
        <stp/>
        <stp>e1667cd6-6df0-4235-8ec1-f66edae936f3</stp>
        <tr r="R41" s="130"/>
      </tp>
    </main>
    <main first="rtdsrv.458a5932996f485b8b1b8d7cbb3f77a6">
      <tp>
        <v>1</v>
        <stp/>
        <stp>df1f7d17-6893-421d-b318-ce7d02505e0c</stp>
        <tr r="BB24" s="130"/>
      </tp>
      <tp>
        <v>1</v>
        <stp/>
        <stp>cb4b184b-3d68-4460-85bf-fa4f39ffe0b4</stp>
        <tr r="AV58" s="130"/>
      </tp>
    </main>
    <main first="rtdsrv.458a5932996f485b8b1b8d7cbb3f77a6">
      <tp>
        <v>1</v>
        <stp/>
        <stp>13dbc371-527e-4aba-9902-b64ff4ea5503</stp>
        <tr r="AS29" s="130"/>
      </tp>
    </main>
    <main first="rtdsrv.458a5932996f485b8b1b8d7cbb3f77a6">
      <tp>
        <v>1</v>
        <stp/>
        <stp>8a229243-25ea-4790-b2f7-0e8c9d6d3e9d</stp>
        <tr r="BH71" s="130"/>
      </tp>
    </main>
    <main first="rtdsrv.458a5932996f485b8b1b8d7cbb3f77a6">
      <tp>
        <v>1</v>
        <stp/>
        <stp>aaf51202-d366-436f-b93b-4549c6804286</stp>
        <tr r="AQ24" s="130"/>
      </tp>
    </main>
    <main first="rtdsrv.458a5932996f485b8b1b8d7cbb3f77a6">
      <tp>
        <v>1</v>
        <stp/>
        <stp>28c3b200-001b-434e-bb87-85ed411f303d</stp>
        <tr r="EM6" s="132"/>
      </tp>
    </main>
    <main first="rtdsrv.458a5932996f485b8b1b8d7cbb3f77a6">
      <tp>
        <v>1</v>
        <stp/>
        <stp>b1bcc71e-4fc7-4193-a1ee-8aedec40452e</stp>
        <tr r="FW13" s="132"/>
      </tp>
    </main>
    <main first="rtdsrv.458a5932996f485b8b1b8d7cbb3f77a6">
      <tp>
        <v>1</v>
        <stp/>
        <stp>f565368e-ee1c-4fc3-a93c-a447b29bf368</stp>
        <tr r="BJ15" s="132"/>
      </tp>
    </main>
    <main first="rtdsrv.458a5932996f485b8b1b8d7cbb3f77a6">
      <tp>
        <v>1</v>
        <stp/>
        <stp>2c6097eb-2ad1-425d-a2cc-4d19231adeb7</stp>
        <tr r="CJ5" s="132"/>
      </tp>
    </main>
    <main first="rtdsrv.458a5932996f485b8b1b8d7cbb3f77a6">
      <tp>
        <v>1</v>
        <stp/>
        <stp>9ad8ff84-c4b0-4f05-a77c-efdc27919de1</stp>
        <tr r="EL5" s="132"/>
      </tp>
    </main>
    <main first="rtdsrv.458a5932996f485b8b1b8d7cbb3f77a6">
      <tp>
        <v>1</v>
        <stp/>
        <stp>860621d1-3973-48be-8724-32309507c7fc</stp>
        <tr r="AV11" s="130"/>
      </tp>
    </main>
    <main first="rtdsrv.458a5932996f485b8b1b8d7cbb3f77a6">
      <tp>
        <v>1</v>
        <stp/>
        <stp>b2d3f76e-d811-4435-a31a-3e14deb126de</stp>
        <tr r="BA33" s="130"/>
      </tp>
    </main>
    <main first="rtdsrv.458a5932996f485b8b1b8d7cbb3f77a6">
      <tp>
        <v>1</v>
        <stp/>
        <stp>e423bb31-a38b-48d2-9261-e2db5fc57481</stp>
        <tr r="AZ85" s="130"/>
      </tp>
    </main>
    <main first="rtdsrv.458a5932996f485b8b1b8d7cbb3f77a6">
      <tp>
        <v>1</v>
        <stp/>
        <stp>dbb83a91-1319-42bd-ac5b-b588c77ea293</stp>
        <tr r="AH9" s="130"/>
      </tp>
    </main>
    <main first="rtdsrv.458a5932996f485b8b1b8d7cbb3f77a6">
      <tp>
        <v>1</v>
        <stp/>
        <stp>70883896-49b2-48e9-b528-16fb139d9ac3</stp>
        <tr r="H29" s="130"/>
      </tp>
    </main>
    <main first="rtdsrv.458a5932996f485b8b1b8d7cbb3f77a6">
      <tp>
        <v>1</v>
        <stp/>
        <stp>bf32e9d5-79fd-4b97-9ff5-a962ff3c05bd</stp>
        <tr r="W58" s="130"/>
      </tp>
      <tp>
        <v>1</v>
        <stp/>
        <stp>f98e5004-f3da-4bf8-98e5-8547a1337e5d</stp>
        <tr r="BV5" s="132"/>
      </tp>
    </main>
    <main first="rtdsrv.458a5932996f485b8b1b8d7cbb3f77a6">
      <tp>
        <v>1</v>
        <stp/>
        <stp>1b13daad-eb20-4e34-81d9-71be7cf6e73c</stp>
        <tr r="HH14" s="132"/>
      </tp>
    </main>
    <main first="rtdsrv.458a5932996f485b8b1b8d7cbb3f77a6">
      <tp>
        <v>1</v>
        <stp/>
        <stp>c536f347-645a-4a77-b91c-803391f4ed98</stp>
        <tr r="AT94" s="130"/>
      </tp>
      <tp>
        <v>1</v>
        <stp/>
        <stp>f75a49c9-8206-43e7-8d96-578d3920deeb</stp>
        <tr r="O17" s="130"/>
      </tp>
    </main>
    <main first="rtdsrv.458a5932996f485b8b1b8d7cbb3f77a6">
      <tp>
        <v>1</v>
        <stp/>
        <stp>dd412c58-3d43-4428-a229-834e1809ffed</stp>
        <tr r="CZ9" s="132"/>
      </tp>
      <tp>
        <v>1</v>
        <stp/>
        <stp>76dfee17-ba1e-48a7-9336-ff8a31c911df</stp>
        <tr r="V6" s="132"/>
      </tp>
    </main>
    <main first="rtdsrv.458a5932996f485b8b1b8d7cbb3f77a6">
      <tp>
        <v>1</v>
        <stp/>
        <stp>e71f406a-5816-4b0f-9863-5477961c337c</stp>
        <tr r="BI60" s="130"/>
      </tp>
      <tp>
        <v>1</v>
        <stp/>
        <stp>33b5d566-0c31-4adf-943c-bc9d6f2085be</stp>
        <tr r="BF98" s="130"/>
      </tp>
    </main>
    <main first="rtdsrv.458a5932996f485b8b1b8d7cbb3f77a6">
      <tp>
        <v>1</v>
        <stp/>
        <stp>352cf334-41d5-45e5-8c29-b645d376cc72</stp>
        <tr r="AX22" s="130"/>
      </tp>
      <tp>
        <v>1</v>
        <stp/>
        <stp>84aa50ee-440c-4117-85e5-3440fd9c2a5a</stp>
        <tr r="Y65" s="130"/>
      </tp>
    </main>
    <main first="rtdsrv.458a5932996f485b8b1b8d7cbb3f77a6">
      <tp>
        <v>1</v>
        <stp/>
        <stp>dc8cd134-12bf-4769-8fd7-98127ccce6ab</stp>
        <tr r="F8" s="132"/>
      </tp>
    </main>
    <main first="rtdsrv.458a5932996f485b8b1b8d7cbb3f77a6">
      <tp>
        <v>1</v>
        <stp/>
        <stp>b833094d-0173-4c63-a3fc-06979212e3c3</stp>
        <tr r="AQ5" s="132"/>
      </tp>
    </main>
    <main first="rtdsrv.458a5932996f485b8b1b8d7cbb3f77a6">
      <tp>
        <v>1</v>
        <stp/>
        <stp>337ab265-ee4d-43a9-b4a8-33a3fd53186c</stp>
        <tr r="AQ91" s="130"/>
      </tp>
    </main>
    <main first="rtdsrv.458a5932996f485b8b1b8d7cbb3f77a6">
      <tp>
        <v>1</v>
        <stp/>
        <stp>627a76b7-011e-4dd4-9b08-a35d6f3436d5</stp>
        <tr r="AM19" s="130"/>
      </tp>
    </main>
    <main first="rtdsrv.458a5932996f485b8b1b8d7cbb3f77a6">
      <tp>
        <v>1</v>
        <stp/>
        <stp>ae4b77f0-3c18-4075-9c96-981e8c8ade02</stp>
        <tr r="BA76" s="130"/>
      </tp>
      <tp>
        <v>1</v>
        <stp/>
        <stp>e9421de7-9047-4696-87ce-82bb5ba39296</stp>
        <tr r="O69" s="130"/>
      </tp>
    </main>
    <main first="rtdsrv.458a5932996f485b8b1b8d7cbb3f77a6">
      <tp>
        <v>1</v>
        <stp/>
        <stp>12008afc-b64a-4a8d-aee6-07b18c25178c</stp>
        <tr r="V10" s="130"/>
      </tp>
    </main>
    <main first="rtdsrv.458a5932996f485b8b1b8d7cbb3f77a6">
      <tp>
        <v>1</v>
        <stp/>
        <stp>a733024e-e3f3-4634-bd69-e2e902b5f14b</stp>
        <tr r="AS94" s="130"/>
      </tp>
    </main>
    <main first="rtdsrv.458a5932996f485b8b1b8d7cbb3f77a6">
      <tp>
        <v>1</v>
        <stp/>
        <stp>f2013aa0-37b8-4f8b-a2ad-ca996d72c532</stp>
        <tr r="DC8" s="132"/>
      </tp>
    </main>
    <main first="rtdsrv.458a5932996f485b8b1b8d7cbb3f77a6">
      <tp>
        <v>1</v>
        <stp/>
        <stp>e89cbb60-7743-411b-af59-98ec70890ac7</stp>
        <tr r="HF5" s="132"/>
      </tp>
    </main>
    <main first="rtdsrv.458a5932996f485b8b1b8d7cbb3f77a6">
      <tp>
        <v>1</v>
        <stp/>
        <stp>26c25950-3640-47fb-8c6b-6106e25fc881</stp>
        <tr r="HG16" s="132"/>
      </tp>
    </main>
    <main first="rtdsrv.458a5932996f485b8b1b8d7cbb3f77a6">
      <tp>
        <v>1</v>
        <stp/>
        <stp>bec83931-79a9-4a12-bd3a-29e400afb037</stp>
        <tr r="HA15" s="132"/>
      </tp>
    </main>
    <main first="rtdsrv.458a5932996f485b8b1b8d7cbb3f77a6">
      <tp>
        <v>1</v>
        <stp/>
        <stp>6b981ae8-bb44-418f-aabd-c18e138614bf</stp>
        <tr r="AV27" s="130"/>
      </tp>
    </main>
    <main first="rtdsrv.458a5932996f485b8b1b8d7cbb3f77a6">
      <tp>
        <v>1</v>
        <stp/>
        <stp>f531d053-b00b-4099-9d94-43f663eaa496</stp>
        <tr r="AF6" s="132"/>
      </tp>
      <tp>
        <v>1</v>
        <stp/>
        <stp>521d02a6-6cb4-4d6f-96bf-6f97215336a1</stp>
        <tr r="AY29" s="130"/>
      </tp>
    </main>
    <main first="rtdsrv.458a5932996f485b8b1b8d7cbb3f77a6">
      <tp>
        <v>1</v>
        <stp/>
        <stp>c65ee3cd-d329-44da-893a-f5da509c9ea9</stp>
        <tr r="BE14" s="132"/>
      </tp>
    </main>
    <main first="rtdsrv.458a5932996f485b8b1b8d7cbb3f77a6">
      <tp>
        <v>1</v>
        <stp/>
        <stp>463ece35-ad5a-4aaa-a08f-c8d21f9ecfff</stp>
        <tr r="V5" s="132"/>
      </tp>
    </main>
    <main first="rtdsrv.458a5932996f485b8b1b8d7cbb3f77a6">
      <tp>
        <v>1</v>
        <stp/>
        <stp>f03fb91f-8e8c-412f-a378-a2c7ac58bb09</stp>
        <tr r="D69" s="130"/>
      </tp>
    </main>
    <main first="rtdsrv.458a5932996f485b8b1b8d7cbb3f77a6">
      <tp>
        <v>1</v>
        <stp/>
        <stp>e0c9d57f-4c80-4e49-8611-f9d93290aaad</stp>
        <tr r="R11" s="132"/>
      </tp>
    </main>
    <main first="rtdsrv.458a5932996f485b8b1b8d7cbb3f77a6">
      <tp>
        <v>1</v>
        <stp/>
        <stp>a615c509-bfba-4a4e-bb87-5e9cd2a8882b</stp>
        <tr r="GZ6" s="132"/>
      </tp>
      <tp>
        <v>1</v>
        <stp/>
        <stp>15aec81a-a111-4709-b75d-cfc8a095cee9</stp>
        <tr r="FM16" s="132"/>
      </tp>
    </main>
    <main first="rtdsrv.458a5932996f485b8b1b8d7cbb3f77a6">
      <tp>
        <v>1</v>
        <stp/>
        <stp>1a35d055-060b-425b-9749-926452026d5a</stp>
        <tr r="AF55" s="130"/>
      </tp>
      <tp>
        <v>1</v>
        <stp/>
        <stp>e5ccbc36-6eb0-4783-8eaa-1a8de15561c2</stp>
        <tr r="V11" s="130"/>
      </tp>
    </main>
    <main first="rtdsrv.458a5932996f485b8b1b8d7cbb3f77a6">
      <tp>
        <v>1</v>
        <stp/>
        <stp>286d4d93-7c94-463f-b1b0-9917c05385b1</stp>
        <tr r="BC71" s="130"/>
      </tp>
    </main>
    <main first="rtdsrv.458a5932996f485b8b1b8d7cbb3f77a6">
      <tp>
        <v>1</v>
        <stp/>
        <stp>a34e92f4-d427-4cdf-a43b-cb50f39de23b</stp>
        <tr r="Z45" s="130"/>
      </tp>
    </main>
    <main first="rtdsrv.458a5932996f485b8b1b8d7cbb3f77a6">
      <tp>
        <v>1</v>
        <stp/>
        <stp>b00f9df1-a3f8-4d2d-b90b-8210738fe350</stp>
        <tr r="DX5" s="132"/>
      </tp>
    </main>
    <main first="rtdsrv.458a5932996f485b8b1b8d7cbb3f77a6">
      <tp>
        <v>1</v>
        <stp/>
        <stp>4eb56ee0-6c63-4acd-95bc-056bcc2fb581</stp>
        <tr r="BH86" s="130"/>
      </tp>
    </main>
    <main first="rtdsrv.458a5932996f485b8b1b8d7cbb3f77a6">
      <tp>
        <v>1</v>
        <stp/>
        <stp>8297f388-a093-4c83-8e1a-7c9f4e7137ef</stp>
        <tr r="BE37" s="130"/>
      </tp>
      <tp>
        <v>1</v>
        <stp/>
        <stp>b08ea2b9-0051-4067-a88f-b94af2a50eb0</stp>
        <tr r="BY8" s="132"/>
      </tp>
    </main>
    <main first="rtdsrv.458a5932996f485b8b1b8d7cbb3f77a6">
      <tp>
        <v>1</v>
        <stp/>
        <stp>0aa158b6-501d-4531-924e-508519d3631e</stp>
        <tr r="FB5" s="132"/>
      </tp>
    </main>
    <main first="rtdsrv.458a5932996f485b8b1b8d7cbb3f77a6">
      <tp>
        <v>1</v>
        <stp/>
        <stp>5221c7e8-73af-4382-8a69-81c2fd601039</stp>
        <tr r="G23" s="130"/>
      </tp>
    </main>
    <main first="rtdsrv.458a5932996f485b8b1b8d7cbb3f77a6">
      <tp>
        <v>1</v>
        <stp/>
        <stp>fc928ae1-fc79-499e-90a0-2eaecbc2246e</stp>
        <tr r="BH29" s="130"/>
      </tp>
      <tp>
        <v>1</v>
        <stp/>
        <stp>c67a7c8a-2c6e-4db4-a4c7-2baf91c640bf</stp>
        <tr r="BN16" s="132"/>
      </tp>
    </main>
    <main first="rtdsrv.458a5932996f485b8b1b8d7cbb3f77a6">
      <tp>
        <v>1</v>
        <stp/>
        <stp>f61c06dd-bdee-45a7-a549-8d6c67795a2a</stp>
        <tr r="AZ14" s="132"/>
      </tp>
      <tp>
        <v>1</v>
        <stp/>
        <stp>62b88dd6-4c5f-43a1-b18d-e9cf8087b1a6</stp>
        <tr r="BF16" s="132"/>
      </tp>
      <tp>
        <v>1</v>
        <stp/>
        <stp>db0c662e-3b31-485f-917d-67c431952ce9</stp>
        <tr r="AI35" s="130"/>
      </tp>
    </main>
    <main first="rtdsrv.458a5932996f485b8b1b8d7cbb3f77a6">
      <tp>
        <v>1</v>
        <stp/>
        <stp>718d7c73-23ec-4c0f-9dc6-11008b0d3e10</stp>
        <tr r="AX47" s="130"/>
        <tr r="AX52" s="130"/>
      </tp>
    </main>
    <main first="rtdsrv.458a5932996f485b8b1b8d7cbb3f77a6">
      <tp>
        <v>1</v>
        <stp/>
        <stp>6a25f3a1-3533-431d-9679-57648b7f24ef</stp>
        <tr r="AM72" s="130"/>
      </tp>
    </main>
    <main first="rtdsrv.458a5932996f485b8b1b8d7cbb3f77a6">
      <tp>
        <v>1</v>
        <stp/>
        <stp>9f89b299-7525-4e47-ac5b-c7357d53aa4f</stp>
        <tr r="AY27" s="130"/>
      </tp>
    </main>
    <main first="rtdsrv.458a5932996f485b8b1b8d7cbb3f77a6">
      <tp>
        <v>1</v>
        <stp/>
        <stp>1196008b-e193-4929-b38a-0ecf6ab93246</stp>
        <tr r="AA43" s="130"/>
      </tp>
    </main>
    <main first="rtdsrv.458a5932996f485b8b1b8d7cbb3f77a6">
      <tp>
        <v>1</v>
        <stp/>
        <stp>b6696c0c-f119-40c0-9dea-7acefa08b5a9</stp>
        <tr r="AW11" s="130"/>
      </tp>
    </main>
    <main first="rtdsrv.458a5932996f485b8b1b8d7cbb3f77a6">
      <tp>
        <v>1</v>
        <stp/>
        <stp>55582678-b9d8-4716-b8b0-d17dd19c7fa8</stp>
        <tr r="BE97" s="130"/>
      </tp>
    </main>
    <main first="rtdsrv.458a5932996f485b8b1b8d7cbb3f77a6">
      <tp>
        <v>1</v>
        <stp/>
        <stp>b273200b-cede-4b8e-ab9f-48d197467a09</stp>
        <tr r="E7" s="132"/>
      </tp>
      <tp>
        <v>1</v>
        <stp/>
        <stp>5276daa4-af3e-485a-be43-624d74d8f26b</stp>
        <tr r="AK17" s="130"/>
      </tp>
    </main>
    <main first="rtdsrv.458a5932996f485b8b1b8d7cbb3f77a6">
      <tp>
        <v>1</v>
        <stp/>
        <stp>d1a22ff9-be86-446b-aa22-97bba0a8516f</stp>
        <tr r="BC40" s="130"/>
      </tp>
    </main>
    <main first="rtdsrv.458a5932996f485b8b1b8d7cbb3f77a6">
      <tp>
        <v>1</v>
        <stp/>
        <stp>cde4be9a-d999-4b8e-b3fc-0a068ca4872a</stp>
        <tr r="F80" s="130"/>
      </tp>
    </main>
    <main first="rtdsrv.458a5932996f485b8b1b8d7cbb3f77a6">
      <tp>
        <v>1</v>
        <stp/>
        <stp>dca67bb0-7ae0-4453-931f-b5359fa3943d</stp>
        <tr r="ER7" s="132"/>
      </tp>
    </main>
    <main first="rtdsrv.458a5932996f485b8b1b8d7cbb3f77a6">
      <tp>
        <v>1</v>
        <stp/>
        <stp>d331da28-17f8-4dda-80c7-3b632e54e5da</stp>
        <tr r="N81" s="130"/>
      </tp>
    </main>
    <main first="rtdsrv.458a5932996f485b8b1b8d7cbb3f77a6">
      <tp>
        <v>1</v>
        <stp/>
        <stp>a717bf70-f2a7-4714-a3c4-c66171ae4418</stp>
        <tr r="BE16" s="132"/>
      </tp>
      <tp>
        <v>1</v>
        <stp/>
        <stp>87f00465-15fe-4bfc-8eb4-c261ebda60e5</stp>
        <tr r="DB7" s="132"/>
      </tp>
      <tp>
        <v>1</v>
        <stp/>
        <stp>564866e2-448a-48a3-a074-c83aeb1e2954</stp>
        <tr r="AS31" s="130"/>
      </tp>
    </main>
    <main first="rtdsrv.458a5932996f485b8b1b8d7cbb3f77a6">
      <tp>
        <v>1</v>
        <stp/>
        <stp>45c916c7-eb14-47b0-89aa-67b93a64721d</stp>
        <tr r="AZ67" s="130"/>
      </tp>
    </main>
    <main first="rtdsrv.458a5932996f485b8b1b8d7cbb3f77a6">
      <tp>
        <v>1</v>
        <stp/>
        <stp>b4ca6812-1b8c-44c3-9c7e-e91a0d480768</stp>
        <tr r="BA9" s="132"/>
      </tp>
    </main>
    <main first="rtdsrv.458a5932996f485b8b1b8d7cbb3f77a6">
      <tp>
        <v>1</v>
        <stp/>
        <stp>d3b2e324-3073-4b13-af58-e052ac217594</stp>
        <tr r="HE15" s="132"/>
      </tp>
      <tp>
        <v>1</v>
        <stp/>
        <stp>ca9ff611-125c-4a43-9be8-8cf85c227c05</stp>
        <tr r="U39" s="130"/>
      </tp>
      <tp>
        <v>1</v>
        <stp/>
        <stp>66daba23-904c-4606-8a12-9b2f6a59d953</stp>
        <tr r="FU9" s="132"/>
      </tp>
    </main>
    <main first="rtdsrv.458a5932996f485b8b1b8d7cbb3f77a6">
      <tp>
        <v>1</v>
        <stp/>
        <stp>418d67fa-c89d-48f4-a64d-6e78fcb7001e</stp>
        <tr r="AB27" s="130"/>
      </tp>
    </main>
    <main first="rtdsrv.458a5932996f485b8b1b8d7cbb3f77a6">
      <tp>
        <v>1</v>
        <stp/>
        <stp>cac7772a-d689-4e30-9e4c-a46e2d7a75c8</stp>
        <tr r="HB13" s="132"/>
      </tp>
      <tp>
        <v>1</v>
        <stp/>
        <stp>579a7a47-b8be-49ae-97d6-d113b6b98a60</stp>
        <tr r="R46" s="130"/>
        <tr r="R51" s="130"/>
      </tp>
    </main>
    <main first="rtdsrv.458a5932996f485b8b1b8d7cbb3f77a6">
      <tp>
        <v>1</v>
        <stp/>
        <stp>a784efb2-c810-4364-a7db-cbe836271e1f</stp>
        <tr r="C74" s="130"/>
      </tp>
    </main>
    <main first="rtdsrv.458a5932996f485b8b1b8d7cbb3f77a6">
      <tp>
        <v>1</v>
        <stp/>
        <stp>2d3bdb09-7f0b-4622-ae0c-d7f9ae5ae227</stp>
        <tr r="AE27" s="130"/>
      </tp>
      <tp>
        <v>1</v>
        <stp/>
        <stp>7ccfa700-70a5-4883-9043-1db301e44b0c</stp>
        <tr r="N84" s="130"/>
      </tp>
    </main>
    <main first="rtdsrv.458a5932996f485b8b1b8d7cbb3f77a6">
      <tp>
        <v>1</v>
        <stp/>
        <stp>39448fb2-893e-4922-9f5a-f11e559397a2</stp>
        <tr r="AP62" s="130"/>
      </tp>
    </main>
    <main first="rtdsrv.458a5932996f485b8b1b8d7cbb3f77a6">
      <tp>
        <v>1</v>
        <stp/>
        <stp>2d884e28-43d1-4670-a97e-33fc33845ae5</stp>
        <tr r="AH71" s="130"/>
      </tp>
    </main>
    <main first="rtdsrv.458a5932996f485b8b1b8d7cbb3f77a6">
      <tp>
        <v>1</v>
        <stp/>
        <stp>52df8737-772b-40a7-993d-0725e3427ae1</stp>
        <tr r="HG7" s="132"/>
      </tp>
      <tp>
        <v>1</v>
        <stp/>
        <stp>655894f4-cc9a-486b-80a1-024250ebd079</stp>
        <tr r="T79" s="130"/>
      </tp>
      <tp>
        <v>1</v>
        <stp/>
        <stp>19ae214b-c461-4a50-b7c3-a4492995ff8e</stp>
        <tr r="FI13" s="132"/>
      </tp>
    </main>
    <main first="rtdsrv.458a5932996f485b8b1b8d7cbb3f77a6">
      <tp>
        <v>1</v>
        <stp/>
        <stp>78e7c593-f12f-42e5-b3c9-ba639804475d</stp>
        <tr r="W77" s="130"/>
      </tp>
      <tp>
        <v>1</v>
        <stp/>
        <stp>cf2b51b4-cd2e-41f6-bd47-0a5553aea70c</stp>
        <tr r="P42" s="130"/>
      </tp>
    </main>
    <main first="rtdsrv.458a5932996f485b8b1b8d7cbb3f77a6">
      <tp>
        <v>1</v>
        <stp/>
        <stp>3605016f-f563-430f-9b8e-88037b54d64d</stp>
        <tr r="CN7" s="132"/>
      </tp>
    </main>
    <main first="rtdsrv.458a5932996f485b8b1b8d7cbb3f77a6">
      <tp>
        <v>1</v>
        <stp/>
        <stp>8110a179-bee9-4ce4-807c-cc68f5b0bd34</stp>
        <tr r="AJ41" s="130"/>
      </tp>
    </main>
    <main first="rtdsrv.458a5932996f485b8b1b8d7cbb3f77a6">
      <tp>
        <v>1</v>
        <stp/>
        <stp>ffbfcb47-6586-488a-9baf-46d6bb81d598</stp>
        <tr r="AU95" s="130"/>
      </tp>
      <tp>
        <v>1</v>
        <stp/>
        <stp>cc01fcd8-12da-40f1-803c-65d0ec00f612</stp>
        <tr r="L61" s="130"/>
      </tp>
    </main>
    <main first="rtdsrv.458a5932996f485b8b1b8d7cbb3f77a6">
      <tp>
        <v>1</v>
        <stp/>
        <stp>6654cdbc-1108-4212-adba-fafb52b073c3</stp>
        <tr r="Z24" s="130"/>
      </tp>
    </main>
    <main first="rtdsrv.458a5932996f485b8b1b8d7cbb3f77a6">
      <tp>
        <v>1</v>
        <stp/>
        <stp>47d57c48-f52f-4e8c-8b46-a9bc860bd9a2</stp>
        <tr r="AB36" s="130"/>
      </tp>
    </main>
    <main first="rtdsrv.458a5932996f485b8b1b8d7cbb3f77a6">
      <tp>
        <v>1</v>
        <stp/>
        <stp>fba692e0-ea29-45d3-b366-ecf0fb1cfbd6</stp>
        <tr r="AU90" s="130"/>
      </tp>
      <tp>
        <v>1</v>
        <stp/>
        <stp>fea0e1da-cc39-4d02-badf-6eaf6fdf01eb</stp>
        <tr r="BH13" s="132"/>
      </tp>
    </main>
    <main first="rtdsrv.458a5932996f485b8b1b8d7cbb3f77a6">
      <tp>
        <v>1</v>
        <stp/>
        <stp>ff0bef40-3a4d-481f-a5b6-ca1dcf568c7d</stp>
        <tr r="AA31" s="130"/>
      </tp>
      <tp>
        <v>1</v>
        <stp/>
        <stp>987dbded-8712-46f5-9305-da22fed516f1</stp>
        <tr r="H51" s="130"/>
        <tr r="H46" s="130"/>
      </tp>
      <tp>
        <v>1</v>
        <stp/>
        <stp>22f1bf5b-a335-4e5a-b720-01c6216445d2</stp>
        <tr r="J51" s="130"/>
        <tr r="J46" s="130"/>
      </tp>
    </main>
    <main first="rtdsrv.458a5932996f485b8b1b8d7cbb3f77a6">
      <tp>
        <v>1</v>
        <stp/>
        <stp>815fcb37-5239-412e-a2a4-6b4005a49f4c</stp>
        <tr r="I74" s="130"/>
      </tp>
    </main>
    <main first="rtdsrv.458a5932996f485b8b1b8d7cbb3f77a6">
      <tp>
        <v>1</v>
        <stp/>
        <stp>452f5367-409b-4b26-9b18-c695f612cfee</stp>
        <tr r="BC7" s="132"/>
      </tp>
    </main>
    <main first="rtdsrv.458a5932996f485b8b1b8d7cbb3f77a6">
      <tp>
        <v>1</v>
        <stp/>
        <stp>6ceffd48-024e-42a9-93ec-191e613be0c9</stp>
        <tr r="AP91" s="130"/>
      </tp>
      <tp>
        <v>1</v>
        <stp/>
        <stp>8f4d2bf7-be6e-42e1-80ff-fc45150de44a</stp>
        <tr r="GK13" s="132"/>
      </tp>
    </main>
    <main first="rtdsrv.458a5932996f485b8b1b8d7cbb3f77a6">
      <tp>
        <v>1</v>
        <stp/>
        <stp>9c2480e1-55b9-41cb-af98-8a08192de690</stp>
        <tr r="AZ96" s="130"/>
      </tp>
    </main>
    <main first="rtdsrv.458a5932996f485b8b1b8d7cbb3f77a6">
      <tp>
        <v>1</v>
        <stp/>
        <stp>cb570cd9-3dc6-4b25-bf53-bc03302a12ee</stp>
        <tr r="GN16" s="132"/>
      </tp>
    </main>
    <main first="rtdsrv.458a5932996f485b8b1b8d7cbb3f77a6">
      <tp>
        <v>1</v>
        <stp/>
        <stp>18f2a025-8bf4-4c13-a83e-0186438d1a27</stp>
        <tr r="C57" s="130"/>
      </tp>
      <tp>
        <v>1</v>
        <stp/>
        <stp>e0066d9c-480a-4f2a-8587-3909ada4a763</stp>
        <tr r="H61" s="130"/>
      </tp>
    </main>
    <main first="rtdsrv.458a5932996f485b8b1b8d7cbb3f77a6">
      <tp>
        <v>1</v>
        <stp/>
        <stp>9eb55ec5-87e0-4d29-93aa-ec068f285649</stp>
        <tr r="FK14" s="132"/>
      </tp>
    </main>
    <main first="rtdsrv.458a5932996f485b8b1b8d7cbb3f77a6">
      <tp>
        <v>1</v>
        <stp/>
        <stp>d5121020-38ea-4693-8354-c384d14d5ab7</stp>
        <tr r="DU7" s="132"/>
      </tp>
    </main>
    <main first="rtdsrv.458a5932996f485b8b1b8d7cbb3f77a6">
      <tp>
        <v>1</v>
        <stp/>
        <stp>82e8716f-d0b1-4ef5-8e42-35194232222a</stp>
        <tr r="CJ7" s="132"/>
      </tp>
    </main>
    <main first="rtdsrv.458a5932996f485b8b1b8d7cbb3f77a6">
      <tp>
        <v>1</v>
        <stp/>
        <stp>bb1baa6c-5491-413e-a642-58f3e9de15b6</stp>
        <tr r="I86" s="130"/>
      </tp>
    </main>
    <main first="rtdsrv.458a5932996f485b8b1b8d7cbb3f77a6">
      <tp>
        <v>1</v>
        <stp/>
        <stp>4057aa77-7171-4706-ba41-d432a11f62bd</stp>
        <tr r="E5" s="130"/>
      </tp>
      <tp>
        <v>1</v>
        <stp/>
        <stp>c7d74519-6c36-4fb4-b235-0f3aa70b41bd</stp>
        <tr r="M73" s="130"/>
      </tp>
    </main>
    <main first="rtdsrv.458a5932996f485b8b1b8d7cbb3f77a6">
      <tp>
        <v>1</v>
        <stp/>
        <stp>5eff736a-1cc7-44e1-b37a-18d8381f12e0</stp>
        <tr r="CK7" s="132"/>
      </tp>
    </main>
    <main first="rtdsrv.458a5932996f485b8b1b8d7cbb3f77a6">
      <tp>
        <v>1</v>
        <stp/>
        <stp>1711da1a-6c44-404d-9ee7-076c500dd500</stp>
        <tr r="AD5" s="132"/>
      </tp>
      <tp>
        <v>1</v>
        <stp/>
        <stp>b62e44ab-676f-458e-8c2e-bf05a0aa0f22</stp>
        <tr r="BG5" s="132"/>
      </tp>
    </main>
    <main first="rtdsrv.458a5932996f485b8b1b8d7cbb3f77a6">
      <tp>
        <v>1</v>
        <stp/>
        <stp>7198b76b-1f69-4026-9cb2-2bd5f4dbef95</stp>
        <tr r="AR75" s="130"/>
      </tp>
    </main>
    <main first="rtdsrv.458a5932996f485b8b1b8d7cbb3f77a6">
      <tp>
        <v>1</v>
        <stp/>
        <stp>308aa6b8-f8ac-48e1-b957-5efe9dcf362b</stp>
        <tr r="F59" s="130"/>
      </tp>
    </main>
    <main first="rtdsrv.458a5932996f485b8b1b8d7cbb3f77a6">
      <tp>
        <v>1</v>
        <stp/>
        <stp>44399e48-6439-4e01-a407-9bfb5badf5a1</stp>
        <tr r="G98" s="130"/>
      </tp>
      <tp>
        <v>1</v>
        <stp/>
        <stp>6353b94c-3fce-4938-bf60-824ba5682c72</stp>
        <tr r="N70" s="130"/>
      </tp>
      <tp>
        <v>1</v>
        <stp/>
        <stp>262e1e31-b147-407c-9a9a-5809eff93fef</stp>
        <tr r="DX11" s="132"/>
      </tp>
      <tp>
        <v>1</v>
        <stp/>
        <stp>58db08db-24ce-4f92-b78f-6cfd6125d9d9</stp>
        <tr r="AY42" s="130"/>
      </tp>
    </main>
    <main first="rtdsrv.458a5932996f485b8b1b8d7cbb3f77a6">
      <tp>
        <v>1</v>
        <stp/>
        <stp>3e558894-70a0-41f1-ac99-abd2acb960a7</stp>
        <tr r="D80" s="130"/>
      </tp>
    </main>
    <main first="rtdsrv.458a5932996f485b8b1b8d7cbb3f77a6">
      <tp>
        <v>1</v>
        <stp/>
        <stp>fdb59a4b-a0bb-4221-8dbe-fdef58d038a8</stp>
        <tr r="BL16" s="132"/>
      </tp>
    </main>
    <main first="rtdsrv.458a5932996f485b8b1b8d7cbb3f77a6">
      <tp>
        <v>1</v>
        <stp/>
        <stp>1ef32e6c-6732-45e1-9430-734eb06bad66</stp>
        <tr r="BF61" s="130"/>
      </tp>
    </main>
    <main first="rtdsrv.458a5932996f485b8b1b8d7cbb3f77a6">
      <tp>
        <v>1</v>
        <stp/>
        <stp>6c1eba1f-bda6-45b7-9d58-7b8fdd25575a</stp>
        <tr r="U36" s="130"/>
      </tp>
    </main>
    <main first="rtdsrv.458a5932996f485b8b1b8d7cbb3f77a6">
      <tp>
        <v>1</v>
        <stp/>
        <stp>8fcc40b0-71b9-4dd5-a901-d71fede97d62</stp>
        <tr r="AF20" s="130"/>
      </tp>
      <tp>
        <v>1</v>
        <stp/>
        <stp>9ef81ac6-008d-4e0c-af66-2bd7dd68442e</stp>
        <tr r="Q93" s="130"/>
      </tp>
    </main>
    <main first="rtdsrv.458a5932996f485b8b1b8d7cbb3f77a6">
      <tp>
        <v>1</v>
        <stp/>
        <stp>9f2cebc4-fa67-4ba2-b14c-637d135ae72c</stp>
        <tr r="AH19" s="130"/>
      </tp>
    </main>
    <main first="rtdsrv.458a5932996f485b8b1b8d7cbb3f77a6">
      <tp>
        <v>1</v>
        <stp/>
        <stp>8b422b53-e072-4d37-9036-38c202ced8d8</stp>
        <tr r="AR31" s="130"/>
      </tp>
    </main>
    <main first="rtdsrv.458a5932996f485b8b1b8d7cbb3f77a6">
      <tp>
        <v>1</v>
        <stp/>
        <stp>b6750726-1b4e-499f-a91b-f973380f75a7</stp>
        <tr r="AD39" s="130"/>
      </tp>
      <tp>
        <v>1</v>
        <stp/>
        <stp>d72fce5d-db93-4324-b6d0-4c6efba0e4a2</stp>
        <tr r="L91" s="130"/>
      </tp>
    </main>
    <main first="rtdsrv.458a5932996f485b8b1b8d7cbb3f77a6">
      <tp>
        <v>1</v>
        <stp/>
        <stp>6a54d560-f27f-4b8e-9376-ef0d71bf1d6f</stp>
        <tr r="C31" s="130"/>
      </tp>
      <tp>
        <v>1</v>
        <stp/>
        <stp>a005b295-517f-45d6-916a-848214fdedda</stp>
        <tr r="BC45" s="130"/>
      </tp>
      <tp>
        <v>1</v>
        <stp/>
        <stp>ba8693e4-9154-49c4-8354-ee9cfe39b91f</stp>
        <tr r="AJ30" s="130"/>
      </tp>
    </main>
    <main first="rtdsrv.458a5932996f485b8b1b8d7cbb3f77a6">
      <tp>
        <v>1</v>
        <stp/>
        <stp>fd60c43d-263c-448a-b4f4-bd286727eed6</stp>
        <tr r="BC62" s="130"/>
      </tp>
    </main>
    <main first="rtdsrv.458a5932996f485b8b1b8d7cbb3f77a6">
      <tp>
        <v>1</v>
        <stp/>
        <stp>4ec1b513-5eea-4d3f-8261-df07aeba5e89</stp>
        <tr r="AT79" s="130"/>
      </tp>
    </main>
    <main first="rtdsrv.458a5932996f485b8b1b8d7cbb3f77a6">
      <tp>
        <v>1</v>
        <stp/>
        <stp>294330f7-89c1-4c6e-a002-6de9ae38e6c9</stp>
        <tr r="FH12" s="132"/>
      </tp>
      <tp>
        <v>1</v>
        <stp/>
        <stp>310fd22f-bcc7-4689-8f96-b187da0d1b3c</stp>
        <tr r="J79" s="130"/>
      </tp>
      <tp>
        <v>1</v>
        <stp/>
        <stp>9281e17c-e41a-4e7d-9ad7-1465a34212bd</stp>
        <tr r="BY11" s="132"/>
      </tp>
    </main>
    <main first="rtdsrv.458a5932996f485b8b1b8d7cbb3f77a6">
      <tp>
        <v>1</v>
        <stp/>
        <stp>ae089ee4-0f3b-4daa-8235-16dd2a7abf9a</stp>
        <tr r="HA13" s="132"/>
      </tp>
    </main>
    <main first="rtdsrv.458a5932996f485b8b1b8d7cbb3f77a6">
      <tp>
        <v>1</v>
        <stp/>
        <stp>dafdee52-494c-423e-be27-50be6773b3de</stp>
        <tr r="AC9" s="132"/>
      </tp>
      <tp>
        <v>1</v>
        <stp/>
        <stp>40a7be36-e5db-4e6d-8c79-fe030b68b743</stp>
        <tr r="W88" s="130"/>
      </tp>
      <tp>
        <v>1</v>
        <stp/>
        <stp>10bd11d3-df5b-4e6a-9bf9-c4a00ad79d06</stp>
        <tr r="H27" s="130"/>
      </tp>
      <tp>
        <v>1</v>
        <stp/>
        <stp>eef65761-de63-4553-8ad4-1d974d20a2f5</stp>
        <tr r="AF60" s="130"/>
      </tp>
    </main>
    <main first="rtdsrv.458a5932996f485b8b1b8d7cbb3f77a6">
      <tp>
        <v>1</v>
        <stp/>
        <stp>2350b500-4486-4df9-9398-13709b2e50ac</stp>
        <tr r="BB43" s="130"/>
      </tp>
    </main>
    <main first="rtdsrv.458a5932996f485b8b1b8d7cbb3f77a6">
      <tp>
        <v>1</v>
        <stp/>
        <stp>a7e545ec-46b6-4454-8bca-dc8e7bc9e3a4</stp>
        <tr r="AV47" s="130"/>
        <tr r="AV52" s="130"/>
      </tp>
    </main>
    <main first="rtdsrv.458a5932996f485b8b1b8d7cbb3f77a6">
      <tp>
        <v>1</v>
        <stp/>
        <stp>3f4d0107-d0f6-433d-afcd-7b694a31cd80</stp>
        <tr r="FZ5" s="132"/>
      </tp>
    </main>
    <main first="rtdsrv.458a5932996f485b8b1b8d7cbb3f77a6">
      <tp>
        <v>1</v>
        <stp/>
        <stp>77a9ee9e-8b67-42de-885b-661a995d6f18</stp>
        <tr r="BI95" s="130"/>
      </tp>
    </main>
    <main first="rtdsrv.458a5932996f485b8b1b8d7cbb3f77a6">
      <tp>
        <v>1</v>
        <stp/>
        <stp>692742ff-98ea-45c0-8109-4e60d68d4265</stp>
        <tr r="AR60" s="130"/>
      </tp>
    </main>
    <main first="rtdsrv.458a5932996f485b8b1b8d7cbb3f77a6">
      <tp>
        <v>1</v>
        <stp/>
        <stp>11bbb529-e5a5-41c8-839d-e2ac9345229c</stp>
        <tr r="W14" s="130"/>
        <tr r="W26" s="130"/>
      </tp>
    </main>
    <main first="rtdsrv.458a5932996f485b8b1b8d7cbb3f77a6">
      <tp>
        <v>1</v>
        <stp/>
        <stp>51286706-fed4-483d-8bbb-3fc280296c9b</stp>
        <tr r="Z7" s="130"/>
      </tp>
    </main>
    <main first="rtdsrv.458a5932996f485b8b1b8d7cbb3f77a6">
      <tp>
        <v>1</v>
        <stp/>
        <stp>05fdea52-abb9-4886-b2c9-ecc4ba3e6151</stp>
        <tr r="K83" s="130"/>
      </tp>
      <tp>
        <v>1</v>
        <stp/>
        <stp>71ecc6e0-c8dc-4756-85ca-4f2a7eb3aadf</stp>
        <tr r="BD6" s="132"/>
      </tp>
      <tp>
        <v>1</v>
        <stp/>
        <stp>56fa0986-22de-477c-91f7-c9b010ad7b5e</stp>
        <tr r="EG14" s="132"/>
      </tp>
    </main>
    <main first="rtdsrv.458a5932996f485b8b1b8d7cbb3f77a6">
      <tp>
        <v>1</v>
        <stp/>
        <stp>bd3ba900-33ea-4513-8702-b68ee95361bf</stp>
        <tr r="AU85" s="130"/>
      </tp>
    </main>
    <main first="rtdsrv.458a5932996f485b8b1b8d7cbb3f77a6">
      <tp>
        <v>1</v>
        <stp/>
        <stp>20c41768-21d1-47e0-89c5-25951d0d7d6f</stp>
        <tr r="AP38" s="130"/>
      </tp>
    </main>
    <main first="rtdsrv.458a5932996f485b8b1b8d7cbb3f77a6">
      <tp>
        <v>1</v>
        <stp/>
        <stp>72cb8f02-6b04-4178-b9ec-a8a9c1eb7e84</stp>
        <tr r="Q40" s="130"/>
      </tp>
      <tp>
        <v>1</v>
        <stp/>
        <stp>0b1df54f-3775-44c1-825b-aeb70fdf6083</stp>
        <tr r="D16" s="130"/>
      </tp>
    </main>
    <main first="rtdsrv.458a5932996f485b8b1b8d7cbb3f77a6">
      <tp>
        <v>1</v>
        <stp/>
        <stp>fbecf085-5478-4692-9a11-96796c7e5b66</stp>
        <tr r="AF40" s="130"/>
      </tp>
    </main>
    <main first="rtdsrv.458a5932996f485b8b1b8d7cbb3f77a6">
      <tp>
        <v>1</v>
        <stp/>
        <stp>9e6b028f-e195-4290-a582-8bda0243c937</stp>
        <tr r="BK90" s="130"/>
      </tp>
    </main>
    <main first="rtdsrv.458a5932996f485b8b1b8d7cbb3f77a6">
      <tp>
        <v>1</v>
        <stp/>
        <stp>770d744e-1b62-4525-983e-a740b3acbc8a</stp>
        <tr r="AG24" s="130"/>
      </tp>
    </main>
    <main first="rtdsrv.458a5932996f485b8b1b8d7cbb3f77a6">
      <tp>
        <v>1</v>
        <stp/>
        <stp>6b836120-4858-49b9-bca9-ae745914f0ce</stp>
        <tr r="AD62" s="130"/>
      </tp>
    </main>
    <main first="rtdsrv.458a5932996f485b8b1b8d7cbb3f77a6">
      <tp>
        <v>1</v>
        <stp/>
        <stp>45744f76-c587-4bab-87f8-6e47a3b54144</stp>
        <tr r="AI7" s="130"/>
      </tp>
    </main>
    <main first="rtdsrv.458a5932996f485b8b1b8d7cbb3f77a6">
      <tp>
        <v>1</v>
        <stp/>
        <stp>606f11eb-7d3b-483b-a774-fc17e6dcee9e</stp>
        <tr r="T9" s="130"/>
      </tp>
    </main>
    <main first="rtdsrv.458a5932996f485b8b1b8d7cbb3f77a6">
      <tp>
        <v>1</v>
        <stp/>
        <stp>00abfc3b-fc59-4b6e-86f1-5bd0ec965d21</stp>
        <tr r="V93" s="130"/>
      </tp>
    </main>
    <main first="rtdsrv.458a5932996f485b8b1b8d7cbb3f77a6">
      <tp>
        <v>1</v>
        <stp/>
        <stp>473b0be0-dd4c-4bd0-876a-7e69e547349e</stp>
        <tr r="AJ88" s="130"/>
      </tp>
    </main>
    <main first="rtdsrv.458a5932996f485b8b1b8d7cbb3f77a6">
      <tp>
        <v>1</v>
        <stp/>
        <stp>1c868ae0-d304-4795-a43a-af0c7a2554eb</stp>
        <tr r="I33" s="130"/>
      </tp>
      <tp>
        <v>1</v>
        <stp/>
        <stp>ca062f6f-8571-48d8-840a-0e4c8661f78a</stp>
        <tr r="AQ19" s="130"/>
      </tp>
    </main>
    <main first="rtdsrv.458a5932996f485b8b1b8d7cbb3f77a6">
      <tp>
        <v>1</v>
        <stp/>
        <stp>7580985e-f17f-4b04-b294-c21f76afa108</stp>
        <tr r="BG7" s="130"/>
      </tp>
    </main>
    <main first="rtdsrv.458a5932996f485b8b1b8d7cbb3f77a6">
      <tp>
        <v>1</v>
        <stp/>
        <stp>85369049-4876-4590-a7c2-007940d58168</stp>
        <tr r="AZ80" s="130"/>
      </tp>
      <tp>
        <v>1</v>
        <stp/>
        <stp>c13987c2-7891-402b-a360-c36f42cf07ee</stp>
        <tr r="AH41" s="130"/>
      </tp>
    </main>
    <main first="rtdsrv.458a5932996f485b8b1b8d7cbb3f77a6">
      <tp>
        <v>1</v>
        <stp/>
        <stp>bf20fb94-c1bb-49d2-bd0b-efa71c3233b9</stp>
        <tr r="AP17" s="130"/>
      </tp>
    </main>
    <main first="rtdsrv.458a5932996f485b8b1b8d7cbb3f77a6">
      <tp>
        <v>1</v>
        <stp/>
        <stp>652e4a42-5045-4073-8add-4367f59acc52</stp>
        <tr r="AD87" s="130"/>
      </tp>
    </main>
    <main first="rtdsrv.458a5932996f485b8b1b8d7cbb3f77a6">
      <tp>
        <v>1</v>
        <stp/>
        <stp>d3a6095a-3600-48bc-8691-bc38579d7d16</stp>
        <tr r="X74" s="130"/>
      </tp>
    </main>
    <main first="rtdsrv.458a5932996f485b8b1b8d7cbb3f77a6">
      <tp>
        <v>1</v>
        <stp/>
        <stp>129a64f1-768c-4601-bd55-53c017a4fb7e</stp>
        <tr r="AU83" s="130"/>
      </tp>
    </main>
    <main first="rtdsrv.458a5932996f485b8b1b8d7cbb3f77a6">
      <tp>
        <v>1</v>
        <stp/>
        <stp>c2f6886f-9135-40f4-bbb9-d7f0a91258f7</stp>
        <tr r="AE70" s="130"/>
      </tp>
    </main>
    <main first="rtdsrv.458a5932996f485b8b1b8d7cbb3f77a6">
      <tp>
        <v>1</v>
        <stp/>
        <stp>22e5fb1c-033f-4018-afe7-09722197bf70</stp>
        <tr r="AG9" s="130"/>
      </tp>
    </main>
    <main first="rtdsrv.458a5932996f485b8b1b8d7cbb3f77a6">
      <tp>
        <v>1</v>
        <stp/>
        <stp>f0565ff3-5c36-4034-8a49-e2d283b791f1</stp>
        <tr r="AP20" s="130"/>
      </tp>
    </main>
    <main first="rtdsrv.458a5932996f485b8b1b8d7cbb3f77a6">
      <tp>
        <v>1</v>
        <stp/>
        <stp>a8eaa41d-8a5c-43a6-b2b6-4a9edeab6715</stp>
        <tr r="BB15" s="132"/>
      </tp>
    </main>
    <main first="rtdsrv.458a5932996f485b8b1b8d7cbb3f77a6">
      <tp>
        <v>1</v>
        <stp/>
        <stp>63daa622-64ff-4a2b-9b70-d7eb54e5568a</stp>
        <tr r="AJ78" s="130"/>
      </tp>
    </main>
    <main first="rtdsrv.458a5932996f485b8b1b8d7cbb3f77a6">
      <tp>
        <v>1</v>
        <stp/>
        <stp>c4b5ec7b-6ad2-41ec-9462-669d6bdcb318</stp>
        <tr r="CX16" s="132"/>
      </tp>
    </main>
    <main first="rtdsrv.458a5932996f485b8b1b8d7cbb3f77a6">
      <tp>
        <v>1</v>
        <stp/>
        <stp>dc0d7562-9d1d-4b3e-b68a-ed412ae24d8d</stp>
        <tr r="Z28" s="130"/>
      </tp>
      <tp>
        <v>1</v>
        <stp/>
        <stp>11505627-fce1-4dc0-b4a6-4f8d76c883c8</stp>
        <tr r="J90" s="130"/>
      </tp>
      <tp>
        <v>1</v>
        <stp/>
        <stp>e781f27b-cf69-4fd4-b536-7c510013ca1c</stp>
        <tr r="BA81" s="130"/>
      </tp>
    </main>
    <main first="rtdsrv.458a5932996f485b8b1b8d7cbb3f77a6">
      <tp>
        <v>1</v>
        <stp/>
        <stp>f4a29fe5-1fe8-456a-8f86-1296f8edfcb6</stp>
        <tr r="AM76" s="130"/>
      </tp>
    </main>
    <main first="rtdsrv.458a5932996f485b8b1b8d7cbb3f77a6">
      <tp>
        <v>1</v>
        <stp/>
        <stp>e541f54b-c519-431d-a95f-0706fb92241c</stp>
        <tr r="AF78" s="130"/>
      </tp>
      <tp>
        <v>1</v>
        <stp/>
        <stp>209d0d13-9fa1-46df-8492-ec08c0cd02d2</stp>
        <tr r="AM79" s="130"/>
      </tp>
      <tp>
        <v>1</v>
        <stp/>
        <stp>3ce3982f-56ba-4070-b813-e87440929471</stp>
        <tr r="GO8" s="132"/>
      </tp>
    </main>
    <main first="rtdsrv.458a5932996f485b8b1b8d7cbb3f77a6">
      <tp>
        <v>1</v>
        <stp/>
        <stp>78c8b8a1-74fd-45b7-aa28-0fca7472f311</stp>
        <tr r="AW78" s="130"/>
      </tp>
    </main>
    <main first="rtdsrv.458a5932996f485b8b1b8d7cbb3f77a6">
      <tp>
        <v>1</v>
        <stp/>
        <stp>5fa806e6-6997-4086-a1eb-2a46eda96cad</stp>
        <tr r="AS45" s="130"/>
      </tp>
    </main>
    <main first="rtdsrv.458a5932996f485b8b1b8d7cbb3f77a6">
      <tp>
        <v>1</v>
        <stp/>
        <stp>fa0a0caf-445a-49e8-bef8-40aab3e0f820</stp>
        <tr r="AM88" s="130"/>
      </tp>
    </main>
    <main first="rtdsrv.458a5932996f485b8b1b8d7cbb3f77a6">
      <tp>
        <v>1</v>
        <stp/>
        <stp>cd70f6e4-569e-4331-8e64-84b6c4ccf2e4</stp>
        <tr r="C84" s="130"/>
      </tp>
    </main>
    <main first="rtdsrv.458a5932996f485b8b1b8d7cbb3f77a6">
      <tp>
        <v>1</v>
        <stp/>
        <stp>bb5c25f0-5513-40c2-b858-b22d6d9cbaad</stp>
        <tr r="AL14" s="132"/>
      </tp>
      <tp>
        <v>1</v>
        <stp/>
        <stp>d31c8bbc-c0b9-4ba1-9e03-5fea47317026</stp>
        <tr r="AX7" s="132"/>
      </tp>
    </main>
    <main first="rtdsrv.458a5932996f485b8b1b8d7cbb3f77a6">
      <tp>
        <v>1</v>
        <stp/>
        <stp>9f7b0db0-f2b3-438b-92e0-02b65a5b6b40</stp>
        <tr r="EL12" s="132"/>
      </tp>
      <tp>
        <v>1</v>
        <stp/>
        <stp>664b1ecc-e0b8-410e-8e9f-497527d756f5</stp>
        <tr r="J13" s="130"/>
      </tp>
      <tp>
        <v>1</v>
        <stp/>
        <stp>46d5da2c-4adb-46e5-9945-e8f3f95711ed</stp>
        <tr r="I13" s="130"/>
      </tp>
    </main>
    <main first="rtdsrv.458a5932996f485b8b1b8d7cbb3f77a6">
      <tp>
        <v>1</v>
        <stp/>
        <stp>9d48a18e-0861-4c71-a628-c046614a758e</stp>
        <tr r="BG18" s="130"/>
      </tp>
    </main>
    <main first="rtdsrv.458a5932996f485b8b1b8d7cbb3f77a6">
      <tp>
        <v>1</v>
        <stp/>
        <stp>31db311b-ecea-4c7b-9220-34513ddc77c5</stp>
        <tr r="BF22" s="130"/>
      </tp>
    </main>
    <main first="rtdsrv.458a5932996f485b8b1b8d7cbb3f77a6">
      <tp>
        <v>1</v>
        <stp/>
        <stp>7427ef33-2e07-42ee-a376-5ba40f4f7d30</stp>
        <tr r="AK37" s="130"/>
      </tp>
    </main>
    <main first="rtdsrv.458a5932996f485b8b1b8d7cbb3f77a6">
      <tp>
        <v>1</v>
        <stp/>
        <stp>92c4c52b-3c13-4a7b-ba1b-6bcd1eeb82bf</stp>
        <tr r="N71" s="130"/>
      </tp>
    </main>
    <main first="rtdsrv.458a5932996f485b8b1b8d7cbb3f77a6">
      <tp>
        <v>1</v>
        <stp/>
        <stp>a615285b-86b8-4a45-8275-5b207f74db6c</stp>
        <tr r="L55" s="130"/>
      </tp>
      <tp>
        <v>1</v>
        <stp/>
        <stp>c1f54715-11e9-4156-92fa-b5be86d28650</stp>
        <tr r="AO72" s="130"/>
      </tp>
      <tp>
        <v>1</v>
        <stp/>
        <stp>ee9fee22-ff3f-456c-91b8-7174b25c76c4</stp>
        <tr r="W69" s="130"/>
      </tp>
    </main>
    <main first="rtdsrv.458a5932996f485b8b1b8d7cbb3f77a6">
      <tp>
        <v>1</v>
        <stp/>
        <stp>b58ac09e-2c81-404f-9a4d-dccb026baffa</stp>
        <tr r="P71" s="130"/>
      </tp>
    </main>
    <main first="rtdsrv.458a5932996f485b8b1b8d7cbb3f77a6">
      <tp>
        <v>1</v>
        <stp/>
        <stp>4f7e4bfc-40ea-410e-966b-ffcf3bdca511</stp>
        <tr r="GF15" s="132"/>
      </tp>
    </main>
    <main first="rtdsrv.458a5932996f485b8b1b8d7cbb3f77a6">
      <tp>
        <v>1</v>
        <stp/>
        <stp>bf568ca3-6b5a-49cf-bb0f-e65e4da27e1f</stp>
        <tr r="AH42" s="130"/>
      </tp>
    </main>
    <main first="rtdsrv.458a5932996f485b8b1b8d7cbb3f77a6">
      <tp>
        <v>1</v>
        <stp/>
        <stp>4ca6628c-f578-4d5b-9778-3b0421202ccb</stp>
        <tr r="CE15" s="132"/>
      </tp>
    </main>
    <main first="rtdsrv.458a5932996f485b8b1b8d7cbb3f77a6">
      <tp>
        <v>1</v>
        <stp/>
        <stp>0d5719c5-f78f-408e-bae6-c919cc7e53d2</stp>
        <tr r="DM14" s="132"/>
      </tp>
    </main>
    <main first="rtdsrv.458a5932996f485b8b1b8d7cbb3f77a6">
      <tp>
        <v>1</v>
        <stp/>
        <stp>eba6a6a8-806e-4164-8b74-99f11b1f7fff</stp>
        <tr r="P11" s="132"/>
      </tp>
      <tp>
        <v>1</v>
        <stp/>
        <stp>a4385a16-7170-4f43-90ee-53a9af5c7373</stp>
        <tr r="BE15" s="130"/>
      </tp>
      <tp>
        <v>1</v>
        <stp/>
        <stp>2076ee03-eac9-435f-9352-9e27cc2c37a6</stp>
        <tr r="AC8" s="130"/>
      </tp>
    </main>
    <main first="rtdsrv.458a5932996f485b8b1b8d7cbb3f77a6">
      <tp>
        <v>1</v>
        <stp/>
        <stp>18c77f3e-f8be-4a5f-97a5-3b84a94726dc</stp>
        <tr r="AQ44" s="130"/>
      </tp>
    </main>
    <main first="rtdsrv.458a5932996f485b8b1b8d7cbb3f77a6">
      <tp>
        <v>1</v>
        <stp/>
        <stp>2fb0feaa-81d5-4393-912b-b87fb5d69e59</stp>
        <tr r="AK70" s="130"/>
      </tp>
    </main>
    <main first="rtdsrv.458a5932996f485b8b1b8d7cbb3f77a6">
      <tp>
        <v>1</v>
        <stp/>
        <stp>a92b48aa-c37a-48e3-bac2-8d7e27f3535e</stp>
        <tr r="AQ62" s="130"/>
      </tp>
    </main>
    <main first="rtdsrv.458a5932996f485b8b1b8d7cbb3f77a6">
      <tp>
        <v>1</v>
        <stp/>
        <stp>680e19fa-2296-472c-8b1d-931e27e827b3</stp>
        <tr r="N32" s="130"/>
      </tp>
    </main>
    <main first="rtdsrv.458a5932996f485b8b1b8d7cbb3f77a6">
      <tp>
        <v>1</v>
        <stp/>
        <stp>3cf5eea6-3d2f-44f7-8ba0-80ee08ec09e8</stp>
        <tr r="FQ8" s="132"/>
      </tp>
      <tp>
        <v>1</v>
        <stp/>
        <stp>493651eb-0af0-4c84-a76d-8bb1e3241955</stp>
        <tr r="AH87" s="130"/>
      </tp>
    </main>
    <main first="rtdsrv.458a5932996f485b8b1b8d7cbb3f77a6">
      <tp>
        <v>1</v>
        <stp/>
        <stp>b241f473-e200-4c37-b628-abd0d3b3fe8d</stp>
        <tr r="AO7" s="132"/>
      </tp>
    </main>
    <main first="rtdsrv.458a5932996f485b8b1b8d7cbb3f77a6">
      <tp>
        <v>1</v>
        <stp/>
        <stp>96ad0d6e-dc57-4047-a42e-3a54fea40e27</stp>
        <tr r="AN12" s="132"/>
      </tp>
    </main>
    <main first="rtdsrv.458a5932996f485b8b1b8d7cbb3f77a6">
      <tp>
        <v>1</v>
        <stp/>
        <stp>15aafc70-eade-4644-abc3-8df4847ebfbb</stp>
        <tr r="AZ12" s="130"/>
      </tp>
    </main>
    <main first="rtdsrv.458a5932996f485b8b1b8d7cbb3f77a6">
      <tp>
        <v>1</v>
        <stp/>
        <stp>b4223185-3101-472f-a06e-d23b55cde399</stp>
        <tr r="AE68" s="130"/>
      </tp>
      <tp>
        <v>1</v>
        <stp/>
        <stp>fd47a0c3-af71-4d1a-aac5-e0a9744d2af5</stp>
        <tr r="P76" s="130"/>
      </tp>
    </main>
    <main first="rtdsrv.458a5932996f485b8b1b8d7cbb3f77a6">
      <tp>
        <v>1</v>
        <stp/>
        <stp>4c90ce93-ce06-4e5e-800a-1375aa1ab05b</stp>
        <tr r="W22" s="130"/>
      </tp>
    </main>
    <main first="rtdsrv.458a5932996f485b8b1b8d7cbb3f77a6">
      <tp>
        <v>1</v>
        <stp/>
        <stp>87a65263-574a-4d57-a958-1efb2385b61e</stp>
        <tr r="AC59" s="130"/>
      </tp>
    </main>
    <main first="rtdsrv.458a5932996f485b8b1b8d7cbb3f77a6">
      <tp>
        <v>1</v>
        <stp/>
        <stp>aa75a8c3-845b-45dc-ab63-766dceae953b</stp>
        <tr r="O68" s="130"/>
      </tp>
    </main>
    <main first="rtdsrv.458a5932996f485b8b1b8d7cbb3f77a6">
      <tp>
        <v>1</v>
        <stp/>
        <stp>8b678d9b-1b72-452a-8555-2547cb884fcc</stp>
        <tr r="AG86" s="130"/>
      </tp>
      <tp>
        <v>1</v>
        <stp/>
        <stp>a42ea8c1-298e-45aa-8e59-893758fd3930</stp>
        <tr r="AN87" s="130"/>
      </tp>
    </main>
    <main first="rtdsrv.458a5932996f485b8b1b8d7cbb3f77a6">
      <tp>
        <v>1</v>
        <stp/>
        <stp>d7e6c31c-2452-41b2-bab4-075c0ba6ea7f</stp>
        <tr r="BK89" s="130"/>
      </tp>
    </main>
    <main first="rtdsrv.458a5932996f485b8b1b8d7cbb3f77a6">
      <tp>
        <v>1</v>
        <stp/>
        <stp>737fbac0-31c5-40b6-8a3f-8670234f637e</stp>
        <tr r="BB99" s="130"/>
      </tp>
    </main>
    <main first="rtdsrv.458a5932996f485b8b1b8d7cbb3f77a6">
      <tp>
        <v>1</v>
        <stp/>
        <stp>27a0d615-be64-4001-8adb-9c3560dc777a</stp>
        <tr r="O63" s="130"/>
      </tp>
    </main>
    <main first="rtdsrv.458a5932996f485b8b1b8d7cbb3f77a6">
      <tp>
        <v>1</v>
        <stp/>
        <stp>54479789-7d64-4dcb-a676-b4453e87abe5</stp>
        <tr r="U14" s="132"/>
      </tp>
      <tp>
        <v>1</v>
        <stp/>
        <stp>8eb86a09-f702-4e64-8f22-4a832191eff9</stp>
        <tr r="Q86" s="130"/>
      </tp>
    </main>
    <main first="rtdsrv.458a5932996f485b8b1b8d7cbb3f77a6">
      <tp>
        <v>1</v>
        <stp/>
        <stp>2de82add-1486-43a4-9023-001e6d09147f</stp>
        <tr r="AJ64" s="130"/>
      </tp>
    </main>
    <main first="rtdsrv.458a5932996f485b8b1b8d7cbb3f77a6">
      <tp>
        <v>1</v>
        <stp/>
        <stp>ecbb7d20-6f44-417c-bdb1-bcf683d8c25d</stp>
        <tr r="FE8" s="132"/>
      </tp>
    </main>
    <main first="rtdsrv.458a5932996f485b8b1b8d7cbb3f77a6">
      <tp>
        <v>1</v>
        <stp/>
        <stp>95701b48-e3e0-4a17-906d-e40dc01cdee4</stp>
        <tr r="AH66" s="130"/>
      </tp>
    </main>
    <main first="rtdsrv.458a5932996f485b8b1b8d7cbb3f77a6">
      <tp>
        <v>1</v>
        <stp/>
        <stp>eb2f1bc6-a48c-461a-9285-381f432a3ace</stp>
        <tr r="Y25" s="130"/>
      </tp>
    </main>
    <main first="rtdsrv.458a5932996f485b8b1b8d7cbb3f77a6">
      <tp>
        <v>1</v>
        <stp/>
        <stp>3fe8ed9c-46ef-4b93-8414-91dbfd316398</stp>
        <tr r="J55" s="130"/>
      </tp>
      <tp>
        <v>1</v>
        <stp/>
        <stp>9efb2758-8d6f-4800-a3ac-39ab0ea975da</stp>
        <tr r="K46" s="130"/>
        <tr r="K51" s="130"/>
      </tp>
      <tp>
        <v>1</v>
        <stp/>
        <stp>5b878b15-5586-4f73-8e12-0979be10298b</stp>
        <tr r="AW73" s="130"/>
      </tp>
    </main>
    <main first="rtdsrv.458a5932996f485b8b1b8d7cbb3f77a6">
      <tp>
        <v>1</v>
        <stp/>
        <stp>14b58880-8018-4e84-a7b9-2d0195192ab3</stp>
        <tr r="O79" s="130"/>
      </tp>
    </main>
    <main first="rtdsrv.458a5932996f485b8b1b8d7cbb3f77a6">
      <tp>
        <v>1</v>
        <stp/>
        <stp>54a2524b-43b1-41e3-a135-7d4a46f29218</stp>
        <tr r="CN9" s="132"/>
      </tp>
      <tp>
        <v>1</v>
        <stp/>
        <stp>53eb5903-f028-40f8-88c1-586cdd1d99ce</stp>
        <tr r="K43" s="130"/>
      </tp>
    </main>
    <main first="rtdsrv.458a5932996f485b8b1b8d7cbb3f77a6">
      <tp>
        <v>1</v>
        <stp/>
        <stp>40f91713-5153-4b0a-8238-ff353ad50589</stp>
        <tr r="BF6" s="132"/>
      </tp>
    </main>
    <main first="rtdsrv.458a5932996f485b8b1b8d7cbb3f77a6">
      <tp>
        <v>1</v>
        <stp/>
        <stp>5fe0c8c7-fd7d-4738-ae2b-27230d044338</stp>
        <tr r="BB55" s="130"/>
      </tp>
    </main>
    <main first="rtdsrv.458a5932996f485b8b1b8d7cbb3f77a6">
      <tp>
        <v>1</v>
        <stp/>
        <stp>76b560e6-b05d-4405-a3ee-4ff613a7c3dd</stp>
        <tr r="BK81" s="130"/>
      </tp>
      <tp>
        <v>1</v>
        <stp/>
        <stp>dd79eca3-688d-49e3-b110-96997bca8557</stp>
        <tr r="FC9" s="132"/>
      </tp>
    </main>
    <main first="rtdsrv.458a5932996f485b8b1b8d7cbb3f77a6">
      <tp>
        <v>1</v>
        <stp/>
        <stp>7aaf8cc3-f6c8-4c38-bb17-f84d5bdaeeb0</stp>
        <tr r="U63" s="130"/>
      </tp>
      <tp>
        <v>1</v>
        <stp/>
        <stp>520184ba-ceb7-41c8-9b8c-9c994c84e7d6</stp>
        <tr r="GB8" s="132"/>
      </tp>
    </main>
    <main first="rtdsrv.458a5932996f485b8b1b8d7cbb3f77a6">
      <tp>
        <v>1</v>
        <stp/>
        <stp>59efd407-df0c-4a0f-acce-8c29eeffd834</stp>
        <tr r="AD70" s="130"/>
      </tp>
    </main>
    <main first="rtdsrv.458a5932996f485b8b1b8d7cbb3f77a6">
      <tp>
        <v>1</v>
        <stp/>
        <stp>93a16e11-700f-4653-8bba-5e10edcf5ca6</stp>
        <tr r="CQ5" s="132"/>
      </tp>
      <tp>
        <v>1</v>
        <stp/>
        <stp>fd5b28dd-04f5-45d0-8f9f-343162301111</stp>
        <tr r="AB30" s="130"/>
      </tp>
    </main>
    <main first="rtdsrv.458a5932996f485b8b1b8d7cbb3f77a6">
      <tp>
        <v>1</v>
        <stp/>
        <stp>efa103ad-240f-440c-b7ba-3ffff67f4d64</stp>
        <tr r="FB11" s="132"/>
      </tp>
      <tp>
        <v>1</v>
        <stp/>
        <stp>581201cc-005c-4cb3-b5a2-725c18fb331c</stp>
        <tr r="F63" s="130"/>
      </tp>
    </main>
    <main first="rtdsrv.458a5932996f485b8b1b8d7cbb3f77a6">
      <tp>
        <v>1</v>
        <stp/>
        <stp>87f94412-8a5a-45a0-9806-82005b21d902</stp>
        <tr r="GP9" s="132"/>
      </tp>
    </main>
    <main first="rtdsrv.458a5932996f485b8b1b8d7cbb3f77a6">
      <tp>
        <v>1</v>
        <stp/>
        <stp>5a709f2e-577f-4aa6-9bf0-fbf177eafe29</stp>
        <tr r="FJ11" s="132"/>
      </tp>
      <tp>
        <v>1</v>
        <stp/>
        <stp>d25748ff-9377-4c7d-a6ab-3ccbfa7bbfe6</stp>
        <tr r="BK16" s="132"/>
      </tp>
    </main>
    <main first="rtdsrv.458a5932996f485b8b1b8d7cbb3f77a6">
      <tp>
        <v>1</v>
        <stp/>
        <stp>0073bada-7db0-45a3-b711-67e27d67def2</stp>
        <tr r="L59" s="130"/>
      </tp>
    </main>
    <main first="rtdsrv.458a5932996f485b8b1b8d7cbb3f77a6">
      <tp>
        <v>1</v>
        <stp/>
        <stp>5aeb2569-9512-4450-9cd9-dc8c68e0901d</stp>
        <tr r="BG41" s="130"/>
      </tp>
      <tp>
        <v>1</v>
        <stp/>
        <stp>d303d472-f524-450f-b71d-43e3cc516458</stp>
        <tr r="BK5" s="130"/>
      </tp>
    </main>
    <main first="rtdsrv.458a5932996f485b8b1b8d7cbb3f77a6">
      <tp>
        <v>1</v>
        <stp/>
        <stp>3cd52fbd-5194-4835-874f-eae2dffd0da8</stp>
        <tr r="W7" s="132"/>
      </tp>
    </main>
    <main first="rtdsrv.458a5932996f485b8b1b8d7cbb3f77a6">
      <tp>
        <v>1</v>
        <stp/>
        <stp>dfbc7054-d8a0-43c3-a739-bed9a3cb26b1</stp>
        <tr r="Q39" s="130"/>
      </tp>
    </main>
    <main first="rtdsrv.458a5932996f485b8b1b8d7cbb3f77a6">
      <tp>
        <v>1</v>
        <stp/>
        <stp>81fe3384-198a-4669-8493-1a3014ad9459</stp>
        <tr r="C87" s="130"/>
      </tp>
      <tp>
        <v>1</v>
        <stp/>
        <stp>004a809e-085f-456d-97e3-dc42f44c345f</stp>
        <tr r="GN6" s="132"/>
      </tp>
    </main>
    <main first="rtdsrv.458a5932996f485b8b1b8d7cbb3f77a6">
      <tp>
        <v>1</v>
        <stp/>
        <stp>d212837c-91a4-4554-a8df-e52dd748b8d1</stp>
        <tr r="DR13" s="132"/>
      </tp>
    </main>
    <main first="rtdsrv.458a5932996f485b8b1b8d7cbb3f77a6">
      <tp>
        <v>1</v>
        <stp/>
        <stp>93c2ce99-9ab2-4ed4-a710-9109899e6019</stp>
        <tr r="AC38" s="130"/>
      </tp>
    </main>
    <main first="rtdsrv.458a5932996f485b8b1b8d7cbb3f77a6">
      <tp>
        <v>1</v>
        <stp/>
        <stp>6cb61387-aa12-411a-a5c4-06fd4c0a14e1</stp>
        <tr r="BC16" s="132"/>
      </tp>
      <tp>
        <v>1</v>
        <stp/>
        <stp>e96939a9-a0eb-4aff-8455-efbba744f189</stp>
        <tr r="AV68" s="130"/>
      </tp>
    </main>
    <main first="rtdsrv.458a5932996f485b8b1b8d7cbb3f77a6">
      <tp>
        <v>1</v>
        <stp/>
        <stp>929b145c-dedd-4f13-9407-04593c509dbc</stp>
        <tr r="U96" s="130"/>
      </tp>
    </main>
    <main first="rtdsrv.458a5932996f485b8b1b8d7cbb3f77a6">
      <tp>
        <v>1</v>
        <stp/>
        <stp>bdf75ce8-79da-4475-bfef-f52e6a1f2fca</stp>
        <tr r="AB8" s="130"/>
      </tp>
    </main>
    <main first="rtdsrv.458a5932996f485b8b1b8d7cbb3f77a6">
      <tp>
        <v>1</v>
        <stp/>
        <stp>61aeab24-09d2-4527-9927-3696cd9d1fa4</stp>
        <tr r="AV45" s="130"/>
      </tp>
    </main>
    <main first="rtdsrv.458a5932996f485b8b1b8d7cbb3f77a6">
      <tp>
        <v>1</v>
        <stp/>
        <stp>9c9416f6-c949-408b-b47c-af9c96046a1d</stp>
        <tr r="BO13" s="132"/>
      </tp>
    </main>
    <main first="rtdsrv.458a5932996f485b8b1b8d7cbb3f77a6">
      <tp>
        <v>1</v>
        <stp/>
        <stp>89fe1c12-35d7-4714-bc80-07ebff823f2b</stp>
        <tr r="T60" s="130"/>
      </tp>
    </main>
    <main first="rtdsrv.458a5932996f485b8b1b8d7cbb3f77a6">
      <tp>
        <v>1</v>
        <stp/>
        <stp>10843b71-b613-4c87-b4e4-c3ab7f72bef6</stp>
        <tr r="AE19" s="130"/>
      </tp>
    </main>
    <main first="rtdsrv.458a5932996f485b8b1b8d7cbb3f77a6">
      <tp>
        <v>1</v>
        <stp/>
        <stp>c844672a-4d92-4f18-b917-821ebb8f30a6</stp>
        <tr r="AB23" s="130"/>
      </tp>
    </main>
    <main first="rtdsrv.458a5932996f485b8b1b8d7cbb3f77a6">
      <tp>
        <v>1</v>
        <stp/>
        <stp>ba04b69f-3a1c-4ed2-95b6-1fa4e97fe954</stp>
        <tr r="BF7" s="132"/>
      </tp>
    </main>
    <main first="rtdsrv.458a5932996f485b8b1b8d7cbb3f77a6">
      <tp>
        <v>1</v>
        <stp/>
        <stp>2ec567f0-77b4-4050-b0d8-f9778b73d876</stp>
        <tr r="BD16" s="130"/>
      </tp>
    </main>
    <main first="rtdsrv.458a5932996f485b8b1b8d7cbb3f77a6">
      <tp>
        <v>1</v>
        <stp/>
        <stp>50cbdcb7-36d3-4e3e-b5b4-a59547e517b4</stp>
        <tr r="AJ29" s="130"/>
      </tp>
    </main>
    <main first="rtdsrv.458a5932996f485b8b1b8d7cbb3f77a6">
      <tp>
        <v>1</v>
        <stp/>
        <stp>92b1a760-aba8-468e-a318-7e124f620a70</stp>
        <tr r="BI81" s="130"/>
      </tp>
    </main>
    <main first="rtdsrv.458a5932996f485b8b1b8d7cbb3f77a6">
      <tp>
        <v>1</v>
        <stp/>
        <stp>d854b97f-d806-4374-923f-f83139c9812a</stp>
        <tr r="FU11" s="132"/>
      </tp>
    </main>
    <main first="rtdsrv.458a5932996f485b8b1b8d7cbb3f77a6">
      <tp>
        <v>1</v>
        <stp/>
        <stp>3485911e-e2d1-4a32-9f39-4a80fd65262e</stp>
        <tr r="CY7" s="132"/>
      </tp>
    </main>
    <main first="rtdsrv.458a5932996f485b8b1b8d7cbb3f77a6">
      <tp>
        <v>1</v>
        <stp/>
        <stp>8b8ff04c-5e69-4afb-b16f-55cf5ac9251f</stp>
        <tr r="AB9" s="130"/>
      </tp>
    </main>
    <main first="rtdsrv.458a5932996f485b8b1b8d7cbb3f77a6">
      <tp>
        <v>1</v>
        <stp/>
        <stp>82c000c1-8da6-4958-983d-028082096c72</stp>
        <tr r="AP28" s="130"/>
      </tp>
    </main>
    <main first="rtdsrv.458a5932996f485b8b1b8d7cbb3f77a6">
      <tp>
        <v>1</v>
        <stp/>
        <stp>8de4ba97-fcf3-44ec-a228-22e71a8c73ec</stp>
        <tr r="AC34" s="130"/>
      </tp>
    </main>
    <main first="rtdsrv.458a5932996f485b8b1b8d7cbb3f77a6">
      <tp>
        <v>1</v>
        <stp/>
        <stp>93fccabb-e601-41e0-b938-b354a0825e8b</stp>
        <tr r="AT57" s="130"/>
      </tp>
    </main>
    <main first="rtdsrv.458a5932996f485b8b1b8d7cbb3f77a6">
      <tp>
        <v>1</v>
        <stp/>
        <stp>d1adf74d-f5cf-4630-b5be-2b93e0fcd2eb</stp>
        <tr r="BF51" s="130"/>
        <tr r="BF46" s="130"/>
      </tp>
      <tp>
        <v>1</v>
        <stp/>
        <stp>ab19c303-e765-4cda-869a-4120c9bd4686</stp>
        <tr r="AD30" s="130"/>
      </tp>
    </main>
    <main first="rtdsrv.458a5932996f485b8b1b8d7cbb3f77a6">
      <tp>
        <v>1</v>
        <stp/>
        <stp>cd486dd8-18d7-4156-bdea-9794cc760d86</stp>
        <tr r="FL13" s="132"/>
      </tp>
      <tp>
        <v>1</v>
        <stp/>
        <stp>d6b2843f-7551-4766-a7a8-ff17141d1bcf</stp>
        <tr r="AB16" s="132"/>
      </tp>
      <tp>
        <v>1</v>
        <stp/>
        <stp>6c63f154-5052-4e9f-b64b-ca9efb531dbb</stp>
        <tr r="S5" s="132"/>
      </tp>
    </main>
    <main first="rtdsrv.458a5932996f485b8b1b8d7cbb3f77a6">
      <tp>
        <v>1</v>
        <stp/>
        <stp>7849332e-9e20-4015-badc-8c249c8a815f</stp>
        <tr r="GJ7" s="132"/>
      </tp>
      <tp>
        <v>1</v>
        <stp/>
        <stp>d6210470-4940-47a6-b974-d005bd6b3118</stp>
        <tr r="R5" s="132"/>
      </tp>
    </main>
    <main first="rtdsrv.458a5932996f485b8b1b8d7cbb3f77a6">
      <tp>
        <v>1</v>
        <stp/>
        <stp>09b5329d-f16b-4048-829f-19e8ee7baba8</stp>
        <tr r="CK8" s="132"/>
      </tp>
    </main>
    <main first="rtdsrv.458a5932996f485b8b1b8d7cbb3f77a6">
      <tp>
        <v>1</v>
        <stp/>
        <stp>fb0e3e75-7565-49c6-8ea7-36eed1f3b298</stp>
        <tr r="AM5" s="130"/>
      </tp>
    </main>
    <main first="rtdsrv.458a5932996f485b8b1b8d7cbb3f77a6">
      <tp>
        <v>1</v>
        <stp/>
        <stp>c640b6cf-f4ad-42f0-bb7c-431e701be087</stp>
        <tr r="Q32" s="130"/>
      </tp>
    </main>
    <main first="rtdsrv.458a5932996f485b8b1b8d7cbb3f77a6">
      <tp>
        <v>1</v>
        <stp/>
        <stp>66bad0e7-7472-4cd7-bdc1-ee2c8d9cf614</stp>
        <tr r="O64" s="130"/>
      </tp>
    </main>
    <main first="rtdsrv.458a5932996f485b8b1b8d7cbb3f77a6">
      <tp>
        <v>1</v>
        <stp/>
        <stp>400e0a1b-d365-4670-a8c9-31efe4a3a174</stp>
        <tr r="D67" s="130"/>
      </tp>
    </main>
    <main first="rtdsrv.458a5932996f485b8b1b8d7cbb3f77a6">
      <tp>
        <v>1</v>
        <stp/>
        <stp>2eee6159-d1f1-4687-9a5a-ddd1ce835ad5</stp>
        <tr r="C16" s="132"/>
      </tp>
    </main>
    <main first="rtdsrv.458a5932996f485b8b1b8d7cbb3f77a6">
      <tp>
        <v>1</v>
        <stp/>
        <stp>d257afd8-9138-431e-9e7a-968b2b84399a</stp>
        <tr r="BG94" s="130"/>
      </tp>
    </main>
    <main first="rtdsrv.458a5932996f485b8b1b8d7cbb3f77a6">
      <tp>
        <v>1</v>
        <stp/>
        <stp>ea417a68-b542-4858-be05-be878e73b844</stp>
        <tr r="EP11" s="132"/>
      </tp>
    </main>
    <main first="rtdsrv.458a5932996f485b8b1b8d7cbb3f77a6">
      <tp>
        <v>1</v>
        <stp/>
        <stp>b3c1562a-88c8-4109-b48d-8ebfe97e72a9</stp>
        <tr r="BD23" s="130"/>
      </tp>
      <tp>
        <v>1</v>
        <stp/>
        <stp>60dfcb54-f830-43c4-9dd5-baf1a151cf63</stp>
        <tr r="E65" s="130"/>
      </tp>
    </main>
    <main first="rtdsrv.458a5932996f485b8b1b8d7cbb3f77a6">
      <tp>
        <v>1</v>
        <stp/>
        <stp>d88ee724-c224-4f0e-b20c-4e0006e1687a</stp>
        <tr r="AI83" s="130"/>
      </tp>
    </main>
    <main first="rtdsrv.458a5932996f485b8b1b8d7cbb3f77a6">
      <tp>
        <v>1</v>
        <stp/>
        <stp>d412cf0c-8ea0-489f-8899-e16eb2a5fd3e</stp>
        <tr r="AX8" s="132"/>
      </tp>
      <tp>
        <v>1</v>
        <stp/>
        <stp>c2cfe731-88a4-467a-a514-c661200eb9c6</stp>
        <tr r="ED14" s="132"/>
      </tp>
      <tp>
        <v>1</v>
        <stp/>
        <stp>689dded1-9f4d-43c8-bb83-0fa05bc81239</stp>
        <tr r="AW43" s="130"/>
      </tp>
    </main>
    <main first="rtdsrv.458a5932996f485b8b1b8d7cbb3f77a6">
      <tp>
        <v>1</v>
        <stp/>
        <stp>b0e01e27-dd51-47fe-9de3-79ce1ccd4994</stp>
        <tr r="I34" s="130"/>
      </tp>
    </main>
    <main first="rtdsrv.458a5932996f485b8b1b8d7cbb3f77a6">
      <tp>
        <v>1</v>
        <stp/>
        <stp>8309ccaa-8ed0-46c8-8b12-cb09ba60c093</stp>
        <tr r="U31" s="130"/>
      </tp>
      <tp>
        <v>1</v>
        <stp/>
        <stp>23df837c-6083-4f05-9ccf-1ad6c68fdecd</stp>
        <tr r="R56" s="130"/>
      </tp>
    </main>
    <main first="rtdsrv.458a5932996f485b8b1b8d7cbb3f77a6">
      <tp>
        <v>1</v>
        <stp/>
        <stp>fa0af579-0ca7-472a-b76c-af1bf390045a</stp>
        <tr r="F16" s="130"/>
      </tp>
    </main>
    <main first="rtdsrv.458a5932996f485b8b1b8d7cbb3f77a6">
      <tp>
        <v>1</v>
        <stp/>
        <stp>6a7a06a6-a494-4830-9165-0c8114b7a575</stp>
        <tr r="FR14" s="132"/>
      </tp>
    </main>
    <main first="rtdsrv.458a5932996f485b8b1b8d7cbb3f77a6">
      <tp>
        <v>1</v>
        <stp/>
        <stp>4c731190-47b5-4eb9-95bd-8fcc90204966</stp>
        <tr r="J69" s="130"/>
      </tp>
      <tp>
        <v>1</v>
        <stp/>
        <stp>5dc6eb8b-8d16-48c1-b084-9ef56453d4ba</stp>
        <tr r="AL25" s="130"/>
      </tp>
    </main>
    <main first="rtdsrv.458a5932996f485b8b1b8d7cbb3f77a6">
      <tp>
        <v>1</v>
        <stp/>
        <stp>a0e49663-a0ce-40ed-82a9-5e127ecc7022</stp>
        <tr r="AM41" s="130"/>
      </tp>
      <tp>
        <v>1</v>
        <stp/>
        <stp>6f9ce95d-3add-4848-8083-b8a8a20be454</stp>
        <tr r="W52" s="130"/>
        <tr r="W47" s="130"/>
      </tp>
    </main>
    <main first="rtdsrv.458a5932996f485b8b1b8d7cbb3f77a6">
      <tp>
        <v>1</v>
        <stp/>
        <stp>af9be10b-0f6b-4e7a-b8ff-e4c501d8b747</stp>
        <tr r="AF7" s="132"/>
      </tp>
    </main>
    <main first="rtdsrv.458a5932996f485b8b1b8d7cbb3f77a6">
      <tp>
        <v>1</v>
        <stp/>
        <stp>4c5a4807-29c9-4e33-be98-849497ccd2e8</stp>
        <tr r="AM87" s="130"/>
      </tp>
      <tp>
        <v>1</v>
        <stp/>
        <stp>4db7bd3c-7ce1-4def-8c69-1f4c7a7df230</stp>
        <tr r="FG6" s="132"/>
      </tp>
    </main>
    <main first="rtdsrv.458a5932996f485b8b1b8d7cbb3f77a6">
      <tp>
        <v>1</v>
        <stp/>
        <stp>738b09d5-7448-440f-8b5a-b087849bd83b</stp>
        <tr r="AE98" s="130"/>
      </tp>
    </main>
    <main first="rtdsrv.458a5932996f485b8b1b8d7cbb3f77a6">
      <tp>
        <v>1</v>
        <stp/>
        <stp>6b0d815b-f8be-4d1a-8995-6d5b9b3d4950</stp>
        <tr r="AZ23" s="130"/>
      </tp>
      <tp>
        <v>1</v>
        <stp/>
        <stp>cbd6b287-df49-4637-9fed-3d2a9fe4e62a</stp>
        <tr r="Z69" s="130"/>
      </tp>
    </main>
    <main first="rtdsrv.458a5932996f485b8b1b8d7cbb3f77a6">
      <tp>
        <v>1</v>
        <stp/>
        <stp>2cbf8f3f-d2cc-4b1b-a354-121c1e99b3d6</stp>
        <tr r="CX12" s="132"/>
      </tp>
      <tp>
        <v>1</v>
        <stp/>
        <stp>a039fcba-2083-4c6a-9a59-e64027550fb7</stp>
        <tr r="BH76" s="130"/>
      </tp>
    </main>
    <main first="rtdsrv.458a5932996f485b8b1b8d7cbb3f77a6">
      <tp>
        <v>1</v>
        <stp/>
        <stp>e55a5428-cf85-4fff-917b-94a583cfcfe9</stp>
        <tr r="CR12" s="132"/>
      </tp>
    </main>
    <main first="rtdsrv.458a5932996f485b8b1b8d7cbb3f77a6">
      <tp>
        <v>1</v>
        <stp/>
        <stp>f2852774-00a4-4640-b3e8-831cab771ce1</stp>
        <tr r="AI77" s="130"/>
      </tp>
      <tp>
        <v>1</v>
        <stp/>
        <stp>aa503631-02fb-4cf3-ad70-d24112aba15f</stp>
        <tr r="GC5" s="132"/>
      </tp>
      <tp>
        <v>1</v>
        <stp/>
        <stp>8a018592-69de-4936-9041-ccefbb28632f</stp>
        <tr r="AN29" s="130"/>
      </tp>
    </main>
    <main first="rtdsrv.458a5932996f485b8b1b8d7cbb3f77a6">
      <tp>
        <v>1</v>
        <stp/>
        <stp>d7d399c2-072a-4020-8350-097d7ab7f116</stp>
        <tr r="BE28" s="130"/>
      </tp>
      <tp>
        <v>1</v>
        <stp/>
        <stp>0c75e61f-eabb-427c-afa8-2077f1989a50</stp>
        <tr r="EV14" s="132"/>
      </tp>
    </main>
    <main first="rtdsrv.458a5932996f485b8b1b8d7cbb3f77a6">
      <tp>
        <v>1</v>
        <stp/>
        <stp>0fec0309-8925-4f88-86cf-7d89c3b7e34b</stp>
        <tr r="AY16" s="132"/>
      </tp>
    </main>
    <main first="rtdsrv.458a5932996f485b8b1b8d7cbb3f77a6">
      <tp>
        <v>1</v>
        <stp/>
        <stp>833245b8-81ef-443e-9d7f-585ed7e7f124</stp>
        <tr r="AJ80" s="130"/>
      </tp>
      <tp>
        <v>1</v>
        <stp/>
        <stp>6fbb5f7d-9695-4dfe-9152-15f629eb0764</stp>
        <tr r="CK9" s="132"/>
      </tp>
    </main>
    <main first="rtdsrv.458a5932996f485b8b1b8d7cbb3f77a6">
      <tp>
        <v>1</v>
        <stp/>
        <stp>f5cf7451-097c-47c1-a702-0b49e05e908e</stp>
        <tr r="AZ76" s="130"/>
      </tp>
    </main>
    <main first="rtdsrv.458a5932996f485b8b1b8d7cbb3f77a6">
      <tp>
        <v>1</v>
        <stp/>
        <stp>2e18caba-4dec-46b5-8516-2d4997fdd57f</stp>
        <tr r="BF47" s="130"/>
        <tr r="BF52" s="130"/>
      </tp>
      <tp>
        <v>1</v>
        <stp/>
        <stp>f41663e5-7676-4c84-97ac-e1135d61dbbd</stp>
        <tr r="EC6" s="132"/>
      </tp>
    </main>
    <main first="rtdsrv.458a5932996f485b8b1b8d7cbb3f77a6">
      <tp>
        <v>1</v>
        <stp/>
        <stp>6b6af99c-994f-4b87-b4a6-02c63ddc80b5</stp>
        <tr r="AP59" s="130"/>
      </tp>
    </main>
    <main first="rtdsrv.458a5932996f485b8b1b8d7cbb3f77a6">
      <tp>
        <v>1</v>
        <stp/>
        <stp>abb6bfd1-ae93-43ca-80e5-ce4ec4d65bc4</stp>
        <tr r="CR7" s="132"/>
      </tp>
      <tp>
        <v>1</v>
        <stp/>
        <stp>fdbc451f-be9e-4c07-81c5-673d6f7dcdb7</stp>
        <tr r="E15" s="132"/>
      </tp>
    </main>
    <main first="rtdsrv.458a5932996f485b8b1b8d7cbb3f77a6">
      <tp>
        <v>1</v>
        <stp/>
        <stp>8e07f6db-9688-4e6e-ace2-fda3191caeed</stp>
        <tr r="AG88" s="130"/>
      </tp>
    </main>
    <main first="rtdsrv.458a5932996f485b8b1b8d7cbb3f77a6">
      <tp>
        <v>1</v>
        <stp/>
        <stp>218d163e-2e8a-44ca-aad8-0d7584b242f3</stp>
        <tr r="AR74" s="130"/>
      </tp>
    </main>
    <main first="rtdsrv.458a5932996f485b8b1b8d7cbb3f77a6">
      <tp>
        <v>1</v>
        <stp/>
        <stp>b77dd71b-e7b3-4f57-add2-8c2a2ff3ea27</stp>
        <tr r="AB24" s="130"/>
      </tp>
    </main>
    <main first="rtdsrv.458a5932996f485b8b1b8d7cbb3f77a6">
      <tp>
        <v>1</v>
        <stp/>
        <stp>e19aa08f-64be-43a2-9065-cbae10a313e9</stp>
        <tr r="FC11" s="132"/>
      </tp>
    </main>
    <main first="rtdsrv.458a5932996f485b8b1b8d7cbb3f77a6">
      <tp>
        <v>1</v>
        <stp/>
        <stp>419a4b99-3aa0-43e4-a5b7-0818b92ece09</stp>
        <tr r="J44" s="130"/>
      </tp>
    </main>
    <main first="rtdsrv.458a5932996f485b8b1b8d7cbb3f77a6">
      <tp>
        <v>1</v>
        <stp/>
        <stp>0d592975-d002-49e6-9d80-6ccc30f4c6bf</stp>
        <tr r="CP6" s="132"/>
      </tp>
      <tp>
        <v>1</v>
        <stp/>
        <stp>d009297f-9e5d-44da-b6a7-4d334637f005</stp>
        <tr r="AG8" s="132"/>
      </tp>
      <tp>
        <v>1</v>
        <stp/>
        <stp>4af2484d-7feb-4b51-9bdf-b36a7b0f081d</stp>
        <tr r="GX6" s="132"/>
      </tp>
    </main>
    <main first="rtdsrv.458a5932996f485b8b1b8d7cbb3f77a6">
      <tp>
        <v>1</v>
        <stp/>
        <stp>c9380208-8a13-478b-b722-3be3d76ecded</stp>
        <tr r="AR70" s="130"/>
      </tp>
    </main>
    <main first="rtdsrv.458a5932996f485b8b1b8d7cbb3f77a6">
      <tp>
        <v>1</v>
        <stp/>
        <stp>df7c5af6-f1a7-403b-8ee6-e47f5e079e78</stp>
        <tr r="AR5" s="132"/>
      </tp>
    </main>
    <main first="rtdsrv.458a5932996f485b8b1b8d7cbb3f77a6">
      <tp>
        <v>1</v>
        <stp/>
        <stp>7c63303d-d5dd-4315-be0b-b0636549ee68</stp>
        <tr r="CS14" s="132"/>
      </tp>
    </main>
    <main first="rtdsrv.458a5932996f485b8b1b8d7cbb3f77a6">
      <tp>
        <v>1</v>
        <stp/>
        <stp>fdc67057-d2b4-4b4a-84bd-1c5f9d129fb0</stp>
        <tr r="AD12" s="130"/>
      </tp>
      <tp>
        <v>1</v>
        <stp/>
        <stp>dfdbed50-f293-4fa2-a3b6-8f32c8e558e6</stp>
        <tr r="AV40" s="130"/>
      </tp>
    </main>
    <main first="rtdsrv.458a5932996f485b8b1b8d7cbb3f77a6">
      <tp>
        <v>1</v>
        <stp/>
        <stp>66a49cad-2131-4281-b725-14bdb787d58e</stp>
        <tr r="GJ6" s="132"/>
      </tp>
    </main>
    <main first="rtdsrv.458a5932996f485b8b1b8d7cbb3f77a6">
      <tp>
        <v>1</v>
        <stp/>
        <stp>0e8dad18-b307-4691-9dbb-3acb739090d0</stp>
        <tr r="AW11" s="132"/>
      </tp>
    </main>
    <main first="rtdsrv.458a5932996f485b8b1b8d7cbb3f77a6">
      <tp>
        <v>1</v>
        <stp/>
        <stp>c32be3a3-9179-4cdd-8764-f23389339205</stp>
        <tr r="C17" s="130"/>
      </tp>
    </main>
    <main first="rtdsrv.458a5932996f485b8b1b8d7cbb3f77a6">
      <tp>
        <v>1</v>
        <stp/>
        <stp>c996a83a-1956-420a-bb64-c5f83ec05eee</stp>
        <tr r="W33" s="130"/>
      </tp>
    </main>
    <main first="rtdsrv.458a5932996f485b8b1b8d7cbb3f77a6">
      <tp>
        <v>1</v>
        <stp/>
        <stp>ec91daba-c99c-40dd-bc66-fe4132b116ef</stp>
        <tr r="AG75" s="130"/>
      </tp>
    </main>
    <main first="rtdsrv.458a5932996f485b8b1b8d7cbb3f77a6">
      <tp>
        <v>1</v>
        <stp/>
        <stp>4fe13e12-c0c7-4275-8071-907bdcdd3ca7</stp>
        <tr r="AC18" s="130"/>
      </tp>
      <tp>
        <v>1</v>
        <stp/>
        <stp>a71593b4-b873-4f3f-9144-0e5b319a5243</stp>
        <tr r="AK12" s="132"/>
      </tp>
    </main>
    <main first="rtdsrv.458a5932996f485b8b1b8d7cbb3f77a6">
      <tp>
        <v>1</v>
        <stp/>
        <stp>905c23df-971e-42e8-bc8b-69732a02a0db</stp>
        <tr r="S17" s="130"/>
      </tp>
    </main>
    <main first="rtdsrv.458a5932996f485b8b1b8d7cbb3f77a6">
      <tp>
        <v>1</v>
        <stp/>
        <stp>1d4baa6a-9193-4345-9be9-6dfff8212b9f</stp>
        <tr r="Q56" s="130"/>
      </tp>
    </main>
    <main first="rtdsrv.458a5932996f485b8b1b8d7cbb3f77a6">
      <tp>
        <v>1</v>
        <stp/>
        <stp>4b8cc137-5e5f-4281-884d-69ac98402087</stp>
        <tr r="AZ90" s="130"/>
      </tp>
    </main>
    <main first="rtdsrv.458a5932996f485b8b1b8d7cbb3f77a6">
      <tp>
        <v>1</v>
        <stp/>
        <stp>a3f0d40f-c399-4b6b-9801-6737aa930298</stp>
        <tr r="AX40" s="130"/>
      </tp>
    </main>
    <main first="rtdsrv.458a5932996f485b8b1b8d7cbb3f77a6">
      <tp>
        <v>1</v>
        <stp/>
        <stp>6c762a1f-a59a-4943-872e-b7ff105c77e2</stp>
        <tr r="BA14" s="130"/>
        <tr r="BA26" s="130"/>
      </tp>
    </main>
    <main first="rtdsrv.458a5932996f485b8b1b8d7cbb3f77a6">
      <tp>
        <v>1</v>
        <stp/>
        <stp>7b6fc714-1f01-454e-9770-8af22cc59f45</stp>
        <tr r="AU69" s="130"/>
      </tp>
    </main>
    <main first="rtdsrv.458a5932996f485b8b1b8d7cbb3f77a6">
      <tp>
        <v>1</v>
        <stp/>
        <stp>22d6dc3e-4ae9-4598-aaa7-a2d689f91ec1</stp>
        <tr r="BU16" s="132"/>
      </tp>
    </main>
    <main first="rtdsrv.458a5932996f485b8b1b8d7cbb3f77a6">
      <tp>
        <v>1</v>
        <stp/>
        <stp>a1f671dd-718f-4c8d-9462-e4fd8620155c</stp>
        <tr r="AZ41" s="130"/>
      </tp>
    </main>
    <main first="rtdsrv.458a5932996f485b8b1b8d7cbb3f77a6">
      <tp>
        <v>1</v>
        <stp/>
        <stp>9b742749-e745-41df-9805-fbe9ab488406</stp>
        <tr r="BK76" s="130"/>
      </tp>
    </main>
    <main first="rtdsrv.458a5932996f485b8b1b8d7cbb3f77a6">
      <tp>
        <v>1</v>
        <stp/>
        <stp>d0d80827-0ef2-4bd7-b31c-9f1b42992882</stp>
        <tr r="BT9" s="132"/>
      </tp>
    </main>
    <main first="rtdsrv.458a5932996f485b8b1b8d7cbb3f77a6">
      <tp>
        <v>1</v>
        <stp/>
        <stp>3e90d383-1010-45cc-80d6-74a754719214</stp>
        <tr r="BB14" s="130"/>
        <tr r="BB26" s="130"/>
      </tp>
    </main>
    <main first="rtdsrv.458a5932996f485b8b1b8d7cbb3f77a6">
      <tp>
        <v>1</v>
        <stp/>
        <stp>013989d4-2b6a-4ea4-8f60-a0cfd958ac33</stp>
        <tr r="AQ97" s="130"/>
      </tp>
      <tp>
        <v>1</v>
        <stp/>
        <stp>dad01287-a9b0-4b96-81d0-d41571a527e4</stp>
        <tr r="AM32" s="130"/>
      </tp>
      <tp>
        <v>1</v>
        <stp/>
        <stp>ffb56160-dc63-4780-b44d-8a1922ce16a0</stp>
        <tr r="BI30" s="130"/>
      </tp>
    </main>
    <main first="rtdsrv.458a5932996f485b8b1b8d7cbb3f77a6">
      <tp>
        <v>1</v>
        <stp/>
        <stp>729db188-8cb0-4d88-9eb0-d0f7406343c4</stp>
        <tr r="DA12" s="132"/>
      </tp>
    </main>
    <main first="rtdsrv.458a5932996f485b8b1b8d7cbb3f77a6">
      <tp>
        <v>1</v>
        <stp/>
        <stp>3d08726d-fcbd-403e-9246-3e3932b04dca</stp>
        <tr r="W25" s="130"/>
      </tp>
    </main>
    <main first="rtdsrv.458a5932996f485b8b1b8d7cbb3f77a6">
      <tp>
        <v>1</v>
        <stp/>
        <stp>68b70ef9-24a2-40af-8fdb-c9ad0239d4aa</stp>
        <tr r="AV7" s="132"/>
      </tp>
    </main>
    <main first="rtdsrv.458a5932996f485b8b1b8d7cbb3f77a6">
      <tp>
        <v>1</v>
        <stp/>
        <stp>602dc6c3-ef78-46fd-a783-c9b64f150261</stp>
        <tr r="AY99" s="130"/>
      </tp>
    </main>
    <main first="rtdsrv.458a5932996f485b8b1b8d7cbb3f77a6">
      <tp>
        <v>1</v>
        <stp/>
        <stp>c0a609ec-8df0-4d00-ba50-7e3fa6a815cd</stp>
        <tr r="AR65" s="130"/>
      </tp>
      <tp>
        <v>1</v>
        <stp/>
        <stp>b5bcd560-fb06-4c5f-84e5-6e5e6aafe364</stp>
        <tr r="AE32" s="130"/>
      </tp>
    </main>
    <main first="rtdsrv.458a5932996f485b8b1b8d7cbb3f77a6">
      <tp>
        <v>1</v>
        <stp/>
        <stp>ecc18163-a034-468b-9813-5d033263ad10</stp>
        <tr r="S98" s="130"/>
      </tp>
      <tp>
        <v>1</v>
        <stp/>
        <stp>93a49578-bf94-444d-a6c5-f25ea2f10179</stp>
        <tr r="AB42" s="130"/>
      </tp>
    </main>
    <main first="rtdsrv.458a5932996f485b8b1b8d7cbb3f77a6">
      <tp>
        <v>1</v>
        <stp/>
        <stp>12d8b727-6389-494b-9863-dc7fdb6fa45b</stp>
        <tr r="BI7" s="130"/>
      </tp>
      <tp>
        <v>1</v>
        <stp/>
        <stp>50f407bb-f75e-4d79-9662-38f6af78fb2d</stp>
        <tr r="BA92" s="130"/>
      </tp>
    </main>
    <main first="rtdsrv.458a5932996f485b8b1b8d7cbb3f77a6">
      <tp>
        <v>1</v>
        <stp/>
        <stp>a78fbfc6-da1b-48d6-9853-d5fc0f46279f</stp>
        <tr r="Y38" s="130"/>
      </tp>
    </main>
    <main first="rtdsrv.458a5932996f485b8b1b8d7cbb3f77a6">
      <tp>
        <v>1</v>
        <stp/>
        <stp>2cc10969-934a-4d8a-bb4c-57d347635d5e</stp>
        <tr r="DK5" s="132"/>
      </tp>
    </main>
    <main first="rtdsrv.458a5932996f485b8b1b8d7cbb3f77a6">
      <tp>
        <v>1</v>
        <stp/>
        <stp>239e034f-f32f-4ccc-896a-469935257b68</stp>
        <tr r="DC14" s="132"/>
      </tp>
    </main>
    <main first="rtdsrv.458a5932996f485b8b1b8d7cbb3f77a6">
      <tp>
        <v>1</v>
        <stp/>
        <stp>02e57655-05d9-4cbb-be94-f20926614951</stp>
        <tr r="AG29" s="130"/>
      </tp>
    </main>
    <main first="rtdsrv.458a5932996f485b8b1b8d7cbb3f77a6">
      <tp>
        <v>1</v>
        <stp/>
        <stp>a5521bb7-5a6c-4a9d-b3d4-667a73a7756a</stp>
        <tr r="AQ12" s="130"/>
      </tp>
    </main>
    <main first="rtdsrv.458a5932996f485b8b1b8d7cbb3f77a6">
      <tp>
        <v>1</v>
        <stp/>
        <stp>dd2e7807-1b6e-4052-a213-f127d4a279b5</stp>
        <tr r="U6" s="132"/>
      </tp>
      <tp>
        <v>1</v>
        <stp/>
        <stp>4a96ae4b-6475-496d-a178-d1a134669649</stp>
        <tr r="CJ14" s="132"/>
      </tp>
    </main>
    <main first="rtdsrv.458a5932996f485b8b1b8d7cbb3f77a6">
      <tp>
        <v>1</v>
        <stp/>
        <stp>1c78a1ba-2aba-4037-a94d-e377bacbacf7</stp>
        <tr r="N16" s="132"/>
      </tp>
    </main>
    <main first="rtdsrv.458a5932996f485b8b1b8d7cbb3f77a6">
      <tp>
        <v>1</v>
        <stp/>
        <stp>fa004b18-11fc-470e-9139-4f92cdfe145e</stp>
        <tr r="AB6" s="132"/>
      </tp>
      <tp>
        <v>1</v>
        <stp/>
        <stp>c5fc5443-22b7-40b2-b1fa-88b069c9a4c7</stp>
        <tr r="Z92" s="130"/>
      </tp>
    </main>
    <main first="rtdsrv.458a5932996f485b8b1b8d7cbb3f77a6">
      <tp>
        <v>1</v>
        <stp/>
        <stp>1b425c1b-fa91-422a-94bd-9645c9c4e948</stp>
        <tr r="BC58" s="130"/>
      </tp>
      <tp>
        <v>1</v>
        <stp/>
        <stp>57675074-031f-4c0d-8372-5ff5dd1ca44e</stp>
        <tr r="FR15" s="132"/>
      </tp>
    </main>
    <main first="rtdsrv.458a5932996f485b8b1b8d7cbb3f77a6">
      <tp>
        <v>1</v>
        <stp/>
        <stp>29a23b43-3b1e-4604-9272-f45144a1492f</stp>
        <tr r="DV13" s="132"/>
      </tp>
    </main>
    <main first="rtdsrv.458a5932996f485b8b1b8d7cbb3f77a6">
      <tp>
        <v>1</v>
        <stp/>
        <stp>25d980a4-619a-45cf-b4cb-0a26d158342c</stp>
        <tr r="BN13" s="132"/>
      </tp>
    </main>
    <main first="rtdsrv.458a5932996f485b8b1b8d7cbb3f77a6">
      <tp>
        <v>1</v>
        <stp/>
        <stp>4b1d3ed9-151d-4538-b350-3265ccc768f0</stp>
        <tr r="AB18" s="130"/>
      </tp>
    </main>
    <main first="rtdsrv.458a5932996f485b8b1b8d7cbb3f77a6">
      <tp>
        <v>1</v>
        <stp/>
        <stp>0d3c5404-d049-4deb-b877-fb8bceff2467</stp>
        <tr r="BC5" s="130"/>
      </tp>
    </main>
    <main first="rtdsrv.458a5932996f485b8b1b8d7cbb3f77a6">
      <tp>
        <v>1</v>
        <stp/>
        <stp>4961c9da-3432-4da2-8be9-06a4e0a9c03a</stp>
        <tr r="DZ5" s="132"/>
      </tp>
      <tp>
        <v>1</v>
        <stp/>
        <stp>d039f751-a830-4d55-8203-83b3dc773a40</stp>
        <tr r="S19" s="130"/>
      </tp>
    </main>
    <main first="rtdsrv.458a5932996f485b8b1b8d7cbb3f77a6">
      <tp>
        <v>1</v>
        <stp/>
        <stp>c3868859-734c-4ccc-b7ae-4b2d67cc29fb</stp>
        <tr r="BG21" s="130"/>
      </tp>
    </main>
    <main first="rtdsrv.458a5932996f485b8b1b8d7cbb3f77a6">
      <tp>
        <v>1</v>
        <stp/>
        <stp>9a2e72ba-a9b6-4e11-b2df-022d4b00bea1</stp>
        <tr r="AD22" s="130"/>
      </tp>
    </main>
    <main first="rtdsrv.458a5932996f485b8b1b8d7cbb3f77a6">
      <tp>
        <v>1</v>
        <stp/>
        <stp>9b4f459c-513b-48cf-8d5f-ad11a06e8707</stp>
        <tr r="BS6" s="132"/>
      </tp>
    </main>
    <main first="rtdsrv.458a5932996f485b8b1b8d7cbb3f77a6">
      <tp>
        <v>1</v>
        <stp/>
        <stp>2e256fb7-c003-42ea-b7dd-2e0caca7318b</stp>
        <tr r="BA91" s="130"/>
      </tp>
    </main>
    <main first="rtdsrv.458a5932996f485b8b1b8d7cbb3f77a6">
      <tp>
        <v>1</v>
        <stp/>
        <stp>08adcfa7-35d9-4bdc-ba6e-d87d84888f28</stp>
        <tr r="AW24" s="130"/>
      </tp>
      <tp>
        <v>1</v>
        <stp/>
        <stp>b2574e8c-1375-4043-8020-ebbf22936e8a</stp>
        <tr r="AH93" s="130"/>
      </tp>
    </main>
    <main first="rtdsrv.458a5932996f485b8b1b8d7cbb3f77a6">
      <tp>
        <v>1</v>
        <stp/>
        <stp>acbb402f-c53a-4315-9b31-056e7d9d156f</stp>
        <tr r="BN9" s="132"/>
      </tp>
      <tp>
        <v>1</v>
        <stp/>
        <stp>b38f9644-a944-4abb-9179-54cdde3c121c</stp>
        <tr r="AM11" s="130"/>
      </tp>
    </main>
    <main first="rtdsrv.458a5932996f485b8b1b8d7cbb3f77a6">
      <tp>
        <v>1</v>
        <stp/>
        <stp>03702309-fb86-4f64-b951-7ae8d2946fe4</stp>
        <tr r="EP9" s="132"/>
      </tp>
      <tp>
        <v>1</v>
        <stp/>
        <stp>32bfb248-5811-44ed-a1e4-817bbdfaa3f5</stp>
        <tr r="AR81" s="130"/>
      </tp>
    </main>
    <main first="rtdsrv.458a5932996f485b8b1b8d7cbb3f77a6">
      <tp>
        <v>1</v>
        <stp/>
        <stp>1d48c1b7-82a5-4fbb-b10b-14a3fa3f2895</stp>
        <tr r="AO12" s="130"/>
      </tp>
    </main>
    <main first="rtdsrv.458a5932996f485b8b1b8d7cbb3f77a6">
      <tp>
        <v>1</v>
        <stp/>
        <stp>9fe5adb6-c8ff-4a27-a3cd-f6a785554da0</stp>
        <tr r="T7" s="132"/>
      </tp>
    </main>
    <main first="rtdsrv.458a5932996f485b8b1b8d7cbb3f77a6">
      <tp>
        <v>1</v>
        <stp/>
        <stp>cd26337b-15a7-44dd-b992-be093897f4e9</stp>
        <tr r="GJ12" s="132"/>
      </tp>
      <tp>
        <v>1</v>
        <stp/>
        <stp>a63bcf92-9a65-4279-88a8-82f59a80f0c9</stp>
        <tr r="AM63" s="130"/>
      </tp>
    </main>
    <main first="rtdsrv.458a5932996f485b8b1b8d7cbb3f77a6">
      <tp>
        <v>1</v>
        <stp/>
        <stp>7b1dd2b5-7988-4522-9314-430615897086</stp>
        <tr r="DD12" s="132"/>
      </tp>
    </main>
    <main first="rtdsrv.458a5932996f485b8b1b8d7cbb3f77a6">
      <tp>
        <v>1</v>
        <stp/>
        <stp>62fddd3d-7950-4282-96c4-04a92bf49417</stp>
        <tr r="P17" s="130"/>
      </tp>
    </main>
    <main first="rtdsrv.458a5932996f485b8b1b8d7cbb3f77a6">
      <tp>
        <v>1</v>
        <stp/>
        <stp>cfe26269-1907-4e98-bc94-64df165e34a1</stp>
        <tr r="AX55" s="130"/>
      </tp>
    </main>
    <main first="rtdsrv.458a5932996f485b8b1b8d7cbb3f77a6">
      <tp>
        <v>1</v>
        <stp/>
        <stp>7ba6d3b9-eaf0-4534-ad28-6f6382141437</stp>
        <tr r="Q38" s="130"/>
      </tp>
    </main>
    <main first="rtdsrv.458a5932996f485b8b1b8d7cbb3f77a6">
      <tp>
        <v>1</v>
        <stp/>
        <stp>43625ca6-a5dd-42ab-9002-a51e358a7168</stp>
        <tr r="Z12" s="130"/>
      </tp>
    </main>
    <main first="rtdsrv.458a5932996f485b8b1b8d7cbb3f77a6">
      <tp>
        <v>1</v>
        <stp/>
        <stp>4f05e59d-5555-43b3-a4d1-d274dee5740b</stp>
        <tr r="GB13" s="132"/>
      </tp>
    </main>
    <main first="rtdsrv.458a5932996f485b8b1b8d7cbb3f77a6">
      <tp>
        <v>1</v>
        <stp/>
        <stp>1a2b808f-6a2e-431d-af2a-5e5d5d6c6bf1</stp>
        <tr r="HF7" s="132"/>
      </tp>
    </main>
    <main first="rtdsrv.458a5932996f485b8b1b8d7cbb3f77a6">
      <tp>
        <v>1</v>
        <stp/>
        <stp>1da8c6ae-5286-434c-a069-914d83e7cb58</stp>
        <tr r="CB6" s="132"/>
      </tp>
    </main>
    <main first="rtdsrv.458a5932996f485b8b1b8d7cbb3f77a6">
      <tp>
        <v>1</v>
        <stp/>
        <stp>c58a5782-0614-4ff7-b1e4-f49e2ba09d55</stp>
        <tr r="CL11" s="132"/>
      </tp>
      <tp>
        <v>1</v>
        <stp/>
        <stp>a721bf90-6cf2-4633-a43c-fb6676f15a42</stp>
        <tr r="AC13" s="130"/>
      </tp>
    </main>
    <main first="rtdsrv.458a5932996f485b8b1b8d7cbb3f77a6">
      <tp>
        <v>1</v>
        <stp/>
        <stp>ac7d1224-c8f3-45b6-8202-5ba9b6034215</stp>
        <tr r="Y42" s="130"/>
      </tp>
    </main>
    <main first="rtdsrv.458a5932996f485b8b1b8d7cbb3f77a6">
      <tp>
        <v>1</v>
        <stp/>
        <stp>b729a2f2-aa0d-4ced-aed8-83afff5fdc69</stp>
        <tr r="GG14" s="132"/>
      </tp>
    </main>
    <main first="rtdsrv.458a5932996f485b8b1b8d7cbb3f77a6">
      <tp>
        <v>1</v>
        <stp/>
        <stp>2763344f-b9be-41a1-8c96-f447c75f98d9</stp>
        <tr r="Y27" s="130"/>
      </tp>
    </main>
    <main first="rtdsrv.458a5932996f485b8b1b8d7cbb3f77a6">
      <tp>
        <v>1</v>
        <stp/>
        <stp>56199df8-c19e-41a5-9a52-74856b6b0527</stp>
        <tr r="Z25" s="130"/>
      </tp>
    </main>
    <main first="rtdsrv.458a5932996f485b8b1b8d7cbb3f77a6">
      <tp>
        <v>1</v>
        <stp/>
        <stp>0684c2bb-2784-4d5f-9796-885d30495324</stp>
        <tr r="AR88" s="130"/>
      </tp>
    </main>
    <main first="rtdsrv.458a5932996f485b8b1b8d7cbb3f77a6">
      <tp>
        <v>1</v>
        <stp/>
        <stp>c65a7940-9981-4121-934e-cfb7ec479dcf</stp>
        <tr r="AF56" s="130"/>
      </tp>
      <tp>
        <v>1</v>
        <stp/>
        <stp>4281fb20-e70e-460c-b3bc-ee611381908b</stp>
        <tr r="AM14" s="132"/>
      </tp>
    </main>
    <main first="rtdsrv.458a5932996f485b8b1b8d7cbb3f77a6">
      <tp>
        <v>1</v>
        <stp/>
        <stp>131b188f-ef59-4686-a08b-7ee671b28fba</stp>
        <tr r="W21" s="130"/>
      </tp>
    </main>
    <main first="rtdsrv.458a5932996f485b8b1b8d7cbb3f77a6">
      <tp>
        <v>1</v>
        <stp/>
        <stp>1a375dba-782a-4656-98ea-9dd8af755123</stp>
        <tr r="CZ16" s="132"/>
      </tp>
    </main>
    <main first="rtdsrv.458a5932996f485b8b1b8d7cbb3f77a6">
      <tp>
        <v>1</v>
        <stp/>
        <stp>f77be064-7843-4639-99a5-f010397383c7</stp>
        <tr r="G88" s="130"/>
      </tp>
      <tp>
        <v>1</v>
        <stp/>
        <stp>3dd9e03b-f4cb-4b3f-a2a5-159000049b6f</stp>
        <tr r="AZ74" s="130"/>
      </tp>
    </main>
    <main first="rtdsrv.458a5932996f485b8b1b8d7cbb3f77a6">
      <tp>
        <v>1</v>
        <stp/>
        <stp>0aca208f-e1b5-4b40-a5f3-a31cb63e5528</stp>
        <tr r="AC58" s="130"/>
      </tp>
      <tp>
        <v>1</v>
        <stp/>
        <stp>e239aaf0-c813-4cdc-9bed-8de7c530056b</stp>
        <tr r="AH11" s="130"/>
      </tp>
    </main>
    <main first="rtdsrv.458a5932996f485b8b1b8d7cbb3f77a6">
      <tp>
        <v>1</v>
        <stp/>
        <stp>8637ce5d-d5de-4380-a8b8-c2bef235d733</stp>
        <tr r="AB52" s="130"/>
        <tr r="AB47" s="130"/>
      </tp>
    </main>
    <main first="rtdsrv.458a5932996f485b8b1b8d7cbb3f77a6">
      <tp>
        <v>1</v>
        <stp/>
        <stp>8a4b9d85-8427-4255-b552-63b4487f7d6f</stp>
        <tr r="AL44" s="130"/>
      </tp>
      <tp>
        <v>1</v>
        <stp/>
        <stp>1e7a43fc-46cb-44b1-8678-b86da9100718</stp>
        <tr r="GG15" s="132"/>
      </tp>
    </main>
    <main first="rtdsrv.458a5932996f485b8b1b8d7cbb3f77a6">
      <tp>
        <v>1</v>
        <stp/>
        <stp>c28a8cdd-64cb-4ef9-92c8-95b69cbfd99d</stp>
        <tr r="AG93" s="130"/>
      </tp>
    </main>
    <main first="rtdsrv.458a5932996f485b8b1b8d7cbb3f77a6">
      <tp>
        <v>1</v>
        <stp/>
        <stp>a006dc08-f7a0-4403-a20d-77d1418e4bfe</stp>
        <tr r="DP13" s="132"/>
      </tp>
    </main>
    <main first="rtdsrv.458a5932996f485b8b1b8d7cbb3f77a6">
      <tp>
        <v>1</v>
        <stp/>
        <stp>5e183a78-3963-4e2e-9e19-0d20168cace1</stp>
        <tr r="T5" s="132"/>
      </tp>
    </main>
    <main first="rtdsrv.458a5932996f485b8b1b8d7cbb3f77a6">
      <tp>
        <v>1</v>
        <stp/>
        <stp>2540c18d-17f6-4441-b4ce-8832b8f045a0</stp>
        <tr r="Y70" s="130"/>
      </tp>
    </main>
    <main first="rtdsrv.458a5932996f485b8b1b8d7cbb3f77a6">
      <tp>
        <v>1</v>
        <stp/>
        <stp>d39f4d01-05d0-48b8-a2fe-12355853fa58</stp>
        <tr r="BA23" s="130"/>
      </tp>
    </main>
    <main first="rtdsrv.458a5932996f485b8b1b8d7cbb3f77a6">
      <tp>
        <v>1</v>
        <stp/>
        <stp>44992dda-245a-47a0-8960-625e51b965db</stp>
        <tr r="AB31" s="130"/>
      </tp>
    </main>
    <main first="rtdsrv.458a5932996f485b8b1b8d7cbb3f77a6">
      <tp>
        <v>1</v>
        <stp/>
        <stp>1931a209-532b-4e01-8aa5-19a1829aa76e</stp>
        <tr r="W5" s="130"/>
      </tp>
      <tp>
        <v>1</v>
        <stp/>
        <stp>cbf8b310-5fdd-437b-b05a-6b9c0a67eb48</stp>
        <tr r="BY7" s="132"/>
      </tp>
    </main>
    <main first="rtdsrv.458a5932996f485b8b1b8d7cbb3f77a6">
      <tp>
        <v>1</v>
        <stp/>
        <stp>e09d2af8-d85f-46e7-a110-2c6baa232c84</stp>
        <tr r="FN13" s="132"/>
      </tp>
    </main>
    <main first="rtdsrv.458a5932996f485b8b1b8d7cbb3f77a6">
      <tp>
        <v>1</v>
        <stp/>
        <stp>3604c646-092c-4c72-aab6-c7aca3792662</stp>
        <tr r="V89" s="130"/>
      </tp>
    </main>
    <main first="rtdsrv.458a5932996f485b8b1b8d7cbb3f77a6">
      <tp>
        <v>1</v>
        <stp/>
        <stp>58cd7981-35d1-463e-94bb-3d1dcbb53a46</stp>
        <tr r="H5" s="132"/>
      </tp>
    </main>
    <main first="rtdsrv.458a5932996f485b8b1b8d7cbb3f77a6">
      <tp>
        <v>1</v>
        <stp/>
        <stp>947b720a-2c14-4033-b7f9-77ffd3ec675b</stp>
        <tr r="AE35" s="130"/>
      </tp>
    </main>
    <main first="rtdsrv.458a5932996f485b8b1b8d7cbb3f77a6">
      <tp>
        <v>1</v>
        <stp/>
        <stp>236c35da-b6ff-4b4a-b168-c0822282cc7a</stp>
        <tr r="CB7" s="132"/>
      </tp>
      <tp>
        <v>1</v>
        <stp/>
        <stp>9edd80d1-1e25-4856-a37b-e4097a959be7</stp>
        <tr r="AS41" s="130"/>
      </tp>
    </main>
    <main first="rtdsrv.458a5932996f485b8b1b8d7cbb3f77a6">
      <tp>
        <v>1</v>
        <stp/>
        <stp>6e054cb9-2dcd-478b-985a-acb41c89f1fb</stp>
        <tr r="BG28" s="130"/>
      </tp>
    </main>
    <main first="rtdsrv.458a5932996f485b8b1b8d7cbb3f77a6">
      <tp>
        <v>1</v>
        <stp/>
        <stp>47a3b7e4-207b-4910-8229-f11f10013d81</stp>
        <tr r="I13" s="132"/>
      </tp>
    </main>
    <main first="rtdsrv.458a5932996f485b8b1b8d7cbb3f77a6">
      <tp>
        <v>1</v>
        <stp/>
        <stp>ea606064-c3ee-4af2-b003-6a64bf172b34</stp>
        <tr r="BK23" s="130"/>
      </tp>
    </main>
    <main first="rtdsrv.458a5932996f485b8b1b8d7cbb3f77a6">
      <tp>
        <v>1</v>
        <stp/>
        <stp>e1e6fb45-daee-45fc-b567-cf32f74e2f44</stp>
        <tr r="H41" s="130"/>
      </tp>
    </main>
    <main first="rtdsrv.458a5932996f485b8b1b8d7cbb3f77a6">
      <tp>
        <v>1</v>
        <stp/>
        <stp>8b7620da-3636-423d-b76f-2a386f58da1d</stp>
        <tr r="FV11" s="132"/>
      </tp>
      <tp>
        <v>1</v>
        <stp/>
        <stp>02d1fc21-55d5-466b-9335-0bb112007005</stp>
        <tr r="CW14" s="132"/>
      </tp>
    </main>
    <main first="rtdsrv.458a5932996f485b8b1b8d7cbb3f77a6">
      <tp>
        <v>1</v>
        <stp/>
        <stp>68cbe92c-c520-443e-bfd2-4f0cbeb71506</stp>
        <tr r="BA34" s="130"/>
      </tp>
      <tp>
        <v>1</v>
        <stp/>
        <stp>b2b2e938-9028-4f6f-9bbd-a46bb2b37ee0</stp>
        <tr r="AW31" s="130"/>
      </tp>
    </main>
    <main first="rtdsrv.458a5932996f485b8b1b8d7cbb3f77a6">
      <tp>
        <v>1</v>
        <stp/>
        <stp>8d2657fb-6dfe-41fa-ad35-eda37e518cee</stp>
        <tr r="CQ12" s="132"/>
      </tp>
      <tp>
        <v>1</v>
        <stp/>
        <stp>23a922f5-d1ab-4711-a5ad-9a4843be420b</stp>
        <tr r="W42" s="130"/>
      </tp>
      <tp>
        <v>1</v>
        <stp/>
        <stp>33407153-0254-4f5f-bad2-aaec35aa6110</stp>
        <tr r="BI35" s="130"/>
      </tp>
    </main>
    <main first="rtdsrv.458a5932996f485b8b1b8d7cbb3f77a6">
      <tp>
        <v>1</v>
        <stp/>
        <stp>03d567e4-a048-4b9c-9df4-74da416410c7</stp>
        <tr r="AC40" s="130"/>
      </tp>
    </main>
    <main first="rtdsrv.458a5932996f485b8b1b8d7cbb3f77a6">
      <tp>
        <v>1</v>
        <stp/>
        <stp>ad8c3914-2faf-449e-9270-1cb719929205</stp>
        <tr r="HB11" s="132"/>
      </tp>
    </main>
    <main first="rtdsrv.458a5932996f485b8b1b8d7cbb3f77a6">
      <tp>
        <v>1</v>
        <stp/>
        <stp>cb248b7b-6a74-46a4-a235-af26d4d3c627</stp>
        <tr r="BJ15" s="130"/>
      </tp>
    </main>
    <main first="rtdsrv.458a5932996f485b8b1b8d7cbb3f77a6">
      <tp>
        <v>1</v>
        <stp/>
        <stp>6f08970b-15d6-4711-8915-f30cedddfba9</stp>
        <tr r="EK15" s="132"/>
      </tp>
    </main>
    <main first="rtdsrv.458a5932996f485b8b1b8d7cbb3f77a6">
      <tp>
        <v>1</v>
        <stp/>
        <stp>ee0774e7-04b5-41ae-9ce3-00ca37e343a5</stp>
        <tr r="AO35" s="130"/>
      </tp>
    </main>
    <main first="rtdsrv.458a5932996f485b8b1b8d7cbb3f77a6">
      <tp>
        <v>1</v>
        <stp/>
        <stp>e1712647-5cb9-431f-9232-365db0eab47a</stp>
        <tr r="BD79" s="130"/>
      </tp>
    </main>
    <main first="rtdsrv.458a5932996f485b8b1b8d7cbb3f77a6">
      <tp>
        <v>1</v>
        <stp/>
        <stp>2594018f-9f2a-4582-a06d-cedc803229b2</stp>
        <tr r="GF6" s="132"/>
      </tp>
    </main>
    <main first="rtdsrv.458a5932996f485b8b1b8d7cbb3f77a6">
      <tp>
        <v>1</v>
        <stp/>
        <stp>22eecd32-c102-4136-9994-209c5fd9298f</stp>
        <tr r="CN14" s="132"/>
      </tp>
      <tp>
        <v>1</v>
        <stp/>
        <stp>fb0e812f-a10a-48ba-89bd-9d6fd8bde85c</stp>
        <tr r="AS14" s="132"/>
      </tp>
    </main>
    <main first="rtdsrv.458a5932996f485b8b1b8d7cbb3f77a6">
      <tp>
        <v>1</v>
        <stp/>
        <stp>33e6c655-e3cc-40c7-96f1-431c5af3f63d</stp>
        <tr r="U46" s="130"/>
        <tr r="U51" s="130"/>
      </tp>
    </main>
    <main first="rtdsrv.458a5932996f485b8b1b8d7cbb3f77a6">
      <tp>
        <v>1</v>
        <stp/>
        <stp>7d140c9a-a95f-4da0-8e0b-300da670a5b3</stp>
        <tr r="AE44" s="130"/>
      </tp>
    </main>
    <main first="rtdsrv.458a5932996f485b8b1b8d7cbb3f77a6">
      <tp>
        <v>1</v>
        <stp/>
        <stp>16653664-b46a-49db-a211-6dde42e87225</stp>
        <tr r="HH7" s="132"/>
      </tp>
      <tp>
        <v>1</v>
        <stp/>
        <stp>5562b607-6428-4232-b47a-644d1350fbd4</stp>
        <tr r="AV14" s="132"/>
      </tp>
      <tp>
        <v>1</v>
        <stp/>
        <stp>a8408e35-8a13-454a-a533-5adee521a652</stp>
        <tr r="I9" s="132"/>
      </tp>
    </main>
    <main first="rtdsrv.458a5932996f485b8b1b8d7cbb3f77a6">
      <tp>
        <v>1</v>
        <stp/>
        <stp>49ebce50-fbb1-4bff-bd7d-0334e9cad40e</stp>
        <tr r="Q16" s="132"/>
      </tp>
    </main>
    <main first="rtdsrv.458a5932996f485b8b1b8d7cbb3f77a6">
      <tp>
        <v>1</v>
        <stp/>
        <stp>44128226-f7e5-44d4-86fd-21a184b03beb</stp>
        <tr r="BJ88" s="130"/>
      </tp>
      <tp>
        <v>1</v>
        <stp/>
        <stp>24bb4280-8aeb-4a8e-9b70-799799f3a9bf</stp>
        <tr r="AP81" s="130"/>
      </tp>
    </main>
    <main first="rtdsrv.458a5932996f485b8b1b8d7cbb3f77a6">
      <tp>
        <v>1</v>
        <stp/>
        <stp>995ee134-6422-4d35-9a6c-53e78c018820</stp>
        <tr r="K68" s="130"/>
      </tp>
    </main>
    <main first="rtdsrv.458a5932996f485b8b1b8d7cbb3f77a6">
      <tp>
        <v>1</v>
        <stp/>
        <stp>ad2ec7ba-7407-4b4b-a0dc-54e7830f10e7</stp>
        <tr r="T91" s="130"/>
      </tp>
      <tp>
        <v>1</v>
        <stp/>
        <stp>15a5900d-7e81-4434-8178-05298d035590</stp>
        <tr r="AQ34" s="130"/>
      </tp>
      <tp>
        <v>1</v>
        <stp/>
        <stp>354f2714-a13a-4f06-bf6a-bb3b02386fba</stp>
        <tr r="AO40" s="130"/>
      </tp>
      <tp>
        <v>1</v>
        <stp/>
        <stp>afcf8cfa-fcb3-41da-8ee3-15a0c231b503</stp>
        <tr r="DM12" s="132"/>
      </tp>
      <tp>
        <v>1</v>
        <stp/>
        <stp>dd6ab445-bff6-4a2f-9f90-4873daba0a6f</stp>
        <tr r="AS79" s="130"/>
      </tp>
      <tp>
        <v>1</v>
        <stp/>
        <stp>22ff4416-a876-41c2-bbc1-712c5dc2e689</stp>
        <tr r="GE11" s="132"/>
      </tp>
    </main>
    <main first="rtdsrv.458a5932996f485b8b1b8d7cbb3f77a6">
      <tp>
        <v>1</v>
        <stp/>
        <stp>34a264b7-5bad-4eaa-aa66-6e7774193ff5</stp>
        <tr r="AF12" s="132"/>
      </tp>
      <tp>
        <v>1</v>
        <stp/>
        <stp>129bf846-0e00-44be-a457-984bace01d99</stp>
        <tr r="AT70" s="130"/>
      </tp>
      <tp>
        <v>1</v>
        <stp/>
        <stp>2abb6aac-2457-41c9-8f9d-2536ee14b7ff</stp>
        <tr r="AF7" s="130"/>
      </tp>
    </main>
    <main first="rtdsrv.458a5932996f485b8b1b8d7cbb3f77a6">
      <tp>
        <v>1</v>
        <stp/>
        <stp>de30cacc-2c10-4211-b462-809f45777a8b</stp>
        <tr r="GF14" s="132"/>
      </tp>
    </main>
    <main first="rtdsrv.458a5932996f485b8b1b8d7cbb3f77a6">
      <tp>
        <v>1</v>
        <stp/>
        <stp>821f3128-eabe-43b8-8372-dfaa48b9cbdc</stp>
        <tr r="FY7" s="132"/>
      </tp>
    </main>
    <main first="rtdsrv.458a5932996f485b8b1b8d7cbb3f77a6">
      <tp>
        <v>1</v>
        <stp/>
        <stp>5e872bad-ddfe-4805-86ec-9686d228ebdf</stp>
        <tr r="CC16" s="132"/>
      </tp>
    </main>
    <main first="rtdsrv.458a5932996f485b8b1b8d7cbb3f77a6">
      <tp>
        <v>1</v>
        <stp/>
        <stp>f87ab889-0ddb-4b70-88ab-706a63659790</stp>
        <tr r="AS82" s="130"/>
      </tp>
      <tp>
        <v>1</v>
        <stp/>
        <stp>02aa46c9-90c0-4d6a-93fd-0e4f7373f9e2</stp>
        <tr r="AF29" s="130"/>
      </tp>
    </main>
    <main first="rtdsrv.458a5932996f485b8b1b8d7cbb3f77a6">
      <tp>
        <v>1</v>
        <stp/>
        <stp>0e4ffddc-365a-4dfb-9f75-67d1e442013b</stp>
        <tr r="FU16" s="132"/>
      </tp>
    </main>
    <main first="rtdsrv.458a5932996f485b8b1b8d7cbb3f77a6">
      <tp>
        <v>1</v>
        <stp/>
        <stp>177cf4a3-844c-4e72-b4a3-f85cb5c3e06b</stp>
        <tr r="AJ12" s="130"/>
      </tp>
    </main>
    <main first="rtdsrv.458a5932996f485b8b1b8d7cbb3f77a6">
      <tp>
        <v>1</v>
        <stp/>
        <stp>06a471ee-bfff-4988-8790-8c8fddbb669c</stp>
        <tr r="AJ11" s="132"/>
      </tp>
    </main>
    <main first="rtdsrv.458a5932996f485b8b1b8d7cbb3f77a6">
      <tp>
        <v>1</v>
        <stp/>
        <stp>a26836be-02c7-4370-9d3c-f6bf9b4da6bf</stp>
        <tr r="AF65" s="130"/>
      </tp>
      <tp>
        <v>1</v>
        <stp/>
        <stp>11223a8f-28da-4fc4-b0fa-f3a73b4e2479</stp>
        <tr r="AB61" s="130"/>
      </tp>
    </main>
    <main first="rtdsrv.458a5932996f485b8b1b8d7cbb3f77a6">
      <tp>
        <v>1</v>
        <stp/>
        <stp>b9005644-6c34-411b-81f4-b0ac99e7aaf7</stp>
        <tr r="AX34" s="130"/>
      </tp>
    </main>
    <main first="rtdsrv.458a5932996f485b8b1b8d7cbb3f77a6">
      <tp>
        <v>1</v>
        <stp/>
        <stp>b1678409-df5e-4ce7-9652-56a2a421c40d</stp>
        <tr r="BE13" s="130"/>
      </tp>
    </main>
    <main first="rtdsrv.458a5932996f485b8b1b8d7cbb3f77a6">
      <tp>
        <v>1</v>
        <stp/>
        <stp>205eb5d7-82ed-4850-bdb8-bb6a9a8369d4</stp>
        <tr r="AG20" s="130"/>
      </tp>
    </main>
    <main first="rtdsrv.458a5932996f485b8b1b8d7cbb3f77a6">
      <tp>
        <v>1</v>
        <stp/>
        <stp>0aea4b51-0e2f-42cd-8eed-8805fff3296f</stp>
        <tr r="AE23" s="130"/>
      </tp>
    </main>
    <main first="rtdsrv.458a5932996f485b8b1b8d7cbb3f77a6">
      <tp>
        <v>1</v>
        <stp/>
        <stp>4bf87fe0-c6dd-496a-afcd-982fe1b18937</stp>
        <tr r="W87" s="130"/>
      </tp>
    </main>
    <main first="rtdsrv.458a5932996f485b8b1b8d7cbb3f77a6">
      <tp>
        <v>1</v>
        <stp/>
        <stp>4bd4a134-26b6-4557-b82e-ab758f0e7519</stp>
        <tr r="AL56" s="130"/>
      </tp>
    </main>
    <main first="rtdsrv.458a5932996f485b8b1b8d7cbb3f77a6">
      <tp>
        <v>1</v>
        <stp/>
        <stp>d6a8f22d-9123-4048-9a11-be50570433dd</stp>
        <tr r="DZ8" s="132"/>
      </tp>
      <tp>
        <v>1</v>
        <stp/>
        <stp>7a976f17-3503-4a9c-b877-bd0c4e1b2494</stp>
        <tr r="DE5" s="132"/>
      </tp>
    </main>
    <main first="rtdsrv.458a5932996f485b8b1b8d7cbb3f77a6">
      <tp>
        <v>1</v>
        <stp/>
        <stp>6326936c-7299-40a0-aa33-cf99656e528a</stp>
        <tr r="AF11" s="132"/>
      </tp>
    </main>
    <main first="rtdsrv.458a5932996f485b8b1b8d7cbb3f77a6">
      <tp>
        <v>1</v>
        <stp/>
        <stp>bbb76a1f-6b03-431d-9f49-ada40cc3878f</stp>
        <tr r="C5" s="132"/>
      </tp>
    </main>
    <main first="rtdsrv.458a5932996f485b8b1b8d7cbb3f77a6">
      <tp>
        <v>1</v>
        <stp/>
        <stp>248fc4e4-02f7-4a7d-a60c-ce1b519bce7d</stp>
        <tr r="AN59" s="130"/>
      </tp>
      <tp>
        <v>1</v>
        <stp/>
        <stp>db03f6cd-6705-4873-a815-d2c036e7d1df</stp>
        <tr r="AB19" s="130"/>
      </tp>
    </main>
    <main first="rtdsrv.458a5932996f485b8b1b8d7cbb3f77a6">
      <tp>
        <v>1</v>
        <stp/>
        <stp>4fc5457d-b4d1-4181-916d-b0af4ea25674</stp>
        <tr r="EM11" s="132"/>
      </tp>
    </main>
    <main first="rtdsrv.458a5932996f485b8b1b8d7cbb3f77a6">
      <tp>
        <v>1</v>
        <stp/>
        <stp>aeb9a2a4-ba67-468a-9339-8ac002333a80</stp>
        <tr r="BG5" s="130"/>
      </tp>
      <tp>
        <v>1</v>
        <stp/>
        <stp>71c2d8f2-55c9-4a23-9a7d-0418ea5ef8ca</stp>
        <tr r="BQ11" s="132"/>
      </tp>
    </main>
    <main first="rtdsrv.458a5932996f485b8b1b8d7cbb3f77a6">
      <tp>
        <v>1</v>
        <stp/>
        <stp>a4b8c480-bcef-421b-9656-2380e713ad5a</stp>
        <tr r="C11" s="132"/>
      </tp>
      <tp>
        <v>1</v>
        <stp/>
        <stp>238235c8-cfde-4f3e-aff9-e2eac8f2f945</stp>
        <tr r="BJ12" s="130"/>
      </tp>
      <tp>
        <v>1</v>
        <stp/>
        <stp>233a9245-039a-4c4d-bd06-e4646b21ef5f</stp>
        <tr r="T23" s="130"/>
      </tp>
    </main>
    <main first="rtdsrv.458a5932996f485b8b1b8d7cbb3f77a6">
      <tp>
        <v>1</v>
        <stp/>
        <stp>9d37b569-706c-41d1-8a5d-b44fdf49aebe</stp>
        <tr r="D55" s="130"/>
      </tp>
    </main>
    <main first="rtdsrv.458a5932996f485b8b1b8d7cbb3f77a6">
      <tp>
        <v>1</v>
        <stp/>
        <stp>2b68e306-d6c8-459e-b4b2-8966a8a66ff1</stp>
        <tr r="AB97" s="130"/>
      </tp>
      <tp>
        <v>1</v>
        <stp/>
        <stp>6291aae1-0e06-4466-9202-068e66ab20a0</stp>
        <tr r="AR56" s="130"/>
      </tp>
    </main>
    <main first="rtdsrv.458a5932996f485b8b1b8d7cbb3f77a6">
      <tp>
        <v>1</v>
        <stp/>
        <stp>1def9198-e023-4bca-9971-c6ba9572a043</stp>
        <tr r="FQ9" s="132"/>
      </tp>
    </main>
    <main first="rtdsrv.458a5932996f485b8b1b8d7cbb3f77a6">
      <tp>
        <v>1</v>
        <stp/>
        <stp>afced299-556a-4352-9e3b-a04ffdf39acc</stp>
        <tr r="V16" s="132"/>
      </tp>
    </main>
    <main first="rtdsrv.458a5932996f485b8b1b8d7cbb3f77a6">
      <tp>
        <v>1</v>
        <stp/>
        <stp>fa5d066c-542c-4ad2-b307-dbfd2acc669a</stp>
        <tr r="GD16" s="132"/>
      </tp>
    </main>
    <main first="rtdsrv.458a5932996f485b8b1b8d7cbb3f77a6">
      <tp>
        <v>1</v>
        <stp/>
        <stp>68721824-c917-4881-ba0b-e6ce11c190bd</stp>
        <tr r="EZ13" s="132"/>
      </tp>
    </main>
    <main first="rtdsrv.458a5932996f485b8b1b8d7cbb3f77a6">
      <tp>
        <v>1</v>
        <stp/>
        <stp>98405d65-be55-400c-998a-c5930c2bef13</stp>
        <tr r="EJ7" s="132"/>
      </tp>
    </main>
    <main first="rtdsrv.458a5932996f485b8b1b8d7cbb3f77a6">
      <tp>
        <v>1</v>
        <stp/>
        <stp>fcbc6330-df71-4313-9ad9-d6201a8c4a87</stp>
        <tr r="X11" s="132"/>
      </tp>
    </main>
    <main first="rtdsrv.458a5932996f485b8b1b8d7cbb3f77a6">
      <tp>
        <v>1</v>
        <stp/>
        <stp>119b761a-3a9c-416e-8a2f-d1c7354ea2e5</stp>
        <tr r="AG15" s="130"/>
      </tp>
    </main>
    <main first="rtdsrv.458a5932996f485b8b1b8d7cbb3f77a6">
      <tp>
        <v>1</v>
        <stp/>
        <stp>9285584d-6d5b-4a35-b70f-d5665a1bc84b</stp>
        <tr r="Z96" s="130"/>
      </tp>
    </main>
    <main first="rtdsrv.458a5932996f485b8b1b8d7cbb3f77a6">
      <tp>
        <v>1</v>
        <stp/>
        <stp>37b8f3ca-c81d-41bc-86cb-71e6015d9267</stp>
        <tr r="EB12" s="132"/>
      </tp>
    </main>
    <main first="rtdsrv.458a5932996f485b8b1b8d7cbb3f77a6">
      <tp>
        <v>1</v>
        <stp/>
        <stp>99042197-7a79-4b95-881e-fab2574bf8f3</stp>
        <tr r="W6" s="132"/>
      </tp>
      <tp>
        <v>1</v>
        <stp/>
        <stp>0e2d07f7-6b1e-4c4c-9646-d08b85141c4c</stp>
        <tr r="BG27" s="130"/>
      </tp>
    </main>
    <main first="rtdsrv.458a5932996f485b8b1b8d7cbb3f77a6">
      <tp>
        <v>1</v>
        <stp/>
        <stp>0bfe14cd-b9e3-4b82-8ad5-577a1b3e4b01</stp>
        <tr r="V79" s="130"/>
      </tp>
      <tp>
        <v>1</v>
        <stp/>
        <stp>052e08c3-4056-4c69-9e19-e3566f5141e5</stp>
        <tr r="AI16" s="130"/>
      </tp>
    </main>
    <main first="rtdsrv.458a5932996f485b8b1b8d7cbb3f77a6">
      <tp>
        <v>1</v>
        <stp/>
        <stp>9dfe992d-70c2-4978-bd74-3de54729cc92</stp>
        <tr r="AH17" s="130"/>
      </tp>
    </main>
    <main first="rtdsrv.458a5932996f485b8b1b8d7cbb3f77a6">
      <tp>
        <v>1</v>
        <stp/>
        <stp>200c65ea-1c86-458b-ac39-adeb5a0665d6</stp>
        <tr r="BB23" s="130"/>
      </tp>
    </main>
    <main first="rtdsrv.458a5932996f485b8b1b8d7cbb3f77a6">
      <tp>
        <v>1</v>
        <stp/>
        <stp>a1d37093-df43-498c-9e0b-e44b1b6a95db</stp>
        <tr r="BF95" s="130"/>
      </tp>
      <tp>
        <v>1</v>
        <stp/>
        <stp>ea04dc2e-c8f5-4e4b-a92b-23143a06c6fd</stp>
        <tr r="AJ77" s="130"/>
      </tp>
    </main>
    <main first="rtdsrv.458a5932996f485b8b1b8d7cbb3f77a6">
      <tp>
        <v>1</v>
        <stp/>
        <stp>664f21c3-b288-452d-8113-67b896822d39</stp>
        <tr r="DG7" s="132"/>
      </tp>
      <tp>
        <v>1</v>
        <stp/>
        <stp>0e8163cf-ad14-4deb-b2be-8e662466a3e1</stp>
        <tr r="HC11" s="132"/>
      </tp>
      <tp>
        <v>1</v>
        <stp/>
        <stp>841feb73-4e04-43c8-8392-7340ac9b5fcc</stp>
        <tr r="BG57" s="130"/>
      </tp>
    </main>
    <main first="rtdsrv.458a5932996f485b8b1b8d7cbb3f77a6">
      <tp>
        <v>1</v>
        <stp/>
        <stp>5edbb497-0fe9-4650-8a11-97f2d60144c1</stp>
        <tr r="Q61" s="130"/>
      </tp>
    </main>
    <main first="rtdsrv.458a5932996f485b8b1b8d7cbb3f77a6">
      <tp>
        <v>1</v>
        <stp/>
        <stp>29c5b28d-4f8b-48ae-b435-c701f9f462fc</stp>
        <tr r="E55" s="130"/>
      </tp>
    </main>
    <main first="rtdsrv.458a5932996f485b8b1b8d7cbb3f77a6">
      <tp>
        <v>1</v>
        <stp/>
        <stp>f1e0e4a1-38b3-4ff2-a915-c42de1e59efe</stp>
        <tr r="EH7" s="132"/>
      </tp>
    </main>
    <main first="rtdsrv.458a5932996f485b8b1b8d7cbb3f77a6">
      <tp>
        <v>1</v>
        <stp/>
        <stp>03edf6c4-58b5-40c3-8ee2-21724defdff2</stp>
        <tr r="V12" s="130"/>
      </tp>
    </main>
    <main first="rtdsrv.458a5932996f485b8b1b8d7cbb3f77a6">
      <tp>
        <v>1</v>
        <stp/>
        <stp>2bbf7398-7026-4cb1-888a-b82673981198</stp>
        <tr r="DA11" s="132"/>
      </tp>
      <tp>
        <v>1</v>
        <stp/>
        <stp>d084ad28-8062-44a6-8886-6781f14c318e</stp>
        <tr r="BE7" s="130"/>
      </tp>
      <tp>
        <v>1</v>
        <stp/>
        <stp>c748a33c-47da-4575-ae70-fb75839be663</stp>
        <tr r="GA9" s="132"/>
      </tp>
      <tp>
        <v>1</v>
        <stp/>
        <stp>5d5d8056-a9a3-467a-a7fa-5e789ad6ec3f</stp>
        <tr r="FX13" s="132"/>
      </tp>
    </main>
    <main first="rtdsrv.458a5932996f485b8b1b8d7cbb3f77a6">
      <tp>
        <v>1</v>
        <stp/>
        <stp>4d4dc5a0-dc7b-40ce-8f59-2ec0d3b62f79</stp>
        <tr r="BG23" s="130"/>
      </tp>
    </main>
    <main first="rtdsrv.458a5932996f485b8b1b8d7cbb3f77a6">
      <tp>
        <v>1</v>
        <stp/>
        <stp>05c45fa7-a75b-4bf1-a2a1-518d1cc40ef5</stp>
        <tr r="CG8" s="132"/>
      </tp>
    </main>
    <main first="rtdsrv.458a5932996f485b8b1b8d7cbb3f77a6">
      <tp>
        <v>1</v>
        <stp/>
        <stp>3a95a21b-75df-4429-9294-b843911d3853</stp>
        <tr r="EM7" s="132"/>
      </tp>
    </main>
    <main first="rtdsrv.458a5932996f485b8b1b8d7cbb3f77a6">
      <tp>
        <v>1</v>
        <stp/>
        <stp>fd315511-01cb-4423-a107-8f7d1b284382</stp>
        <tr r="J22" s="130"/>
      </tp>
    </main>
    <main first="rtdsrv.458a5932996f485b8b1b8d7cbb3f77a6">
      <tp>
        <v>1</v>
        <stp/>
        <stp>9a2ba883-5224-40ed-869b-cc709bc7ae7b</stp>
        <tr r="AT84" s="130"/>
      </tp>
    </main>
    <main first="rtdsrv.458a5932996f485b8b1b8d7cbb3f77a6">
      <tp>
        <v>1</v>
        <stp/>
        <stp>bc893094-2931-4fbd-9151-79c9e9487ed5</stp>
        <tr r="AZ11" s="130"/>
      </tp>
    </main>
    <main first="rtdsrv.458a5932996f485b8b1b8d7cbb3f77a6">
      <tp>
        <v>1</v>
        <stp/>
        <stp>a86c9705-b822-40c1-949d-b1129c4ccbee</stp>
        <tr r="BE75" s="130"/>
      </tp>
      <tp>
        <v>1</v>
        <stp/>
        <stp>9e50ed77-31e3-46be-a78c-68998cef1a62</stp>
        <tr r="AQ10" s="130"/>
      </tp>
      <tp>
        <v>1</v>
        <stp/>
        <stp>45f0d2fa-de63-4cc2-9692-33285798b9f8</stp>
        <tr r="AW57" s="130"/>
      </tp>
    </main>
    <main first="rtdsrv.458a5932996f485b8b1b8d7cbb3f77a6">
      <tp>
        <v>1</v>
        <stp/>
        <stp>2f5fcc9f-1e83-4a98-a158-8d62998dc1ec</stp>
        <tr r="BX7" s="132"/>
      </tp>
    </main>
    <main first="rtdsrv.458a5932996f485b8b1b8d7cbb3f77a6">
      <tp>
        <v>1</v>
        <stp/>
        <stp>7e1307a0-694a-4e40-81f5-b8d70f1c4937</stp>
        <tr r="DJ11" s="132"/>
      </tp>
    </main>
    <main first="rtdsrv.458a5932996f485b8b1b8d7cbb3f77a6">
      <tp>
        <v>1</v>
        <stp/>
        <stp>6276f99d-55c5-4229-ad30-c0c325256da7</stp>
        <tr r="GR7" s="132"/>
      </tp>
    </main>
    <main first="rtdsrv.458a5932996f485b8b1b8d7cbb3f77a6">
      <tp>
        <v>1</v>
        <stp/>
        <stp>e9ffb34f-512d-4528-99de-0fd506aa8f81</stp>
        <tr r="AL39" s="130"/>
      </tp>
    </main>
    <main first="rtdsrv.458a5932996f485b8b1b8d7cbb3f77a6">
      <tp>
        <v>1</v>
        <stp/>
        <stp>9fa2406b-4ed0-4e04-8ba5-2e74cf82ea3e</stp>
        <tr r="N18" s="130"/>
      </tp>
    </main>
    <main first="rtdsrv.458a5932996f485b8b1b8d7cbb3f77a6">
      <tp>
        <v>1</v>
        <stp/>
        <stp>23eabc58-d9f5-4fb3-bd65-ed21b0dc901a</stp>
        <tr r="AS81" s="130"/>
      </tp>
    </main>
    <main first="rtdsrv.458a5932996f485b8b1b8d7cbb3f77a6">
      <tp>
        <v>1</v>
        <stp/>
        <stp>39fc65f1-22a0-4d30-ba8a-c164117a8c67</stp>
        <tr r="AA92" s="130"/>
      </tp>
      <tp>
        <v>1</v>
        <stp/>
        <stp>1c86e050-ef7b-4554-b819-504563767e53</stp>
        <tr r="AK96" s="130"/>
      </tp>
      <tp>
        <v>1</v>
        <stp/>
        <stp>5ff10a4e-eba2-4e84-86fd-7634ab404178</stp>
        <tr r="Y87" s="130"/>
      </tp>
    </main>
    <main first="rtdsrv.458a5932996f485b8b1b8d7cbb3f77a6">
      <tp>
        <v>1</v>
        <stp/>
        <stp>ab4fb901-0ee9-480e-8f09-187bd62b7e9c</stp>
        <tr r="O25" s="130"/>
      </tp>
    </main>
    <main first="rtdsrv.458a5932996f485b8b1b8d7cbb3f77a6">
      <tp>
        <v>1</v>
        <stp/>
        <stp>725bd5c6-7276-4766-84d8-8184fc049e02</stp>
        <tr r="AW30" s="130"/>
      </tp>
    </main>
    <main first="rtdsrv.458a5932996f485b8b1b8d7cbb3f77a6">
      <tp>
        <v>1</v>
        <stp/>
        <stp>57ee8d00-37f7-40cc-80b7-40a523a4e71f</stp>
        <tr r="AC73" s="130"/>
      </tp>
    </main>
    <main first="rtdsrv.458a5932996f485b8b1b8d7cbb3f77a6">
      <tp>
        <v>1</v>
        <stp/>
        <stp>cb3af9d1-ce89-4913-9d80-2069cea5a31c</stp>
        <tr r="BE25" s="130"/>
      </tp>
    </main>
    <main first="rtdsrv.458a5932996f485b8b1b8d7cbb3f77a6">
      <tp>
        <v>1</v>
        <stp/>
        <stp>821e9f8a-8f21-4797-a3b8-094dbe0c407d</stp>
        <tr r="EK9" s="132"/>
      </tp>
      <tp>
        <v>1</v>
        <stp/>
        <stp>a700890a-7db1-48e6-8f23-9b42b3216953</stp>
        <tr r="BE62" s="130"/>
      </tp>
    </main>
    <main first="rtdsrv.458a5932996f485b8b1b8d7cbb3f77a6">
      <tp>
        <v>1</v>
        <stp/>
        <stp>81be23a0-0ba0-4cf0-a453-dcec20d1c17d</stp>
        <tr r="CT11" s="132"/>
      </tp>
      <tp>
        <v>1</v>
        <stp/>
        <stp>964b1062-d0ec-48e9-908e-bcf16ab6e473</stp>
        <tr r="L82" s="130"/>
      </tp>
    </main>
    <main first="rtdsrv.458a5932996f485b8b1b8d7cbb3f77a6">
      <tp>
        <v>1</v>
        <stp/>
        <stp>29a8f6d0-fd7e-4baa-b77b-6637ee79d9c8</stp>
        <tr r="G85" s="130"/>
      </tp>
    </main>
    <main first="rtdsrv.458a5932996f485b8b1b8d7cbb3f77a6">
      <tp>
        <v>1</v>
        <stp/>
        <stp>9cdeb88c-7c59-4134-a387-add6a31bcb8b</stp>
        <tr r="BE22" s="130"/>
      </tp>
    </main>
    <main first="rtdsrv.458a5932996f485b8b1b8d7cbb3f77a6">
      <tp>
        <v>1</v>
        <stp/>
        <stp>5ebb6938-a6ea-4f15-b82f-39f50dccc2a2</stp>
        <tr r="J33" s="130"/>
      </tp>
      <tp>
        <v>1</v>
        <stp/>
        <stp>3a7dc1af-862d-4770-83e3-4349eb48f96b</stp>
        <tr r="AS59" s="130"/>
      </tp>
    </main>
    <main first="rtdsrv.458a5932996f485b8b1b8d7cbb3f77a6">
      <tp>
        <v>1</v>
        <stp/>
        <stp>6ba92966-8c75-48f7-8782-892858ddd85b</stp>
        <tr r="Y23" s="130"/>
      </tp>
    </main>
    <main first="rtdsrv.458a5932996f485b8b1b8d7cbb3f77a6">
      <tp>
        <v>1</v>
        <stp/>
        <stp>a2ab7631-ddfb-40ff-aa22-120becc21020</stp>
        <tr r="CC12" s="132"/>
      </tp>
    </main>
    <main first="rtdsrv.458a5932996f485b8b1b8d7cbb3f77a6">
      <tp>
        <v>1</v>
        <stp/>
        <stp>559b703e-6eaa-4ae8-8982-668b3dab04a1</stp>
        <tr r="CB9" s="132"/>
      </tp>
      <tp>
        <v>1</v>
        <stp/>
        <stp>74c69de9-5ce5-483e-9001-9c408e24bc7d</stp>
        <tr r="FE16" s="132"/>
      </tp>
    </main>
    <main first="rtdsrv.458a5932996f485b8b1b8d7cbb3f77a6">
      <tp>
        <v>1</v>
        <stp/>
        <stp>1fccce77-33b0-4a77-85d6-bb173047dd29</stp>
        <tr r="EX11" s="132"/>
      </tp>
      <tp>
        <v>1</v>
        <stp/>
        <stp>0ea8b6a1-01d8-4cee-827f-65c0d4bf2e06</stp>
        <tr r="EK12" s="132"/>
      </tp>
      <tp>
        <v>1</v>
        <stp/>
        <stp>55748e06-d3a6-41a2-8acb-dbb86de2f676</stp>
        <tr r="E10" s="130"/>
      </tp>
    </main>
    <main first="rtdsrv.458a5932996f485b8b1b8d7cbb3f77a6">
      <tp>
        <v>1</v>
        <stp/>
        <stp>d75e1fd1-67cb-4be5-8803-2edf43ec7a28</stp>
        <tr r="GU15" s="132"/>
      </tp>
      <tp>
        <v>1</v>
        <stp/>
        <stp>8c7c50f6-7c72-4513-8105-8c2410eb5a6f</stp>
        <tr r="BC90" s="130"/>
      </tp>
    </main>
    <main first="rtdsrv.458a5932996f485b8b1b8d7cbb3f77a6">
      <tp>
        <v>1</v>
        <stp/>
        <stp>46a4fc2f-eb77-4911-a115-865ef6b3be55</stp>
        <tr r="AC19" s="130"/>
      </tp>
    </main>
    <main first="rtdsrv.458a5932996f485b8b1b8d7cbb3f77a6">
      <tp>
        <v>1</v>
        <stp/>
        <stp>d1f51142-0490-44a6-86dc-2cc5055dba58</stp>
        <tr r="BE78" s="130"/>
      </tp>
    </main>
    <main first="rtdsrv.458a5932996f485b8b1b8d7cbb3f77a6">
      <tp>
        <v>1</v>
        <stp/>
        <stp>77c686d0-ad0f-41f7-9fc0-4759327ecd7e</stp>
        <tr r="O52" s="130"/>
        <tr r="O47" s="130"/>
      </tp>
    </main>
    <main first="rtdsrv.458a5932996f485b8b1b8d7cbb3f77a6">
      <tp>
        <v>1</v>
        <stp/>
        <stp>d7fe3cee-3603-4fee-ba25-cf07653546e4</stp>
        <tr r="BA71" s="130"/>
      </tp>
    </main>
    <main first="rtdsrv.458a5932996f485b8b1b8d7cbb3f77a6">
      <tp>
        <v>1</v>
        <stp/>
        <stp>f4c6115c-5b5a-4e03-9626-5e46bbff9c6c</stp>
        <tr r="W55" s="130"/>
      </tp>
    </main>
    <main first="rtdsrv.458a5932996f485b8b1b8d7cbb3f77a6">
      <tp>
        <v>1</v>
        <stp/>
        <stp>ce00b5a9-2e61-47cb-a2b4-a4fd0f8d8e8d</stp>
        <tr r="AP41" s="130"/>
      </tp>
    </main>
    <main first="rtdsrv.458a5932996f485b8b1b8d7cbb3f77a6">
      <tp>
        <v>1</v>
        <stp/>
        <stp>7e43b670-389d-4770-aa5f-b18195036429</stp>
        <tr r="BJ56" s="130"/>
      </tp>
    </main>
    <main first="rtdsrv.458a5932996f485b8b1b8d7cbb3f77a6">
      <tp>
        <v>1</v>
        <stp/>
        <stp>95d68e7f-315c-445a-9444-570cf6989b8e</stp>
        <tr r="T41" s="130"/>
      </tp>
      <tp>
        <v>1</v>
        <stp/>
        <stp>1787c1c6-fca4-4b70-b125-4690e7dab67d</stp>
        <tr r="V17" s="130"/>
      </tp>
    </main>
    <main first="rtdsrv.458a5932996f485b8b1b8d7cbb3f77a6">
      <tp>
        <v>1</v>
        <stp/>
        <stp>cc54cf34-1f49-4877-9e81-b30b0d517935</stp>
        <tr r="AS36" s="130"/>
      </tp>
    </main>
    <main first="rtdsrv.458a5932996f485b8b1b8d7cbb3f77a6">
      <tp>
        <v>1</v>
        <stp/>
        <stp>f9cf684c-7b9c-4ea8-8893-08260c5c19fe</stp>
        <tr r="AS85" s="130"/>
      </tp>
    </main>
    <main first="rtdsrv.458a5932996f485b8b1b8d7cbb3f77a6">
      <tp>
        <v>1</v>
        <stp/>
        <stp>d9747fcb-1401-4250-952f-296b5a3f7ad7</stp>
        <tr r="BH15" s="130"/>
      </tp>
    </main>
    <main first="rtdsrv.458a5932996f485b8b1b8d7cbb3f77a6">
      <tp>
        <v>1</v>
        <stp/>
        <stp>60f55fb4-ccc1-4a34-98df-c6308e6ffcc6</stp>
        <tr r="BA93" s="130"/>
      </tp>
    </main>
    <main first="rtdsrv.458a5932996f485b8b1b8d7cbb3f77a6">
      <tp>
        <v>1</v>
        <stp/>
        <stp>ebe91d28-bcc5-46ae-b6a2-846fbdceae40</stp>
        <tr r="V15" s="130"/>
      </tp>
      <tp>
        <v>1</v>
        <stp/>
        <stp>791934a2-640c-4134-9492-14c536df0a6b</stp>
        <tr r="AS88" s="130"/>
      </tp>
    </main>
    <main first="rtdsrv.458a5932996f485b8b1b8d7cbb3f77a6">
      <tp>
        <v>1</v>
        <stp/>
        <stp>272e1de1-03ab-4c10-9af5-8ccfffbd1e7a</stp>
        <tr r="EK13" s="132"/>
      </tp>
    </main>
    <main first="rtdsrv.458a5932996f485b8b1b8d7cbb3f77a6">
      <tp>
        <v>1</v>
        <stp/>
        <stp>3aee3d33-2bdc-4e63-82b2-64357015e7ce</stp>
        <tr r="EP12" s="132"/>
      </tp>
    </main>
    <main first="rtdsrv.458a5932996f485b8b1b8d7cbb3f77a6">
      <tp>
        <v>1</v>
        <stp/>
        <stp>aac91bf7-706a-4d21-830b-31239af110c3</stp>
        <tr r="EM13" s="132"/>
      </tp>
    </main>
    <main first="rtdsrv.458a5932996f485b8b1b8d7cbb3f77a6">
      <tp>
        <v>1</v>
        <stp/>
        <stp>da917e65-c29b-4417-89b3-f69cbd6f05af</stp>
        <tr r="R16" s="132"/>
      </tp>
    </main>
    <main first="rtdsrv.458a5932996f485b8b1b8d7cbb3f77a6">
      <tp>
        <v>1</v>
        <stp/>
        <stp>416af565-e522-4f08-85ff-97dc68179ef2</stp>
        <tr r="CV12" s="132"/>
      </tp>
      <tp>
        <v>1</v>
        <stp/>
        <stp>189e9b01-76e6-41be-b985-1c9e02bc2419</stp>
        <tr r="AL36" s="130"/>
      </tp>
    </main>
    <main first="rtdsrv.458a5932996f485b8b1b8d7cbb3f77a6">
      <tp>
        <v>1</v>
        <stp/>
        <stp>44245d5f-a676-4f84-836c-c5aec154dbf2</stp>
        <tr r="BA66" s="130"/>
      </tp>
    </main>
    <main first="rtdsrv.458a5932996f485b8b1b8d7cbb3f77a6">
      <tp>
        <v>1</v>
        <stp/>
        <stp>eb47bc38-09f9-41ea-83de-05fc068fabeb</stp>
        <tr r="U76" s="130"/>
      </tp>
    </main>
    <main first="rtdsrv.458a5932996f485b8b1b8d7cbb3f77a6">
      <tp>
        <v>1</v>
        <stp/>
        <stp>32faf1e6-8082-4b65-9e8c-0ef01bf5fd00</stp>
        <tr r="AE60" s="130"/>
      </tp>
      <tp>
        <v>1</v>
        <stp/>
        <stp>71948396-7c10-4d47-ab7b-2d56f37d27ce</stp>
        <tr r="W37" s="130"/>
      </tp>
    </main>
    <main first="rtdsrv.458a5932996f485b8b1b8d7cbb3f77a6">
      <tp>
        <v>1</v>
        <stp/>
        <stp>ab5d44c1-23e8-42c0-a34f-012881f7157b</stp>
        <tr r="P59" s="130"/>
      </tp>
      <tp>
        <v>1</v>
        <stp/>
        <stp>34b8c030-84c2-4d72-a9ad-76d895c819fd</stp>
        <tr r="M65" s="130"/>
      </tp>
    </main>
    <main first="rtdsrv.458a5932996f485b8b1b8d7cbb3f77a6">
      <tp>
        <v>1</v>
        <stp/>
        <stp>e96841a3-57cb-4236-a29a-5246f4fbda28</stp>
        <tr r="AU36" s="130"/>
      </tp>
    </main>
    <main first="rtdsrv.458a5932996f485b8b1b8d7cbb3f77a6">
      <tp>
        <v>1</v>
        <stp/>
        <stp>8b970ff4-69fa-46f3-80af-b448d21db3dd</stp>
        <tr r="DJ13" s="132"/>
      </tp>
      <tp>
        <v>1</v>
        <stp/>
        <stp>e9467506-3791-4929-a80a-05854c8d753c</stp>
        <tr r="FC7" s="132"/>
      </tp>
      <tp>
        <v>1</v>
        <stp/>
        <stp>e7bff202-d513-4391-ae33-d71ced30de77</stp>
        <tr r="FK5" s="132"/>
      </tp>
    </main>
    <main first="rtdsrv.458a5932996f485b8b1b8d7cbb3f77a6">
      <tp>
        <v>1</v>
        <stp/>
        <stp>0b2589ff-fa12-4408-8802-bb7a00bba233</stp>
        <tr r="BE13" s="132"/>
      </tp>
      <tp>
        <v>1</v>
        <stp/>
        <stp>75d6d13b-4b30-4f16-aac4-ef0f1edbe349</stp>
        <tr r="GJ16" s="132"/>
      </tp>
      <tp>
        <v>1</v>
        <stp/>
        <stp>49a8129b-d376-4fbb-9b49-c84dbab925e2</stp>
        <tr r="AF44" s="130"/>
      </tp>
    </main>
    <main first="rtdsrv.458a5932996f485b8b1b8d7cbb3f77a6">
      <tp>
        <v>1</v>
        <stp/>
        <stp>efdf7ddc-c391-44ee-bc0b-62ca5bd4717f</stp>
        <tr r="N75" s="130"/>
      </tp>
    </main>
    <main first="rtdsrv.458a5932996f485b8b1b8d7cbb3f77a6">
      <tp>
        <v>1</v>
        <stp/>
        <stp>a56b0569-e98b-4ffc-b4e9-1be4b2bf4ff3</stp>
        <tr r="AU28" s="130"/>
      </tp>
    </main>
    <main first="rtdsrv.458a5932996f485b8b1b8d7cbb3f77a6">
      <tp>
        <v>1</v>
        <stp/>
        <stp>af691472-f1c4-4124-a32e-fb68d6547379</stp>
        <tr r="P55" s="130"/>
      </tp>
      <tp>
        <v>1</v>
        <stp/>
        <stp>6d593aa1-10ac-439f-a02d-0ebbfc05f33a</stp>
        <tr r="BJ37" s="130"/>
      </tp>
    </main>
    <main first="rtdsrv.458a5932996f485b8b1b8d7cbb3f77a6">
      <tp>
        <v>1</v>
        <stp/>
        <stp>a016bde0-7ef4-4aaf-ba95-f8a3bc6d4228</stp>
        <tr r="BC80" s="130"/>
      </tp>
    </main>
    <main first="rtdsrv.458a5932996f485b8b1b8d7cbb3f77a6">
      <tp>
        <v>1</v>
        <stp/>
        <stp>14053055-be7d-47a3-8348-e416469e661c</stp>
        <tr r="BF89" s="130"/>
      </tp>
    </main>
    <main first="rtdsrv.458a5932996f485b8b1b8d7cbb3f77a6">
      <tp>
        <v>1</v>
        <stp/>
        <stp>e878104c-fbeb-4be8-9f6d-2670d2f38166</stp>
        <tr r="S11" s="130"/>
      </tp>
      <tp>
        <v>1</v>
        <stp/>
        <stp>67c66971-d62e-489b-8aa2-c1b354cdf932</stp>
        <tr r="DT16" s="132"/>
      </tp>
    </main>
    <main first="rtdsrv.458a5932996f485b8b1b8d7cbb3f77a6">
      <tp>
        <v>1</v>
        <stp/>
        <stp>6b212827-8c59-42d1-9c42-aa028d55a76b</stp>
        <tr r="L16" s="132"/>
      </tp>
      <tp>
        <v>1</v>
        <stp/>
        <stp>c8b7f813-1d0e-42d4-9546-1f7dcce76a17</stp>
        <tr r="BF29" s="130"/>
      </tp>
    </main>
    <main first="rtdsrv.458a5932996f485b8b1b8d7cbb3f77a6">
      <tp>
        <v>1</v>
        <stp/>
        <stp>de563146-1cb0-464e-88bf-34e766340505</stp>
        <tr r="AB57" s="130"/>
      </tp>
      <tp>
        <v>1</v>
        <stp/>
        <stp>8021b502-0f5c-4e87-833a-64475a2411a2</stp>
        <tr r="AQ15" s="130"/>
      </tp>
      <tp>
        <v>1</v>
        <stp/>
        <stp>e57041a9-5463-4736-a35d-dd164a1a2bdd</stp>
        <tr r="BH65" s="130"/>
      </tp>
    </main>
    <main first="rtdsrv.458a5932996f485b8b1b8d7cbb3f77a6">
      <tp>
        <v>1</v>
        <stp/>
        <stp>d9340c27-2080-4401-9170-26e76859e53a</stp>
        <tr r="E76" s="130"/>
      </tp>
      <tp>
        <v>1</v>
        <stp/>
        <stp>8b08a3ec-7b73-4eda-806d-6778ebead1c1</stp>
        <tr r="T80" s="130"/>
      </tp>
    </main>
    <main first="rtdsrv.458a5932996f485b8b1b8d7cbb3f77a6">
      <tp>
        <v>1</v>
        <stp/>
        <stp>10dec4d3-5bbd-42a7-8aaf-9d6cf7c2fa37</stp>
        <tr r="J82" s="130"/>
      </tp>
      <tp>
        <v>1</v>
        <stp/>
        <stp>556ffe61-f80a-4340-a5ba-9de0dc8786f6</stp>
        <tr r="Q10" s="130"/>
      </tp>
      <tp>
        <v>1</v>
        <stp/>
        <stp>06eef1cd-80bb-4d70-9625-25696d64a9a0</stp>
        <tr r="AA80" s="130"/>
      </tp>
    </main>
    <main first="rtdsrv.458a5932996f485b8b1b8d7cbb3f77a6">
      <tp>
        <v>1</v>
        <stp/>
        <stp>5f06b1cf-6b54-48f3-80fc-5159550c9e52</stp>
        <tr r="D68" s="130"/>
      </tp>
      <tp>
        <v>1</v>
        <stp/>
        <stp>95ce8e58-92c1-4f49-ba20-f2c7d41341d2</stp>
        <tr r="X13" s="132"/>
      </tp>
      <tp>
        <v>1</v>
        <stp/>
        <stp>ca59e111-da9c-46d6-9915-8e62dea04fe7</stp>
        <tr r="BI80" s="130"/>
      </tp>
    </main>
    <main first="rtdsrv.458a5932996f485b8b1b8d7cbb3f77a6">
      <tp>
        <v>1</v>
        <stp/>
        <stp>3322bfed-bddc-490b-8d12-8312400c32c5</stp>
        <tr r="BF70" s="130"/>
      </tp>
    </main>
    <main first="rtdsrv.458a5932996f485b8b1b8d7cbb3f77a6">
      <tp>
        <v>1</v>
        <stp/>
        <stp>91d0e472-af2e-470b-bf1b-015babd051eb</stp>
        <tr r="Y11" s="132"/>
      </tp>
    </main>
    <main first="rtdsrv.458a5932996f485b8b1b8d7cbb3f77a6">
      <tp>
        <v>1</v>
        <stp/>
        <stp>a6d6c50a-52c1-4287-b700-e2b2c52a0cee</stp>
        <tr r="AC29" s="130"/>
      </tp>
    </main>
    <main first="rtdsrv.458a5932996f485b8b1b8d7cbb3f77a6">
      <tp>
        <v>1</v>
        <stp/>
        <stp>1cae3bce-bdda-4d45-865a-b1d5d251455c</stp>
        <tr r="O36" s="130"/>
      </tp>
    </main>
    <main first="rtdsrv.458a5932996f485b8b1b8d7cbb3f77a6">
      <tp>
        <v>1</v>
        <stp/>
        <stp>231160d5-a970-45bd-ad11-f3d5dfb93784</stp>
        <tr r="U89" s="130"/>
      </tp>
    </main>
    <main first="rtdsrv.458a5932996f485b8b1b8d7cbb3f77a6">
      <tp>
        <v>1</v>
        <stp/>
        <stp>a8d2441e-89ce-4541-b16f-97f88f92c765</stp>
        <tr r="X80" s="130"/>
      </tp>
      <tp>
        <v>1</v>
        <stp/>
        <stp>f7fd0201-de25-4037-9a0c-6f4ae3cecfd6</stp>
        <tr r="L39" s="130"/>
      </tp>
    </main>
    <main first="rtdsrv.458a5932996f485b8b1b8d7cbb3f77a6">
      <tp>
        <v>1</v>
        <stp/>
        <stp>4dfd7912-2efc-4b65-8aaf-6c0f64ff99a1</stp>
        <tr r="AD84" s="130"/>
      </tp>
    </main>
    <main first="rtdsrv.458a5932996f485b8b1b8d7cbb3f77a6">
      <tp>
        <v>1</v>
        <stp/>
        <stp>4062ec9f-1df5-4dd4-9509-f13bdf10dd3d</stp>
        <tr r="N78" s="130"/>
      </tp>
    </main>
    <main first="rtdsrv.458a5932996f485b8b1b8d7cbb3f77a6">
      <tp>
        <v>1</v>
        <stp/>
        <stp>2c2e378d-b874-496a-aa92-190f3dfdff54</stp>
        <tr r="AC12" s="130"/>
      </tp>
      <tp>
        <v>1</v>
        <stp/>
        <stp>000e1a10-1d0c-4e6b-83b6-873541aca3b6</stp>
        <tr r="BE82" s="130"/>
      </tp>
      <tp>
        <v>1</v>
        <stp/>
        <stp>d8c2d443-432b-474f-a7bc-7ffaa9575675</stp>
        <tr r="I37" s="130"/>
      </tp>
    </main>
    <main first="rtdsrv.458a5932996f485b8b1b8d7cbb3f77a6">
      <tp>
        <v>1</v>
        <stp/>
        <stp>9718a8df-8c58-45e1-9f2d-ff42a2a275dc</stp>
        <tr r="BC68" s="130"/>
      </tp>
    </main>
    <main first="rtdsrv.458a5932996f485b8b1b8d7cbb3f77a6">
      <tp>
        <v>1</v>
        <stp/>
        <stp>4d7dda84-79c4-4498-b6af-78ab4bb6fd01</stp>
        <tr r="BT13" s="132"/>
      </tp>
    </main>
    <main first="rtdsrv.458a5932996f485b8b1b8d7cbb3f77a6">
      <tp>
        <v>1</v>
        <stp/>
        <stp>6127a076-10b5-43e5-85f7-6d7a864badbf</stp>
        <tr r="AH21" s="130"/>
      </tp>
    </main>
    <main first="rtdsrv.458a5932996f485b8b1b8d7cbb3f77a6">
      <tp>
        <v>1</v>
        <stp/>
        <stp>b72f21c7-4a96-4193-8340-907adbc5c279</stp>
        <tr r="CK11" s="132"/>
      </tp>
    </main>
    <main first="rtdsrv.458a5932996f485b8b1b8d7cbb3f77a6">
      <tp>
        <v>1</v>
        <stp/>
        <stp>852a56c5-a24a-45bd-8b15-5a46045be743</stp>
        <tr r="BC13" s="132"/>
      </tp>
    </main>
    <main first="rtdsrv.458a5932996f485b8b1b8d7cbb3f77a6">
      <tp>
        <v>1</v>
        <stp/>
        <stp>fc50aa5e-2102-4bea-9ea3-9e07d85c28dc</stp>
        <tr r="AD68" s="130"/>
      </tp>
    </main>
    <main first="rtdsrv.458a5932996f485b8b1b8d7cbb3f77a6">
      <tp>
        <v>1</v>
        <stp/>
        <stp>6c43eecd-08c3-481a-bf40-5bd931c04e40</stp>
        <tr r="AC81" s="130"/>
      </tp>
    </main>
    <main first="rtdsrv.458a5932996f485b8b1b8d7cbb3f77a6">
      <tp>
        <v>1</v>
        <stp/>
        <stp>3a8de2cc-ad52-457f-877e-31dc5bb73e08</stp>
        <tr r="GE16" s="132"/>
      </tp>
    </main>
    <main first="rtdsrv.458a5932996f485b8b1b8d7cbb3f77a6">
      <tp>
        <v>1</v>
        <stp/>
        <stp>f1e8cf95-cacc-4c0d-8d05-0dde4eb714b8</stp>
        <tr r="AT35" s="130"/>
      </tp>
    </main>
    <main first="rtdsrv.458a5932996f485b8b1b8d7cbb3f77a6">
      <tp>
        <v>1</v>
        <stp/>
        <stp>04298e02-ad80-489f-a19c-e90dc48b27a6</stp>
        <tr r="AH46" s="130"/>
        <tr r="AH51" s="130"/>
      </tp>
    </main>
    <main first="rtdsrv.458a5932996f485b8b1b8d7cbb3f77a6">
      <tp>
        <v>1</v>
        <stp/>
        <stp>fa97c211-1c40-4257-bc21-f32925a494ea</stp>
        <tr r="CI11" s="132"/>
      </tp>
    </main>
    <main first="rtdsrv.458a5932996f485b8b1b8d7cbb3f77a6">
      <tp>
        <v>1</v>
        <stp/>
        <stp>fdff1fb6-44dc-464f-876b-11880f193d6e</stp>
        <tr r="G70" s="130"/>
      </tp>
    </main>
    <main first="rtdsrv.458a5932996f485b8b1b8d7cbb3f77a6">
      <tp>
        <v>1</v>
        <stp/>
        <stp>a6e79b85-6ee3-4cf7-bdf8-bf0d0a81eae4</stp>
        <tr r="BI25" s="130"/>
      </tp>
    </main>
    <main first="rtdsrv.458a5932996f485b8b1b8d7cbb3f77a6">
      <tp>
        <v>1</v>
        <stp/>
        <stp>844be7ce-0850-4da7-9825-f11fad2c264f</stp>
        <tr r="AT65" s="130"/>
      </tp>
    </main>
    <main first="rtdsrv.458a5932996f485b8b1b8d7cbb3f77a6">
      <tp>
        <v>1</v>
        <stp/>
        <stp>572f1058-2715-4c7f-ba58-af33a7ee9b33</stp>
        <tr r="W18" s="130"/>
      </tp>
    </main>
    <main first="rtdsrv.458a5932996f485b8b1b8d7cbb3f77a6">
      <tp>
        <v>1</v>
        <stp/>
        <stp>6be9caef-ff9c-4b3f-b963-d042fc605390</stp>
        <tr r="BC60" s="130"/>
      </tp>
      <tp>
        <v>1</v>
        <stp/>
        <stp>20959f9a-6525-4d0e-a8b9-afe1ee66b115</stp>
        <tr r="P29" s="130"/>
      </tp>
      <tp>
        <v>1</v>
        <stp/>
        <stp>2dd8fb34-928f-4207-b76a-187a6d9c67d7</stp>
        <tr r="AZ8" s="130"/>
      </tp>
    </main>
    <main first="rtdsrv.458a5932996f485b8b1b8d7cbb3f77a6">
      <tp>
        <v>1</v>
        <stp/>
        <stp>882b65da-4c7c-4478-8c46-c192adc4557f</stp>
        <tr r="FG14" s="132"/>
      </tp>
    </main>
    <main first="rtdsrv.458a5932996f485b8b1b8d7cbb3f77a6">
      <tp>
        <v>1</v>
        <stp/>
        <stp>a6269d3a-7b73-4750-9ef7-51c95dad639d</stp>
        <tr r="BV8" s="132"/>
      </tp>
    </main>
    <main first="rtdsrv.458a5932996f485b8b1b8d7cbb3f77a6">
      <tp>
        <v>1</v>
        <stp/>
        <stp>ccfbcf90-bb0c-45b2-ad1b-103e2b30bc01</stp>
        <tr r="W16" s="130"/>
      </tp>
      <tp>
        <v>1</v>
        <stp/>
        <stp>2e463ec6-9279-4c97-86f5-a96ab715238f</stp>
        <tr r="CY11" s="132"/>
      </tp>
    </main>
    <main first="rtdsrv.458a5932996f485b8b1b8d7cbb3f77a6">
      <tp>
        <v>1</v>
        <stp/>
        <stp>119d98cf-5103-4dac-878d-444c90f3262c</stp>
        <tr r="AH5" s="132"/>
      </tp>
      <tp>
        <v>1</v>
        <stp/>
        <stp>5731e0ec-6356-423b-9c6a-77e57f629a80</stp>
        <tr r="AH16" s="130"/>
      </tp>
    </main>
    <main first="rtdsrv.458a5932996f485b8b1b8d7cbb3f77a6">
      <tp>
        <v>1</v>
        <stp/>
        <stp>74af5bf2-a407-4d5b-a9dc-52ddb0921fb0</stp>
        <tr r="BF9" s="130"/>
      </tp>
    </main>
    <main first="rtdsrv.458a5932996f485b8b1b8d7cbb3f77a6">
      <tp>
        <v>1</v>
        <stp/>
        <stp>fd043675-d3e9-484a-bbf7-7989cd2839f2</stp>
        <tr r="DT6" s="132"/>
      </tp>
    </main>
    <main first="rtdsrv.458a5932996f485b8b1b8d7cbb3f77a6">
      <tp>
        <v>1</v>
        <stp/>
        <stp>9e5e96b4-d78c-4000-bfb7-3052b2471294</stp>
        <tr r="BJ23" s="130"/>
      </tp>
    </main>
    <main first="rtdsrv.458a5932996f485b8b1b8d7cbb3f77a6">
      <tp>
        <v>1</v>
        <stp/>
        <stp>a58c86d3-0a6d-48f3-b61c-9fb4da140ce2</stp>
        <tr r="O7" s="130"/>
      </tp>
    </main>
    <main first="rtdsrv.458a5932996f485b8b1b8d7cbb3f77a6">
      <tp>
        <v>1</v>
        <stp/>
        <stp>51abad8e-3b88-4952-88fe-6ebe93dd8106</stp>
        <tr r="AV26" s="130"/>
        <tr r="AV14" s="130"/>
      </tp>
    </main>
    <main first="rtdsrv.458a5932996f485b8b1b8d7cbb3f77a6">
      <tp>
        <v>1</v>
        <stp/>
        <stp>a67df404-086e-44be-b8c4-9b73303173fd</stp>
        <tr r="CN12" s="132"/>
      </tp>
    </main>
    <main first="rtdsrv.458a5932996f485b8b1b8d7cbb3f77a6">
      <tp>
        <v>1</v>
        <stp/>
        <stp>4ddf7eb9-e8d4-44f3-a2c2-82c935122f75</stp>
        <tr r="AV44" s="130"/>
      </tp>
    </main>
    <main first="rtdsrv.458a5932996f485b8b1b8d7cbb3f77a6">
      <tp>
        <v>1</v>
        <stp/>
        <stp>f7c20456-c2ac-42bb-ba45-cb4aa851b999</stp>
        <tr r="DR5" s="132"/>
      </tp>
      <tp>
        <v>1</v>
        <stp/>
        <stp>563e0202-7274-4ef7-8f15-de1cac8f2fdd</stp>
        <tr r="BH68" s="130"/>
      </tp>
    </main>
    <main first="rtdsrv.458a5932996f485b8b1b8d7cbb3f77a6">
      <tp>
        <v>1</v>
        <stp/>
        <stp>a00923e0-294d-4d1f-b4f3-37736d70f76b</stp>
        <tr r="BI63" s="130"/>
      </tp>
    </main>
    <main first="rtdsrv.458a5932996f485b8b1b8d7cbb3f77a6">
      <tp>
        <v>1</v>
        <stp/>
        <stp>d3faa490-1a66-4eb6-91c8-1cf25c81a61a</stp>
        <tr r="J60" s="130"/>
      </tp>
    </main>
    <main first="rtdsrv.458a5932996f485b8b1b8d7cbb3f77a6">
      <tp>
        <v>1</v>
        <stp/>
        <stp>8dfeb9df-c6dd-4fe8-9337-f1dceb9e9379</stp>
        <tr r="BD84" s="130"/>
      </tp>
    </main>
    <main first="rtdsrv.458a5932996f485b8b1b8d7cbb3f77a6">
      <tp>
        <v>1</v>
        <stp/>
        <stp>1ebc8c70-16f4-4082-b9da-a66e1fd3dd97</stp>
        <tr r="O16" s="132"/>
      </tp>
      <tp>
        <v>1</v>
        <stp/>
        <stp>7d1207be-aeec-4643-b3d9-6910f831f1db</stp>
        <tr r="BU15" s="132"/>
      </tp>
    </main>
    <main first="rtdsrv.458a5932996f485b8b1b8d7cbb3f77a6">
      <tp>
        <v>1</v>
        <stp/>
        <stp>a8b560c5-4334-4849-bf33-21d0fd5b4697</stp>
        <tr r="O13" s="130"/>
      </tp>
    </main>
    <main first="rtdsrv.458a5932996f485b8b1b8d7cbb3f77a6">
      <tp>
        <v>1</v>
        <stp/>
        <stp>b19244c8-0c87-44e6-9238-2cae6b89ed24</stp>
        <tr r="L77" s="130"/>
      </tp>
    </main>
    <main first="rtdsrv.458a5932996f485b8b1b8d7cbb3f77a6">
      <tp>
        <v>1</v>
        <stp/>
        <stp>f2b49ee0-592a-4ee5-a758-46c6028c0376</stp>
        <tr r="K85" s="130"/>
      </tp>
      <tp>
        <v>1</v>
        <stp/>
        <stp>5dab9a1f-6ac3-4adb-a215-2c22cbd10485</stp>
        <tr r="E66" s="130"/>
      </tp>
    </main>
    <main first="rtdsrv.458a5932996f485b8b1b8d7cbb3f77a6">
      <tp>
        <v>1</v>
        <stp/>
        <stp>132de882-3c79-4da1-998a-82b107be0ab8</stp>
        <tr r="I5" s="132"/>
      </tp>
      <tp>
        <v>1</v>
        <stp/>
        <stp>52d2199c-2ceb-4880-90e7-7861c109f0eb</stp>
        <tr r="BG64" s="130"/>
      </tp>
      <tp>
        <v>1</v>
        <stp/>
        <stp>ec62d77c-6912-474a-841a-6a56d6d2b0b5</stp>
        <tr r="AE96" s="130"/>
      </tp>
    </main>
    <main first="rtdsrv.458a5932996f485b8b1b8d7cbb3f77a6">
      <tp>
        <v>1</v>
        <stp/>
        <stp>ebfb02f1-dc71-432c-b3e5-d00983535d99</stp>
        <tr r="DO15" s="132"/>
      </tp>
    </main>
    <main first="rtdsrv.458a5932996f485b8b1b8d7cbb3f77a6">
      <tp>
        <v>1</v>
        <stp/>
        <stp>2c8ed1fb-deca-419c-96ff-25761b38813c</stp>
        <tr r="AF9" s="130"/>
      </tp>
    </main>
    <main first="rtdsrv.458a5932996f485b8b1b8d7cbb3f77a6">
      <tp>
        <v>1</v>
        <stp/>
        <stp>f7b80c25-3d6e-451e-a7b8-f2d23237c51f</stp>
        <tr r="GM9" s="132"/>
      </tp>
    </main>
    <main first="rtdsrv.458a5932996f485b8b1b8d7cbb3f77a6">
      <tp>
        <v>1</v>
        <stp/>
        <stp>0df7c5fc-3d22-4a0f-a735-33903a1fb02d</stp>
        <tr r="DD7" s="132"/>
      </tp>
      <tp>
        <v>1</v>
        <stp/>
        <stp>d23601b2-75df-4108-8f80-6ad151c03188</stp>
        <tr r="CZ15" s="132"/>
      </tp>
    </main>
    <main first="rtdsrv.458a5932996f485b8b1b8d7cbb3f77a6">
      <tp>
        <v>1</v>
        <stp/>
        <stp>a321d14e-c1c7-4a68-8984-5209fe975ca8</stp>
        <tr r="G89" s="130"/>
      </tp>
    </main>
    <main first="rtdsrv.458a5932996f485b8b1b8d7cbb3f77a6">
      <tp>
        <v>1</v>
        <stp/>
        <stp>f36c62e7-72c9-4c13-b8d3-55157818c99c</stp>
        <tr r="HD15" s="132"/>
      </tp>
    </main>
    <main first="rtdsrv.458a5932996f485b8b1b8d7cbb3f77a6">
      <tp>
        <v>1</v>
        <stp/>
        <stp>456125d3-5889-4601-93f5-acb0dca6d770</stp>
        <tr r="FS7" s="132"/>
      </tp>
    </main>
    <main first="rtdsrv.458a5932996f485b8b1b8d7cbb3f77a6">
      <tp>
        <v>1</v>
        <stp/>
        <stp>24a795d6-61ca-48ae-b608-5a1782528dc2</stp>
        <tr r="Z5" s="132"/>
      </tp>
    </main>
    <main first="rtdsrv.458a5932996f485b8b1b8d7cbb3f77a6">
      <tp>
        <v>1</v>
        <stp/>
        <stp>fe67170c-36d2-4332-bffd-9648a4a23c55</stp>
        <tr r="AW20" s="130"/>
      </tp>
    </main>
    <main first="rtdsrv.458a5932996f485b8b1b8d7cbb3f77a6">
      <tp>
        <v>1</v>
        <stp/>
        <stp>b04a6514-9944-484e-a098-65412912c850</stp>
        <tr r="AM68" s="130"/>
      </tp>
    </main>
    <main first="rtdsrv.458a5932996f485b8b1b8d7cbb3f77a6">
      <tp>
        <v>1</v>
        <stp/>
        <stp>2a498aa3-3bae-4f57-8936-20c8d5f86f1c</stp>
        <tr r="D14" s="132"/>
      </tp>
    </main>
    <main first="rtdsrv.458a5932996f485b8b1b8d7cbb3f77a6">
      <tp>
        <v>1</v>
        <stp/>
        <stp>1121686a-26e3-4e6c-ba2e-a8e46518936b</stp>
        <tr r="BB94" s="130"/>
      </tp>
    </main>
    <main first="rtdsrv.458a5932996f485b8b1b8d7cbb3f77a6">
      <tp>
        <v>1</v>
        <stp/>
        <stp>192090af-c124-47e9-947e-ccf097cdcd78</stp>
        <tr r="AJ5" s="132"/>
      </tp>
    </main>
    <main first="rtdsrv.458a5932996f485b8b1b8d7cbb3f77a6">
      <tp>
        <v>1</v>
        <stp/>
        <stp>b74fe340-ef9c-46b7-a402-a3bd2e43bd7e</stp>
        <tr r="AH24" s="130"/>
      </tp>
    </main>
    <main first="rtdsrv.458a5932996f485b8b1b8d7cbb3f77a6">
      <tp>
        <v>1</v>
        <stp/>
        <stp>a2ca4fa3-387b-47b3-9dc6-3db8578c20c9</stp>
        <tr r="Z27" s="130"/>
      </tp>
      <tp>
        <v>1</v>
        <stp/>
        <stp>4ab9f428-e5d9-4c34-937f-621013f37fa4</stp>
        <tr r="FB16" s="132"/>
      </tp>
      <tp>
        <v>1</v>
        <stp/>
        <stp>dcdd8be5-c62d-4414-8b25-2663deccecb7</stp>
        <tr r="AX67" s="130"/>
      </tp>
    </main>
    <main first="rtdsrv.458a5932996f485b8b1b8d7cbb3f77a6">
      <tp>
        <v>1</v>
        <stp/>
        <stp>5af1fa71-d4a4-4278-b9db-b87ccc23c746</stp>
        <tr r="AC10" s="130"/>
      </tp>
    </main>
    <main first="rtdsrv.458a5932996f485b8b1b8d7cbb3f77a6">
      <tp>
        <v>1</v>
        <stp/>
        <stp>085a5ed4-5dee-4795-b4bd-fdf7660ad91e</stp>
        <tr r="L42" s="130"/>
      </tp>
    </main>
    <main first="rtdsrv.458a5932996f485b8b1b8d7cbb3f77a6">
      <tp>
        <v>1</v>
        <stp/>
        <stp>2662cb7b-3e2f-479e-a6de-8d4585512c6f</stp>
        <tr r="E38" s="130"/>
      </tp>
      <tp>
        <v>1</v>
        <stp/>
        <stp>7e2385d2-b023-422b-b333-1dfd660a8e53</stp>
        <tr r="GF5" s="132"/>
      </tp>
    </main>
    <main first="rtdsrv.458a5932996f485b8b1b8d7cbb3f77a6">
      <tp>
        <v>1</v>
        <stp/>
        <stp>5dd29cd7-4e78-4cf1-a26b-cd4e3e376a60</stp>
        <tr r="AL31" s="130"/>
      </tp>
    </main>
    <main first="rtdsrv.458a5932996f485b8b1b8d7cbb3f77a6">
      <tp>
        <v>1</v>
        <stp/>
        <stp>2472fd5b-ae56-4755-9b06-8ee0e720c209</stp>
        <tr r="BT16" s="132"/>
      </tp>
    </main>
    <main first="rtdsrv.458a5932996f485b8b1b8d7cbb3f77a6">
      <tp>
        <v>1</v>
        <stp/>
        <stp>c793f94d-171b-4a42-9b9d-d1b755930d3e</stp>
        <tr r="AU7" s="130"/>
      </tp>
      <tp>
        <v>1</v>
        <stp/>
        <stp>f6ea2a2e-0466-4ff3-872c-f631f2a6e6d4</stp>
        <tr r="BI96" s="130"/>
      </tp>
      <tp>
        <v>1</v>
        <stp/>
        <stp>76ff514b-574a-402b-9a3a-3b40034b1f27</stp>
        <tr r="BF38" s="130"/>
      </tp>
    </main>
    <main first="rtdsrv.458a5932996f485b8b1b8d7cbb3f77a6">
      <tp>
        <v>1</v>
        <stp/>
        <stp>099a746d-d271-4509-8c5c-562d2dbf4c89</stp>
        <tr r="AW81" s="130"/>
      </tp>
    </main>
    <main first="rtdsrv.458a5932996f485b8b1b8d7cbb3f77a6">
      <tp>
        <v>1</v>
        <stp/>
        <stp>e1067ae5-fc2a-4fd3-ad57-37571c74c058</stp>
        <tr r="T6" s="132"/>
      </tp>
    </main>
    <main first="rtdsrv.458a5932996f485b8b1b8d7cbb3f77a6">
      <tp>
        <v>1</v>
        <stp/>
        <stp>4e2e2dd2-4481-4eae-b57d-7e9b8b9f240d</stp>
        <tr r="AE12" s="132"/>
      </tp>
    </main>
    <main first="rtdsrv.458a5932996f485b8b1b8d7cbb3f77a6">
      <tp>
        <v>1</v>
        <stp/>
        <stp>c7aac712-b2ea-44f6-b68d-e10e20bf69c4</stp>
        <tr r="FT11" s="132"/>
      </tp>
    </main>
    <main first="rtdsrv.458a5932996f485b8b1b8d7cbb3f77a6">
      <tp>
        <v>1</v>
        <stp/>
        <stp>e8a978ee-e862-48ff-955e-6ff2d718d393</stp>
        <tr r="AF82" s="130"/>
      </tp>
    </main>
    <main first="rtdsrv.458a5932996f485b8b1b8d7cbb3f77a6">
      <tp>
        <v>1</v>
        <stp/>
        <stp>0933c5a7-83db-4021-a2ee-ada926ec8f74</stp>
        <tr r="AZ20" s="130"/>
      </tp>
    </main>
    <main first="rtdsrv.458a5932996f485b8b1b8d7cbb3f77a6">
      <tp>
        <v>1</v>
        <stp/>
        <stp>9ab39d35-5f89-4c57-b2ef-7dfd5a349334</stp>
        <tr r="AP65" s="130"/>
      </tp>
      <tp>
        <v>1</v>
        <stp/>
        <stp>2ad2881c-8887-4d2e-a64c-a0549a5fd59f</stp>
        <tr r="W23" s="130"/>
      </tp>
    </main>
    <main first="rtdsrv.458a5932996f485b8b1b8d7cbb3f77a6">
      <tp>
        <v>1</v>
        <stp/>
        <stp>8a63983c-9d1f-4e92-a61f-07a4303a60b4</stp>
        <tr r="W7" s="130"/>
      </tp>
    </main>
    <main first="rtdsrv.458a5932996f485b8b1b8d7cbb3f77a6">
      <tp>
        <v>1</v>
        <stp/>
        <stp>7dafa3a6-166f-49c0-b8ac-c7be0bdb06d9</stp>
        <tr r="O5" s="130"/>
      </tp>
    </main>
    <main first="rtdsrv.458a5932996f485b8b1b8d7cbb3f77a6">
      <tp>
        <v>1</v>
        <stp/>
        <stp>93d030b7-5c04-498c-8be1-0192b6cfcc9c</stp>
        <tr r="Z85" s="130"/>
      </tp>
    </main>
    <main first="rtdsrv.458a5932996f485b8b1b8d7cbb3f77a6">
      <tp>
        <v>1</v>
        <stp/>
        <stp>a1572e7d-cac2-4f15-96a4-6e097a6e83f3</stp>
        <tr r="CF16" s="132"/>
      </tp>
    </main>
    <main first="rtdsrv.458a5932996f485b8b1b8d7cbb3f77a6">
      <tp>
        <v>1</v>
        <stp/>
        <stp>05095099-c265-452b-b84b-7f9c6ff3fd18</stp>
        <tr r="AN67" s="130"/>
      </tp>
      <tp>
        <v>1</v>
        <stp/>
        <stp>f83df1ba-3158-4e47-9dbd-fcfa9936baf3</stp>
        <tr r="AK66" s="130"/>
      </tp>
      <tp>
        <v>1</v>
        <stp/>
        <stp>faaf385c-63e5-423a-a7c5-d7b8a8b696e5</stp>
        <tr r="AV11" s="132"/>
      </tp>
    </main>
    <main first="rtdsrv.458a5932996f485b8b1b8d7cbb3f77a6">
      <tp>
        <v>1</v>
        <stp/>
        <stp>7054042d-5151-461b-af05-dc6f8b4a261a</stp>
        <tr r="BA58" s="130"/>
      </tp>
    </main>
    <main first="rtdsrv.458a5932996f485b8b1b8d7cbb3f77a6">
      <tp>
        <v>1</v>
        <stp/>
        <stp>63c93771-ac22-4ae3-bc90-7870414a0242</stp>
        <tr r="EE8" s="132"/>
      </tp>
    </main>
    <main first="rtdsrv.458a5932996f485b8b1b8d7cbb3f77a6">
      <tp>
        <v>1</v>
        <stp/>
        <stp>d964ee5d-2489-411a-af96-746ba4f46bae</stp>
        <tr r="AA21" s="130"/>
      </tp>
    </main>
    <main first="rtdsrv.458a5932996f485b8b1b8d7cbb3f77a6">
      <tp>
        <v>1</v>
        <stp/>
        <stp>d1e5c485-c455-4c21-91c6-1522908a5ee5</stp>
        <tr r="N83" s="130"/>
      </tp>
    </main>
    <main first="rtdsrv.458a5932996f485b8b1b8d7cbb3f77a6">
      <tp>
        <v>1</v>
        <stp/>
        <stp>af130482-beab-4099-8980-6dc1a062e19c</stp>
        <tr r="BT15" s="132"/>
      </tp>
    </main>
    <main first="rtdsrv.458a5932996f485b8b1b8d7cbb3f77a6">
      <tp>
        <v>1</v>
        <stp/>
        <stp>636c962b-eb72-4020-8aa3-3ae49ebe9ac0</stp>
        <tr r="FB12" s="132"/>
      </tp>
    </main>
    <main first="rtdsrv.458a5932996f485b8b1b8d7cbb3f77a6">
      <tp>
        <v>1</v>
        <stp/>
        <stp>84758e5d-71b6-404b-b97a-e7709fd4e608</stp>
        <tr r="CU5" s="132"/>
      </tp>
      <tp>
        <v>1</v>
        <stp/>
        <stp>5f96c684-b2f2-41aa-808b-18e60df89cc8</stp>
        <tr r="C89" s="130"/>
      </tp>
    </main>
    <main first="rtdsrv.458a5932996f485b8b1b8d7cbb3f77a6">
      <tp>
        <v>1</v>
        <stp/>
        <stp>529a8cab-3878-476b-8c5f-05e46b6f06dd</stp>
        <tr r="EE6" s="132"/>
      </tp>
      <tp>
        <v>1</v>
        <stp/>
        <stp>15551a44-5bf3-494e-b0a0-857cb5cf9165</stp>
        <tr r="J38" s="130"/>
      </tp>
    </main>
    <main first="rtdsrv.458a5932996f485b8b1b8d7cbb3f77a6">
      <tp>
        <v>1</v>
        <stp/>
        <stp>9582aff0-688d-4e19-a963-d225992db5de</stp>
        <tr r="AO86" s="130"/>
      </tp>
    </main>
    <main first="rtdsrv.458a5932996f485b8b1b8d7cbb3f77a6">
      <tp>
        <v>1</v>
        <stp/>
        <stp>02bead91-0cd8-48d4-8f69-dd64f140ee1c</stp>
        <tr r="ED13" s="132"/>
      </tp>
    </main>
    <main first="rtdsrv.458a5932996f485b8b1b8d7cbb3f77a6">
      <tp>
        <v>1</v>
        <stp/>
        <stp>d18a543e-58c4-4115-b320-1b43d1d180ae</stp>
        <tr r="AD16" s="130"/>
      </tp>
      <tp>
        <v>1</v>
        <stp/>
        <stp>ab4b46df-2358-49da-bc9b-89bb22c83a2b</stp>
        <tr r="X5" s="132"/>
      </tp>
      <tp>
        <v>1</v>
        <stp/>
        <stp>3805f953-0c20-4ae1-a483-d15f7e1388c3</stp>
        <tr r="AB51" s="130"/>
        <tr r="AB46" s="130"/>
      </tp>
    </main>
    <main first="rtdsrv.458a5932996f485b8b1b8d7cbb3f77a6">
      <tp>
        <v>1</v>
        <stp/>
        <stp>531dc5f1-cfc7-4b41-aad3-d1a7613fddb5</stp>
        <tr r="BK7" s="130"/>
      </tp>
      <tp>
        <v>1</v>
        <stp/>
        <stp>f47543aa-7c59-407d-b8a3-07bbd430ebe1</stp>
        <tr r="GC14" s="132"/>
      </tp>
    </main>
    <main first="rtdsrv.458a5932996f485b8b1b8d7cbb3f77a6">
      <tp>
        <v>1</v>
        <stp/>
        <stp>f75cf045-cae6-413a-9f1f-eb1337f5b5cb</stp>
        <tr r="EW12" s="132"/>
      </tp>
    </main>
    <main first="rtdsrv.458a5932996f485b8b1b8d7cbb3f77a6">
      <tp>
        <v>1</v>
        <stp/>
        <stp>d4b736c7-c045-44f1-a12c-927425fc2114</stp>
        <tr r="BC8" s="132"/>
      </tp>
    </main>
    <main first="rtdsrv.458a5932996f485b8b1b8d7cbb3f77a6">
      <tp>
        <v>1</v>
        <stp/>
        <stp>cd6ccdc3-a3ac-441d-9f7c-cfae83fc0304</stp>
        <tr r="BC77" s="130"/>
      </tp>
      <tp>
        <v>1</v>
        <stp/>
        <stp>1aa7b468-0660-4522-91b1-337211090ce3</stp>
        <tr r="FP7" s="132"/>
      </tp>
      <tp>
        <v>1</v>
        <stp/>
        <stp>461c3c50-c49c-4e4a-9350-666584369478</stp>
        <tr r="FY8" s="132"/>
      </tp>
      <tp>
        <v>1</v>
        <stp/>
        <stp>74a442ee-d644-41e7-96fd-60c7db25355b</stp>
        <tr r="AT71" s="130"/>
      </tp>
    </main>
    <main first="rtdsrv.458a5932996f485b8b1b8d7cbb3f77a6">
      <tp>
        <v>1</v>
        <stp/>
        <stp>8439ff8f-b83c-494e-8a5f-4b7533d34e4b</stp>
        <tr r="CD12" s="132"/>
      </tp>
    </main>
    <main first="rtdsrv.458a5932996f485b8b1b8d7cbb3f77a6">
      <tp>
        <v>1</v>
        <stp/>
        <stp>74d0ecc3-bb41-4cc2-8014-3d282dbd3b25</stp>
        <tr r="CD5" s="132"/>
      </tp>
    </main>
    <main first="rtdsrv.458a5932996f485b8b1b8d7cbb3f77a6">
      <tp>
        <v>1</v>
        <stp/>
        <stp>b2114fba-432f-4aa4-8bf2-a0ddd74c7a12</stp>
        <tr r="Q83" s="130"/>
      </tp>
    </main>
    <main first="rtdsrv.458a5932996f485b8b1b8d7cbb3f77a6">
      <tp>
        <v>1</v>
        <stp/>
        <stp>7bdc1aff-4bd4-473e-8614-901ba4de632b</stp>
        <tr r="Z34" s="130"/>
      </tp>
    </main>
    <main first="rtdsrv.458a5932996f485b8b1b8d7cbb3f77a6">
      <tp>
        <v>1</v>
        <stp/>
        <stp>c9af5820-a9af-4de1-9bb7-ae1d8048f2da</stp>
        <tr r="Y7" s="132"/>
      </tp>
      <tp>
        <v>1</v>
        <stp/>
        <stp>89cd3e81-8a95-49f7-a053-3f2ff2f31fa6</stp>
        <tr r="CD14" s="132"/>
      </tp>
    </main>
    <main first="rtdsrv.458a5932996f485b8b1b8d7cbb3f77a6">
      <tp>
        <v>1</v>
        <stp/>
        <stp>9a4d005d-110b-4eb7-99b3-9e24a659728a</stp>
        <tr r="BF85" s="130"/>
      </tp>
    </main>
    <main first="rtdsrv.458a5932996f485b8b1b8d7cbb3f77a6">
      <tp>
        <v>1</v>
        <stp/>
        <stp>4614a38e-282c-4b2a-81fd-6f971fd43d45</stp>
        <tr r="AF21" s="130"/>
      </tp>
      <tp>
        <v>1</v>
        <stp/>
        <stp>6a9aff2e-c7d2-4cc7-9975-0056f0e3a0e0</stp>
        <tr r="FV9" s="132"/>
      </tp>
      <tp>
        <v>1</v>
        <stp/>
        <stp>72dc9598-4a7a-4dd2-afc1-d63a54068420</stp>
        <tr r="FM8" s="132"/>
      </tp>
    </main>
    <main first="rtdsrv.458a5932996f485b8b1b8d7cbb3f77a6">
      <tp>
        <v>1</v>
        <stp/>
        <stp>d2225bc2-b86c-4b33-9b0a-81f33e1c01c4</stp>
        <tr r="Z74" s="130"/>
      </tp>
    </main>
    <main first="rtdsrv.458a5932996f485b8b1b8d7cbb3f77a6">
      <tp>
        <v>1</v>
        <stp/>
        <stp>45175fb1-2d67-42bd-86a8-19f8a0edd910</stp>
        <tr r="Z8" s="132"/>
      </tp>
    </main>
    <main first="rtdsrv.458a5932996f485b8b1b8d7cbb3f77a6">
      <tp>
        <v>1</v>
        <stp/>
        <stp>8796cef9-c620-4304-9cd4-1eb096cb2fa0</stp>
        <tr r="GI13" s="132"/>
      </tp>
    </main>
    <main first="rtdsrv.458a5932996f485b8b1b8d7cbb3f77a6">
      <tp>
        <v>1</v>
        <stp/>
        <stp>ca801a2b-30a1-4d38-9da4-82a9986224d8</stp>
        <tr r="DI6" s="132"/>
      </tp>
    </main>
    <main first="rtdsrv.458a5932996f485b8b1b8d7cbb3f77a6">
      <tp>
        <v>1</v>
        <stp/>
        <stp>ae011be1-029a-4e3f-9b54-f38f1eb2df45</stp>
        <tr r="N43" s="130"/>
      </tp>
      <tp>
        <v>1</v>
        <stp/>
        <stp>aabbf461-5790-428c-8da9-2a568c11f4cc</stp>
        <tr r="HF14" s="132"/>
      </tp>
    </main>
    <main first="rtdsrv.458a5932996f485b8b1b8d7cbb3f77a6">
      <tp>
        <v>1</v>
        <stp/>
        <stp>89c42224-d8b1-4116-ae23-69e52719c132</stp>
        <tr r="V20" s="130"/>
      </tp>
    </main>
    <main first="rtdsrv.458a5932996f485b8b1b8d7cbb3f77a6">
      <tp>
        <v>1</v>
        <stp/>
        <stp>3d215e1e-ffb9-4dd2-b9a6-248372493fb2</stp>
        <tr r="BD85" s="130"/>
      </tp>
    </main>
    <main first="rtdsrv.458a5932996f485b8b1b8d7cbb3f77a6">
      <tp>
        <v>1</v>
        <stp/>
        <stp>f6125190-9aaa-4d94-b4c5-69080af10e7d</stp>
        <tr r="T78" s="130"/>
      </tp>
      <tp>
        <v>1</v>
        <stp/>
        <stp>1d8f5ed4-34bd-49aa-be62-f621dc454db8</stp>
        <tr r="AN7" s="130"/>
      </tp>
    </main>
    <main first="rtdsrv.458a5932996f485b8b1b8d7cbb3f77a6">
      <tp>
        <v>1</v>
        <stp/>
        <stp>f73f4c4b-2829-4e64-b40a-9ffd3ce783c4</stp>
        <tr r="BP8" s="132"/>
      </tp>
    </main>
    <main first="rtdsrv.458a5932996f485b8b1b8d7cbb3f77a6">
      <tp>
        <v>1</v>
        <stp/>
        <stp>98e37deb-5c53-4749-b9a8-e77ab1b50c00</stp>
        <tr r="BS7" s="132"/>
      </tp>
    </main>
    <main first="rtdsrv.458a5932996f485b8b1b8d7cbb3f77a6">
      <tp>
        <v>1</v>
        <stp/>
        <stp>575410e7-0b7c-4d7c-abaa-4b911051b3ac</stp>
        <tr r="AB11" s="132"/>
      </tp>
    </main>
    <main first="rtdsrv.458a5932996f485b8b1b8d7cbb3f77a6">
      <tp>
        <v>1</v>
        <stp/>
        <stp>7c3e1007-b76a-4c59-b1f9-a518f9055629</stp>
        <tr r="GC11" s="132"/>
      </tp>
    </main>
    <main first="rtdsrv.458a5932996f485b8b1b8d7cbb3f77a6">
      <tp>
        <v>1</v>
        <stp/>
        <stp>4f32db86-a628-463f-a46d-54ec437def59</stp>
        <tr r="HD16" s="132"/>
      </tp>
      <tp>
        <v>1</v>
        <stp/>
        <stp>4a5bb162-a4bc-49e1-a54d-029364202ff2</stp>
        <tr r="EG8" s="132"/>
      </tp>
    </main>
    <main first="rtdsrv.458a5932996f485b8b1b8d7cbb3f77a6">
      <tp>
        <v>1</v>
        <stp/>
        <stp>e7712b24-f1d4-4829-bf7d-f92041dc8a81</stp>
        <tr r="GK14" s="132"/>
      </tp>
    </main>
    <main first="rtdsrv.458a5932996f485b8b1b8d7cbb3f77a6">
      <tp>
        <v>1</v>
        <stp/>
        <stp>0a6abdd9-f69b-4263-bd8c-9fd1fbdd189a</stp>
        <tr r="BB12" s="132"/>
      </tp>
    </main>
    <main first="rtdsrv.458a5932996f485b8b1b8d7cbb3f77a6">
      <tp>
        <v>1</v>
        <stp/>
        <stp>f0889d5f-b3ba-42a7-90ae-83d246b5f1c4</stp>
        <tr r="BB47" s="130"/>
        <tr r="BB52" s="130"/>
      </tp>
    </main>
    <main first="rtdsrv.458a5932996f485b8b1b8d7cbb3f77a6">
      <tp>
        <v>1</v>
        <stp/>
        <stp>627336ff-ecd1-4db7-92f8-4a4dec588f52</stp>
        <tr r="L87" s="130"/>
      </tp>
    </main>
    <main first="rtdsrv.458a5932996f485b8b1b8d7cbb3f77a6">
      <tp>
        <v>1</v>
        <stp/>
        <stp>1234cc52-8c79-44e3-8d9d-a472c302e083</stp>
        <tr r="M34" s="130"/>
      </tp>
    </main>
    <main first="rtdsrv.458a5932996f485b8b1b8d7cbb3f77a6">
      <tp>
        <v>1</v>
        <stp/>
        <stp>4b275ea3-68d4-423d-b0aa-aed3337ec6f0</stp>
        <tr r="C44" s="130"/>
      </tp>
    </main>
    <main first="rtdsrv.458a5932996f485b8b1b8d7cbb3f77a6">
      <tp>
        <v>1</v>
        <stp/>
        <stp>3da69b24-0933-4ed9-88da-cb70c8b17ea1</stp>
        <tr r="DW12" s="132"/>
      </tp>
    </main>
    <main first="rtdsrv.458a5932996f485b8b1b8d7cbb3f77a6">
      <tp>
        <v>1</v>
        <stp/>
        <stp>da96ea1c-1757-4a77-936e-ec4c52d5b556</stp>
        <tr r="FB8" s="132"/>
      </tp>
    </main>
    <main first="rtdsrv.458a5932996f485b8b1b8d7cbb3f77a6">
      <tp>
        <v>1</v>
        <stp/>
        <stp>6ba3f7d1-624f-4fa6-b253-ca75ca9a645c</stp>
        <tr r="BD89" s="130"/>
      </tp>
    </main>
    <main first="rtdsrv.458a5932996f485b8b1b8d7cbb3f77a6">
      <tp>
        <v>1</v>
        <stp/>
        <stp>74515982-fc5d-45f7-bbae-4824e26d9c02</stp>
        <tr r="AA86" s="130"/>
      </tp>
    </main>
    <main first="rtdsrv.458a5932996f485b8b1b8d7cbb3f77a6">
      <tp>
        <v>1</v>
        <stp/>
        <stp>f10b30a4-69f7-4c1c-b36a-7d56bbb770a0</stp>
        <tr r="FU14" s="132"/>
      </tp>
      <tp>
        <v>1</v>
        <stp/>
        <stp>aa025725-78ac-4f5d-9b11-61251421ae42</stp>
        <tr r="BK11" s="130"/>
      </tp>
    </main>
    <main first="rtdsrv.458a5932996f485b8b1b8d7cbb3f77a6">
      <tp>
        <v>1</v>
        <stp/>
        <stp>0780d40f-b706-4a27-b92a-1f975eff839c</stp>
        <tr r="X83" s="130"/>
      </tp>
    </main>
    <main first="rtdsrv.458a5932996f485b8b1b8d7cbb3f77a6">
      <tp>
        <v>1</v>
        <stp/>
        <stp>a76f5aab-174d-465a-bb79-55bccd06643c</stp>
        <tr r="AP5" s="132"/>
      </tp>
      <tp>
        <v>1</v>
        <stp/>
        <stp>c0fef27d-5d6c-443e-ac05-3690b2765264</stp>
        <tr r="AG21" s="130"/>
      </tp>
    </main>
    <main first="rtdsrv.458a5932996f485b8b1b8d7cbb3f77a6">
      <tp>
        <v>1</v>
        <stp/>
        <stp>5bd4d7a8-7203-4925-8a24-4e218c11578e</stp>
        <tr r="BI24" s="130"/>
      </tp>
    </main>
    <main first="rtdsrv.458a5932996f485b8b1b8d7cbb3f77a6">
      <tp>
        <v>1</v>
        <stp/>
        <stp>9e9b3ce0-24a8-4f9c-b93c-f4b676ab820b</stp>
        <tr r="GZ12" s="132"/>
      </tp>
    </main>
    <main first="rtdsrv.458a5932996f485b8b1b8d7cbb3f77a6">
      <tp>
        <v>1</v>
        <stp/>
        <stp>9fb51529-0dea-4367-bb01-f29251283363</stp>
        <tr r="AZ56" s="130"/>
      </tp>
    </main>
    <main first="rtdsrv.458a5932996f485b8b1b8d7cbb3f77a6">
      <tp>
        <v>1</v>
        <stp/>
        <stp>571416b1-426a-413f-b9c9-f6159ccc8129</stp>
        <tr r="AH56" s="130"/>
      </tp>
    </main>
    <main first="rtdsrv.458a5932996f485b8b1b8d7cbb3f77a6">
      <tp>
        <v>1</v>
        <stp/>
        <stp>3c207eee-302d-465d-9a19-e12d1cb57f65</stp>
        <tr r="DS6" s="132"/>
      </tp>
    </main>
    <main first="rtdsrv.458a5932996f485b8b1b8d7cbb3f77a6">
      <tp>
        <v>1</v>
        <stp/>
        <stp>e09abf0b-bf6b-4a83-bbad-136049b4a8fd</stp>
        <tr r="CQ6" s="132"/>
      </tp>
    </main>
    <main first="rtdsrv.458a5932996f485b8b1b8d7cbb3f77a6">
      <tp>
        <v>1</v>
        <stp/>
        <stp>1323585f-294e-4a6b-9c30-8812eb2bff49</stp>
        <tr r="J56" s="130"/>
      </tp>
      <tp>
        <v>1</v>
        <stp/>
        <stp>f382011b-fe06-4ec4-99a5-3edce96b292c</stp>
        <tr r="AA32" s="130"/>
      </tp>
    </main>
    <main first="rtdsrv.458a5932996f485b8b1b8d7cbb3f77a6">
      <tp>
        <v>1</v>
        <stp/>
        <stp>e30ff2a5-d947-4d42-adc7-34f52b40064b</stp>
        <tr r="P91" s="130"/>
      </tp>
    </main>
    <main first="rtdsrv.458a5932996f485b8b1b8d7cbb3f77a6">
      <tp>
        <v>1</v>
        <stp/>
        <stp>a9752b05-b3ff-4639-99c0-50f48ebddb94</stp>
        <tr r="C62" s="130"/>
      </tp>
      <tp>
        <v>1</v>
        <stp/>
        <stp>57710290-47fa-4240-8238-8fdda3d5c381</stp>
        <tr r="I38" s="130"/>
      </tp>
      <tp>
        <v>1</v>
        <stp/>
        <stp>1c16b126-3ca3-4504-8099-9da5d80b7d16</stp>
        <tr r="T86" s="130"/>
      </tp>
    </main>
    <main first="rtdsrv.458a5932996f485b8b1b8d7cbb3f77a6">
      <tp>
        <v>1</v>
        <stp/>
        <stp>dedee766-511f-4485-962c-f5663277038b</stp>
        <tr r="DA8" s="132"/>
      </tp>
      <tp>
        <v>1</v>
        <stp/>
        <stp>0159d19d-73b0-4662-8f1e-c3bf1f0d9519</stp>
        <tr r="I6" s="132"/>
      </tp>
    </main>
    <main first="rtdsrv.458a5932996f485b8b1b8d7cbb3f77a6">
      <tp>
        <v>1</v>
        <stp/>
        <stp>31b8f596-6ba7-462b-80bc-ffc97941e94a</stp>
        <tr r="N5" s="132"/>
      </tp>
    </main>
    <main first="rtdsrv.458a5932996f485b8b1b8d7cbb3f77a6">
      <tp>
        <v>1</v>
        <stp/>
        <stp>ad70e60b-ead4-4001-b2d8-47d99be8fce8</stp>
        <tr r="FO5" s="132"/>
      </tp>
      <tp>
        <v>1</v>
        <stp/>
        <stp>720ccdfd-648a-46c2-b1e2-ed81933454a3</stp>
        <tr r="P43" s="130"/>
      </tp>
    </main>
    <main first="rtdsrv.458a5932996f485b8b1b8d7cbb3f77a6">
      <tp>
        <v>1</v>
        <stp/>
        <stp>b9535c56-21a4-4dc0-9792-8fc1e68bfeb0</stp>
        <tr r="AN65" s="130"/>
      </tp>
    </main>
    <main first="rtdsrv.458a5932996f485b8b1b8d7cbb3f77a6">
      <tp>
        <v>1</v>
        <stp/>
        <stp>171f1e34-8019-452b-abfe-216b92c94993</stp>
        <tr r="AH62" s="130"/>
      </tp>
      <tp>
        <v>1</v>
        <stp/>
        <stp>a84d867f-6e2e-4077-9e90-e3135781afdd</stp>
        <tr r="AZ5" s="130"/>
      </tp>
    </main>
    <main first="rtdsrv.458a5932996f485b8b1b8d7cbb3f77a6">
      <tp>
        <v>1</v>
        <stp/>
        <stp>bb873772-25ec-4316-8116-aa067b4c473e</stp>
        <tr r="AK85" s="130"/>
      </tp>
      <tp>
        <v>1</v>
        <stp/>
        <stp>8a41317b-1a1b-4ed7-8a7e-bb980f68d13e</stp>
        <tr r="CD7" s="132"/>
      </tp>
    </main>
    <main first="rtdsrv.458a5932996f485b8b1b8d7cbb3f77a6">
      <tp>
        <v>1</v>
        <stp/>
        <stp>2ff2a3b4-149c-442f-8619-56114b177322</stp>
        <tr r="T40" s="130"/>
      </tp>
    </main>
    <main first="rtdsrv.458a5932996f485b8b1b8d7cbb3f77a6">
      <tp>
        <v>1</v>
        <stp/>
        <stp>8990dc49-6a27-4538-95ac-d71d725cad05</stp>
        <tr r="DN11" s="132"/>
      </tp>
      <tp>
        <v>1</v>
        <stp/>
        <stp>025804ad-3266-4a35-b2d9-547bf3e8c761</stp>
        <tr r="FQ13" s="132"/>
      </tp>
      <tp>
        <v>1</v>
        <stp/>
        <stp>2ee6f453-cb85-40b5-846a-5d9550eb314b</stp>
        <tr r="AS15" s="130"/>
      </tp>
    </main>
    <main first="rtdsrv.458a5932996f485b8b1b8d7cbb3f77a6">
      <tp>
        <v>1</v>
        <stp/>
        <stp>09062b12-f97e-4fd4-82c2-42427924557a</stp>
        <tr r="AB84" s="130"/>
      </tp>
      <tp>
        <v>1</v>
        <stp/>
        <stp>7678a3cc-9937-41d8-ad3a-73f201a31a00</stp>
        <tr r="EK5" s="132"/>
      </tp>
    </main>
    <main first="rtdsrv.458a5932996f485b8b1b8d7cbb3f77a6">
      <tp>
        <v>1</v>
        <stp/>
        <stp>13d2ea78-d756-46c9-89e3-577579aa70e1</stp>
        <tr r="M75" s="130"/>
      </tp>
    </main>
    <main first="rtdsrv.458a5932996f485b8b1b8d7cbb3f77a6">
      <tp>
        <v>1</v>
        <stp/>
        <stp>da850084-77d1-4e3a-b752-a3ff73bbbfe5</stp>
        <tr r="BJ60" s="130"/>
      </tp>
      <tp>
        <v>1</v>
        <stp/>
        <stp>669a400f-0170-46a2-83c1-abe80b03a38d</stp>
        <tr r="EX9" s="132"/>
      </tp>
    </main>
    <main first="rtdsrv.458a5932996f485b8b1b8d7cbb3f77a6">
      <tp>
        <v>1</v>
        <stp/>
        <stp>76daa586-525b-44c2-b442-3f0b02194091</stp>
        <tr r="Y56" s="130"/>
      </tp>
    </main>
    <main first="rtdsrv.458a5932996f485b8b1b8d7cbb3f77a6">
      <tp>
        <v>1</v>
        <stp/>
        <stp>97a8492f-8187-4bbe-af0f-ba3f14d7bb75</stp>
        <tr r="AI29" s="130"/>
      </tp>
    </main>
    <main first="rtdsrv.458a5932996f485b8b1b8d7cbb3f77a6">
      <tp>
        <v>1</v>
        <stp/>
        <stp>3b64108d-5be0-49d8-a578-894b40105552</stp>
        <tr r="AJ90" s="130"/>
      </tp>
    </main>
    <main first="rtdsrv.458a5932996f485b8b1b8d7cbb3f77a6">
      <tp>
        <v>1</v>
        <stp/>
        <stp>9b3c74e5-e7f6-40c7-b463-a4ce5ec84763</stp>
        <tr r="AZ25" s="130"/>
      </tp>
    </main>
    <main first="rtdsrv.458a5932996f485b8b1b8d7cbb3f77a6">
      <tp>
        <v>1</v>
        <stp/>
        <stp>f07eb0b7-5bd9-4eb1-98d8-81ebc587d066</stp>
        <tr r="AL17" s="130"/>
      </tp>
    </main>
    <main first="rtdsrv.458a5932996f485b8b1b8d7cbb3f77a6">
      <tp>
        <v>1</v>
        <stp/>
        <stp>e7c8c287-f2a3-41d8-8f60-01f5d0bf888f</stp>
        <tr r="BW15" s="132"/>
      </tp>
    </main>
    <main first="rtdsrv.458a5932996f485b8b1b8d7cbb3f77a6">
      <tp>
        <v>1</v>
        <stp/>
        <stp>3effcc2c-1bde-4165-a0b2-fef607d1cfcf</stp>
        <tr r="X12" s="130"/>
      </tp>
    </main>
    <main first="rtdsrv.458a5932996f485b8b1b8d7cbb3f77a6">
      <tp>
        <v>1</v>
        <stp/>
        <stp>ecfe0bcd-64b0-42d1-afe5-0c136cf2d76a</stp>
        <tr r="ES15" s="132"/>
      </tp>
    </main>
    <main first="rtdsrv.458a5932996f485b8b1b8d7cbb3f77a6">
      <tp>
        <v>1</v>
        <stp/>
        <stp>d712a2bd-30ab-4786-b4a5-6704f3685152</stp>
        <tr r="GM15" s="132"/>
      </tp>
      <tp>
        <v>1</v>
        <stp/>
        <stp>57cd832c-2590-4b34-9e10-ba5136e7f0a8</stp>
        <tr r="F18" s="130"/>
      </tp>
    </main>
    <main first="rtdsrv.458a5932996f485b8b1b8d7cbb3f77a6">
      <tp>
        <v>1</v>
        <stp/>
        <stp>950c9717-2e4c-42bd-b016-5fb295d27b13</stp>
        <tr r="BI59" s="130"/>
      </tp>
    </main>
    <main first="rtdsrv.458a5932996f485b8b1b8d7cbb3f77a6">
      <tp>
        <v>1</v>
        <stp/>
        <stp>c602df0b-cd85-4f20-88eb-d2d57a7dba0f</stp>
        <tr r="K7" s="132"/>
      </tp>
    </main>
    <main first="rtdsrv.458a5932996f485b8b1b8d7cbb3f77a6">
      <tp>
        <v>1</v>
        <stp/>
        <stp>8d5a48cf-bf92-4a1b-b3cd-0c1aa1fa29f1</stp>
        <tr r="BK9" s="130"/>
      </tp>
    </main>
    <main first="rtdsrv.458a5932996f485b8b1b8d7cbb3f77a6">
      <tp>
        <v>1</v>
        <stp/>
        <stp>a5bdc483-f33c-4aeb-b8bc-eff02e2b308b</stp>
        <tr r="R86" s="130"/>
      </tp>
    </main>
    <main first="rtdsrv.458a5932996f485b8b1b8d7cbb3f77a6">
      <tp>
        <v>1</v>
        <stp/>
        <stp>1a8ffdd3-1106-42b2-afad-34de5b241e96</stp>
        <tr r="AN52" s="130"/>
        <tr r="AN47" s="130"/>
      </tp>
    </main>
    <main first="rtdsrv.458a5932996f485b8b1b8d7cbb3f77a6">
      <tp>
        <v>1</v>
        <stp/>
        <stp>3c6d0b59-6bde-43f3-9dbe-5cd37fcc47e3</stp>
        <tr r="BG81" s="130"/>
      </tp>
    </main>
    <main first="rtdsrv.458a5932996f485b8b1b8d7cbb3f77a6">
      <tp>
        <v>1</v>
        <stp/>
        <stp>49546b4a-c5db-417f-b001-2f020928fea7</stp>
        <tr r="AM12" s="132"/>
      </tp>
      <tp>
        <v>1</v>
        <stp/>
        <stp>42caf060-f35a-433e-929b-be2c90f1f96a</stp>
        <tr r="AT51" s="130"/>
        <tr r="AT46" s="130"/>
      </tp>
    </main>
    <main first="rtdsrv.458a5932996f485b8b1b8d7cbb3f77a6">
      <tp>
        <v>1</v>
        <stp/>
        <stp>50529cdf-a2e6-424a-8463-c9d8f9e7f171</stp>
        <tr r="X47" s="130"/>
        <tr r="X52" s="130"/>
      </tp>
      <tp>
        <v>1</v>
        <stp/>
        <stp>3b79a74d-7636-4694-9f65-bb337ceed502</stp>
        <tr r="AG17" s="130"/>
      </tp>
    </main>
    <main first="rtdsrv.458a5932996f485b8b1b8d7cbb3f77a6">
      <tp>
        <v>1</v>
        <stp/>
        <stp>b64d17b9-e3d2-49e4-a8e2-66cd26674ad3</stp>
        <tr r="BB9" s="132"/>
      </tp>
    </main>
    <main first="rtdsrv.458a5932996f485b8b1b8d7cbb3f77a6">
      <tp>
        <v>1</v>
        <stp/>
        <stp>f5676a97-c001-4185-9f75-ca5dfa854aaf</stp>
        <tr r="BS11" s="132"/>
      </tp>
    </main>
    <main first="rtdsrv.458a5932996f485b8b1b8d7cbb3f77a6">
      <tp>
        <v>1</v>
        <stp/>
        <stp>4679887c-addb-40d8-9a5e-1a1e5d7ac3a8</stp>
        <tr r="AP37" s="130"/>
      </tp>
    </main>
    <main first="rtdsrv.458a5932996f485b8b1b8d7cbb3f77a6">
      <tp>
        <v>1</v>
        <stp/>
        <stp>ddf1f3f8-60df-41ce-952a-36004a21c542</stp>
        <tr r="BG71" s="130"/>
      </tp>
    </main>
    <main first="rtdsrv.458a5932996f485b8b1b8d7cbb3f77a6">
      <tp>
        <v>1</v>
        <stp/>
        <stp>efec1162-4ad9-4ecf-b857-93c9be0af210</stp>
        <tr r="AZ72" s="130"/>
      </tp>
    </main>
    <main first="rtdsrv.458a5932996f485b8b1b8d7cbb3f77a6">
      <tp>
        <v>1</v>
        <stp/>
        <stp>664cf23a-df8c-48a0-bf86-191f84502140</stp>
        <tr r="AW36" s="130"/>
      </tp>
    </main>
    <main first="rtdsrv.458a5932996f485b8b1b8d7cbb3f77a6">
      <tp>
        <v>1</v>
        <stp/>
        <stp>a0f36d5f-4007-4cb0-85ae-746633d59b32</stp>
        <tr r="DK6" s="132"/>
      </tp>
    </main>
    <main first="rtdsrv.458a5932996f485b8b1b8d7cbb3f77a6">
      <tp>
        <v>1</v>
        <stp/>
        <stp>8bf35731-5ddd-4f0a-8400-5b75aa29dfc8</stp>
        <tr r="O33" s="130"/>
      </tp>
    </main>
    <main first="rtdsrv.458a5932996f485b8b1b8d7cbb3f77a6">
      <tp>
        <v>1</v>
        <stp/>
        <stp>6ae90106-b1c3-43ac-a4a1-3d2324515456</stp>
        <tr r="P39" s="130"/>
      </tp>
    </main>
    <main first="rtdsrv.458a5932996f485b8b1b8d7cbb3f77a6">
      <tp>
        <v>1</v>
        <stp/>
        <stp>71358bc9-dbd9-4103-8156-b7f0e32d3a0a</stp>
        <tr r="AV33" s="130"/>
      </tp>
      <tp>
        <v>1</v>
        <stp/>
        <stp>06cf5e3d-ab5c-4e1b-b2ca-624c46e0acb7</stp>
        <tr r="AJ19" s="130"/>
      </tp>
    </main>
    <main first="rtdsrv.458a5932996f485b8b1b8d7cbb3f77a6">
      <tp>
        <v>1</v>
        <stp/>
        <stp>efd6d060-470c-4b4e-b1fb-be786cef4351</stp>
        <tr r="Y16" s="132"/>
      </tp>
    </main>
    <main first="rtdsrv.458a5932996f485b8b1b8d7cbb3f77a6">
      <tp>
        <v>1</v>
        <stp/>
        <stp>61494065-9fad-47ff-abf3-9c6d586db77c</stp>
        <tr r="FP12" s="132"/>
      </tp>
    </main>
    <main first="rtdsrv.458a5932996f485b8b1b8d7cbb3f77a6">
      <tp>
        <v>1</v>
        <stp/>
        <stp>a026a4d2-2143-4151-88c2-e5a3d37176c4</stp>
        <tr r="W79" s="130"/>
      </tp>
    </main>
    <main first="rtdsrv.458a5932996f485b8b1b8d7cbb3f77a6">
      <tp>
        <v>1</v>
        <stp/>
        <stp>30dee16c-1a11-4f7f-96ef-200032cc1ef6</stp>
        <tr r="BA9" s="130"/>
      </tp>
    </main>
    <main first="rtdsrv.458a5932996f485b8b1b8d7cbb3f77a6">
      <tp>
        <v>1</v>
        <stp/>
        <stp>aff373f3-2c4f-4d24-8d17-c7777d3a6e06</stp>
        <tr r="BC22" s="130"/>
      </tp>
      <tp>
        <v>1</v>
        <stp/>
        <stp>f2eb3451-517d-406e-b56c-a4dafc7f4c0f</stp>
        <tr r="AU8" s="130"/>
      </tp>
    </main>
    <main first="rtdsrv.458a5932996f485b8b1b8d7cbb3f77a6">
      <tp>
        <v>1</v>
        <stp/>
        <stp>c875f06e-9a95-4cd6-856f-850a12698ba9</stp>
        <tr r="H9" s="132"/>
      </tp>
    </main>
    <main first="rtdsrv.458a5932996f485b8b1b8d7cbb3f77a6">
      <tp>
        <v>1</v>
        <stp/>
        <stp>31d8efba-bc89-441e-b31c-d5c201fe91b0</stp>
        <tr r="AY74" s="130"/>
      </tp>
    </main>
    <main first="rtdsrv.458a5932996f485b8b1b8d7cbb3f77a6">
      <tp>
        <v>1</v>
        <stp/>
        <stp>d888b35e-d041-442d-b69f-2a3e2a076f90</stp>
        <tr r="GN7" s="132"/>
      </tp>
      <tp>
        <v>1</v>
        <stp/>
        <stp>a0b6bd85-4942-4785-9e31-63b5d9f6387f</stp>
        <tr r="FK16" s="132"/>
      </tp>
    </main>
    <main first="rtdsrv.458a5932996f485b8b1b8d7cbb3f77a6">
      <tp>
        <v>1</v>
        <stp/>
        <stp>dfb0e44d-d3cd-4fee-8267-404cac695b15</stp>
        <tr r="BG58" s="130"/>
      </tp>
    </main>
    <main first="rtdsrv.458a5932996f485b8b1b8d7cbb3f77a6">
      <tp>
        <v>1</v>
        <stp/>
        <stp>4642189e-e1c8-4a90-a2fa-b39898569b07</stp>
        <tr r="AU56" s="130"/>
      </tp>
    </main>
    <main first="rtdsrv.458a5932996f485b8b1b8d7cbb3f77a6">
      <tp>
        <v>1</v>
        <stp/>
        <stp>8f0dc337-e297-4a50-ab65-4e0c3705f0e6</stp>
        <tr r="AV29" s="130"/>
      </tp>
    </main>
    <main first="rtdsrv.458a5932996f485b8b1b8d7cbb3f77a6">
      <tp>
        <v>1</v>
        <stp/>
        <stp>5e52e1d1-e731-4c6e-8a7a-c5417cc79a29</stp>
        <tr r="G10" s="130"/>
      </tp>
    </main>
    <main first="rtdsrv.458a5932996f485b8b1b8d7cbb3f77a6">
      <tp>
        <v>1</v>
        <stp/>
        <stp>c53534fb-0f8c-482b-9493-47db284fd120</stp>
        <tr r="DY8" s="132"/>
      </tp>
      <tp>
        <v>1</v>
        <stp/>
        <stp>66680653-fd45-4322-bf7e-76c25463c555</stp>
        <tr r="X15" s="132"/>
      </tp>
      <tp>
        <v>1</v>
        <stp/>
        <stp>bb002ed4-9518-4298-acb7-790180679929</stp>
        <tr r="AU52" s="130"/>
        <tr r="AU47" s="130"/>
      </tp>
      <tp>
        <v>1</v>
        <stp/>
        <stp>86aacce1-ecab-4589-bba0-f2df47a10906</stp>
        <tr r="M87" s="130"/>
      </tp>
    </main>
    <main first="rtdsrv.458a5932996f485b8b1b8d7cbb3f77a6">
      <tp>
        <v>1</v>
        <stp/>
        <stp>839a3202-5a1c-45df-ade8-e1ffe0b1fb6c</stp>
        <tr r="E14" s="130"/>
        <tr r="E26" s="130"/>
      </tp>
    </main>
    <main first="rtdsrv.458a5932996f485b8b1b8d7cbb3f77a6">
      <tp>
        <v>1</v>
        <stp/>
        <stp>2afa4519-5026-46ef-87ac-f7796f23dccc</stp>
        <tr r="AS21" s="130"/>
      </tp>
      <tp>
        <v>1</v>
        <stp/>
        <stp>66b56d23-85da-4edc-8650-4e0de503c87d</stp>
        <tr r="AG30" s="130"/>
      </tp>
    </main>
    <main first="rtdsrv.458a5932996f485b8b1b8d7cbb3f77a6">
      <tp>
        <v>1</v>
        <stp/>
        <stp>4e53ce65-c5cd-4fa1-a0d6-b5e0ad5d633d</stp>
        <tr r="FL9" s="132"/>
      </tp>
    </main>
    <main first="rtdsrv.458a5932996f485b8b1b8d7cbb3f77a6">
      <tp>
        <v>1</v>
        <stp/>
        <stp>c44aa03e-4fc0-4494-8ebe-fb44630bbccc</stp>
        <tr r="AC31" s="130"/>
      </tp>
    </main>
    <main first="rtdsrv.458a5932996f485b8b1b8d7cbb3f77a6">
      <tp>
        <v>1</v>
        <stp/>
        <stp>2568b105-4d66-4392-a004-b40baf07b45a</stp>
        <tr r="AF16" s="132"/>
      </tp>
      <tp>
        <v>1</v>
        <stp/>
        <stp>33cd9e1b-aab9-4c33-9dcb-19352832f22e</stp>
        <tr r="AG73" s="130"/>
      </tp>
      <tp>
        <v>1</v>
        <stp/>
        <stp>ceae37b1-9fc3-4279-acb4-8f3ecc6a2a78</stp>
        <tr r="AK71" s="130"/>
      </tp>
      <tp>
        <v>1</v>
        <stp/>
        <stp>32372814-f30d-45fc-8273-c2788fb5a844</stp>
        <tr r="F30" s="130"/>
      </tp>
    </main>
    <main first="rtdsrv.458a5932996f485b8b1b8d7cbb3f77a6">
      <tp>
        <v>1</v>
        <stp/>
        <stp>3209ac2d-7727-4c7a-babd-f279222f3175</stp>
        <tr r="AL21" s="130"/>
      </tp>
      <tp>
        <v>1</v>
        <stp/>
        <stp>e1405501-8d3d-49f5-b99c-83da9c644428</stp>
        <tr r="DD9" s="132"/>
      </tp>
    </main>
    <main first="rtdsrv.458a5932996f485b8b1b8d7cbb3f77a6">
      <tp>
        <v>1</v>
        <stp/>
        <stp>71f3445a-0d95-4f64-a66e-7d59d4f7e3ba</stp>
        <tr r="AA33" s="130"/>
      </tp>
    </main>
    <main first="rtdsrv.458a5932996f485b8b1b8d7cbb3f77a6">
      <tp>
        <v>1</v>
        <stp/>
        <stp>0820116d-aab0-4b29-9f65-ece97dc8045c</stp>
        <tr r="AJ97" s="130"/>
      </tp>
    </main>
    <main first="rtdsrv.458a5932996f485b8b1b8d7cbb3f77a6">
      <tp>
        <v>1</v>
        <stp/>
        <stp>9eef4d61-aa36-48bd-9365-ba854598f2eb</stp>
        <tr r="CW9" s="132"/>
      </tp>
    </main>
    <main first="rtdsrv.458a5932996f485b8b1b8d7cbb3f77a6">
      <tp>
        <v>1</v>
        <stp/>
        <stp>7e3ecbd4-bea4-45c7-b1b4-800d72b3ef8d</stp>
        <tr r="AE84" s="130"/>
      </tp>
    </main>
    <main first="rtdsrv.458a5932996f485b8b1b8d7cbb3f77a6">
      <tp>
        <v>1</v>
        <stp/>
        <stp>eda9c0a7-6955-4277-97d0-9dd1a50ab411</stp>
        <tr r="AU82" s="130"/>
      </tp>
    </main>
    <main first="rtdsrv.458a5932996f485b8b1b8d7cbb3f77a6">
      <tp>
        <v>1</v>
        <stp/>
        <stp>be54a593-0563-4d7c-84ab-95fb5e52dfdd</stp>
        <tr r="N23" s="130"/>
      </tp>
    </main>
    <main first="rtdsrv.458a5932996f485b8b1b8d7cbb3f77a6">
      <tp>
        <v>1</v>
        <stp/>
        <stp>bf488108-6173-4ff6-b10e-c504ce97dc56</stp>
        <tr r="AR44" s="130"/>
      </tp>
    </main>
    <main first="rtdsrv.458a5932996f485b8b1b8d7cbb3f77a6">
      <tp>
        <v>1</v>
        <stp/>
        <stp>090e7a18-4319-4998-a35f-cf3485212f92</stp>
        <tr r="DM13" s="132"/>
      </tp>
    </main>
    <main first="rtdsrv.458a5932996f485b8b1b8d7cbb3f77a6">
      <tp>
        <v>1</v>
        <stp/>
        <stp>d246c09c-328d-49e3-8adf-56dea4c9b021</stp>
        <tr r="Q15" s="132"/>
      </tp>
      <tp>
        <v>1</v>
        <stp/>
        <stp>a4340d64-4796-41db-831c-0f4eba006d9e</stp>
        <tr r="V71" s="130"/>
      </tp>
    </main>
    <main first="rtdsrv.458a5932996f485b8b1b8d7cbb3f77a6">
      <tp>
        <v>1</v>
        <stp/>
        <stp>88407e8b-3e20-41e7-8ddf-66486f2f79e8</stp>
        <tr r="EO11" s="132"/>
      </tp>
    </main>
    <main first="rtdsrv.458a5932996f485b8b1b8d7cbb3f77a6">
      <tp>
        <v>1</v>
        <stp/>
        <stp>60c37a85-55cc-474c-a547-c1d9175d6adb</stp>
        <tr r="FR13" s="132"/>
      </tp>
      <tp>
        <v>1</v>
        <stp/>
        <stp>59013970-3ca7-4f13-976e-0aef4e9c4f13</stp>
        <tr r="BB12" s="130"/>
      </tp>
    </main>
    <main first="rtdsrv.458a5932996f485b8b1b8d7cbb3f77a6">
      <tp>
        <v>1</v>
        <stp/>
        <stp>565a79c1-f9b6-4e55-89c5-b71419c6aee9</stp>
        <tr r="AE59" s="130"/>
      </tp>
    </main>
    <main first="rtdsrv.458a5932996f485b8b1b8d7cbb3f77a6">
      <tp>
        <v>1</v>
        <stp/>
        <stp>7b0ddae2-9265-42b9-b61b-1e95eb5fead1</stp>
        <tr r="ES7" s="132"/>
      </tp>
    </main>
    <main first="rtdsrv.458a5932996f485b8b1b8d7cbb3f77a6">
      <tp>
        <v>1</v>
        <stp/>
        <stp>882cac35-1fd7-4844-9414-98c6c6dd8591</stp>
        <tr r="AB34" s="130"/>
      </tp>
    </main>
    <main first="rtdsrv.458a5932996f485b8b1b8d7cbb3f77a6">
      <tp>
        <v>1</v>
        <stp/>
        <stp>af8743ce-81ae-4739-bf57-69d074a0b85b</stp>
        <tr r="Q87" s="130"/>
      </tp>
    </main>
    <main first="rtdsrv.458a5932996f485b8b1b8d7cbb3f77a6">
      <tp>
        <v>1</v>
        <stp/>
        <stp>2fbd1f8a-d61b-411c-ac15-5b3e56aa56e5</stp>
        <tr r="H38" s="130"/>
      </tp>
    </main>
    <main first="rtdsrv.458a5932996f485b8b1b8d7cbb3f77a6">
      <tp>
        <v>1</v>
        <stp/>
        <stp>543b47d6-fd14-4520-b338-7ad9053dcf22</stp>
        <tr r="P33" s="130"/>
      </tp>
    </main>
    <main first="rtdsrv.458a5932996f485b8b1b8d7cbb3f77a6">
      <tp>
        <v>1</v>
        <stp/>
        <stp>8228f051-a832-48d2-b2cc-805343c57edc</stp>
        <tr r="AY97" s="130"/>
      </tp>
    </main>
    <main first="rtdsrv.458a5932996f485b8b1b8d7cbb3f77a6">
      <tp>
        <v>1</v>
        <stp/>
        <stp>5e06c91f-8c19-41b4-a49c-b8e42f22cc85</stp>
        <tr r="BB76" s="130"/>
      </tp>
    </main>
    <main first="rtdsrv.458a5932996f485b8b1b8d7cbb3f77a6">
      <tp>
        <v>1</v>
        <stp/>
        <stp>daa25158-0958-44f8-b175-d8523eb04fae</stp>
        <tr r="AS57" s="130"/>
      </tp>
    </main>
    <main first="rtdsrv.458a5932996f485b8b1b8d7cbb3f77a6">
      <tp>
        <v>1</v>
        <stp/>
        <stp>c2d270ae-6ab4-41b5-896b-218b136ebaf0</stp>
        <tr r="T70" s="130"/>
      </tp>
    </main>
    <main first="rtdsrv.458a5932996f485b8b1b8d7cbb3f77a6">
      <tp>
        <v>1</v>
        <stp/>
        <stp>06519296-fb97-4eb0-a4dc-deedd022474f</stp>
        <tr r="AQ60" s="130"/>
      </tp>
      <tp>
        <v>1</v>
        <stp/>
        <stp>c6806a78-1276-46a0-8d47-8a0dd6176ad4</stp>
        <tr r="AI68" s="130"/>
      </tp>
    </main>
    <main first="rtdsrv.458a5932996f485b8b1b8d7cbb3f77a6">
      <tp>
        <v>1</v>
        <stp/>
        <stp>6fbb2f25-f8fc-4eac-821f-e7baaa60665e</stp>
        <tr r="BG70" s="130"/>
      </tp>
    </main>
    <main first="rtdsrv.458a5932996f485b8b1b8d7cbb3f77a6">
      <tp>
        <v>1</v>
        <stp/>
        <stp>1d560109-a74a-4129-90a9-5b40fc5ee9eb</stp>
        <tr r="D27" s="130"/>
      </tp>
    </main>
    <main first="rtdsrv.458a5932996f485b8b1b8d7cbb3f77a6">
      <tp>
        <v>1</v>
        <stp/>
        <stp>14d4197f-530c-4499-b9b6-e7df5e9e4ed5</stp>
        <tr r="CV5" s="132"/>
      </tp>
    </main>
    <main first="rtdsrv.458a5932996f485b8b1b8d7cbb3f77a6">
      <tp>
        <v>1</v>
        <stp/>
        <stp>748fe9b5-dfeb-4661-a580-6134e3ee862d</stp>
        <tr r="CI5" s="132"/>
      </tp>
    </main>
    <main first="rtdsrv.458a5932996f485b8b1b8d7cbb3f77a6">
      <tp>
        <v>1</v>
        <stp/>
        <stp>3b2bf763-318c-4fac-a4bd-bdeb71dfcf88</stp>
        <tr r="AL55" s="130"/>
      </tp>
    </main>
    <main first="rtdsrv.458a5932996f485b8b1b8d7cbb3f77a6">
      <tp>
        <v>1</v>
        <stp/>
        <stp>e0f9e08d-241c-43fd-977a-4a105cde576c</stp>
        <tr r="I22" s="130"/>
      </tp>
    </main>
    <main first="rtdsrv.458a5932996f485b8b1b8d7cbb3f77a6">
      <tp>
        <v>1</v>
        <stp/>
        <stp>1e0fd551-0656-4f92-8f0a-1e7cf6810e5d</stp>
        <tr r="L47" s="130"/>
        <tr r="L52" s="130"/>
      </tp>
      <tp>
        <v>1</v>
        <stp/>
        <stp>df71b162-2918-4644-b87d-7da584fb6b38</stp>
        <tr r="BC12" s="130"/>
      </tp>
    </main>
    <main first="rtdsrv.458a5932996f485b8b1b8d7cbb3f77a6">
      <tp>
        <v>1</v>
        <stp/>
        <stp>f8ab8bcf-88aa-4823-943a-5fd246b5af40</stp>
        <tr r="E42" s="130"/>
      </tp>
    </main>
    <main first="rtdsrv.458a5932996f485b8b1b8d7cbb3f77a6">
      <tp>
        <v>1</v>
        <stp/>
        <stp>2e058c16-1016-4392-95a2-bb8bd1bedc0b</stp>
        <tr r="L34" s="130"/>
      </tp>
      <tp>
        <v>1</v>
        <stp/>
        <stp>2628eeda-8042-4141-9e91-3e986ffdf4ae</stp>
        <tr r="FP11" s="132"/>
      </tp>
    </main>
    <main first="rtdsrv.458a5932996f485b8b1b8d7cbb3f77a6">
      <tp>
        <v>1</v>
        <stp/>
        <stp>5924fae4-aa0e-41bd-9de7-de85d1cd4830</stp>
        <tr r="CO12" s="132"/>
      </tp>
      <tp>
        <v>1</v>
        <stp/>
        <stp>ae4c84a3-b83b-4eff-85b5-a55f9e2c736c</stp>
        <tr r="BM15" s="132"/>
      </tp>
      <tp>
        <v>1</v>
        <stp/>
        <stp>2919f57c-45cc-4a92-ba8a-879bbdaff5c9</stp>
        <tr r="DY13" s="132"/>
      </tp>
    </main>
    <main first="rtdsrv.458a5932996f485b8b1b8d7cbb3f77a6">
      <tp>
        <v>1</v>
        <stp/>
        <stp>e39990cb-4a93-4015-b3c0-11569053d4aa</stp>
        <tr r="BH24" s="130"/>
      </tp>
      <tp>
        <v>1</v>
        <stp/>
        <stp>5c5cd3e1-7b64-4f9c-bddb-754b626d8385</stp>
        <tr r="G79" s="130"/>
      </tp>
    </main>
    <main first="rtdsrv.458a5932996f485b8b1b8d7cbb3f77a6">
      <tp>
        <v>1</v>
        <stp/>
        <stp>b75a95ef-1023-47c4-8377-a4a106d70f8d</stp>
        <tr r="H7" s="132"/>
      </tp>
      <tp>
        <v>1</v>
        <stp/>
        <stp>2627676f-5333-4e9c-9c53-2cb711836d4b</stp>
        <tr r="BS9" s="132"/>
      </tp>
      <tp>
        <v>1</v>
        <stp/>
        <stp>b67cdc92-fa29-4071-a0f6-8aacb53e2da6</stp>
        <tr r="FC8" s="132"/>
      </tp>
    </main>
    <main first="rtdsrv.458a5932996f485b8b1b8d7cbb3f77a6">
      <tp>
        <v>1</v>
        <stp/>
        <stp>ff0d4880-d321-4edc-9511-e041e5eeb91f</stp>
        <tr r="CN5" s="132"/>
      </tp>
    </main>
    <main first="rtdsrv.458a5932996f485b8b1b8d7cbb3f77a6">
      <tp>
        <v>1</v>
        <stp/>
        <stp>8249662d-61b2-4c87-9566-5ea6ad9fdf2f</stp>
        <tr r="W72" s="130"/>
      </tp>
    </main>
    <main first="rtdsrv.458a5932996f485b8b1b8d7cbb3f77a6">
      <tp>
        <v>1</v>
        <stp/>
        <stp>0ceb9c84-2ee1-40ad-b82d-935163a3e0c8</stp>
        <tr r="AG96" s="130"/>
      </tp>
    </main>
    <main first="rtdsrv.458a5932996f485b8b1b8d7cbb3f77a6">
      <tp>
        <v>1</v>
        <stp/>
        <stp>208f5d1c-e33b-43cd-b183-5c035cd5d96f</stp>
        <tr r="DG6" s="132"/>
      </tp>
    </main>
    <main first="rtdsrv.458a5932996f485b8b1b8d7cbb3f77a6">
      <tp>
        <v>1</v>
        <stp/>
        <stp>ebbfad83-c036-46a7-8640-a50bcc99bd81</stp>
        <tr r="J5" s="132"/>
      </tp>
    </main>
    <main first="rtdsrv.458a5932996f485b8b1b8d7cbb3f77a6">
      <tp>
        <v>1</v>
        <stp/>
        <stp>482a5053-99b0-490c-8fd9-4aeca299e10d</stp>
        <tr r="Y39" s="130"/>
      </tp>
      <tp>
        <v>1</v>
        <stp/>
        <stp>83649fd1-a739-440b-88b0-0b30c690e444</stp>
        <tr r="AD76" s="130"/>
      </tp>
    </main>
    <main first="rtdsrv.458a5932996f485b8b1b8d7cbb3f77a6">
      <tp>
        <v>1</v>
        <stp/>
        <stp>d0d57f5e-1e5d-47d9-8b40-a990f37584ad</stp>
        <tr r="AN17" s="130"/>
      </tp>
    </main>
    <main first="rtdsrv.458a5932996f485b8b1b8d7cbb3f77a6">
      <tp>
        <v>1</v>
        <stp/>
        <stp>8d5afea1-41e4-475d-bc73-4e5ab308bd83</stp>
        <tr r="AO29" s="130"/>
      </tp>
      <tp>
        <v>1</v>
        <stp/>
        <stp>0d8ce782-a809-4cf4-8aad-c650c0f065d2</stp>
        <tr r="F99" s="130"/>
      </tp>
    </main>
    <main first="rtdsrv.458a5932996f485b8b1b8d7cbb3f77a6">
      <tp>
        <v>1</v>
        <stp/>
        <stp>ce84fb58-cdc8-412c-9720-a7a7d79e9b5f</stp>
        <tr r="M6" s="132"/>
      </tp>
    </main>
    <main first="rtdsrv.458a5932996f485b8b1b8d7cbb3f77a6">
      <tp>
        <v>1</v>
        <stp/>
        <stp>9c2264f9-cf26-4101-8ead-6b79bffcf737</stp>
        <tr r="S37" s="130"/>
      </tp>
    </main>
    <main first="rtdsrv.458a5932996f485b8b1b8d7cbb3f77a6">
      <tp>
        <v>1</v>
        <stp/>
        <stp>693bc724-06d3-42cb-b21b-88c7d6cad4a1</stp>
        <tr r="BA13" s="132"/>
      </tp>
    </main>
    <main first="rtdsrv.458a5932996f485b8b1b8d7cbb3f77a6">
      <tp>
        <v>1</v>
        <stp/>
        <stp>5146af07-6e05-4a1f-96dd-342af0a2a0b5</stp>
        <tr r="AM8" s="130"/>
      </tp>
    </main>
    <main first="rtdsrv.458a5932996f485b8b1b8d7cbb3f77a6">
      <tp>
        <v>1</v>
        <stp/>
        <stp>c42476be-5f6d-466d-8ee5-1ecb2127d5f0</stp>
        <tr r="BJ29" s="130"/>
      </tp>
      <tp>
        <v>1</v>
        <stp/>
        <stp>59401dbb-c687-4d02-9852-51c279403f19</stp>
        <tr r="CK16" s="132"/>
      </tp>
    </main>
    <main first="rtdsrv.458a5932996f485b8b1b8d7cbb3f77a6">
      <tp>
        <v>1</v>
        <stp/>
        <stp>36b332dc-6dc7-4c0a-93a4-e3fbe4006b41</stp>
        <tr r="AD5" s="130"/>
      </tp>
    </main>
    <main first="rtdsrv.458a5932996f485b8b1b8d7cbb3f77a6">
      <tp>
        <v>1</v>
        <stp/>
        <stp>acbb0dd6-e392-4aac-bdeb-e4524368f4a7</stp>
        <tr r="X84" s="130"/>
      </tp>
    </main>
    <main first="rtdsrv.458a5932996f485b8b1b8d7cbb3f77a6">
      <tp>
        <v>1</v>
        <stp/>
        <stp>4ca0a6aa-473c-45da-a2ed-827b5d00dda4</stp>
        <tr r="BI64" s="130"/>
      </tp>
    </main>
    <main first="rtdsrv.458a5932996f485b8b1b8d7cbb3f77a6">
      <tp>
        <v>1</v>
        <stp/>
        <stp>a59a018e-7551-4578-9b2a-f91cfa07a6a4</stp>
        <tr r="AM97" s="130"/>
      </tp>
    </main>
    <main first="rtdsrv.458a5932996f485b8b1b8d7cbb3f77a6">
      <tp>
        <v>1</v>
        <stp/>
        <stp>f70f86eb-97c5-4986-9294-f5b8904d5e5c</stp>
        <tr r="AS7" s="132"/>
      </tp>
    </main>
    <main first="rtdsrv.458a5932996f485b8b1b8d7cbb3f77a6">
      <tp>
        <v>1</v>
        <stp/>
        <stp>bdb763d7-e0d8-4dfb-8dfe-90a71af9d0a0</stp>
        <tr r="O31" s="130"/>
      </tp>
    </main>
    <main first="rtdsrv.458a5932996f485b8b1b8d7cbb3f77a6">
      <tp>
        <v>1</v>
        <stp/>
        <stp>f4506668-7a87-4c47-b0bc-6e3d3d54362e</stp>
        <tr r="Q13" s="130"/>
      </tp>
    </main>
    <main first="rtdsrv.458a5932996f485b8b1b8d7cbb3f77a6">
      <tp>
        <v>1</v>
        <stp/>
        <stp>eec5f9d3-ac3d-4289-aaac-663f131af70b</stp>
        <tr r="DN9" s="132"/>
      </tp>
    </main>
    <main first="rtdsrv.458a5932996f485b8b1b8d7cbb3f77a6">
      <tp>
        <v>1</v>
        <stp/>
        <stp>730aeae1-eeb4-43f6-ac55-a481f20b7e82</stp>
        <tr r="K95" s="130"/>
      </tp>
    </main>
    <main first="rtdsrv.458a5932996f485b8b1b8d7cbb3f77a6">
      <tp>
        <v>1</v>
        <stp/>
        <stp>281c26b4-a75e-4088-b22d-b5af0353e4b3</stp>
        <tr r="BA7" s="130"/>
      </tp>
    </main>
    <main first="rtdsrv.458a5932996f485b8b1b8d7cbb3f77a6">
      <tp>
        <v>1</v>
        <stp/>
        <stp>c9c298ec-00d6-4fc2-a3a9-2546be425e9b</stp>
        <tr r="BJ83" s="130"/>
      </tp>
      <tp>
        <v>1</v>
        <stp/>
        <stp>9eea6d5d-f4fc-4344-af63-34132450a2ea</stp>
        <tr r="AA14" s="130"/>
        <tr r="AA26" s="130"/>
      </tp>
    </main>
    <main first="rtdsrv.458a5932996f485b8b1b8d7cbb3f77a6">
      <tp>
        <v>1</v>
        <stp/>
        <stp>b3cd1b47-35ad-421d-bded-115230365566</stp>
        <tr r="Y13" s="130"/>
      </tp>
    </main>
    <main first="rtdsrv.458a5932996f485b8b1b8d7cbb3f77a6">
      <tp>
        <v>1</v>
        <stp/>
        <stp>ec034752-58e0-42e1-9718-0dccabda5045</stp>
        <tr r="DK7" s="132"/>
      </tp>
    </main>
    <main first="rtdsrv.458a5932996f485b8b1b8d7cbb3f77a6">
      <tp>
        <v>1</v>
        <stp/>
        <stp>36951786-78e0-46d9-95ea-aca428927f6a</stp>
        <tr r="AZ36" s="130"/>
      </tp>
      <tp>
        <v>1</v>
        <stp/>
        <stp>ffdaa4d7-f724-4414-9316-6aad03b32440</stp>
        <tr r="AR73" s="130"/>
      </tp>
    </main>
    <main first="rtdsrv.458a5932996f485b8b1b8d7cbb3f77a6">
      <tp>
        <v>1</v>
        <stp/>
        <stp>8c1dbc46-96fd-4ed0-bd47-6c6d28535104</stp>
        <tr r="AG85" s="130"/>
      </tp>
      <tp>
        <v>1</v>
        <stp/>
        <stp>2cc9382d-9544-452d-98dc-440120827186</stp>
        <tr r="V59" s="130"/>
      </tp>
    </main>
    <main first="rtdsrv.458a5932996f485b8b1b8d7cbb3f77a6">
      <tp>
        <v>1</v>
        <stp/>
        <stp>dd769a8f-cba1-4725-94b9-91cd1f5d015b</stp>
        <tr r="U72" s="130"/>
      </tp>
      <tp>
        <v>1</v>
        <stp/>
        <stp>89ecaad7-641a-45d0-8de1-660dccfe59e3</stp>
        <tr r="GL14" s="132"/>
      </tp>
    </main>
    <main first="rtdsrv.458a5932996f485b8b1b8d7cbb3f77a6">
      <tp>
        <v>1</v>
        <stp/>
        <stp>03f359a2-02a1-48f9-a72c-e0ae6f172012</stp>
        <tr r="BI31" s="130"/>
      </tp>
    </main>
    <main first="rtdsrv.458a5932996f485b8b1b8d7cbb3f77a6">
      <tp>
        <v>1</v>
        <stp/>
        <stp>20e8aea1-1b56-46fd-922b-47b4dfc73420</stp>
        <tr r="Q26" s="130"/>
        <tr r="Q14" s="130"/>
      </tp>
    </main>
    <main first="rtdsrv.458a5932996f485b8b1b8d7cbb3f77a6">
      <tp>
        <v>1</v>
        <stp/>
        <stp>66686bdf-70de-47de-9243-5b7835f68273</stp>
        <tr r="HB5" s="132"/>
      </tp>
    </main>
    <main first="rtdsrv.458a5932996f485b8b1b8d7cbb3f77a6">
      <tp>
        <v>1</v>
        <stp/>
        <stp>62e00199-55f1-460d-842c-5cb71f97a2a6</stp>
        <tr r="BO11" s="132"/>
      </tp>
    </main>
    <main first="rtdsrv.458a5932996f485b8b1b8d7cbb3f77a6">
      <tp>
        <v>1</v>
        <stp/>
        <stp>1dce5bc2-c14f-474a-a67e-aa0f3c05bfd7</stp>
        <tr r="AP42" s="130"/>
      </tp>
    </main>
    <main first="rtdsrv.458a5932996f485b8b1b8d7cbb3f77a6">
      <tp>
        <v>1</v>
        <stp/>
        <stp>076f052b-f9b3-49c1-b0e9-b0d2231e7da3</stp>
        <tr r="GM16" s="132"/>
      </tp>
    </main>
    <main first="rtdsrv.458a5932996f485b8b1b8d7cbb3f77a6">
      <tp>
        <v>1</v>
        <stp/>
        <stp>7754b340-84be-4f3e-94bc-52109851ffb8</stp>
        <tr r="AP71" s="130"/>
      </tp>
      <tp>
        <v>1</v>
        <stp/>
        <stp>1a2a7ea8-b7fc-4d87-9a12-401d426495a2</stp>
        <tr r="AW85" s="130"/>
      </tp>
    </main>
    <main first="rtdsrv.458a5932996f485b8b1b8d7cbb3f77a6">
      <tp>
        <v>1</v>
        <stp/>
        <stp>6bce83bb-7d01-4f33-8dc6-70a36b7c7356</stp>
        <tr r="S27" s="130"/>
      </tp>
    </main>
    <main first="rtdsrv.458a5932996f485b8b1b8d7cbb3f77a6">
      <tp>
        <v>1</v>
        <stp/>
        <stp>bb7e6b5b-0dc3-49db-afbc-36ce7fb0f74c</stp>
        <tr r="AQ81" s="130"/>
      </tp>
    </main>
    <main first="rtdsrv.458a5932996f485b8b1b8d7cbb3f77a6">
      <tp>
        <v>1</v>
        <stp/>
        <stp>c235971a-45cf-45aa-9400-ea2327023a52</stp>
        <tr r="CM7" s="132"/>
      </tp>
    </main>
    <main first="rtdsrv.458a5932996f485b8b1b8d7cbb3f77a6">
      <tp>
        <v>1</v>
        <stp/>
        <stp>cb951f16-6d77-462b-988e-c9d271ef0793</stp>
        <tr r="BE21" s="130"/>
      </tp>
    </main>
    <main first="rtdsrv.458a5932996f485b8b1b8d7cbb3f77a6">
      <tp>
        <v>1</v>
        <stp/>
        <stp>cb1b5f45-9bb8-4677-90d2-224a58a8e31f</stp>
        <tr r="DH8" s="132"/>
      </tp>
    </main>
    <main first="rtdsrv.458a5932996f485b8b1b8d7cbb3f77a6">
      <tp>
        <v>1</v>
        <stp/>
        <stp>f566fe3c-a1ba-471b-b072-d3a4100190fd</stp>
        <tr r="BG51" s="130"/>
        <tr r="BG46" s="130"/>
      </tp>
    </main>
    <main first="rtdsrv.458a5932996f485b8b1b8d7cbb3f77a6">
      <tp>
        <v>1</v>
        <stp/>
        <stp>4efb5794-c50d-4235-8a78-14b43cba43c9</stp>
        <tr r="N44" s="130"/>
      </tp>
    </main>
    <main first="rtdsrv.458a5932996f485b8b1b8d7cbb3f77a6">
      <tp>
        <v>1</v>
        <stp/>
        <stp>b4b89719-f65e-4870-b7bf-8b0ad2c050a3</stp>
        <tr r="L41" s="130"/>
      </tp>
    </main>
    <main first="rtdsrv.458a5932996f485b8b1b8d7cbb3f77a6">
      <tp>
        <v>1</v>
        <stp/>
        <stp>d4b1ea2d-3f6e-4888-a131-01a52954d2b0</stp>
        <tr r="AV38" s="130"/>
      </tp>
    </main>
    <main first="rtdsrv.458a5932996f485b8b1b8d7cbb3f77a6">
      <tp>
        <v>1</v>
        <stp/>
        <stp>f07770ef-f356-4c62-b8a7-1e1babca7e61</stp>
        <tr r="AD89" s="130"/>
      </tp>
      <tp>
        <v>1</v>
        <stp/>
        <stp>126c02c1-0715-4533-ab7e-83d1044dede4</stp>
        <tr r="L40" s="130"/>
      </tp>
    </main>
    <main first="rtdsrv.458a5932996f485b8b1b8d7cbb3f77a6">
      <tp>
        <v>1</v>
        <stp/>
        <stp>ae4973b1-57e7-4f93-983d-d5468910f82f</stp>
        <tr r="AI74" s="130"/>
      </tp>
    </main>
    <main first="rtdsrv.458a5932996f485b8b1b8d7cbb3f77a6">
      <tp>
        <v>1</v>
        <stp/>
        <stp>42a9aca5-a4f8-4957-a5bd-4644e4c8e05c</stp>
        <tr r="DG9" s="132"/>
      </tp>
    </main>
    <main first="rtdsrv.458a5932996f485b8b1b8d7cbb3f77a6">
      <tp>
        <v>1</v>
        <stp/>
        <stp>0c532ce7-8e57-4578-80a5-065cc7c3a7d4</stp>
        <tr r="DX12" s="132"/>
      </tp>
    </main>
    <main first="rtdsrv.458a5932996f485b8b1b8d7cbb3f77a6">
      <tp>
        <v>1</v>
        <stp/>
        <stp>f6647eaf-d272-4245-ac0c-7e436f020f01</stp>
        <tr r="G13" s="130"/>
      </tp>
    </main>
    <main first="rtdsrv.458a5932996f485b8b1b8d7cbb3f77a6">
      <tp>
        <v>1</v>
        <stp/>
        <stp>a016d836-7a8a-4adf-a7e7-95f5f8291f20</stp>
        <tr r="AC79" s="130"/>
      </tp>
      <tp>
        <v>1</v>
        <stp/>
        <stp>f46e3ac0-56b8-4bf5-b82a-667f8e76cc0c</stp>
        <tr r="AS9" s="130"/>
      </tp>
    </main>
    <main first="rtdsrv.458a5932996f485b8b1b8d7cbb3f77a6">
      <tp>
        <v>1</v>
        <stp/>
        <stp>68dcb45f-0892-4f57-91cd-782a1b885e55</stp>
        <tr r="FT15" s="132"/>
      </tp>
    </main>
    <main first="rtdsrv.458a5932996f485b8b1b8d7cbb3f77a6">
      <tp>
        <v>1</v>
        <stp/>
        <stp>3f10bb14-ebad-4e04-97d2-aba15b35df03</stp>
        <tr r="AQ21" s="130"/>
      </tp>
    </main>
    <main first="rtdsrv.458a5932996f485b8b1b8d7cbb3f77a6">
      <tp>
        <v>1</v>
        <stp/>
        <stp>68aec828-ea85-4244-8b0a-b2f2eb5f3f22</stp>
        <tr r="BK17" s="130"/>
      </tp>
      <tp>
        <v>1</v>
        <stp/>
        <stp>4ec6d1cd-3d93-4768-b8e4-69ed90cdedd6</stp>
        <tr r="H85" s="130"/>
      </tp>
    </main>
    <main first="rtdsrv.458a5932996f485b8b1b8d7cbb3f77a6">
      <tp>
        <v>1</v>
        <stp/>
        <stp>e68e8814-f92e-492a-b7a5-064a21d6f8f8</stp>
        <tr r="AR8" s="132"/>
      </tp>
      <tp>
        <v>1</v>
        <stp/>
        <stp>6717e521-8d4c-4c41-b6ca-73ea683fd4cb</stp>
        <tr r="E62" s="130"/>
      </tp>
      <tp>
        <v>1</v>
        <stp/>
        <stp>ccb0137e-e4fa-47e0-ab66-c5a65d420514</stp>
        <tr r="G60" s="130"/>
      </tp>
      <tp>
        <v>1</v>
        <stp/>
        <stp>5c6b4e0a-b0de-4c28-b78e-b4e664211374</stp>
        <tr r="BB33" s="130"/>
      </tp>
    </main>
    <main first="rtdsrv.458a5932996f485b8b1b8d7cbb3f77a6">
      <tp>
        <v>1</v>
        <stp/>
        <stp>82f5015d-1eb2-493e-8937-84151b362e0b</stp>
        <tr r="AX84" s="130"/>
      </tp>
    </main>
    <main first="rtdsrv.458a5932996f485b8b1b8d7cbb3f77a6">
      <tp>
        <v>1</v>
        <stp/>
        <stp>cc6bb4db-c35e-4aec-acca-2d3d06976196</stp>
        <tr r="Y58" s="130"/>
      </tp>
    </main>
    <main first="rtdsrv.458a5932996f485b8b1b8d7cbb3f77a6">
      <tp>
        <v>1</v>
        <stp/>
        <stp>e47c5c03-d78f-484f-8e2b-12173d6c5ffa</stp>
        <tr r="AQ39" s="130"/>
      </tp>
      <tp>
        <v>1</v>
        <stp/>
        <stp>e1ca18ea-e2f4-453a-8584-8dd7d229b4e8</stp>
        <tr r="Q21" s="130"/>
      </tp>
      <tp>
        <v>1</v>
        <stp/>
        <stp>4431444f-31f5-440e-924c-e400b02aa1d6</stp>
        <tr r="BI9" s="130"/>
      </tp>
    </main>
    <main first="rtdsrv.458a5932996f485b8b1b8d7cbb3f77a6">
      <tp>
        <v>1</v>
        <stp/>
        <stp>c16874fb-6669-4247-a58b-bc6298df20e3</stp>
        <tr r="AJ87" s="130"/>
      </tp>
    </main>
    <main first="rtdsrv.458a5932996f485b8b1b8d7cbb3f77a6">
      <tp>
        <v>1</v>
        <stp/>
        <stp>b112b0c0-5299-40ec-8c51-1778c2e76009</stp>
        <tr r="H75" s="130"/>
      </tp>
    </main>
    <main first="rtdsrv.458a5932996f485b8b1b8d7cbb3f77a6">
      <tp>
        <v>1</v>
        <stp/>
        <stp>f3baafe8-c6aa-42f4-be9b-46b60b09482e</stp>
        <tr r="N68" s="130"/>
      </tp>
    </main>
    <main first="rtdsrv.458a5932996f485b8b1b8d7cbb3f77a6">
      <tp>
        <v>1</v>
        <stp/>
        <stp>025d1ce1-4865-4a2d-81a4-05a6e5752793</stp>
        <tr r="BM9" s="132"/>
      </tp>
    </main>
    <main first="rtdsrv.458a5932996f485b8b1b8d7cbb3f77a6">
      <tp>
        <v>1</v>
        <stp/>
        <stp>8e455406-f523-4cf2-aee2-7efcddc8d65a</stp>
        <tr r="L83" s="130"/>
      </tp>
    </main>
    <main first="rtdsrv.458a5932996f485b8b1b8d7cbb3f77a6">
      <tp>
        <v>1</v>
        <stp/>
        <stp>3d90efd8-ca74-4d01-82a0-cb017bdd0fdd</stp>
        <tr r="S11" s="132"/>
      </tp>
    </main>
    <main first="rtdsrv.458a5932996f485b8b1b8d7cbb3f77a6">
      <tp>
        <v>1</v>
        <stp/>
        <stp>3674aae8-2397-413f-93e8-5750062d30b7</stp>
        <tr r="GK5" s="132"/>
      </tp>
    </main>
    <main first="rtdsrv.458a5932996f485b8b1b8d7cbb3f77a6">
      <tp>
        <v>1</v>
        <stp/>
        <stp>9f8562fa-5b65-422e-920e-c677b3338fa1</stp>
        <tr r="BC11" s="132"/>
      </tp>
    </main>
    <main first="rtdsrv.458a5932996f485b8b1b8d7cbb3f77a6">
      <tp>
        <v>1</v>
        <stp/>
        <stp>7d81821e-7a98-494c-b7be-ec02f2d7efe5</stp>
        <tr r="S35" s="130"/>
      </tp>
    </main>
    <main first="rtdsrv.458a5932996f485b8b1b8d7cbb3f77a6">
      <tp>
        <v>1</v>
        <stp/>
        <stp>ebf36320-133c-4fb8-bf3d-c9423f870c33</stp>
        <tr r="HB15" s="132"/>
      </tp>
    </main>
    <main first="rtdsrv.458a5932996f485b8b1b8d7cbb3f77a6">
      <tp>
        <v>1</v>
        <stp/>
        <stp>59bd2a7f-ffb7-416a-9a6c-3805878d21d5</stp>
        <tr r="AL72" s="130"/>
      </tp>
    </main>
    <main first="rtdsrv.458a5932996f485b8b1b8d7cbb3f77a6">
      <tp>
        <v>1</v>
        <stp/>
        <stp>a1fdb265-572c-45c5-a7cd-bc87ed20d04f</stp>
        <tr r="BF15" s="132"/>
      </tp>
    </main>
    <main first="rtdsrv.458a5932996f485b8b1b8d7cbb3f77a6">
      <tp>
        <v>1</v>
        <stp/>
        <stp>d5022ec2-29f3-45b3-b7af-43cde0dcdd6b</stp>
        <tr r="BK64" s="130"/>
      </tp>
      <tp>
        <v>1</v>
        <stp/>
        <stp>eeb55f5f-0228-40bf-aad6-fd805a45ccbf</stp>
        <tr r="GZ14" s="132"/>
      </tp>
    </main>
    <main first="rtdsrv.458a5932996f485b8b1b8d7cbb3f77a6">
      <tp>
        <v>1</v>
        <stp/>
        <stp>00c02141-400e-43bf-ae39-4cb49d23d037</stp>
        <tr r="BC84" s="130"/>
      </tp>
    </main>
    <main first="rtdsrv.458a5932996f485b8b1b8d7cbb3f77a6">
      <tp>
        <v>1</v>
        <stp/>
        <stp>8f222c70-0ff1-4f9c-9a3f-2a9dedc417b4</stp>
        <tr r="AM65" s="130"/>
      </tp>
      <tp>
        <v>1</v>
        <stp/>
        <stp>80655a98-a7c5-4abc-ae00-6af49f5c93ff</stp>
        <tr r="AB73" s="130"/>
      </tp>
    </main>
    <main first="rtdsrv.458a5932996f485b8b1b8d7cbb3f77a6">
      <tp>
        <v>1</v>
        <stp/>
        <stp>363bbba6-7a7b-47da-ae41-1e457e85fa32</stp>
        <tr r="EH11" s="132"/>
      </tp>
    </main>
    <main first="rtdsrv.458a5932996f485b8b1b8d7cbb3f77a6">
      <tp>
        <v>1</v>
        <stp/>
        <stp>302ede92-80bc-4ea5-875a-bbb78a00995c</stp>
        <tr r="AC11" s="132"/>
      </tp>
    </main>
    <main first="rtdsrv.458a5932996f485b8b1b8d7cbb3f77a6">
      <tp>
        <v>1</v>
        <stp/>
        <stp>fe85f3b1-1487-4129-b926-c844664605f9</stp>
        <tr r="U32" s="130"/>
      </tp>
      <tp>
        <v>1</v>
        <stp/>
        <stp>963122e2-0749-45f3-80f1-6f450f9be6c3</stp>
        <tr r="GA12" s="132"/>
      </tp>
    </main>
    <main first="rtdsrv.458a5932996f485b8b1b8d7cbb3f77a6">
      <tp>
        <v>1</v>
        <stp/>
        <stp>f6cc3f37-4728-4ff1-b00f-9733b2943759</stp>
        <tr r="BH96" s="130"/>
      </tp>
    </main>
    <main first="rtdsrv.458a5932996f485b8b1b8d7cbb3f77a6">
      <tp>
        <v>1</v>
        <stp/>
        <stp>185389b3-6265-4fde-8e30-cb844e53b1f4</stp>
        <tr r="F14" s="132"/>
      </tp>
    </main>
    <main first="rtdsrv.458a5932996f485b8b1b8d7cbb3f77a6">
      <tp>
        <v>1</v>
        <stp/>
        <stp>acfe743e-d197-4f15-bf1a-b49ecd4bd06b</stp>
        <tr r="AU58" s="130"/>
      </tp>
    </main>
    <main first="rtdsrv.458a5932996f485b8b1b8d7cbb3f77a6">
      <tp>
        <v>1</v>
        <stp/>
        <stp>3ceed13c-89af-488b-bf1f-6f2728146048</stp>
        <tr r="AT11" s="130"/>
      </tp>
      <tp>
        <v>1</v>
        <stp/>
        <stp>762fc4a1-cc67-4d14-ae46-ab1ad204af95</stp>
        <tr r="BK58" s="130"/>
      </tp>
      <tp>
        <v>1</v>
        <stp/>
        <stp>ad40547e-e6bf-493a-97e4-7290e14f4e2e</stp>
        <tr r="AU72" s="130"/>
      </tp>
      <tp>
        <v>1</v>
        <stp/>
        <stp>1645428a-48bc-4d74-ada7-51c76582e6f5</stp>
        <tr r="GH14" s="132"/>
      </tp>
    </main>
    <main first="rtdsrv.458a5932996f485b8b1b8d7cbb3f77a6">
      <tp>
        <v>1</v>
        <stp/>
        <stp>41dac45f-3548-4b7e-a83d-e0775110a686</stp>
        <tr r="AL89" s="130"/>
      </tp>
      <tp>
        <v>1</v>
        <stp/>
        <stp>28f206ab-8f17-4ffa-8c46-4ee09a9c905c</stp>
        <tr r="BD64" s="130"/>
      </tp>
      <tp>
        <v>1</v>
        <stp/>
        <stp>56bff89a-cf4c-4dfb-92a6-79e30f2b1fb1</stp>
        <tr r="BD15" s="132"/>
      </tp>
      <tp>
        <v>1</v>
        <stp/>
        <stp>7fdd96ce-5d3f-401e-8a3f-77bd7e82f6ab</stp>
        <tr r="BK41" s="130"/>
      </tp>
      <tp>
        <v>1</v>
        <stp/>
        <stp>1f0badd3-0154-484e-bd0d-a03ebb83eb4e</stp>
        <tr r="GR11" s="132"/>
      </tp>
      <tp>
        <v>1</v>
        <stp/>
        <stp>bc0bc0af-2066-4a01-8f2c-43526611f08e</stp>
        <tr r="M13" s="132"/>
      </tp>
    </main>
    <main first="rtdsrv.458a5932996f485b8b1b8d7cbb3f77a6">
      <tp>
        <v>1</v>
        <stp/>
        <stp>eab13424-297e-42a0-8cd9-4e53318b70b6</stp>
        <tr r="AL5" s="130"/>
      </tp>
      <tp>
        <v>1</v>
        <stp/>
        <stp>69b094b0-072f-4477-8fd6-32ba23e04890</stp>
        <tr r="G8" s="130"/>
      </tp>
      <tp>
        <v>1</v>
        <stp/>
        <stp>05bfd57e-25e9-4ccf-87ba-ac9da17fe30a</stp>
        <tr r="HD8" s="132"/>
      </tp>
    </main>
    <main first="rtdsrv.458a5932996f485b8b1b8d7cbb3f77a6">
      <tp>
        <v>1</v>
        <stp/>
        <stp>56d708f4-8782-4e41-bb72-3a76c069e694</stp>
        <tr r="BA86" s="130"/>
      </tp>
      <tp>
        <v>1</v>
        <stp/>
        <stp>4cb2d404-0b61-42b6-a423-60973b74df2f</stp>
        <tr r="D70" s="130"/>
      </tp>
    </main>
    <main first="rtdsrv.458a5932996f485b8b1b8d7cbb3f77a6">
      <tp>
        <v>1</v>
        <stp/>
        <stp>f9ac93da-4817-4396-a7ff-b274a8e9636c</stp>
        <tr r="AA36" s="130"/>
      </tp>
    </main>
    <main first="rtdsrv.458a5932996f485b8b1b8d7cbb3f77a6">
      <tp>
        <v>1</v>
        <stp/>
        <stp>87012691-1398-474b-a079-99859330587d</stp>
        <tr r="P63" s="130"/>
      </tp>
    </main>
    <main first="rtdsrv.458a5932996f485b8b1b8d7cbb3f77a6">
      <tp>
        <v>1</v>
        <stp/>
        <stp>27366332-b388-44fc-a8f3-716e7798927c</stp>
        <tr r="AP99" s="130"/>
      </tp>
    </main>
    <main first="rtdsrv.458a5932996f485b8b1b8d7cbb3f77a6">
      <tp>
        <v>1</v>
        <stp/>
        <stp>b2d362e6-89e5-40a6-b93c-6d8e27ba099e</stp>
        <tr r="AI63" s="130"/>
      </tp>
    </main>
    <main first="rtdsrv.458a5932996f485b8b1b8d7cbb3f77a6">
      <tp>
        <v>1</v>
        <stp/>
        <stp>7f88cd3a-cb20-4c9e-b4fa-a9184964c57a</stp>
        <tr r="AR13" s="132"/>
      </tp>
    </main>
    <main first="rtdsrv.458a5932996f485b8b1b8d7cbb3f77a6">
      <tp>
        <v>1</v>
        <stp/>
        <stp>3a730e05-9dfd-4fa1-a6a4-b39be1d28823</stp>
        <tr r="BB85" s="130"/>
      </tp>
    </main>
    <main first="rtdsrv.458a5932996f485b8b1b8d7cbb3f77a6">
      <tp>
        <v>1</v>
        <stp/>
        <stp>003060b4-499d-46f0-9313-e438a2b3bd26</stp>
        <tr r="EI9" s="132"/>
      </tp>
      <tp>
        <v>1</v>
        <stp/>
        <stp>48432b83-8af7-422e-a11f-62098b643157</stp>
        <tr r="K78" s="130"/>
      </tp>
      <tp>
        <v>1</v>
        <stp/>
        <stp>d48998fa-b2fd-4ca6-b01e-72d1f5e8d908</stp>
        <tr r="BE63" s="130"/>
      </tp>
    </main>
    <main first="rtdsrv.458a5932996f485b8b1b8d7cbb3f77a6">
      <tp>
        <v>1</v>
        <stp/>
        <stp>42ef30e2-0989-4de0-b4c0-93376576a049</stp>
        <tr r="FN11" s="132"/>
      </tp>
    </main>
    <main first="rtdsrv.458a5932996f485b8b1b8d7cbb3f77a6">
      <tp>
        <v>1</v>
        <stp/>
        <stp>1171e750-ff8e-494f-b2c9-63e91d21be31</stp>
        <tr r="C20" s="130"/>
      </tp>
      <tp>
        <v>1</v>
        <stp/>
        <stp>101bb543-5a07-4b2e-9df8-4ff2c0b052ab</stp>
        <tr r="AX37" s="130"/>
      </tp>
    </main>
    <main first="rtdsrv.458a5932996f485b8b1b8d7cbb3f77a6">
      <tp>
        <v>1</v>
        <stp/>
        <stp>215ae0ad-e0e8-4841-9158-c0e05e908b9f</stp>
        <tr r="BN6" s="132"/>
      </tp>
    </main>
    <main first="rtdsrv.458a5932996f485b8b1b8d7cbb3f77a6">
      <tp>
        <v>1</v>
        <stp/>
        <stp>cfbd3cb9-bbf9-4949-bae8-6bba486f367a</stp>
        <tr r="E61" s="130"/>
      </tp>
    </main>
    <main first="rtdsrv.458a5932996f485b8b1b8d7cbb3f77a6">
      <tp>
        <v>1</v>
        <stp/>
        <stp>5ca7754b-97b0-44bb-b398-ffab91701453</stp>
        <tr r="AC57" s="130"/>
      </tp>
    </main>
    <main first="rtdsrv.458a5932996f485b8b1b8d7cbb3f77a6">
      <tp>
        <v>1</v>
        <stp/>
        <stp>bc046639-073d-4e3b-bfec-e295e2cc654c</stp>
        <tr r="O12" s="130"/>
      </tp>
    </main>
    <main first="rtdsrv.458a5932996f485b8b1b8d7cbb3f77a6">
      <tp>
        <v>1</v>
        <stp/>
        <stp>ff10add3-44df-46dc-8dd9-efebcea91efd</stp>
        <tr r="AP34" s="130"/>
      </tp>
    </main>
    <main first="rtdsrv.458a5932996f485b8b1b8d7cbb3f77a6">
      <tp>
        <v>1</v>
        <stp/>
        <stp>bae69316-58d9-40a0-a2b7-4f3c42d75662</stp>
        <tr r="BA30" s="130"/>
      </tp>
    </main>
    <main first="rtdsrv.458a5932996f485b8b1b8d7cbb3f77a6">
      <tp>
        <v>1</v>
        <stp/>
        <stp>69ab7836-818e-49fd-b418-295a3c7b9acf</stp>
        <tr r="DL9" s="132"/>
      </tp>
    </main>
    <main first="rtdsrv.458a5932996f485b8b1b8d7cbb3f77a6">
      <tp>
        <v>1</v>
        <stp/>
        <stp>013001a3-a9f9-4c04-b876-7483a19b20fe</stp>
        <tr r="Q66" s="130"/>
      </tp>
    </main>
    <main first="rtdsrv.458a5932996f485b8b1b8d7cbb3f77a6">
      <tp>
        <v>1</v>
        <stp/>
        <stp>62c57658-190d-45fb-8eff-3478c0ae5be4</stp>
        <tr r="AX64" s="130"/>
      </tp>
      <tp>
        <v>1</v>
        <stp/>
        <stp>0c17a4d0-eec7-44a5-a01b-259a21488ee0</stp>
        <tr r="AP13" s="130"/>
      </tp>
      <tp>
        <v>1</v>
        <stp/>
        <stp>4c1eb7bb-789e-4156-85aa-5485a51a5b9d</stp>
        <tr r="AD60" s="130"/>
      </tp>
    </main>
    <main first="rtdsrv.458a5932996f485b8b1b8d7cbb3f77a6">
      <tp>
        <v>1</v>
        <stp/>
        <stp>70e5649c-5453-4b08-af85-3dfbe1b073c0</stp>
        <tr r="AW72" s="130"/>
      </tp>
    </main>
    <main first="rtdsrv.458a5932996f485b8b1b8d7cbb3f77a6">
      <tp>
        <v>1</v>
        <stp/>
        <stp>bce1de81-4455-48b3-861c-e551d1d51ca8</stp>
        <tr r="DX16" s="132"/>
      </tp>
    </main>
    <main first="rtdsrv.458a5932996f485b8b1b8d7cbb3f77a6">
      <tp>
        <v>1</v>
        <stp/>
        <stp>e7b2a367-86a3-4932-b8d1-b6e48953c28f</stp>
        <tr r="AP55" s="130"/>
      </tp>
      <tp>
        <v>1</v>
        <stp/>
        <stp>9566a33f-0936-4e75-8236-066d85cdfddb</stp>
        <tr r="D29" s="130"/>
      </tp>
    </main>
    <main first="rtdsrv.458a5932996f485b8b1b8d7cbb3f77a6">
      <tp>
        <v>1</v>
        <stp/>
        <stp>31c69f8f-5884-42a4-8d15-74effb07af80</stp>
        <tr r="AZ29" s="130"/>
      </tp>
    </main>
    <main first="rtdsrv.458a5932996f485b8b1b8d7cbb3f77a6">
      <tp>
        <v>1</v>
        <stp/>
        <stp>07628fb9-269d-4f35-85ba-05694b87146b</stp>
        <tr r="Y63" s="130"/>
      </tp>
      <tp>
        <v>1</v>
        <stp/>
        <stp>4ba29cc1-c8f0-466f-89c6-4fccd7eb0a1e</stp>
        <tr r="S34" s="130"/>
      </tp>
      <tp>
        <v>1</v>
        <stp/>
        <stp>ccb57194-c171-47d7-93da-145ebc44bb1b</stp>
        <tr r="Y55" s="130"/>
      </tp>
    </main>
    <main first="rtdsrv.458a5932996f485b8b1b8d7cbb3f77a6">
      <tp>
        <v>1</v>
        <stp/>
        <stp>c70f12e7-36d8-4ec5-be33-e79212930b4d</stp>
        <tr r="V18" s="130"/>
      </tp>
    </main>
    <main first="rtdsrv.458a5932996f485b8b1b8d7cbb3f77a6">
      <tp>
        <v>1</v>
        <stp/>
        <stp>fbc0a072-d40b-41c0-b051-47722eaeb6cd</stp>
        <tr r="C67" s="130"/>
      </tp>
    </main>
    <main first="rtdsrv.458a5932996f485b8b1b8d7cbb3f77a6">
      <tp>
        <v>1</v>
        <stp/>
        <stp>364ea1c1-aa0d-45d1-a8e7-dd57571986ad</stp>
        <tr r="U19" s="130"/>
      </tp>
    </main>
    <main first="rtdsrv.458a5932996f485b8b1b8d7cbb3f77a6">
      <tp>
        <v>1</v>
        <stp/>
        <stp>47a9f4b3-8e8b-4318-9706-d7fd37d50d60</stp>
        <tr r="AF28" s="130"/>
      </tp>
    </main>
    <main first="rtdsrv.458a5932996f485b8b1b8d7cbb3f77a6">
      <tp>
        <v>1</v>
        <stp/>
        <stp>9064f10c-4b5c-4d67-8a77-22f235f14e7e</stp>
        <tr r="AY95" s="130"/>
      </tp>
    </main>
    <main first="rtdsrv.458a5932996f485b8b1b8d7cbb3f77a6">
      <tp>
        <v>1</v>
        <stp/>
        <stp>6dc12bb2-aefd-4c8f-9340-fdef3cf8ae3c</stp>
        <tr r="S5" s="130"/>
      </tp>
    </main>
    <main first="rtdsrv.458a5932996f485b8b1b8d7cbb3f77a6">
      <tp>
        <v>1</v>
        <stp/>
        <stp>dc993587-e7ff-465b-9e34-ce5645124ebb</stp>
        <tr r="BC59" s="130"/>
      </tp>
    </main>
    <main first="rtdsrv.458a5932996f485b8b1b8d7cbb3f77a6">
      <tp>
        <v>1</v>
        <stp/>
        <stp>34285bc8-62c7-4fda-b33d-07b96d2c4631</stp>
        <tr r="AX5" s="132"/>
      </tp>
      <tp>
        <v>1</v>
        <stp/>
        <stp>43772762-f004-4f7d-92a7-f8c6b085089e</stp>
        <tr r="CU9" s="132"/>
      </tp>
    </main>
    <main first="rtdsrv.458a5932996f485b8b1b8d7cbb3f77a6">
      <tp>
        <v>1</v>
        <stp/>
        <stp>3cccbdff-720f-4d75-b9c5-63cb4538a76a</stp>
        <tr r="CZ11" s="132"/>
      </tp>
    </main>
    <main first="rtdsrv.458a5932996f485b8b1b8d7cbb3f77a6">
      <tp>
        <v>1</v>
        <stp/>
        <stp>51872a59-6ef4-4988-a471-1b7c18278d94</stp>
        <tr r="AU65" s="130"/>
      </tp>
    </main>
    <main first="rtdsrv.458a5932996f485b8b1b8d7cbb3f77a6">
      <tp>
        <v>1</v>
        <stp/>
        <stp>f6cb6236-32b7-44c5-8a5e-c1f1747d4e30</stp>
        <tr r="AW17" s="130"/>
      </tp>
    </main>
    <main first="rtdsrv.458a5932996f485b8b1b8d7cbb3f77a6">
      <tp>
        <v>1</v>
        <stp/>
        <stp>7a3414c2-2293-4ae8-8825-321a58f1c0e6</stp>
        <tr r="DT11" s="132"/>
      </tp>
    </main>
    <main first="rtdsrv.458a5932996f485b8b1b8d7cbb3f77a6">
      <tp>
        <v>1</v>
        <stp/>
        <stp>e6125fd1-120e-4e09-b583-df3ad4b12ec1</stp>
        <tr r="AO9" s="130"/>
      </tp>
    </main>
    <main first="rtdsrv.458a5932996f485b8b1b8d7cbb3f77a6">
      <tp>
        <v>1</v>
        <stp/>
        <stp>04b6d70f-b71e-4c2b-98eb-186d71a9c864</stp>
        <tr r="BA99" s="130"/>
      </tp>
    </main>
    <main first="rtdsrv.458a5932996f485b8b1b8d7cbb3f77a6">
      <tp>
        <v>1</v>
        <stp/>
        <stp>6f75aa50-e49c-4da0-8c73-60c545578750</stp>
        <tr r="F15" s="130"/>
      </tp>
      <tp>
        <v>1</v>
        <stp/>
        <stp>6c674f6a-ef59-447e-9812-6ad9b0f27204</stp>
        <tr r="AA18" s="130"/>
      </tp>
    </main>
    <main first="rtdsrv.458a5932996f485b8b1b8d7cbb3f77a6">
      <tp>
        <v>1</v>
        <stp/>
        <stp>eaf876a3-b6a8-4bf0-b6bf-be7d97620b01</stp>
        <tr r="GJ14" s="132"/>
      </tp>
    </main>
    <main first="rtdsrv.458a5932996f485b8b1b8d7cbb3f77a6">
      <tp>
        <v>1</v>
        <stp/>
        <stp>3ea82e5a-054d-4013-9d07-b642a06d0b3e</stp>
        <tr r="AK14" s="130"/>
        <tr r="AK26" s="130"/>
      </tp>
    </main>
    <main first="rtdsrv.458a5932996f485b8b1b8d7cbb3f77a6">
      <tp>
        <v>1</v>
        <stp/>
        <stp>3c097212-7bb7-4d91-921e-5da54da281af</stp>
        <tr r="AD77" s="130"/>
      </tp>
    </main>
    <main first="rtdsrv.458a5932996f485b8b1b8d7cbb3f77a6">
      <tp>
        <v>1</v>
        <stp/>
        <stp>83621f5a-430e-4d35-b6d3-aa5510fc3670</stp>
        <tr r="O84" s="130"/>
      </tp>
    </main>
    <main first="rtdsrv.458a5932996f485b8b1b8d7cbb3f77a6">
      <tp>
        <v>1</v>
        <stp/>
        <stp>85485817-0b3d-471f-8f7f-f1df99c783ab</stp>
        <tr r="J32" s="130"/>
      </tp>
    </main>
    <main first="rtdsrv.458a5932996f485b8b1b8d7cbb3f77a6">
      <tp>
        <v>1</v>
        <stp/>
        <stp>670d0e55-132d-4633-a0ad-fcccd05ad5dc</stp>
        <tr r="EI11" s="132"/>
      </tp>
    </main>
    <main first="rtdsrv.458a5932996f485b8b1b8d7cbb3f77a6">
      <tp>
        <v>1</v>
        <stp/>
        <stp>84180dc9-4ccb-4e0a-9412-6edad4b992e2</stp>
        <tr r="AH75" s="130"/>
      </tp>
    </main>
    <main first="rtdsrv.458a5932996f485b8b1b8d7cbb3f77a6">
      <tp>
        <v>1</v>
        <stp/>
        <stp>400560cb-2233-40ea-835e-3108b31423e3</stp>
        <tr r="BA51" s="130"/>
        <tr r="BA46" s="130"/>
      </tp>
    </main>
    <main first="rtdsrv.458a5932996f485b8b1b8d7cbb3f77a6">
      <tp>
        <v>1</v>
        <stp/>
        <stp>d66208d3-9d20-4ffd-9fce-1c68f3405715</stp>
        <tr r="AS80" s="130"/>
      </tp>
    </main>
    <main first="rtdsrv.458a5932996f485b8b1b8d7cbb3f77a6">
      <tp>
        <v>1</v>
        <stp/>
        <stp>25997ed7-089c-4ba1-9f11-669f3858a98b</stp>
        <tr r="J86" s="130"/>
      </tp>
    </main>
    <main first="rtdsrv.458a5932996f485b8b1b8d7cbb3f77a6">
      <tp>
        <v>1</v>
        <stp/>
        <stp>1adac5f5-85ee-463e-b6fa-38260a519a18</stp>
        <tr r="BZ7" s="132"/>
      </tp>
    </main>
    <main first="rtdsrv.458a5932996f485b8b1b8d7cbb3f77a6">
      <tp>
        <v>1</v>
        <stp/>
        <stp>82b1134b-14ab-4df3-b360-61267ec3c6c7</stp>
        <tr r="AR71" s="130"/>
      </tp>
      <tp>
        <v>1</v>
        <stp/>
        <stp>db949a51-9136-4ac5-a618-7edba9d345eb</stp>
        <tr r="AN74" s="130"/>
      </tp>
    </main>
    <main first="rtdsrv.458a5932996f485b8b1b8d7cbb3f77a6">
      <tp>
        <v>1</v>
        <stp/>
        <stp>b040dd4f-b153-4752-b92e-31baced6a52b</stp>
        <tr r="GI8" s="132"/>
      </tp>
    </main>
    <main first="rtdsrv.458a5932996f485b8b1b8d7cbb3f77a6">
      <tp>
        <v>1</v>
        <stp/>
        <stp>a94308de-c7c9-4c95-beb4-e3189c19f234</stp>
        <tr r="AF76" s="130"/>
      </tp>
    </main>
    <main first="rtdsrv.458a5932996f485b8b1b8d7cbb3f77a6">
      <tp>
        <v>1</v>
        <stp/>
        <stp>e113f909-5e09-42cd-8f7c-09f09be87bd7</stp>
        <tr r="W75" s="130"/>
      </tp>
    </main>
    <main first="rtdsrv.458a5932996f485b8b1b8d7cbb3f77a6">
      <tp>
        <v>1</v>
        <stp/>
        <stp>af620233-86ac-4e29-946a-e450c261c211</stp>
        <tr r="AU11" s="130"/>
      </tp>
    </main>
    <main first="rtdsrv.458a5932996f485b8b1b8d7cbb3f77a6">
      <tp>
        <v>1</v>
        <stp/>
        <stp>f08ecb1a-0800-4c7e-8c74-5cfb73aa57bf</stp>
        <tr r="DS12" s="132"/>
      </tp>
    </main>
    <main first="rtdsrv.458a5932996f485b8b1b8d7cbb3f77a6">
      <tp>
        <v>1</v>
        <stp/>
        <stp>8680e387-a359-4f07-bd7c-cc8ef414cd81</stp>
        <tr r="C13" s="132"/>
      </tp>
    </main>
    <main first="rtdsrv.458a5932996f485b8b1b8d7cbb3f77a6">
      <tp>
        <v>1</v>
        <stp/>
        <stp>1366e75f-938f-4afc-89ae-23eaec0758a5</stp>
        <tr r="AX73" s="130"/>
      </tp>
      <tp>
        <v>1</v>
        <stp/>
        <stp>0d787f51-f055-4aed-8c3d-593ebebcc8f2</stp>
        <tr r="AK83" s="130"/>
      </tp>
    </main>
    <main first="rtdsrv.458a5932996f485b8b1b8d7cbb3f77a6">
      <tp>
        <v>1</v>
        <stp/>
        <stp>77d3b5ec-220d-4c74-9deb-336f9fb7bcd4</stp>
        <tr r="BG10" s="130"/>
      </tp>
    </main>
    <main first="rtdsrv.458a5932996f485b8b1b8d7cbb3f77a6">
      <tp>
        <v>1</v>
        <stp/>
        <stp>6533936d-ea21-4ac2-b3eb-ff6fc22837ce</stp>
        <tr r="GI9" s="132"/>
      </tp>
    </main>
    <main first="rtdsrv.458a5932996f485b8b1b8d7cbb3f77a6">
      <tp>
        <v>1</v>
        <stp/>
        <stp>094d9120-63da-4406-965f-b740ceed58c0</stp>
        <tr r="AK61" s="130"/>
      </tp>
    </main>
    <main first="rtdsrv.458a5932996f485b8b1b8d7cbb3f77a6">
      <tp>
        <v>1</v>
        <stp/>
        <stp>c1de4f08-3916-44fb-8aee-a2888d23cbcd</stp>
        <tr r="C70" s="130"/>
      </tp>
      <tp>
        <v>1</v>
        <stp/>
        <stp>42597f03-0e2e-4a24-b74e-ede35207be12</stp>
        <tr r="FG13" s="132"/>
      </tp>
    </main>
    <main first="rtdsrv.458a5932996f485b8b1b8d7cbb3f77a6">
      <tp>
        <v>1</v>
        <stp/>
        <stp>eacb155c-c4dc-449a-a2f2-fed5a509a7e6</stp>
        <tr r="M68" s="130"/>
      </tp>
    </main>
    <main first="rtdsrv.458a5932996f485b8b1b8d7cbb3f77a6">
      <tp>
        <v>1</v>
        <stp/>
        <stp>d8e21fec-1b73-4d3e-bf8d-f575dd1854ad</stp>
        <tr r="S77" s="130"/>
      </tp>
    </main>
    <main first="rtdsrv.458a5932996f485b8b1b8d7cbb3f77a6">
      <tp>
        <v>1</v>
        <stp/>
        <stp>82428ee2-2cba-477e-9b0d-0a52d7124109</stp>
        <tr r="X19" s="130"/>
      </tp>
      <tp>
        <v>1</v>
        <stp/>
        <stp>86015ab0-a86d-4341-a31d-6cf12f836d23</stp>
        <tr r="DG12" s="132"/>
      </tp>
      <tp>
        <v>1</v>
        <stp/>
        <stp>f6c4dd2c-d146-4e17-aa9a-45fd2c6f9936</stp>
        <tr r="AE11" s="132"/>
      </tp>
    </main>
    <main first="rtdsrv.458a5932996f485b8b1b8d7cbb3f77a6">
      <tp>
        <v>1</v>
        <stp/>
        <stp>3bee9000-b5e6-46ab-8047-66ad8dc21c76</stp>
        <tr r="BB79" s="130"/>
      </tp>
      <tp>
        <v>1</v>
        <stp/>
        <stp>2156aeb3-7c6a-4083-827a-5ce27a1d92c0</stp>
        <tr r="FL16" s="132"/>
      </tp>
    </main>
    <main first="rtdsrv.458a5932996f485b8b1b8d7cbb3f77a6">
      <tp>
        <v>1</v>
        <stp/>
        <stp>ff4b55eb-4e4d-4164-abd7-277d9208fefb</stp>
        <tr r="AZ55" s="130"/>
      </tp>
    </main>
    <main first="rtdsrv.458a5932996f485b8b1b8d7cbb3f77a6">
      <tp>
        <v>1</v>
        <stp/>
        <stp>524c8045-6b00-402a-9662-54260958c95b</stp>
        <tr r="AL87" s="130"/>
      </tp>
    </main>
    <main first="rtdsrv.458a5932996f485b8b1b8d7cbb3f77a6">
      <tp>
        <v>1</v>
        <stp/>
        <stp>b7457244-12fc-4c34-b6c0-4629820af0b5</stp>
        <tr r="H7" s="130"/>
      </tp>
    </main>
    <main first="rtdsrv.458a5932996f485b8b1b8d7cbb3f77a6">
      <tp>
        <v>1</v>
        <stp/>
        <stp>cdd7ad80-9451-4173-9272-a9bd66b14e8f</stp>
        <tr r="AQ88" s="130"/>
      </tp>
    </main>
    <main first="rtdsrv.458a5932996f485b8b1b8d7cbb3f77a6">
      <tp>
        <v>1</v>
        <stp/>
        <stp>24cbd727-c9a5-45f0-ad3e-2ad5ef21b384</stp>
        <tr r="AG74" s="130"/>
      </tp>
    </main>
    <main first="rtdsrv.458a5932996f485b8b1b8d7cbb3f77a6">
      <tp>
        <v>1</v>
        <stp/>
        <stp>02e0f3df-3ad4-4bec-8c2f-f37af61be1c5</stp>
        <tr r="FY5" s="132"/>
      </tp>
    </main>
    <main first="rtdsrv.458a5932996f485b8b1b8d7cbb3f77a6">
      <tp>
        <v>1</v>
        <stp/>
        <stp>1724b0e2-b1fd-4f99-a24c-3538e94363a0</stp>
        <tr r="AM7" s="130"/>
      </tp>
    </main>
    <main first="rtdsrv.458a5932996f485b8b1b8d7cbb3f77a6">
      <tp>
        <v>1</v>
        <stp/>
        <stp>ae1a167f-4695-4d34-bbf5-7ccdb97ef82c</stp>
        <tr r="AP22" s="130"/>
      </tp>
    </main>
    <main first="rtdsrv.458a5932996f485b8b1b8d7cbb3f77a6">
      <tp>
        <v>1</v>
        <stp/>
        <stp>d56a4645-d2f0-4a3e-b7d2-8c5ed1b84c64</stp>
        <tr r="AO51" s="130"/>
        <tr r="AO46" s="130"/>
      </tp>
    </main>
    <main first="rtdsrv.458a5932996f485b8b1b8d7cbb3f77a6">
      <tp>
        <v>1</v>
        <stp/>
        <stp>5a685a1c-e8b6-424e-8b7e-95ef44879ada</stp>
        <tr r="H59" s="130"/>
      </tp>
    </main>
    <main first="rtdsrv.458a5932996f485b8b1b8d7cbb3f77a6">
      <tp>
        <v>1</v>
        <stp/>
        <stp>3087a030-a9e7-44f9-af94-20b0e0b856e0</stp>
        <tr r="N27" s="130"/>
      </tp>
    </main>
    <main first="rtdsrv.458a5932996f485b8b1b8d7cbb3f77a6">
      <tp>
        <v>1</v>
        <stp/>
        <stp>ba2e4846-5250-4af6-a635-bd8918862bbd</stp>
        <tr r="C34" s="130"/>
      </tp>
    </main>
    <main first="rtdsrv.458a5932996f485b8b1b8d7cbb3f77a6">
      <tp>
        <v>1</v>
        <stp/>
        <stp>2ad6c393-d136-4641-ac4a-dab7b2ad17bc</stp>
        <tr r="BY13" s="132"/>
      </tp>
    </main>
    <main first="rtdsrv.458a5932996f485b8b1b8d7cbb3f77a6">
      <tp>
        <v>1</v>
        <stp/>
        <stp>4eda4217-00a2-4b82-87d4-e746da1f008b</stp>
        <tr r="AL57" s="130"/>
      </tp>
    </main>
    <main first="rtdsrv.458a5932996f485b8b1b8d7cbb3f77a6">
      <tp>
        <v>1</v>
        <stp/>
        <stp>fe634677-b26d-4b3f-826e-f2810fa7dbc5</stp>
        <tr r="AK42" s="130"/>
      </tp>
    </main>
    <main first="rtdsrv.458a5932996f485b8b1b8d7cbb3f77a6">
      <tp>
        <v>1</v>
        <stp/>
        <stp>f7b5a301-d942-4b7c-9faa-e61cf06d93aa</stp>
        <tr r="AX10" s="130"/>
      </tp>
    </main>
    <main first="rtdsrv.458a5932996f485b8b1b8d7cbb3f77a6">
      <tp>
        <v>1</v>
        <stp/>
        <stp>be1383df-00f0-442e-9f36-c3c1919fceed</stp>
        <tr r="D94" s="130"/>
      </tp>
      <tp>
        <v>1</v>
        <stp/>
        <stp>00b4fcb4-0205-4665-982d-9da4949dfcbb</stp>
        <tr r="Q47" s="130"/>
        <tr r="Q52" s="130"/>
      </tp>
      <tp>
        <v>1</v>
        <stp/>
        <stp>9adc8f96-3615-459c-90c3-516cb05d3b7d</stp>
        <tr r="EY12" s="132"/>
      </tp>
    </main>
    <main first="rtdsrv.458a5932996f485b8b1b8d7cbb3f77a6">
      <tp>
        <v>1</v>
        <stp/>
        <stp>8080fd5e-4f0a-4618-8073-87ffb6aa0923</stp>
        <tr r="AJ35" s="130"/>
      </tp>
    </main>
    <main first="rtdsrv.458a5932996f485b8b1b8d7cbb3f77a6">
      <tp>
        <v>1</v>
        <stp/>
        <stp>20be5d78-1049-4ec3-8bc5-be23816d069d</stp>
        <tr r="M24" s="130"/>
      </tp>
    </main>
    <main first="rtdsrv.458a5932996f485b8b1b8d7cbb3f77a6">
      <tp>
        <v>1</v>
        <stp/>
        <stp>3a362f00-434a-42ec-9e19-1ec532312a42</stp>
        <tr r="D15" s="130"/>
      </tp>
    </main>
    <main first="rtdsrv.458a5932996f485b8b1b8d7cbb3f77a6">
      <tp>
        <v>1</v>
        <stp/>
        <stp>2c32dac1-55cb-4f4a-911a-8e3977884bac</stp>
        <tr r="AG57" s="130"/>
      </tp>
    </main>
    <main first="rtdsrv.458a5932996f485b8b1b8d7cbb3f77a6">
      <tp>
        <v>1</v>
        <stp/>
        <stp>260966a6-5571-47f2-a259-2da9fceeeb73</stp>
        <tr r="AC43" s="130"/>
      </tp>
    </main>
    <main first="rtdsrv.458a5932996f485b8b1b8d7cbb3f77a6">
      <tp>
        <v>1</v>
        <stp/>
        <stp>8e7ff677-da6d-446e-aae8-2e239fc38cf8</stp>
        <tr r="GW6" s="132"/>
      </tp>
    </main>
    <main first="rtdsrv.458a5932996f485b8b1b8d7cbb3f77a6">
      <tp>
        <v>1</v>
        <stp/>
        <stp>dbe64ea5-d464-4227-aa89-395846edd473</stp>
        <tr r="BH8" s="132"/>
      </tp>
    </main>
    <main first="rtdsrv.458a5932996f485b8b1b8d7cbb3f77a6">
      <tp>
        <v>1</v>
        <stp/>
        <stp>2ef31376-5dd8-4880-83df-72ac3adef394</stp>
        <tr r="GF13" s="132"/>
      </tp>
      <tp>
        <v>1</v>
        <stp/>
        <stp>369a6a4f-2bac-45c6-b4a1-aec0756725de</stp>
        <tr r="AL70" s="130"/>
      </tp>
    </main>
    <main first="rtdsrv.458a5932996f485b8b1b8d7cbb3f77a6">
      <tp>
        <v>1</v>
        <stp/>
        <stp>cff00764-046d-4602-b26c-a696875a43dc</stp>
        <tr r="AO19" s="130"/>
      </tp>
    </main>
    <main first="rtdsrv.458a5932996f485b8b1b8d7cbb3f77a6">
      <tp>
        <v>1</v>
        <stp/>
        <stp>dfff121a-6c6d-46b7-810b-e57f05896260</stp>
        <tr r="BH39" s="130"/>
      </tp>
    </main>
    <main first="rtdsrv.458a5932996f485b8b1b8d7cbb3f77a6">
      <tp>
        <v>1</v>
        <stp/>
        <stp>889d0d21-d478-47a1-92dc-a87bf324616f</stp>
        <tr r="BF86" s="130"/>
      </tp>
      <tp>
        <v>1</v>
        <stp/>
        <stp>e0afe2d4-1e0d-4a5f-9c78-8b0e644acc3b</stp>
        <tr r="AL81" s="130"/>
      </tp>
    </main>
    <main first="rtdsrv.458a5932996f485b8b1b8d7cbb3f77a6">
      <tp>
        <v>1</v>
        <stp/>
        <stp>328d50fb-d597-477e-ae35-d3a4eb32b6c7</stp>
        <tr r="AN25" s="130"/>
      </tp>
    </main>
    <main first="rtdsrv.458a5932996f485b8b1b8d7cbb3f77a6">
      <tp>
        <v>1</v>
        <stp/>
        <stp>5114de55-b85e-4f99-8bd4-5318c6b4a94b</stp>
        <tr r="BG88" s="130"/>
      </tp>
    </main>
    <main first="rtdsrv.458a5932996f485b8b1b8d7cbb3f77a6">
      <tp>
        <v>1</v>
        <stp/>
        <stp>81e671ae-af32-4fe2-b428-4b2c67df8ccc</stp>
        <tr r="AK46" s="130"/>
        <tr r="AK51" s="130"/>
      </tp>
    </main>
    <main first="rtdsrv.458a5932996f485b8b1b8d7cbb3f77a6">
      <tp>
        <v>1</v>
        <stp/>
        <stp>bfda2c81-505b-460d-b82d-54b865a580d6</stp>
        <tr r="W19" s="130"/>
      </tp>
      <tp>
        <v>1</v>
        <stp/>
        <stp>89b05c8a-c546-488f-b3ed-106478e02e71</stp>
        <tr r="GC9" s="132"/>
      </tp>
    </main>
    <main first="rtdsrv.458a5932996f485b8b1b8d7cbb3f77a6">
      <tp>
        <v>1</v>
        <stp/>
        <stp>ccd3c812-61b9-4ab8-8cbd-4b067f9e7dfa</stp>
        <tr r="BG63" s="130"/>
      </tp>
    </main>
    <main first="rtdsrv.458a5932996f485b8b1b8d7cbb3f77a6">
      <tp>
        <v>1</v>
        <stp/>
        <stp>4aade18e-0d3c-4422-b1c4-11cb6c2e5402</stp>
        <tr r="DU8" s="132"/>
      </tp>
      <tp>
        <v>1</v>
        <stp/>
        <stp>9fc443b3-eb17-4a3e-9ac4-9531ef573299</stp>
        <tr r="BI40" s="130"/>
      </tp>
    </main>
    <main first="rtdsrv.458a5932996f485b8b1b8d7cbb3f77a6">
      <tp>
        <v>1</v>
        <stp/>
        <stp>472573bd-77d6-4251-9268-eacfade76f12</stp>
        <tr r="P64" s="130"/>
      </tp>
    </main>
    <main first="rtdsrv.458a5932996f485b8b1b8d7cbb3f77a6">
      <tp>
        <v>1</v>
        <stp/>
        <stp>3954d997-c238-4bda-b7cc-4a451ee1f2d5</stp>
        <tr r="Y32" s="130"/>
      </tp>
    </main>
    <main first="rtdsrv.458a5932996f485b8b1b8d7cbb3f77a6">
      <tp>
        <v>1</v>
        <stp/>
        <stp>7f12e531-11a3-4911-a561-22902e23eea6</stp>
        <tr r="AM98" s="130"/>
      </tp>
    </main>
    <main first="rtdsrv.458a5932996f485b8b1b8d7cbb3f77a6">
      <tp>
        <v>1</v>
        <stp/>
        <stp>3a0a8784-956f-45b9-937a-367c0fbc3fad</stp>
        <tr r="D74" s="130"/>
      </tp>
    </main>
    <main first="rtdsrv.458a5932996f485b8b1b8d7cbb3f77a6">
      <tp>
        <v>1</v>
        <stp/>
        <stp>9f364b6e-4cb9-48e0-9e53-61544281da1d</stp>
        <tr r="AH85" s="130"/>
      </tp>
      <tp>
        <v>1</v>
        <stp/>
        <stp>dbd409be-88b6-4dbb-9338-c94cd9bc1e91</stp>
        <tr r="X11" s="130"/>
      </tp>
      <tp>
        <v>1</v>
        <stp/>
        <stp>1c9a8a82-2a02-4632-afb9-0b8fae183095</stp>
        <tr r="DI5" s="132"/>
      </tp>
    </main>
    <main first="rtdsrv.458a5932996f485b8b1b8d7cbb3f77a6">
      <tp>
        <v>1</v>
        <stp/>
        <stp>d5be7841-0ee3-469c-9dd7-687ee4c32a94</stp>
        <tr r="AS67" s="130"/>
      </tp>
    </main>
    <main first="rtdsrv.458a5932996f485b8b1b8d7cbb3f77a6">
      <tp>
        <v>1</v>
        <stp/>
        <stp>90d54a1e-d7c7-4110-8d63-2f007218e099</stp>
        <tr r="DE12" s="132"/>
      </tp>
    </main>
    <main first="rtdsrv.458a5932996f485b8b1b8d7cbb3f77a6">
      <tp>
        <v>1</v>
        <stp/>
        <stp>952705b0-f059-455d-bf6e-ec25bfea4f8e</stp>
        <tr r="BF77" s="130"/>
      </tp>
      <tp>
        <v>1</v>
        <stp/>
        <stp>7cbbd3f4-d9ad-496a-97b3-cae54e8aed97</stp>
        <tr r="BJ14" s="130"/>
        <tr r="BJ26" s="130"/>
      </tp>
    </main>
    <main first="rtdsrv.458a5932996f485b8b1b8d7cbb3f77a6">
      <tp>
        <v>1</v>
        <stp/>
        <stp>36ac2bbd-d609-4b06-99b9-03d5da34da15</stp>
        <tr r="AG58" s="130"/>
      </tp>
    </main>
    <main first="rtdsrv.458a5932996f485b8b1b8d7cbb3f77a6">
      <tp>
        <v>1</v>
        <stp/>
        <stp>f13d3266-f360-462c-8598-b8cee5f65ea8</stp>
        <tr r="BI72" s="130"/>
      </tp>
    </main>
    <main first="rtdsrv.458a5932996f485b8b1b8d7cbb3f77a6">
      <tp>
        <v>1</v>
        <stp/>
        <stp>8fd73b0b-7916-44f9-82df-a374b27728ad</stp>
        <tr r="O90" s="130"/>
      </tp>
    </main>
    <main first="rtdsrv.458a5932996f485b8b1b8d7cbb3f77a6">
      <tp>
        <v>1</v>
        <stp/>
        <stp>e183b73f-7f59-40a0-8104-215766b73adc</stp>
        <tr r="GP15" s="132"/>
      </tp>
      <tp>
        <v>1</v>
        <stp/>
        <stp>25a43862-4fd7-4762-8088-143f766e4ffe</stp>
        <tr r="R65" s="130"/>
      </tp>
    </main>
    <main first="rtdsrv.458a5932996f485b8b1b8d7cbb3f77a6">
      <tp>
        <v>1</v>
        <stp/>
        <stp>bd2a0d64-6824-476f-b63a-ea0d34092a69</stp>
        <tr r="BK12" s="132"/>
      </tp>
    </main>
    <main first="rtdsrv.458a5932996f485b8b1b8d7cbb3f77a6">
      <tp>
        <v>1</v>
        <stp/>
        <stp>06a6f88e-e33e-42f0-819a-e0f84f278c46</stp>
        <tr r="C18" s="130"/>
      </tp>
    </main>
    <main first="rtdsrv.458a5932996f485b8b1b8d7cbb3f77a6">
      <tp>
        <v>1</v>
        <stp/>
        <stp>2c784c12-211b-48da-bf5d-586af09eb975</stp>
        <tr r="HE8" s="132"/>
      </tp>
    </main>
    <main first="rtdsrv.458a5932996f485b8b1b8d7cbb3f77a6">
      <tp>
        <v>1</v>
        <stp/>
        <stp>f583a1d1-7536-470d-9fda-f11e04b4ba05</stp>
        <tr r="BE29" s="130"/>
      </tp>
    </main>
    <main first="rtdsrv.458a5932996f485b8b1b8d7cbb3f77a6">
      <tp>
        <v>1</v>
        <stp/>
        <stp>7e7e397b-c74c-4261-a5e9-dad1ad5da947</stp>
        <tr r="V87" s="130"/>
      </tp>
    </main>
    <main first="rtdsrv.458a5932996f485b8b1b8d7cbb3f77a6">
      <tp>
        <v>1</v>
        <stp/>
        <stp>78360a15-edcb-4b91-a190-d4f805c39b8e</stp>
        <tr r="HC16" s="132"/>
      </tp>
    </main>
    <main first="rtdsrv.458a5932996f485b8b1b8d7cbb3f77a6">
      <tp>
        <v>1</v>
        <stp/>
        <stp>6d58839a-6ca8-4b72-9880-41935431c8a7</stp>
        <tr r="AC16" s="132"/>
      </tp>
    </main>
    <main first="rtdsrv.458a5932996f485b8b1b8d7cbb3f77a6">
      <tp>
        <v>1</v>
        <stp/>
        <stp>5c2842d7-374e-4ac5-93a5-0dd6857a413a</stp>
        <tr r="AN56" s="130"/>
      </tp>
    </main>
    <main first="rtdsrv.458a5932996f485b8b1b8d7cbb3f77a6">
      <tp>
        <v>1</v>
        <stp/>
        <stp>45eb20bf-e967-45ef-b3f9-3722e9932884</stp>
        <tr r="DR14" s="132"/>
      </tp>
    </main>
    <main first="rtdsrv.458a5932996f485b8b1b8d7cbb3f77a6">
      <tp>
        <v>1</v>
        <stp/>
        <stp>fb86544d-d89f-4c21-a377-703ff3a5faee</stp>
        <tr r="AO77" s="130"/>
      </tp>
    </main>
    <main first="rtdsrv.458a5932996f485b8b1b8d7cbb3f77a6">
      <tp>
        <v>1</v>
        <stp/>
        <stp>f5816756-4c6d-4c0c-9b60-d5a7db84eb34</stp>
        <tr r="D43" s="130"/>
      </tp>
      <tp>
        <v>1</v>
        <stp/>
        <stp>1f9ec4bf-7f32-46ef-9ad8-89c76911a1cb</stp>
        <tr r="W63" s="130"/>
      </tp>
    </main>
    <main first="rtdsrv.458a5932996f485b8b1b8d7cbb3f77a6">
      <tp>
        <v>1</v>
        <stp/>
        <stp>cb8752e4-b988-4371-8e47-89f7c993ca83</stp>
        <tr r="CD16" s="132"/>
      </tp>
      <tp>
        <v>1</v>
        <stp/>
        <stp>512a16b7-b5b8-4366-a153-57582c680daa</stp>
        <tr r="DH13" s="132"/>
      </tp>
    </main>
    <main first="rtdsrv.458a5932996f485b8b1b8d7cbb3f77a6">
      <tp>
        <v>1</v>
        <stp/>
        <stp>3a33f7f3-ffa1-4351-b435-8203f2c08da8</stp>
        <tr r="U34" s="130"/>
      </tp>
    </main>
    <main first="rtdsrv.458a5932996f485b8b1b8d7cbb3f77a6">
      <tp>
        <v>1</v>
        <stp/>
        <stp>19e4c3e9-7a35-4379-93f8-4cd01503ab8c</stp>
        <tr r="L36" s="130"/>
      </tp>
    </main>
    <main first="rtdsrv.458a5932996f485b8b1b8d7cbb3f77a6">
      <tp>
        <v>1</v>
        <stp/>
        <stp>46359354-d269-4dee-850a-ccc14ea30db5</stp>
        <tr r="AK22" s="130"/>
      </tp>
    </main>
    <main first="rtdsrv.458a5932996f485b8b1b8d7cbb3f77a6">
      <tp>
        <v>1</v>
        <stp/>
        <stp>14cc82c5-2879-4995-921d-03ef06588c9e</stp>
        <tr r="BH89" s="130"/>
      </tp>
      <tp>
        <v>1</v>
        <stp/>
        <stp>96e9984f-d0b5-42e2-afd6-bdb0a9855781</stp>
        <tr r="AH72" s="130"/>
      </tp>
    </main>
    <main first="rtdsrv.458a5932996f485b8b1b8d7cbb3f77a6">
      <tp>
        <v>1</v>
        <stp/>
        <stp>b1d30b7e-62e4-430e-a109-e39017a93b51</stp>
        <tr r="R15" s="130"/>
      </tp>
    </main>
    <main first="rtdsrv.458a5932996f485b8b1b8d7cbb3f77a6">
      <tp>
        <v>1</v>
        <stp/>
        <stp>fe7de2a2-2e64-472a-a6aa-4dcd8cfdb4b3</stp>
        <tr r="L30" s="130"/>
      </tp>
    </main>
    <main first="rtdsrv.458a5932996f485b8b1b8d7cbb3f77a6">
      <tp>
        <v>1</v>
        <stp/>
        <stp>30f99e72-d0dc-43d4-ad40-c4b09d483726</stp>
        <tr r="U21" s="130"/>
      </tp>
    </main>
    <main first="rtdsrv.458a5932996f485b8b1b8d7cbb3f77a6">
      <tp>
        <v>1</v>
        <stp/>
        <stp>3a02c7f4-f309-4cb1-b6b4-6509da5feaab</stp>
        <tr r="AM6" s="132"/>
      </tp>
    </main>
    <main first="rtdsrv.458a5932996f485b8b1b8d7cbb3f77a6">
      <tp>
        <v>1</v>
        <stp/>
        <stp>65925a80-de14-406e-bc0a-20b32ece4f2a</stp>
        <tr r="DF6" s="132"/>
      </tp>
    </main>
    <main first="rtdsrv.458a5932996f485b8b1b8d7cbb3f77a6">
      <tp>
        <v>1</v>
        <stp/>
        <stp>87b2340e-5796-48b6-ab23-6d1c4f46cfe6</stp>
        <tr r="AM34" s="130"/>
      </tp>
    </main>
    <main first="rtdsrv.458a5932996f485b8b1b8d7cbb3f77a6">
      <tp>
        <v>1</v>
        <stp/>
        <stp>61bf5261-20b2-482e-9ad0-e26416ec2b10</stp>
        <tr r="AO87" s="130"/>
      </tp>
    </main>
    <main first="rtdsrv.458a5932996f485b8b1b8d7cbb3f77a6">
      <tp>
        <v>1</v>
        <stp/>
        <stp>23f2787a-5d2b-49b8-a123-266e2e284144</stp>
        <tr r="BH17" s="130"/>
      </tp>
      <tp>
        <v>1</v>
        <stp/>
        <stp>73a6ce99-07e4-421d-94eb-247fe18c6444</stp>
        <tr r="AA95" s="130"/>
      </tp>
      <tp>
        <v>1</v>
        <stp/>
        <stp>779afac5-0efe-4709-8199-03552e14bf4c</stp>
        <tr r="BI37" s="130"/>
      </tp>
    </main>
    <main first="rtdsrv.458a5932996f485b8b1b8d7cbb3f77a6">
      <tp>
        <v>1</v>
        <stp/>
        <stp>8cc3ff0b-9e3a-4ec0-9533-4cbc023698b5</stp>
        <tr r="EA6" s="132"/>
      </tp>
    </main>
    <main first="rtdsrv.458a5932996f485b8b1b8d7cbb3f77a6">
      <tp>
        <v>1</v>
        <stp/>
        <stp>3db348cc-e107-48fa-a2c4-9d0a495db07b</stp>
        <tr r="P79" s="130"/>
      </tp>
    </main>
    <main first="rtdsrv.458a5932996f485b8b1b8d7cbb3f77a6">
      <tp>
        <v>1</v>
        <stp/>
        <stp>5f2a8f38-26dd-46fb-8443-58af62e2d86e</stp>
        <tr r="AQ72" s="130"/>
      </tp>
    </main>
    <main first="rtdsrv.458a5932996f485b8b1b8d7cbb3f77a6">
      <tp>
        <v>1</v>
        <stp/>
        <stp>98066c6f-ebee-457e-b580-22dd62512538</stp>
        <tr r="M31" s="130"/>
      </tp>
    </main>
    <main first="rtdsrv.458a5932996f485b8b1b8d7cbb3f77a6">
      <tp>
        <v>1</v>
        <stp/>
        <stp>762805a7-5a9d-4d7a-bd13-4d188036ad56</stp>
        <tr r="GU5" s="132"/>
      </tp>
      <tp>
        <v>1</v>
        <stp/>
        <stp>e966d4b5-3d07-49af-878d-4bde0f44a234</stp>
        <tr r="CO9" s="132"/>
      </tp>
    </main>
    <main first="rtdsrv.458a5932996f485b8b1b8d7cbb3f77a6">
      <tp>
        <v>1</v>
        <stp/>
        <stp>fdc92b32-9bc5-465c-b80f-5818a63094aa</stp>
        <tr r="AY76" s="130"/>
      </tp>
      <tp>
        <v>1</v>
        <stp/>
        <stp>cd524e5b-a517-4ea5-ad6c-e207e50d62ab</stp>
        <tr r="AA9" s="132"/>
      </tp>
    </main>
    <main first="rtdsrv.458a5932996f485b8b1b8d7cbb3f77a6">
      <tp>
        <v>1</v>
        <stp/>
        <stp>0070f703-211a-4652-80c7-bc5f35520d68</stp>
        <tr r="AW18" s="130"/>
      </tp>
      <tp>
        <v>1</v>
        <stp/>
        <stp>d244d173-5056-4d7d-bc4b-5f7eefc73026</stp>
        <tr r="AP11" s="132"/>
      </tp>
    </main>
    <main first="rtdsrv.458a5932996f485b8b1b8d7cbb3f77a6">
      <tp>
        <v>1</v>
        <stp/>
        <stp>40e29221-c5d4-4aff-aa4f-b413f0597a72</stp>
        <tr r="AL74" s="130"/>
      </tp>
    </main>
    <main first="rtdsrv.458a5932996f485b8b1b8d7cbb3f77a6">
      <tp>
        <v>1</v>
        <stp/>
        <stp>282c40f8-74ac-4128-966f-e9b8782c6fa3</stp>
        <tr r="AB25" s="130"/>
      </tp>
    </main>
    <main first="rtdsrv.458a5932996f485b8b1b8d7cbb3f77a6">
      <tp>
        <v>1</v>
        <stp/>
        <stp>6046416f-3969-41ae-8819-61c76ca9eb78</stp>
        <tr r="H6" s="132"/>
      </tp>
      <tp>
        <v>1</v>
        <stp/>
        <stp>a255271b-dce0-4fb8-8192-e5a27f27de11</stp>
        <tr r="BB34" s="130"/>
      </tp>
    </main>
    <main first="rtdsrv.458a5932996f485b8b1b8d7cbb3f77a6">
      <tp>
        <v>1</v>
        <stp/>
        <stp>4d636c19-30f8-4276-9c0f-9f1dcc3e7add</stp>
        <tr r="C55" s="130"/>
      </tp>
    </main>
    <main first="rtdsrv.458a5932996f485b8b1b8d7cbb3f77a6">
      <tp>
        <v>1</v>
        <stp/>
        <stp>ecfe6d49-b614-46ca-a673-6a290b162fc9</stp>
        <tr r="I8" s="132"/>
      </tp>
    </main>
    <main first="rtdsrv.458a5932996f485b8b1b8d7cbb3f77a6">
      <tp>
        <v>1</v>
        <stp/>
        <stp>da4157cd-eefb-4f60-96b1-87478df0adfb</stp>
        <tr r="X63" s="130"/>
      </tp>
    </main>
    <main first="rtdsrv.458a5932996f485b8b1b8d7cbb3f77a6">
      <tp>
        <v>1</v>
        <stp/>
        <stp>2993a1a0-0ac0-48b2-8338-e06d7f14c918</stp>
        <tr r="BM7" s="132"/>
      </tp>
      <tp>
        <v>1</v>
        <stp/>
        <stp>d7415b4d-5b67-4980-96ab-8f4d72f8a3e7</stp>
        <tr r="N64" s="130"/>
      </tp>
    </main>
    <main first="rtdsrv.458a5932996f485b8b1b8d7cbb3f77a6">
      <tp>
        <v>1</v>
        <stp/>
        <stp>505e7a02-20d0-42fb-8fbf-e6bb9343a058</stp>
        <tr r="Q97" s="130"/>
      </tp>
    </main>
    <main first="rtdsrv.458a5932996f485b8b1b8d7cbb3f77a6">
      <tp>
        <v>1</v>
        <stp/>
        <stp>177f20f5-9e2b-453f-8c8e-445b87fd4526</stp>
        <tr r="E96" s="130"/>
      </tp>
      <tp>
        <v>1</v>
        <stp/>
        <stp>05dc2fcc-f5ca-4f8b-85d4-884a89064d21</stp>
        <tr r="DL16" s="132"/>
      </tp>
    </main>
    <main first="rtdsrv.458a5932996f485b8b1b8d7cbb3f77a6">
      <tp>
        <v>1</v>
        <stp/>
        <stp>4c49fca2-dde1-4577-a577-0be05e5485f2</stp>
        <tr r="BK7" s="132"/>
      </tp>
    </main>
    <main first="rtdsrv.458a5932996f485b8b1b8d7cbb3f77a6">
      <tp>
        <v>1</v>
        <stp/>
        <stp>c3165e43-795e-4ef7-9441-22f74084a6b8</stp>
        <tr r="E83" s="130"/>
      </tp>
    </main>
    <main first="rtdsrv.458a5932996f485b8b1b8d7cbb3f77a6">
      <tp>
        <v>1</v>
        <stp/>
        <stp>5e49859a-59aa-42de-96fd-9fd405faccc2</stp>
        <tr r="AI16" s="132"/>
      </tp>
    </main>
    <main first="rtdsrv.458a5932996f485b8b1b8d7cbb3f77a6">
      <tp>
        <v>1</v>
        <stp/>
        <stp>bd005f4b-4543-4bcd-b7ce-aa4f155df3d5</stp>
        <tr r="AY94" s="130"/>
      </tp>
    </main>
    <main first="rtdsrv.458a5932996f485b8b1b8d7cbb3f77a6">
      <tp>
        <v>1</v>
        <stp/>
        <stp>02ce7b30-1252-4f3c-9f8a-e7de7973eba5</stp>
        <tr r="Z67" s="130"/>
      </tp>
    </main>
    <main first="rtdsrv.458a5932996f485b8b1b8d7cbb3f77a6">
      <tp>
        <v>1</v>
        <stp/>
        <stp>21b132d2-086d-4073-9b89-cfad90e3f823</stp>
        <tr r="BH16" s="130"/>
      </tp>
    </main>
    <main first="rtdsrv.458a5932996f485b8b1b8d7cbb3f77a6">
      <tp>
        <v>1</v>
        <stp/>
        <stp>f6ec7adf-022f-400f-83f6-3e528513fa08</stp>
        <tr r="AA42" s="130"/>
      </tp>
    </main>
    <main first="rtdsrv.458a5932996f485b8b1b8d7cbb3f77a6">
      <tp>
        <v>1</v>
        <stp/>
        <stp>bee86428-7f28-41a4-9fed-4ae5e139d125</stp>
        <tr r="AW7" s="132"/>
      </tp>
    </main>
    <main first="rtdsrv.458a5932996f485b8b1b8d7cbb3f77a6">
      <tp>
        <v>1</v>
        <stp/>
        <stp>7c278c75-a46e-474a-bad6-23368718e64d</stp>
        <tr r="AJ8" s="130"/>
      </tp>
      <tp>
        <v>1</v>
        <stp/>
        <stp>bc8db276-47c0-4fd8-b291-fe9123595d47</stp>
        <tr r="AR24" s="130"/>
      </tp>
    </main>
    <main first="rtdsrv.458a5932996f485b8b1b8d7cbb3f77a6">
      <tp>
        <v>1</v>
        <stp/>
        <stp>b573353a-cec4-4d43-aeb8-19ba3d83d912</stp>
        <tr r="O6" s="132"/>
      </tp>
      <tp>
        <v>1</v>
        <stp/>
        <stp>a3ad2449-2bdc-4097-9fd6-a010d51be536</stp>
        <tr r="W39" s="130"/>
      </tp>
    </main>
    <main first="rtdsrv.458a5932996f485b8b1b8d7cbb3f77a6">
      <tp>
        <v>1</v>
        <stp/>
        <stp>225f8307-9e20-47ef-b3d0-c5610a1a28e5</stp>
        <tr r="BE79" s="130"/>
      </tp>
    </main>
    <main first="rtdsrv.458a5932996f485b8b1b8d7cbb3f77a6">
      <tp>
        <v>1</v>
        <stp/>
        <stp>fa49ae35-8b36-47fd-bd8e-5a081fdbe1fa</stp>
        <tr r="AI72" s="130"/>
      </tp>
      <tp>
        <v>1</v>
        <stp/>
        <stp>f91f22c9-d2ec-49c2-ad8b-823796b397a7</stp>
        <tr r="FN15" s="132"/>
      </tp>
    </main>
    <main first="rtdsrv.458a5932996f485b8b1b8d7cbb3f77a6">
      <tp>
        <v>1</v>
        <stp/>
        <stp>ec292a76-ce83-429e-84ab-4459fd61bc30</stp>
        <tr r="AF19" s="130"/>
      </tp>
      <tp>
        <v>1</v>
        <stp/>
        <stp>9b447712-3ec1-46eb-b334-acf5d261d061</stp>
        <tr r="I78" s="130"/>
      </tp>
    </main>
    <main first="rtdsrv.458a5932996f485b8b1b8d7cbb3f77a6">
      <tp>
        <v>1</v>
        <stp/>
        <stp>7dd9347d-e493-4b35-b2d3-0cb3545bde19</stp>
        <tr r="BA11" s="132"/>
      </tp>
    </main>
    <main first="rtdsrv.458a5932996f485b8b1b8d7cbb3f77a6">
      <tp>
        <v>1</v>
        <stp/>
        <stp>7cfa0fa3-f106-4ed7-bea7-262b534eaf43</stp>
        <tr r="AN85" s="130"/>
      </tp>
      <tp>
        <v>1</v>
        <stp/>
        <stp>95df44cf-bd51-4bee-8d16-27bd72774d3b</stp>
        <tr r="AL29" s="130"/>
      </tp>
    </main>
    <main first="rtdsrv.458a5932996f485b8b1b8d7cbb3f77a6">
      <tp>
        <v>1</v>
        <stp/>
        <stp>e610e169-ab7e-488c-9e35-cfa54d79db56</stp>
        <tr r="R72" s="130"/>
      </tp>
      <tp>
        <v>1</v>
        <stp/>
        <stp>c7b20e4b-a8e6-45d1-9301-d4830ab80166</stp>
        <tr r="R39" s="130"/>
      </tp>
    </main>
    <main first="rtdsrv.458a5932996f485b8b1b8d7cbb3f77a6">
      <tp>
        <v>1</v>
        <stp/>
        <stp>887afec5-1cc5-44cd-afd2-a8b2211e13e1</stp>
        <tr r="N35" s="130"/>
      </tp>
    </main>
    <main first="rtdsrv.458a5932996f485b8b1b8d7cbb3f77a6">
      <tp>
        <v>1</v>
        <stp/>
        <stp>22e36c1b-f3ea-43f2-ab5c-731cda12e475</stp>
        <tr r="P12" s="130"/>
      </tp>
      <tp>
        <v>1</v>
        <stp/>
        <stp>cab05850-4e32-4037-a9db-994ada2930e8</stp>
        <tr r="AJ36" s="130"/>
      </tp>
    </main>
    <main first="rtdsrv.458a5932996f485b8b1b8d7cbb3f77a6">
      <tp>
        <v>1</v>
        <stp/>
        <stp>2613f252-9ec4-4b1b-a91e-e8678515850c</stp>
        <tr r="GH7" s="132"/>
      </tp>
      <tp>
        <v>1</v>
        <stp/>
        <stp>eef90c42-8124-4bca-a255-de873a9108d3</stp>
        <tr r="BB15" s="130"/>
      </tp>
    </main>
    <main first="rtdsrv.458a5932996f485b8b1b8d7cbb3f77a6">
      <tp>
        <v>1</v>
        <stp/>
        <stp>263192bd-3a27-4be7-8290-afcb10dff947</stp>
        <tr r="K67" s="130"/>
      </tp>
    </main>
    <main first="rtdsrv.458a5932996f485b8b1b8d7cbb3f77a6">
      <tp>
        <v>1</v>
        <stp/>
        <stp>200a7c07-d974-482a-9b1e-0ee387186c47</stp>
        <tr r="AP56" s="130"/>
      </tp>
    </main>
    <main first="rtdsrv.458a5932996f485b8b1b8d7cbb3f77a6">
      <tp>
        <v>1</v>
        <stp/>
        <stp>e6b9aa7b-cf54-4d55-917d-b0fc5d8b6454</stp>
        <tr r="AG59" s="130"/>
      </tp>
    </main>
    <main first="rtdsrv.458a5932996f485b8b1b8d7cbb3f77a6">
      <tp>
        <v>1</v>
        <stp/>
        <stp>9680c2a0-726b-4b6b-a10b-66eda2db8342</stp>
        <tr r="G16" s="132"/>
      </tp>
    </main>
    <main first="rtdsrv.458a5932996f485b8b1b8d7cbb3f77a6">
      <tp>
        <v>1</v>
        <stp/>
        <stp>16b0eb63-44b3-4d61-8576-65bca185740f</stp>
        <tr r="AP5" s="130"/>
      </tp>
    </main>
    <main first="rtdsrv.458a5932996f485b8b1b8d7cbb3f77a6">
      <tp>
        <v>1</v>
        <stp/>
        <stp>542d950c-382f-4282-97bb-1eeee3c74bbd</stp>
        <tr r="HE5" s="132"/>
      </tp>
    </main>
    <main first="rtdsrv.458a5932996f485b8b1b8d7cbb3f77a6">
      <tp>
        <v>1</v>
        <stp/>
        <stp>e07f92e1-19f0-4eef-a471-963e0a034cd3</stp>
        <tr r="BI57" s="130"/>
      </tp>
    </main>
    <main first="rtdsrv.458a5932996f485b8b1b8d7cbb3f77a6">
      <tp>
        <v>1</v>
        <stp/>
        <stp>e4e16077-4a87-4277-8351-6556c39b9b3a</stp>
        <tr r="Y15" s="130"/>
      </tp>
    </main>
    <main first="rtdsrv.458a5932996f485b8b1b8d7cbb3f77a6">
      <tp>
        <v>1</v>
        <stp/>
        <stp>1dcfcc23-8e0b-4ba4-bbe6-28809f684f1b</stp>
        <tr r="ES11" s="132"/>
      </tp>
    </main>
    <main first="rtdsrv.458a5932996f485b8b1b8d7cbb3f77a6">
      <tp>
        <v>1</v>
        <stp/>
        <stp>ec4bc99d-ff2d-4842-b64f-71f9d879beaf</stp>
        <tr r="AM12" s="130"/>
      </tp>
    </main>
    <main first="rtdsrv.458a5932996f485b8b1b8d7cbb3f77a6">
      <tp>
        <v>1</v>
        <stp/>
        <stp>4962499c-f2b4-4d77-a35d-4724d37426ba</stp>
        <tr r="U15" s="130"/>
      </tp>
    </main>
    <main first="rtdsrv.458a5932996f485b8b1b8d7cbb3f77a6">
      <tp>
        <v>1</v>
        <stp/>
        <stp>25069236-ceab-446e-aa72-7bebd5617794</stp>
        <tr r="AT34" s="130"/>
      </tp>
    </main>
    <main first="rtdsrv.458a5932996f485b8b1b8d7cbb3f77a6">
      <tp>
        <v>1</v>
        <stp/>
        <stp>62c78100-46aa-4432-af7d-46b3c7895eec</stp>
        <tr r="AV57" s="130"/>
      </tp>
    </main>
    <main first="rtdsrv.458a5932996f485b8b1b8d7cbb3f77a6">
      <tp>
        <v>1</v>
        <stp/>
        <stp>459194ee-e3a0-4c03-9e93-b88274bbf48f</stp>
        <tr r="AK62" s="130"/>
      </tp>
    </main>
    <main first="rtdsrv.458a5932996f485b8b1b8d7cbb3f77a6">
      <tp>
        <v>1</v>
        <stp/>
        <stp>9e898069-c7bb-43d7-b92a-e2310d7643b5</stp>
        <tr r="DO13" s="132"/>
      </tp>
    </main>
    <main first="rtdsrv.458a5932996f485b8b1b8d7cbb3f77a6">
      <tp>
        <v>1</v>
        <stp/>
        <stp>41b8ca5e-3abc-4c8f-b881-e2936a01b801</stp>
        <tr r="AV6" s="132"/>
      </tp>
    </main>
    <main first="rtdsrv.458a5932996f485b8b1b8d7cbb3f77a6">
      <tp>
        <v>1</v>
        <stp/>
        <stp>85f1045e-c78a-44f5-936a-f2b7ef94dca1</stp>
        <tr r="EN15" s="132"/>
      </tp>
    </main>
    <main first="rtdsrv.458a5932996f485b8b1b8d7cbb3f77a6">
      <tp>
        <v>1</v>
        <stp/>
        <stp>1c2af7ff-e972-4ccf-8614-7570b4b00139</stp>
        <tr r="G58" s="130"/>
      </tp>
    </main>
    <main first="rtdsrv.458a5932996f485b8b1b8d7cbb3f77a6">
      <tp>
        <v>1</v>
        <stp/>
        <stp>f4abdbe9-382c-4057-b01f-074d71b9e336</stp>
        <tr r="CB14" s="132"/>
      </tp>
    </main>
    <main first="rtdsrv.458a5932996f485b8b1b8d7cbb3f77a6">
      <tp>
        <v>1</v>
        <stp/>
        <stp>cc97d97a-10f3-4d74-9fa6-0e20753e786d</stp>
        <tr r="AS35" s="130"/>
      </tp>
    </main>
    <main first="rtdsrv.458a5932996f485b8b1b8d7cbb3f77a6">
      <tp>
        <v>1</v>
        <stp/>
        <stp>b56d2f7d-9827-4a9c-9772-d63b78d32fc8</stp>
        <tr r="J29" s="130"/>
      </tp>
    </main>
    <main first="rtdsrv.458a5932996f485b8b1b8d7cbb3f77a6">
      <tp>
        <v>1</v>
        <stp/>
        <stp>f76bc2b6-0fed-4c50-bd30-6b180f9acd5c</stp>
        <tr r="H42" s="130"/>
      </tp>
    </main>
    <main first="rtdsrv.458a5932996f485b8b1b8d7cbb3f77a6">
      <tp>
        <v>1</v>
        <stp/>
        <stp>d7f9acf0-686c-4a8e-b65d-b2752a0047d1</stp>
        <tr r="CR13" s="132"/>
      </tp>
    </main>
    <main first="rtdsrv.458a5932996f485b8b1b8d7cbb3f77a6">
      <tp>
        <v>1</v>
        <stp/>
        <stp>b4273629-30c1-4560-97e8-6538e3432474</stp>
        <tr r="BW8" s="132"/>
      </tp>
    </main>
    <main first="rtdsrv.458a5932996f485b8b1b8d7cbb3f77a6">
      <tp>
        <v>1</v>
        <stp/>
        <stp>f184edee-211d-4788-8110-18eabd3d3d27</stp>
        <tr r="F32" s="130"/>
      </tp>
      <tp>
        <v>1</v>
        <stp/>
        <stp>4e96a365-9e32-4cc0-8d52-807d494b75c6</stp>
        <tr r="BB58" s="130"/>
      </tp>
    </main>
    <main first="rtdsrv.458a5932996f485b8b1b8d7cbb3f77a6">
      <tp>
        <v>1</v>
        <stp/>
        <stp>9dcb71c9-50d8-478d-8569-3e8af8009998</stp>
        <tr r="E43" s="130"/>
      </tp>
    </main>
    <main first="rtdsrv.458a5932996f485b8b1b8d7cbb3f77a6">
      <tp>
        <v>1</v>
        <stp/>
        <stp>6bd26fac-f055-44c6-a1c0-7afd0d9e5db2</stp>
        <tr r="AT66" s="130"/>
      </tp>
    </main>
    <main first="rtdsrv.458a5932996f485b8b1b8d7cbb3f77a6">
      <tp>
        <v>1</v>
        <stp/>
        <stp>4acda6df-7e84-4660-bbb9-646c0df52439</stp>
        <tr r="DG8" s="132"/>
      </tp>
    </main>
    <main first="rtdsrv.458a5932996f485b8b1b8d7cbb3f77a6">
      <tp>
        <v>1</v>
        <stp/>
        <stp>f14ba628-6843-40ae-abf3-bb7500cf66aa</stp>
        <tr r="BI15" s="132"/>
      </tp>
    </main>
    <main first="rtdsrv.458a5932996f485b8b1b8d7cbb3f77a6">
      <tp>
        <v>1</v>
        <stp/>
        <stp>08c16c14-3950-4f7b-a6e7-a65769c3e628</stp>
        <tr r="BB16" s="132"/>
      </tp>
    </main>
    <main first="rtdsrv.458a5932996f485b8b1b8d7cbb3f77a6">
      <tp>
        <v>1</v>
        <stp/>
        <stp>db9d8d13-008f-4617-b5b7-836901af17a2</stp>
        <tr r="AL37" s="130"/>
      </tp>
      <tp>
        <v>1</v>
        <stp/>
        <stp>27481b52-dbe7-4585-883d-47929c365540</stp>
        <tr r="N11" s="130"/>
      </tp>
    </main>
    <main first="rtdsrv.458a5932996f485b8b1b8d7cbb3f77a6">
      <tp>
        <v>1</v>
        <stp/>
        <stp>980166c7-419f-4520-8c86-d88a0dd82814</stp>
        <tr r="EG12" s="132"/>
      </tp>
    </main>
    <main first="rtdsrv.458a5932996f485b8b1b8d7cbb3f77a6">
      <tp>
        <v>1</v>
        <stp/>
        <stp>7cf31ace-71a3-473e-91d2-bbf20fa3cf8e</stp>
        <tr r="M90" s="130"/>
      </tp>
    </main>
    <main first="rtdsrv.458a5932996f485b8b1b8d7cbb3f77a6">
      <tp>
        <v>1</v>
        <stp/>
        <stp>bc423724-6800-44e4-be14-6d49846b7a1c</stp>
        <tr r="AU29" s="130"/>
      </tp>
      <tp>
        <v>1</v>
        <stp/>
        <stp>273d3e2c-aef1-4308-b05e-32dc7b9208e9</stp>
        <tr r="BJ63" s="130"/>
      </tp>
    </main>
    <main first="rtdsrv.458a5932996f485b8b1b8d7cbb3f77a6">
      <tp>
        <v>1</v>
        <stp/>
        <stp>c1e38526-e155-45b4-854f-7c9877205c23</stp>
        <tr r="FK7" s="132"/>
      </tp>
    </main>
    <main first="rtdsrv.458a5932996f485b8b1b8d7cbb3f77a6">
      <tp>
        <v>1</v>
        <stp/>
        <stp>bcd81da1-073f-484b-b137-d99d00d3f9a3</stp>
        <tr r="DP5" s="132"/>
      </tp>
      <tp>
        <v>1</v>
        <stp/>
        <stp>86c326aa-441b-4311-ad51-ff8fa40fb462</stp>
        <tr r="FK13" s="132"/>
      </tp>
      <tp>
        <v>1</v>
        <stp/>
        <stp>1bdd8693-aaf0-421c-a436-5dfeeeb63273</stp>
        <tr r="AI40" s="130"/>
      </tp>
    </main>
    <main first="rtdsrv.458a5932996f485b8b1b8d7cbb3f77a6">
      <tp>
        <v>1</v>
        <stp/>
        <stp>eb035bf4-2d56-49b9-9ddc-0cb88c8e192f</stp>
        <tr r="T18" s="130"/>
      </tp>
    </main>
    <main first="rtdsrv.458a5932996f485b8b1b8d7cbb3f77a6">
      <tp>
        <v>1</v>
        <stp/>
        <stp>efe2b235-42b9-4df4-b2ea-9181acfdd5ab</stp>
        <tr r="E29" s="130"/>
      </tp>
    </main>
    <main first="rtdsrv.458a5932996f485b8b1b8d7cbb3f77a6">
      <tp>
        <v>1</v>
        <stp/>
        <stp>0995eace-a02d-4770-b2b7-7810faae7d73</stp>
        <tr r="AL12" s="130"/>
      </tp>
    </main>
    <main first="rtdsrv.458a5932996f485b8b1b8d7cbb3f77a6">
      <tp>
        <v>1</v>
        <stp/>
        <stp>194cc74c-9f3b-424e-8878-0fa7ee0d3055</stp>
        <tr r="S65" s="130"/>
      </tp>
    </main>
    <main first="rtdsrv.458a5932996f485b8b1b8d7cbb3f77a6">
      <tp>
        <v>1</v>
        <stp/>
        <stp>7f616207-68ff-40ba-a803-4f2db2cb81f0</stp>
        <tr r="BG38" s="130"/>
      </tp>
    </main>
    <main first="rtdsrv.458a5932996f485b8b1b8d7cbb3f77a6">
      <tp>
        <v>1</v>
        <stp/>
        <stp>ab902f10-e2a1-42f5-a15b-9b3e733e6fb4</stp>
        <tr r="M57" s="130"/>
      </tp>
    </main>
    <main first="rtdsrv.458a5932996f485b8b1b8d7cbb3f77a6">
      <tp>
        <v>1</v>
        <stp/>
        <stp>8324aa73-08c9-46e4-887c-177f33b95314</stp>
        <tr r="P30" s="130"/>
      </tp>
      <tp>
        <v>1</v>
        <stp/>
        <stp>be9bf51c-6472-4724-9849-1a19779b6f7c</stp>
        <tr r="C13" s="130"/>
      </tp>
    </main>
    <main first="rtdsrv.458a5932996f485b8b1b8d7cbb3f77a6">
      <tp>
        <v>1</v>
        <stp/>
        <stp>39859818-7768-405b-bbc6-da241ddf9dd7</stp>
        <tr r="M86" s="130"/>
      </tp>
    </main>
    <main first="rtdsrv.458a5932996f485b8b1b8d7cbb3f77a6">
      <tp>
        <v>1</v>
        <stp/>
        <stp>905257cd-6395-48f1-9bd8-cf34ebeef615</stp>
        <tr r="R6" s="132"/>
      </tp>
    </main>
    <main first="rtdsrv.458a5932996f485b8b1b8d7cbb3f77a6">
      <tp>
        <v>1</v>
        <stp/>
        <stp>3d307e1a-7379-49f6-994a-abcca191211c</stp>
        <tr r="AQ55" s="130"/>
      </tp>
    </main>
    <main first="rtdsrv.458a5932996f485b8b1b8d7cbb3f77a6">
      <tp>
        <v>1</v>
        <stp/>
        <stp>b1ac0704-8817-4928-bdad-ebbaa5aaff5b</stp>
        <tr r="BC55" s="130"/>
      </tp>
    </main>
    <main first="rtdsrv.458a5932996f485b8b1b8d7cbb3f77a6">
      <tp>
        <v>1</v>
        <stp/>
        <stp>0f13c31e-c047-4e80-8bb5-95e0b487e3cd</stp>
        <tr r="FP16" s="132"/>
      </tp>
    </main>
    <main first="rtdsrv.458a5932996f485b8b1b8d7cbb3f77a6">
      <tp>
        <v>1</v>
        <stp/>
        <stp>de318130-456c-4e1e-9133-e586f1d1cda4</stp>
        <tr r="AN66" s="130"/>
      </tp>
    </main>
    <main first="rtdsrv.458a5932996f485b8b1b8d7cbb3f77a6">
      <tp>
        <v>1</v>
        <stp/>
        <stp>ed2db9f3-bfbb-4601-bc8a-2518acaa9688</stp>
        <tr r="DS15" s="132"/>
      </tp>
    </main>
    <main first="rtdsrv.458a5932996f485b8b1b8d7cbb3f77a6">
      <tp>
        <v>1</v>
        <stp/>
        <stp>63e8228c-fc0b-409a-89e8-97bf31a733ae</stp>
        <tr r="Y10" s="130"/>
      </tp>
    </main>
    <main first="rtdsrv.458a5932996f485b8b1b8d7cbb3f77a6">
      <tp>
        <v>1</v>
        <stp/>
        <stp>03405ef8-e029-423c-84a7-935fd6b32bfb</stp>
        <tr r="AS30" s="130"/>
      </tp>
      <tp>
        <v>1</v>
        <stp/>
        <stp>83d19a61-f7ce-4bba-ae54-633ae7626204</stp>
        <tr r="CP15" s="132"/>
      </tp>
      <tp>
        <v>1</v>
        <stp/>
        <stp>9576da75-e933-4fc5-a8c7-9677a79c60de</stp>
        <tr r="CU11" s="132"/>
      </tp>
      <tp>
        <v>1</v>
        <stp/>
        <stp>f6816fa0-c213-4d4d-b214-e7864d777c41</stp>
        <tr r="GR12" s="132"/>
      </tp>
    </main>
    <main first="rtdsrv.458a5932996f485b8b1b8d7cbb3f77a6">
      <tp>
        <v>1</v>
        <stp/>
        <stp>a3c1728f-cc0b-4586-b0f7-e7b3809f3c0a</stp>
        <tr r="X14" s="132"/>
      </tp>
    </main>
    <main first="rtdsrv.458a5932996f485b8b1b8d7cbb3f77a6">
      <tp>
        <v>1</v>
        <stp/>
        <stp>3baf21fa-e31d-4824-9374-0055325b0adb</stp>
        <tr r="AB89" s="130"/>
      </tp>
    </main>
    <main first="rtdsrv.458a5932996f485b8b1b8d7cbb3f77a6">
      <tp>
        <v>1</v>
        <stp/>
        <stp>2ca6bb76-d0bc-4834-8832-97fcc607f5f6</stp>
        <tr r="CJ15" s="132"/>
      </tp>
    </main>
    <main first="rtdsrv.458a5932996f485b8b1b8d7cbb3f77a6">
      <tp>
        <v>1</v>
        <stp/>
        <stp>0470700a-f837-4339-859f-669abf49ad08</stp>
        <tr r="M25" s="130"/>
      </tp>
    </main>
    <main first="rtdsrv.458a5932996f485b8b1b8d7cbb3f77a6">
      <tp>
        <v>1</v>
        <stp/>
        <stp>4888fbb6-388d-42d7-9fbe-80ce984d3b44</stp>
        <tr r="W60" s="130"/>
      </tp>
    </main>
    <main first="rtdsrv.458a5932996f485b8b1b8d7cbb3f77a6">
      <tp>
        <v>1</v>
        <stp/>
        <stp>b8ffb75e-51d4-425a-9ae0-caad99c3205d</stp>
        <tr r="GB9" s="132"/>
      </tp>
      <tp>
        <v>1</v>
        <stp/>
        <stp>72e74a00-b4d5-4127-9063-f4262a45b315</stp>
        <tr r="I69" s="130"/>
      </tp>
    </main>
    <main first="rtdsrv.458a5932996f485b8b1b8d7cbb3f77a6">
      <tp>
        <v>1</v>
        <stp/>
        <stp>61ed8de7-7bcd-4d1c-b08b-d5370be8f83e</stp>
        <tr r="CN15" s="132"/>
      </tp>
    </main>
    <main first="rtdsrv.458a5932996f485b8b1b8d7cbb3f77a6">
      <tp>
        <v>1</v>
        <stp/>
        <stp>34146c37-7129-40d1-b732-b52644f0850a</stp>
        <tr r="T13" s="132"/>
      </tp>
    </main>
    <main first="rtdsrv.458a5932996f485b8b1b8d7cbb3f77a6">
      <tp>
        <v>1</v>
        <stp/>
        <stp>b69cf335-eef1-4eed-ab35-e140233cac8f</stp>
        <tr r="AJ23" s="130"/>
      </tp>
      <tp>
        <v>1</v>
        <stp/>
        <stp>d3600ad9-ee46-4954-ac95-80ad084b7d2c</stp>
        <tr r="P78" s="130"/>
      </tp>
    </main>
    <main first="rtdsrv.458a5932996f485b8b1b8d7cbb3f77a6">
      <tp>
        <v>1</v>
        <stp/>
        <stp>42c81b99-7ebf-4bea-a990-319b19d57a78</stp>
        <tr r="AA67" s="130"/>
      </tp>
    </main>
    <main first="rtdsrv.458a5932996f485b8b1b8d7cbb3f77a6">
      <tp>
        <v>1</v>
        <stp/>
        <stp>5f34c018-78c4-43dd-96b3-1bf4e28c1a29</stp>
        <tr r="AS6" s="132"/>
      </tp>
    </main>
    <main first="rtdsrv.458a5932996f485b8b1b8d7cbb3f77a6">
      <tp>
        <v>1</v>
        <stp/>
        <stp>2df59535-2ff2-40da-9654-feb8e1343504</stp>
        <tr r="AH94" s="130"/>
      </tp>
    </main>
    <main first="rtdsrv.458a5932996f485b8b1b8d7cbb3f77a6">
      <tp>
        <v>1</v>
        <stp/>
        <stp>56606211-7b48-4333-a3d0-352d42b2d5ce</stp>
        <tr r="C77" s="130"/>
      </tp>
    </main>
    <main first="rtdsrv.458a5932996f485b8b1b8d7cbb3f77a6">
      <tp>
        <v>1</v>
        <stp/>
        <stp>34e01699-3438-4bcb-94c8-ebc6d5cd116a</stp>
        <tr r="BI78" s="130"/>
      </tp>
    </main>
    <main first="rtdsrv.458a5932996f485b8b1b8d7cbb3f77a6">
      <tp>
        <v>1</v>
        <stp/>
        <stp>704b61b2-7be9-44df-b7d5-65e9417eef5b</stp>
        <tr r="AT17" s="130"/>
      </tp>
    </main>
    <main first="rtdsrv.458a5932996f485b8b1b8d7cbb3f77a6">
      <tp>
        <v>1</v>
        <stp/>
        <stp>7f088967-9c84-411d-86e6-7308a0aee2d8</stp>
        <tr r="H73" s="130"/>
      </tp>
      <tp>
        <v>1</v>
        <stp/>
        <stp>26effb48-3fcd-4143-a14f-82d576c28200</stp>
        <tr r="N45" s="130"/>
      </tp>
      <tp>
        <v>1</v>
        <stp/>
        <stp>00b7136f-e833-44a3-94d8-fa738721e174</stp>
        <tr r="EH13" s="132"/>
      </tp>
      <tp>
        <v>1</v>
        <stp/>
        <stp>43d2ef18-b50c-4a33-b76d-5afab3687628</stp>
        <tr r="V84" s="130"/>
      </tp>
      <tp>
        <v>1</v>
        <stp/>
        <stp>0ce67906-9b45-4f49-b987-1475260276a0</stp>
        <tr r="AO33" s="130"/>
      </tp>
    </main>
    <main first="rtdsrv.458a5932996f485b8b1b8d7cbb3f77a6">
      <tp>
        <v>1</v>
        <stp/>
        <stp>cd66e4d7-8279-4968-84f9-2a9c2537e45f</stp>
        <tr r="Z16" s="132"/>
      </tp>
      <tp>
        <v>1</v>
        <stp/>
        <stp>bddfd0ec-240c-48d4-9443-a056f13c51fd</stp>
        <tr r="BE58" s="130"/>
      </tp>
    </main>
    <main first="rtdsrv.458a5932996f485b8b1b8d7cbb3f77a6">
      <tp>
        <v>1</v>
        <stp/>
        <stp>bc941ab8-c194-4153-b4d4-0b714160c39d</stp>
        <tr r="EA9" s="132"/>
      </tp>
    </main>
    <main first="rtdsrv.458a5932996f485b8b1b8d7cbb3f77a6">
      <tp>
        <v>1</v>
        <stp/>
        <stp>91448975-afb6-4990-8825-56a2c3f8781f</stp>
        <tr r="Q62" s="130"/>
      </tp>
    </main>
    <main first="rtdsrv.458a5932996f485b8b1b8d7cbb3f77a6">
      <tp>
        <v>1</v>
        <stp/>
        <stp>32f3d2d5-6fb1-4f16-8e01-d66cacda93a1</stp>
        <tr r="R28" s="130"/>
      </tp>
    </main>
    <main first="rtdsrv.458a5932996f485b8b1b8d7cbb3f77a6">
      <tp>
        <v>1</v>
        <stp/>
        <stp>3cba75bb-1794-479f-82e6-d30ff8c3d954</stp>
        <tr r="I7" s="130"/>
      </tp>
    </main>
    <main first="rtdsrv.458a5932996f485b8b1b8d7cbb3f77a6">
      <tp>
        <v>1</v>
        <stp/>
        <stp>1ef0ef62-7bd6-4873-992e-4c03c7d0f7d5</stp>
        <tr r="H13" s="130"/>
      </tp>
    </main>
    <main first="rtdsrv.458a5932996f485b8b1b8d7cbb3f77a6">
      <tp>
        <v>1</v>
        <stp/>
        <stp>86c36046-b1c8-410d-91c6-b7a2652337d2</stp>
        <tr r="DD5" s="132"/>
      </tp>
    </main>
    <main first="rtdsrv.458a5932996f485b8b1b8d7cbb3f77a6">
      <tp>
        <v>1</v>
        <stp/>
        <stp>d17783fb-eab3-4f71-b0f2-d22a6f1802f6</stp>
        <tr r="DM15" s="132"/>
      </tp>
      <tp>
        <v>1</v>
        <stp/>
        <stp>d25a030c-5aec-4a88-919b-75029a2db7c2</stp>
        <tr r="AI88" s="130"/>
      </tp>
    </main>
    <main first="rtdsrv.458a5932996f485b8b1b8d7cbb3f77a6">
      <tp>
        <v>1</v>
        <stp/>
        <stp>910f2ad4-1c0e-4730-b905-30081d027cee</stp>
        <tr r="M93" s="130"/>
      </tp>
    </main>
    <main first="rtdsrv.458a5932996f485b8b1b8d7cbb3f77a6">
      <tp>
        <v>1</v>
        <stp/>
        <stp>f0a7f01c-4658-4bff-9939-843d632c709e</stp>
        <tr r="BJ34" s="130"/>
      </tp>
    </main>
    <main first="rtdsrv.458a5932996f485b8b1b8d7cbb3f77a6">
      <tp>
        <v>1</v>
        <stp/>
        <stp>33d36128-6e17-4549-9d9d-cc2118c449a7</stp>
        <tr r="AW35" s="130"/>
      </tp>
    </main>
    <main first="rtdsrv.458a5932996f485b8b1b8d7cbb3f77a6">
      <tp>
        <v>1</v>
        <stp/>
        <stp>07eb904b-cfcd-40a3-a2fe-de7eb52fb700</stp>
        <tr r="U80" s="130"/>
      </tp>
    </main>
    <main first="rtdsrv.458a5932996f485b8b1b8d7cbb3f77a6">
      <tp>
        <v>1</v>
        <stp/>
        <stp>6939086c-ff9a-415c-9f4e-e2171ad6b54a</stp>
        <tr r="G31" s="130"/>
      </tp>
      <tp>
        <v>1</v>
        <stp/>
        <stp>2f578f2d-3038-444e-8140-6770073514db</stp>
        <tr r="BY12" s="132"/>
      </tp>
    </main>
    <main first="rtdsrv.458a5932996f485b8b1b8d7cbb3f77a6">
      <tp>
        <v>1</v>
        <stp/>
        <stp>a46e44af-760f-4c14-835f-16c7c459ab15</stp>
        <tr r="G64" s="130"/>
      </tp>
    </main>
    <main first="rtdsrv.458a5932996f485b8b1b8d7cbb3f77a6">
      <tp>
        <v>1</v>
        <stp/>
        <stp>f02f9c09-0a9b-4070-8d0d-61f6e774f363</stp>
        <tr r="AZ63" s="130"/>
      </tp>
      <tp>
        <v>1</v>
        <stp/>
        <stp>ab7d0acb-ffe3-4f32-993b-62e2a6f0863a</stp>
        <tr r="Y40" s="130"/>
      </tp>
    </main>
    <main first="rtdsrv.458a5932996f485b8b1b8d7cbb3f77a6">
      <tp>
        <v>1</v>
        <stp/>
        <stp>aac7f4a3-9104-4629-a679-3ae9ec9d266d</stp>
        <tr r="S89" s="130"/>
      </tp>
    </main>
    <main first="rtdsrv.458a5932996f485b8b1b8d7cbb3f77a6">
      <tp>
        <v>1</v>
        <stp/>
        <stp>cf650421-d94f-4da6-acfe-73cc50bbe394</stp>
        <tr r="AW64" s="130"/>
      </tp>
    </main>
    <main first="rtdsrv.458a5932996f485b8b1b8d7cbb3f77a6">
      <tp>
        <v>1</v>
        <stp/>
        <stp>f7eb0e5b-c4dc-432b-8326-877bb2d432a7</stp>
        <tr r="FX5" s="132"/>
      </tp>
    </main>
    <main first="rtdsrv.458a5932996f485b8b1b8d7cbb3f77a6">
      <tp>
        <v>1</v>
        <stp/>
        <stp>4ff9adbd-0db2-44d8-a233-335bd816dd73</stp>
        <tr r="BH80" s="130"/>
      </tp>
    </main>
    <main first="rtdsrv.458a5932996f485b8b1b8d7cbb3f77a6">
      <tp>
        <v>1</v>
        <stp/>
        <stp>965a0f6e-72eb-43f6-8ea6-277f8ad6d046</stp>
        <tr r="Q15" s="130"/>
      </tp>
      <tp>
        <v>1</v>
        <stp/>
        <stp>3d3407b0-f200-4ee4-95ef-cd659005efcc</stp>
        <tr r="O56" s="130"/>
      </tp>
    </main>
    <main first="rtdsrv.458a5932996f485b8b1b8d7cbb3f77a6">
      <tp>
        <v>1</v>
        <stp/>
        <stp>ec141e7d-dc6f-4366-ae13-1db65361cdcd</stp>
        <tr r="HB12" s="132"/>
      </tp>
    </main>
    <main first="rtdsrv.458a5932996f485b8b1b8d7cbb3f77a6">
      <tp>
        <v>1</v>
        <stp/>
        <stp>5eb0da51-d5ec-41b9-bbb4-53f3dfb4683e</stp>
        <tr r="AS18" s="130"/>
      </tp>
    </main>
    <main first="rtdsrv.458a5932996f485b8b1b8d7cbb3f77a6">
      <tp>
        <v>1</v>
        <stp/>
        <stp>40c8a05e-cb9b-44d4-af8e-37f6093eb7e1</stp>
        <tr r="AW15" s="132"/>
      </tp>
    </main>
    <main first="rtdsrv.458a5932996f485b8b1b8d7cbb3f77a6">
      <tp>
        <v>1</v>
        <stp/>
        <stp>a33c5366-d4ea-407f-88d8-cbe7849ebf46</stp>
        <tr r="AV88" s="130"/>
      </tp>
    </main>
    <main first="rtdsrv.458a5932996f485b8b1b8d7cbb3f77a6">
      <tp>
        <v>1</v>
        <stp/>
        <stp>101251fc-7de3-45f1-a023-fc6242e12229</stp>
        <tr r="BG61" s="130"/>
      </tp>
    </main>
    <main first="rtdsrv.458a5932996f485b8b1b8d7cbb3f77a6">
      <tp>
        <v>1</v>
        <stp/>
        <stp>f017da51-b111-4e7d-80d0-ee08a87aa8c6</stp>
        <tr r="Y29" s="130"/>
      </tp>
    </main>
    <main first="rtdsrv.458a5932996f485b8b1b8d7cbb3f77a6">
      <tp>
        <v>1</v>
        <stp/>
        <stp>34bf8b1a-2fa8-4bc7-8a37-ac43fbba575c</stp>
        <tr r="AV28" s="130"/>
      </tp>
      <tp>
        <v>1</v>
        <stp/>
        <stp>93559e4c-9038-4600-afd8-eedcc14dd989</stp>
        <tr r="BF14" s="130"/>
        <tr r="BF26" s="130"/>
      </tp>
    </main>
    <main first="rtdsrv.458a5932996f485b8b1b8d7cbb3f77a6">
      <tp>
        <v>1</v>
        <stp/>
        <stp>d417a5a5-37ad-480f-9526-f44bbb0bff74</stp>
        <tr r="BH43" s="130"/>
      </tp>
    </main>
    <main first="rtdsrv.458a5932996f485b8b1b8d7cbb3f77a6">
      <tp>
        <v>1</v>
        <stp/>
        <stp>cfa6336e-9b59-4257-a039-c2ecb592b925</stp>
        <tr r="AT41" s="130"/>
      </tp>
    </main>
    <main first="rtdsrv.458a5932996f485b8b1b8d7cbb3f77a6">
      <tp>
        <v>1</v>
        <stp/>
        <stp>8c5d0edf-edca-44c2-8ff4-a1535e3ab5eb</stp>
        <tr r="Y34" s="130"/>
      </tp>
      <tp>
        <v>1</v>
        <stp/>
        <stp>f565e573-672e-4b9f-8ae3-2a392de8bf12</stp>
        <tr r="AO34" s="130"/>
      </tp>
    </main>
    <main first="rtdsrv.458a5932996f485b8b1b8d7cbb3f77a6">
      <tp>
        <v>1</v>
        <stp/>
        <stp>75516b68-2f2e-4c74-913c-6fb011192c73</stp>
        <tr r="GV14" s="132"/>
      </tp>
    </main>
    <main first="rtdsrv.458a5932996f485b8b1b8d7cbb3f77a6">
      <tp>
        <v>1</v>
        <stp/>
        <stp>fbfdb954-d88c-4a28-821a-17ca34861c3e</stp>
        <tr r="J25" s="130"/>
      </tp>
    </main>
    <main first="rtdsrv.458a5932996f485b8b1b8d7cbb3f77a6">
      <tp>
        <v>1</v>
        <stp/>
        <stp>eab53e56-1f0b-4971-a122-42f2c70e0e75</stp>
        <tr r="Y37" s="130"/>
      </tp>
    </main>
    <main first="rtdsrv.458a5932996f485b8b1b8d7cbb3f77a6">
      <tp>
        <v>1</v>
        <stp/>
        <stp>a36a1073-971d-421f-8b13-b6f15498e994</stp>
        <tr r="FC13" s="132"/>
      </tp>
    </main>
    <main first="rtdsrv.458a5932996f485b8b1b8d7cbb3f77a6">
      <tp>
        <v>1</v>
        <stp/>
        <stp>ba5e563a-0f6f-4bbc-bc6b-eaf5ff047c7c</stp>
        <tr r="V32" s="130"/>
      </tp>
    </main>
    <main first="rtdsrv.458a5932996f485b8b1b8d7cbb3f77a6">
      <tp>
        <v>1</v>
        <stp/>
        <stp>451111aa-e10b-4b25-9a90-1aef0cb42950</stp>
        <tr r="BA55" s="130"/>
      </tp>
    </main>
    <main first="rtdsrv.458a5932996f485b8b1b8d7cbb3f77a6">
      <tp>
        <v>1</v>
        <stp/>
        <stp>136d08c1-e0a6-49ef-a511-43a9985bcdc1</stp>
        <tr r="AU46" s="130"/>
        <tr r="AU51" s="130"/>
      </tp>
    </main>
    <main first="rtdsrv.458a5932996f485b8b1b8d7cbb3f77a6">
      <tp>
        <v>1</v>
        <stp/>
        <stp>38e32e63-05fa-4886-9683-9d071cedf2c1</stp>
        <tr r="AK92" s="130"/>
      </tp>
    </main>
    <main first="rtdsrv.458a5932996f485b8b1b8d7cbb3f77a6">
      <tp>
        <v>1</v>
        <stp/>
        <stp>5392dbd1-e675-45b0-bdd8-c27c7540f134</stp>
        <tr r="AM81" s="130"/>
      </tp>
      <tp>
        <v>1</v>
        <stp/>
        <stp>a86722fd-7ecc-4bef-965a-7241f3a849bb</stp>
        <tr r="AC82" s="130"/>
      </tp>
    </main>
    <main first="rtdsrv.458a5932996f485b8b1b8d7cbb3f77a6">
      <tp>
        <v>1</v>
        <stp/>
        <stp>0e14b2f6-4b04-4ef4-8686-3bea5b769924</stp>
        <tr r="BB27" s="130"/>
      </tp>
    </main>
    <main first="rtdsrv.458a5932996f485b8b1b8d7cbb3f77a6">
      <tp>
        <v>1</v>
        <stp/>
        <stp>871bf5c7-7dd0-45d5-89b2-b836955619a5</stp>
        <tr r="AO12" s="132"/>
      </tp>
    </main>
    <main first="rtdsrv.458a5932996f485b8b1b8d7cbb3f77a6">
      <tp>
        <v>1</v>
        <stp/>
        <stp>3589cc54-80b0-43e4-be0a-5ad868f68e2f</stp>
        <tr r="BE39" s="130"/>
      </tp>
    </main>
    <main first="rtdsrv.458a5932996f485b8b1b8d7cbb3f77a6">
      <tp>
        <v>1</v>
        <stp/>
        <stp>19aa9598-6a7b-4fe8-8c17-f4dbac2ae24a</stp>
        <tr r="H22" s="130"/>
      </tp>
    </main>
    <main first="rtdsrv.458a5932996f485b8b1b8d7cbb3f77a6">
      <tp>
        <v>1</v>
        <stp/>
        <stp>fbe954f1-c0d7-4e4d-9d03-1f00e395abe2</stp>
        <tr r="FX12" s="132"/>
      </tp>
    </main>
    <main first="rtdsrv.458a5932996f485b8b1b8d7cbb3f77a6">
      <tp>
        <v>1</v>
        <stp/>
        <stp>b8e8cbf4-dcbf-48ec-994f-58eb9f744a89</stp>
        <tr r="R36" s="130"/>
      </tp>
    </main>
    <main first="rtdsrv.458a5932996f485b8b1b8d7cbb3f77a6">
      <tp>
        <v>1</v>
        <stp/>
        <stp>a0bfee5e-2a38-4057-a1fd-cfdc7489c2b3</stp>
        <tr r="L74" s="130"/>
      </tp>
      <tp>
        <v>1</v>
        <stp/>
        <stp>0b816fbe-fcfb-47fc-a871-2055f1ba5a2e</stp>
        <tr r="AI84" s="130"/>
      </tp>
    </main>
    <main first="rtdsrv.458a5932996f485b8b1b8d7cbb3f77a6">
      <tp>
        <v>1</v>
        <stp/>
        <stp>37162777-5477-4486-83e9-0bc250d42bac</stp>
        <tr r="AE28" s="130"/>
      </tp>
      <tp>
        <v>1</v>
        <stp/>
        <stp>744c93fb-2d03-4aa4-91b3-41b0319a653f</stp>
        <tr r="AG76" s="130"/>
      </tp>
    </main>
    <main first="rtdsrv.458a5932996f485b8b1b8d7cbb3f77a6">
      <tp>
        <v>1</v>
        <stp/>
        <stp>62ffd218-a9bb-41e1-ae40-def37ae1e607</stp>
        <tr r="AN9" s="132"/>
      </tp>
    </main>
    <main first="rtdsrv.458a5932996f485b8b1b8d7cbb3f77a6">
      <tp>
        <v>1</v>
        <stp/>
        <stp>7aa7e4c4-bdc3-4aaf-a9eb-758862351eba</stp>
        <tr r="BA75" s="130"/>
      </tp>
    </main>
    <main first="rtdsrv.458a5932996f485b8b1b8d7cbb3f77a6">
      <tp>
        <v>1</v>
        <stp/>
        <stp>8fe24434-cfe6-47d2-b3b9-31eba0fa76d0</stp>
        <tr r="AV74" s="130"/>
      </tp>
    </main>
    <main first="rtdsrv.458a5932996f485b8b1b8d7cbb3f77a6">
      <tp>
        <v>1</v>
        <stp/>
        <stp>60281be9-1e09-4f61-91c0-8fa0604a5194</stp>
        <tr r="K11" s="130"/>
      </tp>
    </main>
    <main first="rtdsrv.458a5932996f485b8b1b8d7cbb3f77a6">
      <tp>
        <v>1</v>
        <stp/>
        <stp>1a122410-54c0-4c1c-bfe4-65037f956cf2</stp>
        <tr r="AF51" s="130"/>
        <tr r="AF46" s="130"/>
      </tp>
    </main>
    <main first="rtdsrv.458a5932996f485b8b1b8d7cbb3f77a6">
      <tp>
        <v>1</v>
        <stp/>
        <stp>caad29e1-6852-4e95-9e6c-f97f03f231a6</stp>
        <tr r="BD25" s="130"/>
      </tp>
      <tp>
        <v>1</v>
        <stp/>
        <stp>f010aafe-6806-4a2d-9b31-350b860b3e1c</stp>
        <tr r="AR85" s="130"/>
      </tp>
    </main>
    <main first="rtdsrv.458a5932996f485b8b1b8d7cbb3f77a6">
      <tp>
        <v>1</v>
        <stp/>
        <stp>5e40f812-e9e3-4dcd-ad1d-a9b8dfd7ed16</stp>
        <tr r="AY16" s="130"/>
      </tp>
      <tp>
        <v>1</v>
        <stp/>
        <stp>3ac63af7-4b4a-48c9-9df3-52063998262c</stp>
        <tr r="BI14" s="132"/>
      </tp>
    </main>
    <main first="rtdsrv.458a5932996f485b8b1b8d7cbb3f77a6">
      <tp>
        <v>1</v>
        <stp/>
        <stp>2e6cadf7-94db-44f5-b959-643ea88c7b98</stp>
        <tr r="AG60" s="130"/>
      </tp>
    </main>
    <main first="rtdsrv.458a5932996f485b8b1b8d7cbb3f77a6">
      <tp>
        <v>1</v>
        <stp/>
        <stp>cafb186b-4ddf-4590-a4cd-21f418857aa0</stp>
        <tr r="AH65" s="130"/>
      </tp>
      <tp>
        <v>1</v>
        <stp/>
        <stp>2c1b6781-c2ca-4a47-8665-f7f011e88fba</stp>
        <tr r="AP14" s="132"/>
      </tp>
    </main>
    <main first="rtdsrv.458a5932996f485b8b1b8d7cbb3f77a6">
      <tp>
        <v>1</v>
        <stp/>
        <stp>2487eaa5-ee12-4a3d-8e26-62bda3ba61b8</stp>
        <tr r="BJ66" s="130"/>
      </tp>
    </main>
    <main first="rtdsrv.458a5932996f485b8b1b8d7cbb3f77a6">
      <tp>
        <v>1</v>
        <stp/>
        <stp>de3b9a8f-73ec-4450-9d57-37f731378f28</stp>
        <tr r="BK56" s="130"/>
      </tp>
    </main>
    <main first="rtdsrv.458a5932996f485b8b1b8d7cbb3f77a6">
      <tp>
        <v>1</v>
        <stp/>
        <stp>68a58f9f-6727-49f3-bef0-99bfc1ad8c4a</stp>
        <tr r="BB5" s="130"/>
      </tp>
      <tp>
        <v>1</v>
        <stp/>
        <stp>a2ee7f45-a4e8-4d02-8bda-26e9830ad097</stp>
        <tr r="AT19" s="130"/>
      </tp>
      <tp>
        <v>1</v>
        <stp/>
        <stp>80d85e8a-c1ef-4747-83c6-3447a316e364</stp>
        <tr r="AF35" s="130"/>
      </tp>
      <tp>
        <v>1</v>
        <stp/>
        <stp>410f5a61-2097-4cb2-860d-5a92f60fda3d</stp>
        <tr r="AF81" s="130"/>
      </tp>
    </main>
    <main first="rtdsrv.458a5932996f485b8b1b8d7cbb3f77a6">
      <tp>
        <v>1</v>
        <stp/>
        <stp>274644cc-a56b-4d57-9a2e-519918a44877</stp>
        <tr r="T73" s="130"/>
      </tp>
      <tp>
        <v>1</v>
        <stp/>
        <stp>dd9c6db4-1bd1-435b-b1cb-f237b0dcfdd2</stp>
        <tr r="EU12" s="132"/>
      </tp>
      <tp>
        <v>1</v>
        <stp/>
        <stp>eb169e85-e5b7-4ce0-976b-024b535be378</stp>
        <tr r="BG33" s="130"/>
      </tp>
    </main>
    <main first="rtdsrv.458a5932996f485b8b1b8d7cbb3f77a6">
      <tp>
        <v>1</v>
        <stp/>
        <stp>738423b4-9159-4322-9e8b-cbe294bb13ff</stp>
        <tr r="GD12" s="132"/>
      </tp>
      <tp>
        <v>1</v>
        <stp/>
        <stp>207753e4-9623-45a9-8550-dfa9c6e3309b</stp>
        <tr r="K26" s="130"/>
        <tr r="K14" s="130"/>
      </tp>
    </main>
    <main first="rtdsrv.458a5932996f485b8b1b8d7cbb3f77a6">
      <tp>
        <v>1</v>
        <stp/>
        <stp>d1177bd1-621b-48d7-ba13-6a285579da86</stp>
        <tr r="EZ6" s="132"/>
      </tp>
    </main>
    <main first="rtdsrv.458a5932996f485b8b1b8d7cbb3f77a6">
      <tp>
        <v>1</v>
        <stp/>
        <stp>4bbb9879-3b65-4732-acff-79839ea137bd</stp>
        <tr r="FB14" s="132"/>
      </tp>
      <tp>
        <v>1</v>
        <stp/>
        <stp>176ecb23-0ae1-43c0-834a-89ab7884c677</stp>
        <tr r="FY16" s="132"/>
      </tp>
      <tp>
        <v>1</v>
        <stp/>
        <stp>afd1329b-5f0a-438f-84c3-15309e5b0bdc</stp>
        <tr r="BK61" s="130"/>
      </tp>
      <tp>
        <v>1</v>
        <stp/>
        <stp>1d31de80-d604-456a-b642-9baa4b14df55</stp>
        <tr r="Z78" s="130"/>
      </tp>
    </main>
    <main first="rtdsrv.458a5932996f485b8b1b8d7cbb3f77a6">
      <tp>
        <v>1</v>
        <stp/>
        <stp>1fa54c86-759b-4624-8c86-4a0c91bfa8b4</stp>
        <tr r="CA14" s="132"/>
      </tp>
    </main>
    <main first="rtdsrv.458a5932996f485b8b1b8d7cbb3f77a6">
      <tp>
        <v>1</v>
        <stp/>
        <stp>590f0afa-7e8c-447d-820d-4f71f8371394</stp>
        <tr r="EE5" s="132"/>
      </tp>
    </main>
    <main first="rtdsrv.458a5932996f485b8b1b8d7cbb3f77a6">
      <tp>
        <v>1</v>
        <stp/>
        <stp>0c96fc2f-8fec-4f19-89ab-d7e42826392d</stp>
        <tr r="AW19" s="130"/>
      </tp>
    </main>
    <main first="rtdsrv.458a5932996f485b8b1b8d7cbb3f77a6">
      <tp>
        <v>1</v>
        <stp/>
        <stp>c3baf881-7a24-42ad-98a3-d91ed7755ad3</stp>
        <tr r="BA98" s="130"/>
      </tp>
    </main>
    <main first="rtdsrv.458a5932996f485b8b1b8d7cbb3f77a6">
      <tp>
        <v>1</v>
        <stp/>
        <stp>a30cc670-bd16-4810-855b-64b61a9e5a1f</stp>
        <tr r="BG69" s="130"/>
      </tp>
    </main>
    <main first="rtdsrv.458a5932996f485b8b1b8d7cbb3f77a6">
      <tp>
        <v>1</v>
        <stp/>
        <stp>146aa4a1-706c-483e-99c3-400686848a70</stp>
        <tr r="Y45" s="130"/>
      </tp>
      <tp>
        <v>1</v>
        <stp/>
        <stp>4ceaf4e2-cdd8-4617-81e8-a4ecb26716d9</stp>
        <tr r="AB83" s="130"/>
      </tp>
    </main>
    <main first="rtdsrv.458a5932996f485b8b1b8d7cbb3f77a6">
      <tp>
        <v>1</v>
        <stp/>
        <stp>5d3731cc-0c2f-47ca-a773-d4b4ba89a01a</stp>
        <tr r="AD45" s="130"/>
      </tp>
    </main>
    <main first="rtdsrv.458a5932996f485b8b1b8d7cbb3f77a6">
      <tp>
        <v>1</v>
        <stp/>
        <stp>c0c3ca78-f5ef-4e2a-a0cc-3fbd25841031</stp>
        <tr r="AP27" s="130"/>
      </tp>
      <tp>
        <v>1</v>
        <stp/>
        <stp>e9eec241-1219-4c26-b227-a8b9418bdae5</stp>
        <tr r="AE9" s="132"/>
      </tp>
      <tp>
        <v>1</v>
        <stp/>
        <stp>40b8cfb9-b6bb-4900-84fa-78bec62ad531</stp>
        <tr r="BK12" s="130"/>
      </tp>
      <tp>
        <v>1</v>
        <stp/>
        <stp>e5dec1e7-ad8f-4db7-b2fe-592a7c1ce778</stp>
        <tr r="BK10" s="130"/>
      </tp>
    </main>
    <main first="rtdsrv.458a5932996f485b8b1b8d7cbb3f77a6">
      <tp>
        <v>1</v>
        <stp/>
        <stp>855e0ce2-5602-41c9-8fc1-f5251ba16706</stp>
        <tr r="AM7" s="132"/>
      </tp>
      <tp>
        <v>1</v>
        <stp/>
        <stp>a8818a2e-8740-487a-86db-7999b11d45cf</stp>
        <tr r="AX91" s="130"/>
      </tp>
    </main>
    <main first="rtdsrv.458a5932996f485b8b1b8d7cbb3f77a6">
      <tp>
        <v>1</v>
        <stp/>
        <stp>2139245e-e005-40e9-8955-d4d01b244cae</stp>
        <tr r="AR25" s="130"/>
      </tp>
    </main>
    <main first="rtdsrv.458a5932996f485b8b1b8d7cbb3f77a6">
      <tp>
        <v>1</v>
        <stp/>
        <stp>ce1697bc-dce9-4e5f-bb21-c9803f841d51</stp>
        <tr r="F31" s="130"/>
      </tp>
      <tp>
        <v>1</v>
        <stp/>
        <stp>994e8b29-f171-4cfd-991c-7bae7a00621f</stp>
        <tr r="BJ52" s="130"/>
        <tr r="BJ47" s="130"/>
      </tp>
      <tp>
        <v>1</v>
        <stp/>
        <stp>8dfc3dd4-c296-4f5c-b471-f8c2ecf5950b</stp>
        <tr r="K56" s="130"/>
      </tp>
    </main>
    <main first="rtdsrv.458a5932996f485b8b1b8d7cbb3f77a6">
      <tp>
        <v>1</v>
        <stp/>
        <stp>0617d230-a210-4f9c-970a-84959890aced</stp>
        <tr r="HC8" s="132"/>
      </tp>
    </main>
    <main first="rtdsrv.458a5932996f485b8b1b8d7cbb3f77a6">
      <tp>
        <v>1</v>
        <stp/>
        <stp>89db62d6-09ad-43f8-ab08-c831a7d97ec7</stp>
        <tr r="ET6" s="132"/>
      </tp>
    </main>
    <main first="rtdsrv.458a5932996f485b8b1b8d7cbb3f77a6">
      <tp>
        <v>1</v>
        <stp/>
        <stp>d36c9860-0078-4ab0-a41b-4f31cfe7dc1b</stp>
        <tr r="BW7" s="132"/>
      </tp>
      <tp>
        <v>1</v>
        <stp/>
        <stp>5f1eb3e0-eec4-4f68-8834-1ee87211d5da</stp>
        <tr r="U56" s="130"/>
      </tp>
    </main>
    <main first="rtdsrv.458a5932996f485b8b1b8d7cbb3f77a6">
      <tp>
        <v>1</v>
        <stp/>
        <stp>5b21cd5e-9d37-4a9a-9a46-0aa26db606c6</stp>
        <tr r="CE11" s="132"/>
      </tp>
      <tp>
        <v>1</v>
        <stp/>
        <stp>7ea9ee4e-c094-40db-ad52-7714ab0408c8</stp>
        <tr r="AW10" s="130"/>
      </tp>
      <tp>
        <v>1</v>
        <stp/>
        <stp>ec06cd22-c39a-4632-9c92-4798849ca56b</stp>
        <tr r="DU14" s="132"/>
      </tp>
      <tp>
        <v>1</v>
        <stp/>
        <stp>549b7a77-cb33-4936-bf58-005019d2fe04</stp>
        <tr r="C25" s="130"/>
      </tp>
    </main>
    <main first="rtdsrv.458a5932996f485b8b1b8d7cbb3f77a6">
      <tp>
        <v>1</v>
        <stp/>
        <stp>58dfbca9-e515-4a25-9a7d-5eac764a667c</stp>
        <tr r="H9" s="130"/>
      </tp>
    </main>
    <main first="rtdsrv.458a5932996f485b8b1b8d7cbb3f77a6">
      <tp>
        <v>1</v>
        <stp/>
        <stp>e9b1c20a-3710-4cac-a4ef-f6f183d70b70</stp>
        <tr r="FD8" s="132"/>
      </tp>
      <tp>
        <v>1</v>
        <stp/>
        <stp>90bff221-8a88-4079-885f-5c4ca8d1641a</stp>
        <tr r="D65" s="130"/>
      </tp>
      <tp>
        <v>1</v>
        <stp/>
        <stp>adfa2754-47b8-4f1b-a53a-492335e17cda</stp>
        <tr r="CK12" s="132"/>
      </tp>
    </main>
    <main first="rtdsrv.458a5932996f485b8b1b8d7cbb3f77a6">
      <tp>
        <v>1</v>
        <stp/>
        <stp>acaaa67e-fa08-478a-898a-9a6aa3e7da33</stp>
        <tr r="E57" s="130"/>
      </tp>
    </main>
    <main first="rtdsrv.458a5932996f485b8b1b8d7cbb3f77a6">
      <tp>
        <v>1</v>
        <stp/>
        <stp>7f169662-a4cd-4746-8c73-b0ec6a7b18d5</stp>
        <tr r="FM15" s="132"/>
      </tp>
    </main>
    <main first="rtdsrv.458a5932996f485b8b1b8d7cbb3f77a6">
      <tp>
        <v>1</v>
        <stp/>
        <stp>142a72ed-2292-4df7-8a6d-6b939990077e</stp>
        <tr r="S66" s="130"/>
      </tp>
    </main>
    <main first="rtdsrv.458a5932996f485b8b1b8d7cbb3f77a6">
      <tp>
        <v>1</v>
        <stp/>
        <stp>d130ce0f-8a90-460e-900a-a274fecb27a6</stp>
        <tr r="F27" s="130"/>
      </tp>
    </main>
    <main first="rtdsrv.458a5932996f485b8b1b8d7cbb3f77a6">
      <tp>
        <v>1</v>
        <stp/>
        <stp>9ebdd737-fc74-4e63-a052-ba1638f862ac</stp>
        <tr r="H93" s="130"/>
      </tp>
      <tp>
        <v>1</v>
        <stp/>
        <stp>5376d440-6dd2-447f-8c6f-a6c5d80746df</stp>
        <tr r="AS33" s="130"/>
      </tp>
    </main>
    <main first="rtdsrv.458a5932996f485b8b1b8d7cbb3f77a6">
      <tp>
        <v>1</v>
        <stp/>
        <stp>4b91c22c-3328-4c21-8008-99b54d0eefdc</stp>
        <tr r="DD8" s="132"/>
      </tp>
      <tp>
        <v>1</v>
        <stp/>
        <stp>cf0c7b4d-5a8e-4278-87f2-bef806e8eecb</stp>
        <tr r="W97" s="130"/>
      </tp>
    </main>
    <main first="rtdsrv.458a5932996f485b8b1b8d7cbb3f77a6">
      <tp>
        <v>1</v>
        <stp/>
        <stp>d23f3400-2381-4ac9-97ed-622f05ce662e</stp>
        <tr r="AX30" s="130"/>
      </tp>
    </main>
    <main first="rtdsrv.458a5932996f485b8b1b8d7cbb3f77a6">
      <tp>
        <v>1</v>
        <stp/>
        <stp>c75a160a-9052-40bf-ae30-76c32209b0a0</stp>
        <tr r="FX8" s="132"/>
      </tp>
    </main>
    <main first="rtdsrv.458a5932996f485b8b1b8d7cbb3f77a6">
      <tp>
        <v>1</v>
        <stp/>
        <stp>f54d3561-eb97-4184-a2a2-58b355c28ddd</stp>
        <tr r="AN41" s="130"/>
      </tp>
    </main>
    <main first="rtdsrv.458a5932996f485b8b1b8d7cbb3f77a6">
      <tp>
        <v>1</v>
        <stp/>
        <stp>7d27fe8a-2801-48b4-87b4-04c6311719d1</stp>
        <tr r="BE36" s="130"/>
      </tp>
    </main>
    <main first="rtdsrv.458a5932996f485b8b1b8d7cbb3f77a6">
      <tp>
        <v>1</v>
        <stp/>
        <stp>5c66c5c1-d7d3-4213-a146-04450a61b9fd</stp>
        <tr r="BJ41" s="130"/>
      </tp>
    </main>
    <main first="rtdsrv.458a5932996f485b8b1b8d7cbb3f77a6">
      <tp>
        <v>1</v>
        <stp/>
        <stp>478860ac-2701-424d-b025-7467099cc7d1</stp>
        <tr r="F86" s="130"/>
      </tp>
      <tp>
        <v>1</v>
        <stp/>
        <stp>f74bb8c0-1ad9-498c-803b-0631ad3b1ed9</stp>
        <tr r="AY15" s="130"/>
      </tp>
    </main>
    <main first="rtdsrv.458a5932996f485b8b1b8d7cbb3f77a6">
      <tp>
        <v>1</v>
        <stp/>
        <stp>52c297ff-7f61-44a6-83c1-a8806b9dbdca</stp>
        <tr r="HG13" s="132"/>
      </tp>
    </main>
    <main first="rtdsrv.458a5932996f485b8b1b8d7cbb3f77a6">
      <tp>
        <v>1</v>
        <stp/>
        <stp>6b160bf2-7648-4073-af90-1cd187013058</stp>
        <tr r="H32" s="130"/>
      </tp>
    </main>
    <main first="rtdsrv.458a5932996f485b8b1b8d7cbb3f77a6">
      <tp>
        <v>1</v>
        <stp/>
        <stp>8efbe4a0-2e60-4cce-b8df-ba328bbc88e2</stp>
        <tr r="K32" s="130"/>
      </tp>
    </main>
    <main first="rtdsrv.458a5932996f485b8b1b8d7cbb3f77a6">
      <tp>
        <v>1</v>
        <stp/>
        <stp>be974840-196e-45a7-b11f-a5f7155d1314</stp>
        <tr r="BA88" s="130"/>
      </tp>
    </main>
    <main first="rtdsrv.458a5932996f485b8b1b8d7cbb3f77a6">
      <tp>
        <v>1</v>
        <stp/>
        <stp>feca26a3-525e-41f1-85ac-f5d56ceae9b4</stp>
        <tr r="AB86" s="130"/>
      </tp>
      <tp>
        <v>1</v>
        <stp/>
        <stp>3e1cdcff-b318-4bb8-945a-47c496d1512d</stp>
        <tr r="BJ8" s="130"/>
      </tp>
      <tp>
        <v>1</v>
        <stp/>
        <stp>feb8b8a3-beb2-4ed2-80b8-86552fc97f85</stp>
        <tr r="AO78" s="130"/>
      </tp>
    </main>
    <main first="rtdsrv.458a5932996f485b8b1b8d7cbb3f77a6">
      <tp>
        <v>1</v>
        <stp/>
        <stp>82d4423e-56e2-4a52-9a46-74f39f9e3886</stp>
        <tr r="BC64" s="130"/>
      </tp>
    </main>
    <main first="rtdsrv.458a5932996f485b8b1b8d7cbb3f77a6">
      <tp>
        <v>1</v>
        <stp/>
        <stp>ed46e4f0-020f-4352-944d-cd5099404b56</stp>
        <tr r="F87" s="130"/>
      </tp>
      <tp>
        <v>1</v>
        <stp/>
        <stp>aa6200c3-62fe-494e-a28b-6b5e29cdc8c7</stp>
        <tr r="EV6" s="132"/>
      </tp>
    </main>
    <main first="rtdsrv.458a5932996f485b8b1b8d7cbb3f77a6">
      <tp>
        <v>1</v>
        <stp/>
        <stp>376b05fa-0f83-446a-8085-67c48244f7eb</stp>
        <tr r="AU98" s="130"/>
      </tp>
      <tp>
        <v>1</v>
        <stp/>
        <stp>525a515e-d3b8-415a-bebd-3a24b9cdde70</stp>
        <tr r="AZ59" s="130"/>
      </tp>
      <tp>
        <v>1</v>
        <stp/>
        <stp>f7b2cd5d-9661-41fd-abfd-0252da206b3f</stp>
        <tr r="E37" s="130"/>
      </tp>
    </main>
    <main first="rtdsrv.458a5932996f485b8b1b8d7cbb3f77a6">
      <tp>
        <v>1</v>
        <stp/>
        <stp>dde3011b-e574-4452-822f-f2e5287edcde</stp>
        <tr r="FW16" s="132"/>
      </tp>
    </main>
    <main first="rtdsrv.458a5932996f485b8b1b8d7cbb3f77a6">
      <tp>
        <v>1</v>
        <stp/>
        <stp>ba26874e-9c9d-4aec-bb8b-03940897df66</stp>
        <tr r="EF15" s="132"/>
      </tp>
    </main>
    <main first="rtdsrv.458a5932996f485b8b1b8d7cbb3f77a6">
      <tp>
        <v>1</v>
        <stp/>
        <stp>07deec6d-8a6d-440d-bb72-b6d01b0bc2d4</stp>
        <tr r="CO6" s="132"/>
      </tp>
    </main>
    <main first="rtdsrv.458a5932996f485b8b1b8d7cbb3f77a6">
      <tp>
        <v>1</v>
        <stp/>
        <stp>109efd77-3bab-4d89-8467-faddf3833c69</stp>
        <tr r="E92" s="130"/>
      </tp>
    </main>
    <main first="rtdsrv.458a5932996f485b8b1b8d7cbb3f77a6">
      <tp>
        <v>1</v>
        <stp/>
        <stp>d2b8c724-bb76-4acb-b2d1-98c5770f67ae</stp>
        <tr r="Z62" s="130"/>
      </tp>
    </main>
    <main first="rtdsrv.458a5932996f485b8b1b8d7cbb3f77a6">
      <tp>
        <v>1</v>
        <stp/>
        <stp>2d46f800-079f-430f-a9eb-6525fa300bb7</stp>
        <tr r="BE40" s="130"/>
      </tp>
    </main>
    <main first="rtdsrv.458a5932996f485b8b1b8d7cbb3f77a6">
      <tp>
        <v>1</v>
        <stp/>
        <stp>ff5b2f0c-743d-453f-9580-e7fc144083ac</stp>
        <tr r="O14" s="132"/>
      </tp>
    </main>
    <main first="rtdsrv.458a5932996f485b8b1b8d7cbb3f77a6">
      <tp>
        <v>1</v>
        <stp/>
        <stp>572f4f8d-833a-4b21-8b58-fbc7f5298cc6</stp>
        <tr r="HH13" s="132"/>
      </tp>
    </main>
    <main first="rtdsrv.458a5932996f485b8b1b8d7cbb3f77a6">
      <tp>
        <v>1</v>
        <stp/>
        <stp>f8aac767-3fb0-4bbd-94aa-b40161f7fe56</stp>
        <tr r="M63" s="130"/>
      </tp>
    </main>
    <main first="rtdsrv.458a5932996f485b8b1b8d7cbb3f77a6">
      <tp>
        <v>1</v>
        <stp/>
        <stp>99334667-39f3-42ef-8717-12402d42ed87</stp>
        <tr r="H11" s="132"/>
      </tp>
    </main>
    <main first="rtdsrv.458a5932996f485b8b1b8d7cbb3f77a6">
      <tp>
        <v>1</v>
        <stp/>
        <stp>a75d868d-8cb6-4027-a5d4-63265d8fadc9</stp>
        <tr r="HH9" s="132"/>
      </tp>
    </main>
    <main first="rtdsrv.458a5932996f485b8b1b8d7cbb3f77a6">
      <tp>
        <v>1</v>
        <stp/>
        <stp>107df09c-33ab-43c0-918c-ee8c0f6afac6</stp>
        <tr r="GL13" s="132"/>
      </tp>
    </main>
    <main first="rtdsrv.458a5932996f485b8b1b8d7cbb3f77a6">
      <tp>
        <v>1</v>
        <stp/>
        <stp>d5adf428-16f6-46f7-8100-d8394ee64308</stp>
        <tr r="BD20" s="130"/>
      </tp>
    </main>
    <main first="rtdsrv.458a5932996f485b8b1b8d7cbb3f77a6">
      <tp>
        <v>1</v>
        <stp/>
        <stp>0dd04d89-83a5-410f-88da-bbab689909e5</stp>
        <tr r="D72" s="130"/>
      </tp>
    </main>
    <main first="rtdsrv.458a5932996f485b8b1b8d7cbb3f77a6">
      <tp>
        <v>1</v>
        <stp/>
        <stp>41b21d9c-2e92-4690-a262-3796a6bfd9df</stp>
        <tr r="S39" s="130"/>
      </tp>
    </main>
    <main first="rtdsrv.458a5932996f485b8b1b8d7cbb3f77a6">
      <tp>
        <v>1</v>
        <stp/>
        <stp>e81ef295-beac-4f13-bec1-61ad34055d17</stp>
        <tr r="X6" s="132"/>
      </tp>
    </main>
    <main first="rtdsrv.458a5932996f485b8b1b8d7cbb3f77a6">
      <tp>
        <v>1</v>
        <stp/>
        <stp>3fe5866e-9c4f-4017-8fb9-22602b149528</stp>
        <tr r="FX6" s="132"/>
      </tp>
    </main>
    <main first="rtdsrv.458a5932996f485b8b1b8d7cbb3f77a6">
      <tp>
        <v>1</v>
        <stp/>
        <stp>bbb60599-5343-4207-9ca5-090656dbfb58</stp>
        <tr r="AV9" s="130"/>
      </tp>
    </main>
    <main first="rtdsrv.458a5932996f485b8b1b8d7cbb3f77a6">
      <tp>
        <v>1</v>
        <stp/>
        <stp>94a2ad0f-2b03-4a49-ad3c-dc93eb6ad0c2</stp>
        <tr r="X72" s="130"/>
      </tp>
      <tp>
        <v>1</v>
        <stp/>
        <stp>85d3fb32-10b0-4e28-b678-d060581d18d3</stp>
        <tr r="AS78" s="130"/>
      </tp>
    </main>
    <main first="rtdsrv.458a5932996f485b8b1b8d7cbb3f77a6">
      <tp>
        <v>1</v>
        <stp/>
        <stp>964813f6-490e-4216-b28b-8cd051e8c44f</stp>
        <tr r="AW87" s="130"/>
      </tp>
    </main>
    <main first="rtdsrv.458a5932996f485b8b1b8d7cbb3f77a6">
      <tp>
        <v>1</v>
        <stp/>
        <stp>48669090-372c-4185-a8a9-a70e6e5f1d90</stp>
        <tr r="AX80" s="130"/>
      </tp>
    </main>
    <main first="rtdsrv.458a5932996f485b8b1b8d7cbb3f77a6">
      <tp>
        <v>1</v>
        <stp/>
        <stp>702c17a3-9676-4904-8f60-f926d9cb4e9c</stp>
        <tr r="T90" s="130"/>
      </tp>
    </main>
    <main first="rtdsrv.458a5932996f485b8b1b8d7cbb3f77a6">
      <tp>
        <v>1</v>
        <stp/>
        <stp>a4838329-a648-4631-9116-e72570f6e8cb</stp>
        <tr r="BI45" s="130"/>
      </tp>
    </main>
    <main first="rtdsrv.458a5932996f485b8b1b8d7cbb3f77a6">
      <tp>
        <v>1</v>
        <stp/>
        <stp>5d339e5c-81ec-4f25-af66-03cc5afd4192</stp>
        <tr r="GM11" s="132"/>
      </tp>
      <tp>
        <v>1</v>
        <stp/>
        <stp>28a9b52e-c20a-4ffd-8579-7768d6693ee5</stp>
        <tr r="BR16" s="132"/>
      </tp>
    </main>
    <main first="rtdsrv.458a5932996f485b8b1b8d7cbb3f77a6">
      <tp>
        <v>1</v>
        <stp/>
        <stp>ec4b7d88-0a70-4aef-99f4-525b5da3d80f</stp>
        <tr r="BJ5" s="132"/>
      </tp>
    </main>
    <main first="rtdsrv.458a5932996f485b8b1b8d7cbb3f77a6">
      <tp>
        <v>1</v>
        <stp/>
        <stp>1f639cf7-5f47-4369-9bb1-3a81f55bff7c</stp>
        <tr r="D64" s="130"/>
      </tp>
    </main>
    <main first="rtdsrv.458a5932996f485b8b1b8d7cbb3f77a6">
      <tp>
        <v>1</v>
        <stp/>
        <stp>7fb73424-f870-489e-8194-14d2bde0bacc</stp>
        <tr r="CX15" s="132"/>
      </tp>
    </main>
    <main first="rtdsrv.458a5932996f485b8b1b8d7cbb3f77a6">
      <tp>
        <v>1</v>
        <stp/>
        <stp>17e4fa49-c41d-4a6c-8499-f0a1a04d067d</stp>
        <tr r="I39" s="130"/>
      </tp>
    </main>
    <main first="rtdsrv.458a5932996f485b8b1b8d7cbb3f77a6">
      <tp>
        <v>1</v>
        <stp/>
        <stp>b7a44846-5612-44eb-b66b-315b5c98ee3c</stp>
        <tr r="P11" s="130"/>
      </tp>
    </main>
    <main first="rtdsrv.458a5932996f485b8b1b8d7cbb3f77a6">
      <tp>
        <v>1</v>
        <stp/>
        <stp>7dbe98a4-8b79-494d-aa9b-f6768589fc25</stp>
        <tr r="AG69" s="130"/>
      </tp>
    </main>
    <main first="rtdsrv.458a5932996f485b8b1b8d7cbb3f77a6">
      <tp>
        <v>1</v>
        <stp/>
        <stp>96028946-7806-4842-9ea2-7373c8f6e9a1</stp>
        <tr r="V21" s="130"/>
      </tp>
    </main>
    <main first="rtdsrv.458a5932996f485b8b1b8d7cbb3f77a6">
      <tp>
        <v>1</v>
        <stp/>
        <stp>90ec0348-1d52-4f41-98b6-6623c7927960</stp>
        <tr r="DE6" s="132"/>
      </tp>
    </main>
    <main first="rtdsrv.458a5932996f485b8b1b8d7cbb3f77a6">
      <tp>
        <v>1</v>
        <stp/>
        <stp>604cf787-3351-4cae-bfb4-631478584a1f</stp>
        <tr r="R59" s="130"/>
      </tp>
    </main>
    <main first="rtdsrv.458a5932996f485b8b1b8d7cbb3f77a6">
      <tp>
        <v>1</v>
        <stp/>
        <stp>669d00a3-fe86-4e40-bc77-f5bec20069f5</stp>
        <tr r="Y76" s="130"/>
      </tp>
    </main>
    <main first="rtdsrv.458a5932996f485b8b1b8d7cbb3f77a6">
      <tp>
        <v>1</v>
        <stp/>
        <stp>36144b8c-dd71-4256-a064-62d1b9fdbbd4</stp>
        <tr r="EU9" s="132"/>
      </tp>
    </main>
    <main first="rtdsrv.458a5932996f485b8b1b8d7cbb3f77a6">
      <tp>
        <v>1</v>
        <stp/>
        <stp>85d62e6a-799c-42e3-91ff-0fd87926a4d3</stp>
        <tr r="T36" s="130"/>
      </tp>
      <tp>
        <v>1</v>
        <stp/>
        <stp>88cfd3cf-c498-4e6c-b008-56d9b636dbd5</stp>
        <tr r="V74" s="130"/>
      </tp>
    </main>
    <main first="rtdsrv.458a5932996f485b8b1b8d7cbb3f77a6">
      <tp>
        <v>1</v>
        <stp/>
        <stp>f8efa373-6c12-4646-a4fa-275045c42694</stp>
        <tr r="DU11" s="132"/>
      </tp>
    </main>
    <main first="rtdsrv.458a5932996f485b8b1b8d7cbb3f77a6">
      <tp>
        <v>1</v>
        <stp/>
        <stp>f5e66e94-dfd3-47db-b3e7-3f49047f581c</stp>
        <tr r="BE15" s="132"/>
      </tp>
    </main>
    <main first="rtdsrv.458a5932996f485b8b1b8d7cbb3f77a6">
      <tp>
        <v>1</v>
        <stp/>
        <stp>5d57a5fe-87a0-4a3f-96b8-63b9a61fc17f</stp>
        <tr r="AQ66" s="130"/>
      </tp>
      <tp>
        <v>1</v>
        <stp/>
        <stp>5fab3516-997c-414b-856e-2f78beb7ada7</stp>
        <tr r="AA12" s="132"/>
      </tp>
      <tp>
        <v>1</v>
        <stp/>
        <stp>3d74394e-e104-4a60-abdd-1e83012f7ade</stp>
        <tr r="G40" s="130"/>
      </tp>
    </main>
    <main first="rtdsrv.458a5932996f485b8b1b8d7cbb3f77a6">
      <tp>
        <v>1</v>
        <stp/>
        <stp>aad37ee2-f9a4-4d4a-a7fa-efc81956bc74</stp>
        <tr r="N12" s="130"/>
      </tp>
    </main>
    <main first="rtdsrv.458a5932996f485b8b1b8d7cbb3f77a6">
      <tp>
        <v>1</v>
        <stp/>
        <stp>39f8d504-c7e8-48cb-91ac-fa8161fd7edf</stp>
        <tr r="FY15" s="132"/>
      </tp>
    </main>
    <main first="rtdsrv.458a5932996f485b8b1b8d7cbb3f77a6">
      <tp>
        <v>1</v>
        <stp/>
        <stp>dbc2c840-24bf-4603-8f48-3b360caa5713</stp>
        <tr r="AE94" s="130"/>
      </tp>
      <tp>
        <v>1</v>
        <stp/>
        <stp>2c9abc1d-9cea-48d5-9ff1-c26a606801b1</stp>
        <tr r="W67" s="130"/>
      </tp>
    </main>
    <main first="rtdsrv.458a5932996f485b8b1b8d7cbb3f77a6">
      <tp>
        <v>1</v>
        <stp/>
        <stp>ef180003-588f-4d67-9e57-784206173622</stp>
        <tr r="AN8" s="130"/>
      </tp>
      <tp>
        <v>1</v>
        <stp/>
        <stp>833c48df-e852-4417-92f0-0caf50f955ae</stp>
        <tr r="BF5" s="130"/>
      </tp>
    </main>
    <main first="rtdsrv.458a5932996f485b8b1b8d7cbb3f77a6">
      <tp>
        <v>1</v>
        <stp/>
        <stp>f23a524c-b6d6-4f22-841f-58f77f1a6f9e</stp>
        <tr r="Z44" s="130"/>
      </tp>
    </main>
    <main first="rtdsrv.458a5932996f485b8b1b8d7cbb3f77a6">
      <tp>
        <v>1</v>
        <stp/>
        <stp>d85db52b-f292-4431-86e5-bf9bf0037034</stp>
        <tr r="O70" s="130"/>
      </tp>
    </main>
    <main first="rtdsrv.458a5932996f485b8b1b8d7cbb3f77a6">
      <tp>
        <v>1</v>
        <stp/>
        <stp>848c50b4-5a80-40f5-b10a-8b37b8ea2764</stp>
        <tr r="M7" s="132"/>
      </tp>
    </main>
    <main first="rtdsrv.458a5932996f485b8b1b8d7cbb3f77a6">
      <tp>
        <v>1</v>
        <stp/>
        <stp>68d7a386-dfcd-4b11-8b2d-46b0465cc528</stp>
        <tr r="HG11" s="132"/>
      </tp>
    </main>
    <main first="rtdsrv.458a5932996f485b8b1b8d7cbb3f77a6">
      <tp>
        <v>1</v>
        <stp/>
        <stp>86601169-414a-4e43-a5f5-288d5c350d42</stp>
        <tr r="P44" s="130"/>
      </tp>
      <tp>
        <v>1</v>
        <stp/>
        <stp>71166235-876a-49ff-95bd-876d8f8377d8</stp>
        <tr r="BA29" s="130"/>
      </tp>
    </main>
    <main first="rtdsrv.458a5932996f485b8b1b8d7cbb3f77a6">
      <tp>
        <v>1</v>
        <stp/>
        <stp>8b3eaa3d-52cc-4b46-a15b-2499f918eace</stp>
        <tr r="Q73" s="130"/>
      </tp>
      <tp>
        <v>1</v>
        <stp/>
        <stp>5500a179-46bb-4b1d-bc99-4743500e3379</stp>
        <tr r="AP64" s="130"/>
      </tp>
    </main>
    <main first="rtdsrv.458a5932996f485b8b1b8d7cbb3f77a6">
      <tp>
        <v>1</v>
        <stp/>
        <stp>492918fb-6b93-4881-9a2f-88d5469a8c66</stp>
        <tr r="EC16" s="132"/>
      </tp>
      <tp>
        <v>1</v>
        <stp/>
        <stp>9e4668a8-9724-4d19-9ffb-508a3ab933a8</stp>
        <tr r="F26" s="130"/>
        <tr r="F14" s="130"/>
      </tp>
    </main>
    <main first="rtdsrv.458a5932996f485b8b1b8d7cbb3f77a6">
      <tp>
        <v>1</v>
        <stp/>
        <stp>39b0576e-56c2-4250-8fea-778567e2d7e4</stp>
        <tr r="EN8" s="132"/>
      </tp>
      <tp>
        <v>1</v>
        <stp/>
        <stp>5ddcc897-10fd-4014-bb04-1fdcde086365</stp>
        <tr r="AP9" s="132"/>
      </tp>
    </main>
    <main first="rtdsrv.458a5932996f485b8b1b8d7cbb3f77a6">
      <tp>
        <v>1</v>
        <stp/>
        <stp>a7ee8098-6ef3-477c-9fd7-1c861800f4bf</stp>
        <tr r="AJ56" s="130"/>
      </tp>
    </main>
    <main first="rtdsrv.458a5932996f485b8b1b8d7cbb3f77a6">
      <tp>
        <v>1</v>
        <stp/>
        <stp>fc735df7-1bcf-43af-b5e1-585d96d6bb7c</stp>
        <tr r="S81" s="130"/>
      </tp>
    </main>
    <main first="rtdsrv.458a5932996f485b8b1b8d7cbb3f77a6">
      <tp>
        <v>1</v>
        <stp/>
        <stp>3ffc9ffc-b146-474d-b1e4-f356f00ee9d1</stp>
        <tr r="AG16" s="132"/>
      </tp>
    </main>
    <main first="rtdsrv.458a5932996f485b8b1b8d7cbb3f77a6">
      <tp>
        <v>1</v>
        <stp/>
        <stp>1eb5ac13-0678-4ef6-b62b-3e5cd95e27c8</stp>
        <tr r="Y12" s="132"/>
      </tp>
      <tp>
        <v>1</v>
        <stp/>
        <stp>f3690d96-b7c7-46de-b59d-8383236ee079</stp>
        <tr r="BE56" s="130"/>
      </tp>
    </main>
    <main first="rtdsrv.458a5932996f485b8b1b8d7cbb3f77a6">
      <tp>
        <v>1</v>
        <stp/>
        <stp>62cf0c81-e87d-4763-ab7d-625a0b6d99aa</stp>
        <tr r="AG87" s="130"/>
      </tp>
      <tp>
        <v>1</v>
        <stp/>
        <stp>23a82d72-98f3-47f8-9580-dd373a0f828a</stp>
        <tr r="HB16" s="132"/>
      </tp>
    </main>
    <main first="rtdsrv.458a5932996f485b8b1b8d7cbb3f77a6">
      <tp>
        <v>1</v>
        <stp/>
        <stp>e85b040c-0a62-4c9d-b3b2-a63b4420aa29</stp>
        <tr r="G83" s="130"/>
      </tp>
    </main>
    <main first="rtdsrv.458a5932996f485b8b1b8d7cbb3f77a6">
      <tp>
        <v>1</v>
        <stp/>
        <stp>b429d38f-8178-47c7-8cf0-f289537666a4</stp>
        <tr r="AF45" s="130"/>
      </tp>
    </main>
    <main first="rtdsrv.458a5932996f485b8b1b8d7cbb3f77a6">
      <tp>
        <v>1</v>
        <stp/>
        <stp>92353848-b5b4-457c-a11c-3cd2962536be</stp>
        <tr r="BB11" s="130"/>
      </tp>
      <tp>
        <v>1</v>
        <stp/>
        <stp>e821afd6-c287-4934-9892-121378afdcc2</stp>
        <tr r="AD69" s="130"/>
      </tp>
    </main>
    <main first="rtdsrv.458a5932996f485b8b1b8d7cbb3f77a6">
      <tp>
        <v>1</v>
        <stp/>
        <stp>a77d83ef-a11d-46c3-8081-50398233e577</stp>
        <tr r="EM12" s="132"/>
      </tp>
    </main>
    <main first="rtdsrv.458a5932996f485b8b1b8d7cbb3f77a6">
      <tp>
        <v>1</v>
        <stp/>
        <stp>ca4a4646-f90a-433a-aef9-8d72f93a42af</stp>
        <tr r="W65" s="130"/>
      </tp>
    </main>
    <main first="rtdsrv.458a5932996f485b8b1b8d7cbb3f77a6">
      <tp>
        <v>1</v>
        <stp/>
        <stp>0f4f199a-c0cb-44fe-980b-2284e264304d</stp>
        <tr r="CJ11" s="132"/>
      </tp>
      <tp>
        <v>1</v>
        <stp/>
        <stp>fde311a3-1e10-4883-a35e-73545966e1bf</stp>
        <tr r="AG56" s="130"/>
      </tp>
    </main>
    <main first="rtdsrv.458a5932996f485b8b1b8d7cbb3f77a6">
      <tp>
        <v>1</v>
        <stp/>
        <stp>68034e2a-41c6-48c2-b1c3-a283fe9fa6d7</stp>
        <tr r="BG12" s="130"/>
      </tp>
    </main>
    <main first="rtdsrv.458a5932996f485b8b1b8d7cbb3f77a6">
      <tp>
        <v>1</v>
        <stp/>
        <stp>89d1fd4e-c161-4919-b411-697a8518fc07</stp>
        <tr r="S95" s="130"/>
      </tp>
      <tp>
        <v>1</v>
        <stp/>
        <stp>c60bd64e-010b-4518-b3ac-fc0c9ce4e0ea</stp>
        <tr r="GB5" s="132"/>
      </tp>
    </main>
    <main first="rtdsrv.458a5932996f485b8b1b8d7cbb3f77a6">
      <tp>
        <v>1</v>
        <stp/>
        <stp>12550aa6-bae9-4d3f-8915-47e2d85a4062</stp>
        <tr r="AX44" s="130"/>
      </tp>
    </main>
    <main first="rtdsrv.458a5932996f485b8b1b8d7cbb3f77a6">
      <tp>
        <v>1</v>
        <stp/>
        <stp>3bc87b64-55fc-40b6-8566-a5a52a7988f7</stp>
        <tr r="AN86" s="130"/>
      </tp>
    </main>
    <main first="rtdsrv.458a5932996f485b8b1b8d7cbb3f77a6">
      <tp>
        <v>1</v>
        <stp/>
        <stp>d17c65f8-333e-41a1-b00a-2d26234628c8</stp>
        <tr r="M46" s="130"/>
        <tr r="M51" s="130"/>
      </tp>
      <tp>
        <v>1</v>
        <stp/>
        <stp>36073a98-f90f-4d38-9d03-377aa1b6af06</stp>
        <tr r="BC21" s="130"/>
      </tp>
    </main>
    <main first="rtdsrv.458a5932996f485b8b1b8d7cbb3f77a6">
      <tp>
        <v>1</v>
        <stp/>
        <stp>f7e0a6d7-d885-4d32-af39-59e382576661</stp>
        <tr r="I28" s="130"/>
      </tp>
    </main>
    <main first="rtdsrv.458a5932996f485b8b1b8d7cbb3f77a6">
      <tp>
        <v>1</v>
        <stp/>
        <stp>c9766e7f-5ae0-4440-b196-324c58c2f3f9</stp>
        <tr r="BC14" s="130"/>
        <tr r="BC26" s="130"/>
      </tp>
    </main>
    <main first="rtdsrv.458a5932996f485b8b1b8d7cbb3f77a6">
      <tp>
        <v>1</v>
        <stp/>
        <stp>54f3cce9-645c-4e74-a837-aaa95f4ca824</stp>
        <tr r="BE11" s="132"/>
      </tp>
      <tp>
        <v>1</v>
        <stp/>
        <stp>bf082cdc-ab3f-447f-9a51-da51686207c2</stp>
        <tr r="AD46" s="130"/>
        <tr r="AD51" s="130"/>
      </tp>
      <tp>
        <v>1</v>
        <stp/>
        <stp>f449439a-35c7-47d9-9bb9-451f62db013b</stp>
        <tr r="AR21" s="130"/>
      </tp>
    </main>
    <main first="rtdsrv.458a5932996f485b8b1b8d7cbb3f77a6">
      <tp>
        <v>1</v>
        <stp/>
        <stp>bd0844e0-99f7-48e2-910e-439fe4b86555</stp>
        <tr r="AF92" s="130"/>
      </tp>
      <tp>
        <v>1</v>
        <stp/>
        <stp>ece82e42-5d32-4805-ba30-403ae9b50e34</stp>
        <tr r="Z6" s="132"/>
      </tp>
      <tp>
        <v>1</v>
        <stp/>
        <stp>df0ee829-4ae9-41e5-9fef-c72a9eebc150</stp>
        <tr r="AV89" s="130"/>
      </tp>
    </main>
    <main first="rtdsrv.458a5932996f485b8b1b8d7cbb3f77a6">
      <tp>
        <v>1</v>
        <stp/>
        <stp>7d9e5e5f-d275-4e89-8e79-b36ae7d46620</stp>
        <tr r="AY35" s="130"/>
      </tp>
    </main>
    <main first="rtdsrv.458a5932996f485b8b1b8d7cbb3f77a6">
      <tp>
        <v>1</v>
        <stp/>
        <stp>d2a4232a-b7de-403b-9667-9f1079c7d1f4</stp>
        <tr r="BF88" s="130"/>
      </tp>
      <tp>
        <v>1</v>
        <stp/>
        <stp>3c3cb779-b341-4d0c-a54c-7d348e3ce937</stp>
        <tr r="E12" s="132"/>
      </tp>
    </main>
    <main first="rtdsrv.458a5932996f485b8b1b8d7cbb3f77a6">
      <tp>
        <v>1</v>
        <stp/>
        <stp>0d075ed7-8cec-4fe0-90ef-06e1e0dcb306</stp>
        <tr r="CW8" s="132"/>
      </tp>
    </main>
    <main first="rtdsrv.458a5932996f485b8b1b8d7cbb3f77a6">
      <tp>
        <v>1</v>
        <stp/>
        <stp>9297a890-a274-4d33-8607-7e74c6304baa</stp>
        <tr r="X10" s="130"/>
      </tp>
    </main>
    <main first="rtdsrv.458a5932996f485b8b1b8d7cbb3f77a6">
      <tp>
        <v>1</v>
        <stp/>
        <stp>b29306c5-ead2-4278-b32f-06746736b38a</stp>
        <tr r="GA13" s="132"/>
      </tp>
    </main>
    <main first="rtdsrv.458a5932996f485b8b1b8d7cbb3f77a6">
      <tp>
        <v>1</v>
        <stp/>
        <stp>ad4b2f19-a3df-418d-a03a-78045f302354</stp>
        <tr r="BB87" s="130"/>
      </tp>
    </main>
    <main first="rtdsrv.458a5932996f485b8b1b8d7cbb3f77a6">
      <tp>
        <v>1</v>
        <stp/>
        <stp>40ae06cd-0e02-4225-a7de-bb3e193beecb</stp>
        <tr r="O43" s="130"/>
      </tp>
    </main>
    <main first="rtdsrv.458a5932996f485b8b1b8d7cbb3f77a6">
      <tp>
        <v>1</v>
        <stp/>
        <stp>eca02af1-df56-4f9b-bb9d-12c720cccfdf</stp>
        <tr r="AR68" s="130"/>
      </tp>
    </main>
    <main first="rtdsrv.458a5932996f485b8b1b8d7cbb3f77a6">
      <tp>
        <v>1</v>
        <stp/>
        <stp>4c2f7bd5-e539-485b-b624-ac7cc60b8814</stp>
        <tr r="FL7" s="132"/>
      </tp>
    </main>
    <main first="rtdsrv.458a5932996f485b8b1b8d7cbb3f77a6">
      <tp>
        <v>1</v>
        <stp/>
        <stp>2c7199a9-fd29-4afe-ab4b-474066364562</stp>
        <tr r="AP19" s="130"/>
      </tp>
      <tp>
        <v>1</v>
        <stp/>
        <stp>0d911d86-7ddb-4782-82cb-cec26c65393e</stp>
        <tr r="GZ5" s="132"/>
      </tp>
      <tp>
        <v>1</v>
        <stp/>
        <stp>ce3950a3-c5f0-4092-a672-1667b9f72ed6</stp>
        <tr r="AN28" s="130"/>
      </tp>
    </main>
    <main first="rtdsrv.458a5932996f485b8b1b8d7cbb3f77a6">
      <tp>
        <v>1</v>
        <stp/>
        <stp>4052c758-912d-463b-b922-23c61ef5bad9</stp>
        <tr r="R31" s="130"/>
      </tp>
    </main>
    <main first="rtdsrv.458a5932996f485b8b1b8d7cbb3f77a6">
      <tp>
        <v>1</v>
        <stp/>
        <stp>5f821915-8429-4d85-85a3-29c90e954661</stp>
        <tr r="BA35" s="130"/>
      </tp>
    </main>
    <main first="rtdsrv.458a5932996f485b8b1b8d7cbb3f77a6">
      <tp>
        <v>1</v>
        <stp/>
        <stp>d4aaf374-2f5a-45bc-b2f7-b8d6cc8ee295</stp>
        <tr r="S21" s="130"/>
      </tp>
    </main>
    <main first="rtdsrv.458a5932996f485b8b1b8d7cbb3f77a6">
      <tp>
        <v>1</v>
        <stp/>
        <stp>89a0ddfd-f986-40c4-94c9-4b844a8456e5</stp>
        <tr r="AD9" s="132"/>
      </tp>
    </main>
    <main first="rtdsrv.458a5932996f485b8b1b8d7cbb3f77a6">
      <tp>
        <v>1</v>
        <stp/>
        <stp>e8e16f62-ab7b-4aec-9653-ee5bd6bb0c72</stp>
        <tr r="AX12" s="130"/>
      </tp>
    </main>
    <main first="rtdsrv.458a5932996f485b8b1b8d7cbb3f77a6">
      <tp>
        <v>1</v>
        <stp/>
        <stp>1928e769-3785-42cb-bf75-151e84da2010</stp>
        <tr r="AV43" s="130"/>
      </tp>
    </main>
    <main first="rtdsrv.458a5932996f485b8b1b8d7cbb3f77a6">
      <tp>
        <v>1</v>
        <stp/>
        <stp>b9e7cf3b-de3a-4a41-8035-7e55a13d54b4</stp>
        <tr r="E11" s="130"/>
      </tp>
    </main>
    <main first="rtdsrv.458a5932996f485b8b1b8d7cbb3f77a6">
      <tp>
        <v>1</v>
        <stp/>
        <stp>7ff188c1-331a-4dfe-b209-75be65845a7e</stp>
        <tr r="DX14" s="132"/>
      </tp>
    </main>
    <main first="rtdsrv.458a5932996f485b8b1b8d7cbb3f77a6">
      <tp>
        <v>1</v>
        <stp/>
        <stp>f819bb4a-dc63-4a6c-b435-0712eb2ebb21</stp>
        <tr r="AG13" s="130"/>
      </tp>
    </main>
    <main first="rtdsrv.458a5932996f485b8b1b8d7cbb3f77a6">
      <tp>
        <v>1</v>
        <stp/>
        <stp>87b87bc0-75b0-4406-b49c-5c5a0d24a32a</stp>
        <tr r="DV9" s="132"/>
      </tp>
    </main>
    <main first="rtdsrv.458a5932996f485b8b1b8d7cbb3f77a6">
      <tp>
        <v>1</v>
        <stp/>
        <stp>199b83fb-488f-408e-b677-6daa72c83c1b</stp>
        <tr r="AI11" s="130"/>
      </tp>
    </main>
    <main first="rtdsrv.458a5932996f485b8b1b8d7cbb3f77a6">
      <tp>
        <v>1</v>
        <stp/>
        <stp>664ef73f-632c-4c54-8480-7fdf216b7550</stp>
        <tr r="AJ76" s="130"/>
      </tp>
    </main>
    <main first="rtdsrv.458a5932996f485b8b1b8d7cbb3f77a6">
      <tp>
        <v>1</v>
        <stp/>
        <stp>1356e862-4347-4116-885b-4e5ce658461e</stp>
        <tr r="E93" s="130"/>
      </tp>
    </main>
    <main first="rtdsrv.458a5932996f485b8b1b8d7cbb3f77a6">
      <tp>
        <v>1</v>
        <stp/>
        <stp>e170a48c-9290-44db-940f-c600fce16bb1</stp>
        <tr r="AE62" s="130"/>
      </tp>
    </main>
    <main first="rtdsrv.458a5932996f485b8b1b8d7cbb3f77a6">
      <tp>
        <v>1</v>
        <stp/>
        <stp>df6edb8a-f8e2-43a2-90e9-6c6c6773d8bb</stp>
        <tr r="C5" s="130"/>
      </tp>
      <tp>
        <v>1</v>
        <stp/>
        <stp>76059a03-d26b-4639-ad3a-761297651a89</stp>
        <tr r="V11" s="132"/>
      </tp>
    </main>
    <main first="rtdsrv.458a5932996f485b8b1b8d7cbb3f77a6">
      <tp>
        <v>1</v>
        <stp/>
        <stp>0922e231-f05c-4f6a-9cf5-da80f0cb2b38</stp>
        <tr r="BD63" s="130"/>
      </tp>
    </main>
    <main first="rtdsrv.458a5932996f485b8b1b8d7cbb3f77a6">
      <tp>
        <v>1</v>
        <stp/>
        <stp>6462b848-c025-4027-abed-4dbe4c968ca8</stp>
        <tr r="AT83" s="130"/>
      </tp>
    </main>
    <main first="rtdsrv.458a5932996f485b8b1b8d7cbb3f77a6">
      <tp>
        <v>1</v>
        <stp/>
        <stp>08e2b39b-f58b-4815-9ae4-76131fed14e3</stp>
        <tr r="FT13" s="132"/>
      </tp>
    </main>
    <main first="rtdsrv.458a5932996f485b8b1b8d7cbb3f77a6">
      <tp>
        <v>1</v>
        <stp/>
        <stp>bb01b179-e8a1-4140-a0e5-f5ae89f496ac</stp>
        <tr r="K70" s="130"/>
      </tp>
    </main>
    <main first="rtdsrv.458a5932996f485b8b1b8d7cbb3f77a6">
      <tp>
        <v>1</v>
        <stp/>
        <stp>a05c7b33-67f4-4880-9da0-2b91666ff8c5</stp>
        <tr r="AN33" s="130"/>
      </tp>
    </main>
    <main first="rtdsrv.458a5932996f485b8b1b8d7cbb3f77a6">
      <tp>
        <v>1</v>
        <stp/>
        <stp>a5a80537-1cfe-424d-b627-5684105ec8f7</stp>
        <tr r="AN15" s="130"/>
      </tp>
    </main>
    <main first="rtdsrv.458a5932996f485b8b1b8d7cbb3f77a6">
      <tp>
        <v>1</v>
        <stp/>
        <stp>09554003-24f8-4ee2-9d82-5b8469b7c34a</stp>
        <tr r="N80" s="130"/>
      </tp>
    </main>
    <main first="rtdsrv.458a5932996f485b8b1b8d7cbb3f77a6">
      <tp>
        <v>1</v>
        <stp/>
        <stp>450f935d-b998-4eb3-a1cc-cf17c934f20b</stp>
        <tr r="AD35" s="130"/>
      </tp>
    </main>
    <main first="rtdsrv.458a5932996f485b8b1b8d7cbb3f77a6">
      <tp>
        <v>1</v>
        <stp/>
        <stp>84fc923f-0db1-4854-af89-adaf83afb4ee</stp>
        <tr r="AZ39" s="130"/>
      </tp>
    </main>
    <main first="rtdsrv.458a5932996f485b8b1b8d7cbb3f77a6">
      <tp>
        <v>1</v>
        <stp/>
        <stp>af73c96f-6fdb-4ca3-9618-f5e4ed52fcbf</stp>
        <tr r="DF5" s="132"/>
      </tp>
    </main>
    <main first="rtdsrv.458a5932996f485b8b1b8d7cbb3f77a6">
      <tp>
        <v>1</v>
        <stp/>
        <stp>00bbd6c3-2db9-4922-91de-681306e20598</stp>
        <tr r="BK98" s="130"/>
      </tp>
    </main>
    <main first="rtdsrv.458a5932996f485b8b1b8d7cbb3f77a6">
      <tp>
        <v>1</v>
        <stp/>
        <stp>0ea92800-b89d-42da-ad26-030cd1ed27d8</stp>
        <tr r="AT20" s="130"/>
      </tp>
      <tp>
        <v>1</v>
        <stp/>
        <stp>995586b7-64d5-49b6-a135-d7b246925dce</stp>
        <tr r="L8" s="130"/>
      </tp>
      <tp>
        <v>1</v>
        <stp/>
        <stp>f3fa14c9-fb14-474d-bcf0-af3ebd90a833</stp>
        <tr r="AQ8" s="132"/>
      </tp>
      <tp>
        <v>1</v>
        <stp/>
        <stp>da9b5d3e-3aa2-4132-814d-a6f529e40fb6</stp>
        <tr r="Q67" s="130"/>
      </tp>
    </main>
    <main first="rtdsrv.458a5932996f485b8b1b8d7cbb3f77a6">
      <tp>
        <v>1</v>
        <stp/>
        <stp>18c0a617-ec83-40c4-8ff7-0f4e868a40d6</stp>
        <tr r="FP13" s="132"/>
      </tp>
    </main>
    <main first="rtdsrv.458a5932996f485b8b1b8d7cbb3f77a6">
      <tp>
        <v>1</v>
        <stp/>
        <stp>cae52974-f49d-4249-858e-ab909e0f3ade</stp>
        <tr r="FR5" s="132"/>
      </tp>
    </main>
    <main first="rtdsrv.458a5932996f485b8b1b8d7cbb3f77a6">
      <tp>
        <v>1</v>
        <stp/>
        <stp>24498d69-9290-4bb2-ae1c-a74c178eb311</stp>
        <tr r="AO41" s="130"/>
      </tp>
    </main>
    <main first="rtdsrv.458a5932996f485b8b1b8d7cbb3f77a6">
      <tp>
        <v>1</v>
        <stp/>
        <stp>ca100721-67dd-4781-acb8-3481e8999fc2</stp>
        <tr r="AG11" s="130"/>
      </tp>
      <tp>
        <v>1</v>
        <stp/>
        <stp>7dbb0f55-d07b-4193-b970-4885d663e56b</stp>
        <tr r="AW14" s="132"/>
      </tp>
      <tp>
        <v>1</v>
        <stp/>
        <stp>1d1e3dcc-52a9-46e3-bde4-18968507172e</stp>
        <tr r="F88" s="130"/>
      </tp>
      <tp>
        <v>1</v>
        <stp/>
        <stp>55c231bc-e4ed-4a33-b8a9-f6241e4c09e7</stp>
        <tr r="EK7" s="132"/>
      </tp>
      <tp>
        <v>1</v>
        <stp/>
        <stp>ba3a2dca-79a1-4294-a1ae-49a0a52af205</stp>
        <tr r="BJ71" s="130"/>
      </tp>
      <tp>
        <v>1</v>
        <stp/>
        <stp>5878c246-ecc9-4792-9cd5-51f255d2cd86</stp>
        <tr r="AG12" s="132"/>
      </tp>
    </main>
    <main first="rtdsrv.458a5932996f485b8b1b8d7cbb3f77a6">
      <tp>
        <v>1</v>
        <stp/>
        <stp>b590ca3e-3e6e-4187-968d-a61e023985fb</stp>
        <tr r="AS20" s="130"/>
      </tp>
    </main>
    <main first="rtdsrv.458a5932996f485b8b1b8d7cbb3f77a6">
      <tp>
        <v>1</v>
        <stp/>
        <stp>518ad090-89f6-460c-993e-82468acedce6</stp>
        <tr r="ES14" s="132"/>
      </tp>
    </main>
    <main first="rtdsrv.458a5932996f485b8b1b8d7cbb3f77a6">
      <tp>
        <v>1</v>
        <stp/>
        <stp>94665dfd-1b87-4e19-9514-27864de85c4d</stp>
        <tr r="AZ82" s="130"/>
      </tp>
      <tp>
        <v>1</v>
        <stp/>
        <stp>12b7bcfc-aeef-4268-829f-d5470ed4288c</stp>
        <tr r="I20" s="130"/>
      </tp>
      <tp>
        <v>1</v>
        <stp/>
        <stp>954e172e-092c-4431-91b7-8186d99b20f0</stp>
        <tr r="DV15" s="132"/>
      </tp>
      <tp>
        <v>1</v>
        <stp/>
        <stp>7f21825a-8878-41dd-8347-ee4c820472cb</stp>
        <tr r="AL66" s="130"/>
      </tp>
    </main>
    <main first="rtdsrv.458a5932996f485b8b1b8d7cbb3f77a6">
      <tp>
        <v>1</v>
        <stp/>
        <stp>ee1e7cf5-8027-4c3a-912a-ac9b5e6f22f8</stp>
        <tr r="BD28" s="130"/>
      </tp>
      <tp>
        <v>1</v>
        <stp/>
        <stp>8b677a68-f72b-4028-b840-c785345f03e8</stp>
        <tr r="CF15" s="132"/>
      </tp>
      <tp>
        <v>1</v>
        <stp/>
        <stp>df7080f1-8e5d-41da-935c-cc8993422343</stp>
        <tr r="AQ86" s="130"/>
      </tp>
    </main>
    <main first="rtdsrv.458a5932996f485b8b1b8d7cbb3f77a6">
      <tp>
        <v>1</v>
        <stp/>
        <stp>dff7a8eb-2350-490c-8e2a-3d3d0d47dd93</stp>
        <tr r="BE9" s="130"/>
      </tp>
    </main>
    <main first="rtdsrv.458a5932996f485b8b1b8d7cbb3f77a6">
      <tp>
        <v>1</v>
        <stp/>
        <stp>13041719-f85d-4ecb-a1de-231597dd19fc</stp>
        <tr r="AL8" s="130"/>
      </tp>
    </main>
    <main first="rtdsrv.458a5932996f485b8b1b8d7cbb3f77a6">
      <tp>
        <v>1</v>
        <stp/>
        <stp>a1fa0bc0-1367-4bf4-8303-68dbc78ac063</stp>
        <tr r="W11" s="130"/>
      </tp>
    </main>
    <main first="rtdsrv.458a5932996f485b8b1b8d7cbb3f77a6">
      <tp>
        <v>1</v>
        <stp/>
        <stp>b1ecc217-4837-40f3-b486-b622b77f4d73</stp>
        <tr r="AW55" s="130"/>
      </tp>
    </main>
    <main first="rtdsrv.458a5932996f485b8b1b8d7cbb3f77a6">
      <tp>
        <v>1</v>
        <stp/>
        <stp>fa4a406a-eafd-48a7-9b99-d1572a5b6328</stp>
        <tr r="AU11" s="132"/>
      </tp>
    </main>
    <main first="rtdsrv.458a5932996f485b8b1b8d7cbb3f77a6">
      <tp>
        <v>1</v>
        <stp/>
        <stp>bae4eaac-833b-466d-b53e-8addd69c8afd</stp>
        <tr r="AX7" s="130"/>
      </tp>
    </main>
    <main first="rtdsrv.458a5932996f485b8b1b8d7cbb3f77a6">
      <tp>
        <v>1</v>
        <stp/>
        <stp>04b682f0-9859-4cfe-b13d-83a5f1dfa241</stp>
        <tr r="BI75" s="130"/>
      </tp>
      <tp>
        <v>1</v>
        <stp/>
        <stp>f2ab0913-9e50-45fe-bdc7-be80d80840cd</stp>
        <tr r="BJ11" s="130"/>
      </tp>
    </main>
    <main first="rtdsrv.458a5932996f485b8b1b8d7cbb3f77a6">
      <tp>
        <v>1</v>
        <stp/>
        <stp>c64c9904-e55a-4ca1-9e4e-48a5b79329ed</stp>
        <tr r="AS56" s="130"/>
      </tp>
    </main>
    <main first="rtdsrv.458a5932996f485b8b1b8d7cbb3f77a6">
      <tp>
        <v>1</v>
        <stp/>
        <stp>716a538c-971f-40f6-8531-901b0c1924a9</stp>
        <tr r="DC13" s="132"/>
      </tp>
    </main>
    <main first="rtdsrv.458a5932996f485b8b1b8d7cbb3f77a6">
      <tp>
        <v>1</v>
        <stp/>
        <stp>05b1e840-4933-404d-ab1f-eb0efbf3b563</stp>
        <tr r="AF27" s="130"/>
      </tp>
    </main>
    <main first="rtdsrv.458a5932996f485b8b1b8d7cbb3f77a6">
      <tp>
        <v>1</v>
        <stp/>
        <stp>b902e407-e6b0-481e-8334-3b5f57fc228c</stp>
        <tr r="GA7" s="132"/>
      </tp>
    </main>
    <main first="rtdsrv.458a5932996f485b8b1b8d7cbb3f77a6">
      <tp>
        <v>1</v>
        <stp/>
        <stp>68df0655-e9ea-451e-a1da-65a0a3f665d5</stp>
        <tr r="DW9" s="132"/>
      </tp>
    </main>
    <main first="rtdsrv.458a5932996f485b8b1b8d7cbb3f77a6">
      <tp>
        <v>1</v>
        <stp/>
        <stp>37f834a6-6d1e-48e8-97cb-c70e9a93cab5</stp>
        <tr r="BG78" s="130"/>
      </tp>
    </main>
    <main first="rtdsrv.458a5932996f485b8b1b8d7cbb3f77a6">
      <tp>
        <v>1</v>
        <stp/>
        <stp>cb9aa6fc-81c3-4479-b1e4-94c32eef6868</stp>
        <tr r="E89" s="130"/>
      </tp>
    </main>
    <main first="rtdsrv.458a5932996f485b8b1b8d7cbb3f77a6">
      <tp>
        <v>1</v>
        <stp/>
        <stp>93b27906-146a-40f4-825b-1a2ae59ac7e9</stp>
        <tr r="AE39" s="130"/>
      </tp>
    </main>
    <main first="rtdsrv.458a5932996f485b8b1b8d7cbb3f77a6">
      <tp>
        <v>1</v>
        <stp/>
        <stp>2ceab8e9-99b8-4e3e-ba3e-d71c2cc669df</stp>
        <tr r="AI34" s="130"/>
      </tp>
    </main>
    <main first="rtdsrv.458a5932996f485b8b1b8d7cbb3f77a6">
      <tp>
        <v>1</v>
        <stp/>
        <stp>0d3650da-dddb-4bd9-afe6-858c61acc17e</stp>
        <tr r="BH83" s="130"/>
      </tp>
    </main>
    <main first="rtdsrv.458a5932996f485b8b1b8d7cbb3f77a6">
      <tp>
        <v>1</v>
        <stp/>
        <stp>de02dae4-ab73-44ba-befc-a9a48c86faf6</stp>
        <tr r="BB69" s="130"/>
      </tp>
    </main>
    <main first="rtdsrv.458a5932996f485b8b1b8d7cbb3f77a6">
      <tp>
        <v>1</v>
        <stp/>
        <stp>fdb630ae-adcf-4cec-9a11-68892375a528</stp>
        <tr r="BP6" s="132"/>
      </tp>
    </main>
    <main first="rtdsrv.458a5932996f485b8b1b8d7cbb3f77a6">
      <tp>
        <v>1</v>
        <stp/>
        <stp>318b1c3e-dfff-495d-a4ef-f56d9801fcf1</stp>
        <tr r="W51" s="130"/>
        <tr r="W46" s="130"/>
      </tp>
    </main>
    <main first="rtdsrv.458a5932996f485b8b1b8d7cbb3f77a6">
      <tp>
        <v>1</v>
        <stp/>
        <stp>5dc089db-2d53-4644-bc1f-ddd65520eb83</stp>
        <tr r="CV6" s="132"/>
      </tp>
      <tp>
        <v>1</v>
        <stp/>
        <stp>cdce4471-0773-4400-b755-1890b500d140</stp>
        <tr r="FV6" s="132"/>
      </tp>
    </main>
    <main first="rtdsrv.458a5932996f485b8b1b8d7cbb3f77a6">
      <tp>
        <v>1</v>
        <stp/>
        <stp>ce7363bd-4799-4697-a688-b3096267d576</stp>
        <tr r="S74" s="130"/>
      </tp>
    </main>
    <main first="rtdsrv.458a5932996f485b8b1b8d7cbb3f77a6">
      <tp>
        <v>1</v>
        <stp/>
        <stp>a835bdc7-1867-428f-aacb-4e6e82428fc0</stp>
        <tr r="AO28" s="130"/>
      </tp>
      <tp>
        <v>1</v>
        <stp/>
        <stp>238b40c5-fcc9-4db8-a546-f03e0e359eea</stp>
        <tr r="R30" s="130"/>
      </tp>
      <tp>
        <v>1</v>
        <stp/>
        <stp>e2cd7c83-a813-42f1-bf78-ede8533028f1</stp>
        <tr r="AG44" s="130"/>
      </tp>
    </main>
    <main first="rtdsrv.458a5932996f485b8b1b8d7cbb3f77a6">
      <tp>
        <v>1</v>
        <stp/>
        <stp>bd0c256f-d7ad-4f75-a1e2-6c89bf1669ae</stp>
        <tr r="BC47" s="130"/>
        <tr r="BC52" s="130"/>
      </tp>
      <tp>
        <v>1</v>
        <stp/>
        <stp>9f7bef20-80e5-4d14-8638-8e1ca72b74ec</stp>
        <tr r="X43" s="130"/>
      </tp>
    </main>
    <main first="rtdsrv.458a5932996f485b8b1b8d7cbb3f77a6">
      <tp>
        <v>1</v>
        <stp/>
        <stp>a0c2fcb8-5f3e-41b9-b4a8-3f874996d85c</stp>
        <tr r="FZ14" s="132"/>
      </tp>
    </main>
    <main first="rtdsrv.458a5932996f485b8b1b8d7cbb3f77a6">
      <tp>
        <v>1</v>
        <stp/>
        <stp>37a104eb-821b-410c-9327-7112a3178058</stp>
        <tr r="AY84" s="130"/>
      </tp>
    </main>
    <main first="rtdsrv.458a5932996f485b8b1b8d7cbb3f77a6">
      <tp>
        <v>1</v>
        <stp/>
        <stp>f4fd0ff7-559b-4f61-b300-f56999b9b2e8</stp>
        <tr r="BE77" s="130"/>
      </tp>
      <tp>
        <v>1</v>
        <stp/>
        <stp>b562ab92-75d3-4439-a608-67da237fc5ec</stp>
        <tr r="AY52" s="130"/>
        <tr r="AY47" s="130"/>
      </tp>
    </main>
    <main first="rtdsrv.458a5932996f485b8b1b8d7cbb3f77a6">
      <tp>
        <v>1</v>
        <stp/>
        <stp>a805123d-3520-4610-b3f6-93b0734c47b7</stp>
        <tr r="N63" s="130"/>
      </tp>
    </main>
    <main first="rtdsrv.458a5932996f485b8b1b8d7cbb3f77a6">
      <tp>
        <v>1</v>
        <stp/>
        <stp>26c159c9-055e-4a2f-9bd0-9bb491f23650</stp>
        <tr r="M59" s="130"/>
      </tp>
      <tp>
        <v>1</v>
        <stp/>
        <stp>605d12fb-f9ef-4199-af88-d0f7188c1585</stp>
        <tr r="AJ5" s="130"/>
      </tp>
    </main>
    <main first="rtdsrv.458a5932996f485b8b1b8d7cbb3f77a6">
      <tp>
        <v>1</v>
        <stp/>
        <stp>00ee9281-386c-4ede-9704-f717c95bc2a6</stp>
        <tr r="BK51" s="130"/>
        <tr r="BK46" s="130"/>
      </tp>
    </main>
    <main first="rtdsrv.458a5932996f485b8b1b8d7cbb3f77a6">
      <tp>
        <v>1</v>
        <stp/>
        <stp>9eb925c5-8f56-4348-b137-c1dcf87c0275</stp>
        <tr r="GL11" s="132"/>
      </tp>
      <tp>
        <v>1</v>
        <stp/>
        <stp>9c273ce1-0ee9-4dd5-8c9b-b1e78c8c5690</stp>
        <tr r="AL43" s="130"/>
      </tp>
    </main>
    <main first="rtdsrv.458a5932996f485b8b1b8d7cbb3f77a6">
      <tp>
        <v>1</v>
        <stp/>
        <stp>87242e1d-b831-4241-9894-fd78f143758a</stp>
        <tr r="AW5" s="132"/>
      </tp>
    </main>
    <main first="rtdsrv.458a5932996f485b8b1b8d7cbb3f77a6">
      <tp>
        <v>1</v>
        <stp/>
        <stp>dbcce781-41e2-4cf8-80c3-a39cbf1e37ef</stp>
        <tr r="BL8" s="132"/>
      </tp>
    </main>
    <main first="rtdsrv.458a5932996f485b8b1b8d7cbb3f77a6">
      <tp>
        <v>1</v>
        <stp/>
        <stp>7793c567-f6ca-46cf-9938-75da9eca692b</stp>
        <tr r="AO16" s="130"/>
      </tp>
    </main>
    <main first="rtdsrv.458a5932996f485b8b1b8d7cbb3f77a6">
      <tp>
        <v>1</v>
        <stp/>
        <stp>f7181412-20e4-4641-a6c0-a3b620b77841</stp>
        <tr r="AH30" s="130"/>
      </tp>
    </main>
    <main first="rtdsrv.458a5932996f485b8b1b8d7cbb3f77a6">
      <tp>
        <v>1</v>
        <stp/>
        <stp>0015f548-1a83-4159-b01b-adde57b4475d</stp>
        <tr r="CF9" s="132"/>
      </tp>
    </main>
    <main first="rtdsrv.458a5932996f485b8b1b8d7cbb3f77a6">
      <tp>
        <v>1</v>
        <stp/>
        <stp>5be2d76f-9747-424b-8870-0c2371f0a354</stp>
        <tr r="AW74" s="130"/>
      </tp>
    </main>
    <main first="rtdsrv.458a5932996f485b8b1b8d7cbb3f77a6">
      <tp>
        <v>1</v>
        <stp/>
        <stp>dd75dad0-3c28-4235-a28c-62dd803c9a18</stp>
        <tr r="R55" s="130"/>
      </tp>
    </main>
    <main first="rtdsrv.458a5932996f485b8b1b8d7cbb3f77a6">
      <tp>
        <v>1</v>
        <stp/>
        <stp>f83e4331-780c-4165-886d-a488ff58d5d5</stp>
        <tr r="N14" s="132"/>
      </tp>
    </main>
    <main first="rtdsrv.458a5932996f485b8b1b8d7cbb3f77a6">
      <tp>
        <v>1</v>
        <stp/>
        <stp>033b6711-7a00-4449-a43a-ccf4a673f4f3</stp>
        <tr r="N21" s="130"/>
      </tp>
    </main>
    <main first="rtdsrv.458a5932996f485b8b1b8d7cbb3f77a6">
      <tp>
        <v>1</v>
        <stp/>
        <stp>4475cf2b-f58b-40a7-87c6-41e5a0bef946</stp>
        <tr r="H35" s="130"/>
      </tp>
    </main>
    <main first="rtdsrv.458a5932996f485b8b1b8d7cbb3f77a6">
      <tp>
        <v>1</v>
        <stp/>
        <stp>682222b1-6710-4f4d-9e2a-f55490cc17e4</stp>
        <tr r="J84" s="130"/>
      </tp>
      <tp>
        <v>1</v>
        <stp/>
        <stp>d9e6c519-ac93-4d07-90a1-e2421fde87c0</stp>
        <tr r="AU9" s="132"/>
      </tp>
    </main>
    <main first="rtdsrv.458a5932996f485b8b1b8d7cbb3f77a6">
      <tp>
        <v>1</v>
        <stp/>
        <stp>d22e92f0-2f51-4ed7-8ac8-f84af332958d</stp>
        <tr r="K7" s="130"/>
      </tp>
    </main>
    <main first="rtdsrv.458a5932996f485b8b1b8d7cbb3f77a6">
      <tp>
        <v>1</v>
        <stp/>
        <stp>d9ad96ba-4365-447f-b29e-cf6399719cb4</stp>
        <tr r="Z7" s="132"/>
      </tp>
    </main>
    <main first="rtdsrv.458a5932996f485b8b1b8d7cbb3f77a6">
      <tp>
        <v>1</v>
        <stp/>
        <stp>4feb4a45-4252-4cd6-9fdc-4b2cd9707b35</stp>
        <tr r="S76" s="130"/>
      </tp>
    </main>
    <main first="rtdsrv.458a5932996f485b8b1b8d7cbb3f77a6">
      <tp>
        <v>1</v>
        <stp/>
        <stp>de1f6303-b58f-4530-97d3-9853f81df851</stp>
        <tr r="AW45" s="130"/>
      </tp>
    </main>
    <main first="rtdsrv.458a5932996f485b8b1b8d7cbb3f77a6">
      <tp>
        <v>1</v>
        <stp/>
        <stp>acc84a08-148c-4f4f-a223-910186e0e873</stp>
        <tr r="ED11" s="132"/>
      </tp>
      <tp>
        <v>1</v>
        <stp/>
        <stp>beef4a4b-97a5-4aa9-9464-16e04985ce94</stp>
        <tr r="AY25" s="130"/>
      </tp>
      <tp>
        <v>1</v>
        <stp/>
        <stp>7c3ce3d6-d134-42e1-9ded-c94125eb14e2</stp>
        <tr r="AI10" s="130"/>
      </tp>
    </main>
    <main first="rtdsrv.458a5932996f485b8b1b8d7cbb3f77a6">
      <tp>
        <v>1</v>
        <stp/>
        <stp>9b102ff9-0aa8-4798-8aee-0626bf020af7</stp>
        <tr r="S61" s="130"/>
      </tp>
      <tp>
        <v>1</v>
        <stp/>
        <stp>b5309714-9b30-46de-a89a-ae3ae8c30bfa</stp>
        <tr r="HE16" s="132"/>
      </tp>
    </main>
    <main first="rtdsrv.458a5932996f485b8b1b8d7cbb3f77a6">
      <tp>
        <v>1</v>
        <stp/>
        <stp>4149b82a-3c75-443c-ba0b-7da726acfc03</stp>
        <tr r="DD14" s="132"/>
      </tp>
    </main>
    <main first="rtdsrv.458a5932996f485b8b1b8d7cbb3f77a6">
      <tp>
        <v>1</v>
        <stp/>
        <stp>650148a8-5420-49d3-a1de-b722a2c972f0</stp>
        <tr r="W83" s="130"/>
      </tp>
    </main>
    <main first="rtdsrv.458a5932996f485b8b1b8d7cbb3f77a6">
      <tp>
        <v>1</v>
        <stp/>
        <stp>1b59d3f1-6ece-485f-bfd1-dabf68a5fd3d</stp>
        <tr r="BB89" s="130"/>
      </tp>
      <tp>
        <v>1</v>
        <stp/>
        <stp>432ab716-c9bc-4243-b589-765b34c4d6b7</stp>
        <tr r="DO9" s="132"/>
      </tp>
    </main>
    <main first="rtdsrv.458a5932996f485b8b1b8d7cbb3f77a6">
      <tp>
        <v>1</v>
        <stp/>
        <stp>ac50da60-15b0-4b82-aaaf-62c612fcb8b5</stp>
        <tr r="R47" s="130"/>
        <tr r="R52" s="130"/>
      </tp>
    </main>
    <main first="rtdsrv.458a5932996f485b8b1b8d7cbb3f77a6">
      <tp>
        <v>1</v>
        <stp/>
        <stp>3a830e18-730d-477e-be89-443b83353140</stp>
        <tr r="GG7" s="132"/>
      </tp>
    </main>
    <main first="rtdsrv.458a5932996f485b8b1b8d7cbb3f77a6">
      <tp>
        <v>1</v>
        <stp/>
        <stp>7c1a9372-0cf1-4b51-83b1-8c15d9b78178</stp>
        <tr r="DA5" s="132"/>
      </tp>
    </main>
    <main first="rtdsrv.458a5932996f485b8b1b8d7cbb3f77a6">
      <tp>
        <v>1</v>
        <stp/>
        <stp>953f73f7-9825-4f69-9030-499a2f52e2a2</stp>
        <tr r="DZ15" s="132"/>
      </tp>
      <tp>
        <v>1</v>
        <stp/>
        <stp>cd0d90ab-1a22-4e30-a28e-0b78656e1bd0</stp>
        <tr r="BC83" s="130"/>
      </tp>
    </main>
    <main first="rtdsrv.458a5932996f485b8b1b8d7cbb3f77a6">
      <tp>
        <v>1</v>
        <stp/>
        <stp>d5c9c184-3dd1-4ce8-b7a4-601a6326b58e</stp>
        <tr r="AR83" s="130"/>
      </tp>
    </main>
    <main first="rtdsrv.458a5932996f485b8b1b8d7cbb3f77a6">
      <tp>
        <v>1</v>
        <stp/>
        <stp>24f8d353-9dd8-4ebf-9870-065603294208</stp>
        <tr r="AJ55" s="130"/>
      </tp>
    </main>
    <main first="rtdsrv.458a5932996f485b8b1b8d7cbb3f77a6">
      <tp>
        <v>1</v>
        <stp/>
        <stp>104efdf2-cde1-459e-a818-6830938a0054</stp>
        <tr r="AC15" s="130"/>
      </tp>
    </main>
    <main first="rtdsrv.458a5932996f485b8b1b8d7cbb3f77a6">
      <tp>
        <v>1</v>
        <stp/>
        <stp>70be23e7-4905-48ad-b2a4-c22baa9b6912</stp>
        <tr r="DZ13" s="132"/>
      </tp>
    </main>
    <main first="rtdsrv.458a5932996f485b8b1b8d7cbb3f77a6">
      <tp>
        <v>1</v>
        <stp/>
        <stp>1fb84883-e4af-4e6f-bfcf-13b13e8bb0b7</stp>
        <tr r="AP39" s="130"/>
      </tp>
    </main>
    <main first="rtdsrv.458a5932996f485b8b1b8d7cbb3f77a6">
      <tp>
        <v>1</v>
        <stp/>
        <stp>b3516506-2fe4-4f01-b28e-dc93e57c039f</stp>
        <tr r="AV17" s="130"/>
      </tp>
    </main>
    <main first="rtdsrv.458a5932996f485b8b1b8d7cbb3f77a6">
      <tp>
        <v>1</v>
        <stp/>
        <stp>d79e3922-0998-4836-841c-fcea353cc763</stp>
        <tr r="BW14" s="132"/>
      </tp>
    </main>
    <main first="rtdsrv.458a5932996f485b8b1b8d7cbb3f77a6">
      <tp>
        <v>1</v>
        <stp/>
        <stp>cf355436-6bf6-4f42-9086-b3c511c374eb</stp>
        <tr r="AA66" s="130"/>
      </tp>
    </main>
    <main first="rtdsrv.458a5932996f485b8b1b8d7cbb3f77a6">
      <tp>
        <v>1</v>
        <stp/>
        <stp>59890b30-698c-4837-aeee-3fa1cd74de06</stp>
        <tr r="C7" s="130"/>
      </tp>
    </main>
    <main first="rtdsrv.458a5932996f485b8b1b8d7cbb3f77a6">
      <tp>
        <v>1</v>
        <stp/>
        <stp>844509ea-b498-48ed-9be0-e7db808f918d</stp>
        <tr r="BJ24" s="130"/>
      </tp>
      <tp>
        <v>1</v>
        <stp/>
        <stp>bd4875c0-4e25-4203-aa14-a5b2b376d9bf</stp>
        <tr r="K35" s="130"/>
      </tp>
    </main>
    <main first="rtdsrv.458a5932996f485b8b1b8d7cbb3f77a6">
      <tp>
        <v>1</v>
        <stp/>
        <stp>8e0dcf73-884c-4477-862f-20ac32815d16</stp>
        <tr r="X37" s="130"/>
      </tp>
    </main>
    <main first="rtdsrv.458a5932996f485b8b1b8d7cbb3f77a6">
      <tp>
        <v>1</v>
        <stp/>
        <stp>9f6dd60b-5e71-4ad6-8544-385aa2de657d</stp>
        <tr r="Z59" s="130"/>
      </tp>
    </main>
    <main first="rtdsrv.458a5932996f485b8b1b8d7cbb3f77a6">
      <tp>
        <v>1</v>
        <stp/>
        <stp>7fb92cf3-9485-44c5-8753-65bbe068aae0</stp>
        <tr r="P8" s="130"/>
      </tp>
    </main>
    <main first="rtdsrv.458a5932996f485b8b1b8d7cbb3f77a6">
      <tp>
        <v>1</v>
        <stp/>
        <stp>457746d9-f519-48c8-95cd-2c264c3ddf18</stp>
        <tr r="AV73" s="130"/>
      </tp>
    </main>
    <main first="rtdsrv.458a5932996f485b8b1b8d7cbb3f77a6">
      <tp>
        <v>1</v>
        <stp/>
        <stp>636f53ac-1ef7-468c-94bf-b57b8e3048b8</stp>
        <tr r="AT8" s="132"/>
      </tp>
    </main>
    <main first="rtdsrv.458a5932996f485b8b1b8d7cbb3f77a6">
      <tp>
        <v>1</v>
        <stp/>
        <stp>94cd78fd-75d9-42d9-8092-c25530ffaac3</stp>
        <tr r="I41" s="130"/>
      </tp>
      <tp>
        <v>1</v>
        <stp/>
        <stp>a6bec24d-b39d-4518-b80a-4dc9ee7857bb</stp>
        <tr r="GS9" s="132"/>
      </tp>
    </main>
    <main first="rtdsrv.458a5932996f485b8b1b8d7cbb3f77a6">
      <tp>
        <v>1</v>
        <stp/>
        <stp>720bacec-ecd5-49f8-8f5d-8f6127a9f068</stp>
        <tr r="CN16" s="132"/>
      </tp>
    </main>
    <main first="rtdsrv.458a5932996f485b8b1b8d7cbb3f77a6">
      <tp>
        <v>1</v>
        <stp/>
        <stp>f70478fe-2c0b-41cf-9073-903c7a6a9e05</stp>
        <tr r="AR12" s="132"/>
      </tp>
    </main>
    <main first="rtdsrv.458a5932996f485b8b1b8d7cbb3f77a6">
      <tp>
        <v>1</v>
        <stp/>
        <stp>0797d2cf-8774-4780-ba53-a389ed45c7aa</stp>
        <tr r="GC16" s="132"/>
      </tp>
    </main>
    <main first="rtdsrv.458a5932996f485b8b1b8d7cbb3f77a6">
      <tp>
        <v>1</v>
        <stp/>
        <stp>fa7210e3-b632-48ce-b880-e3e42f778c57</stp>
        <tr r="BI10" s="130"/>
      </tp>
      <tp>
        <v>1</v>
        <stp/>
        <stp>6725bbfc-d81f-47fe-b485-0caf0f216199</stp>
        <tr r="AL71" s="130"/>
      </tp>
    </main>
    <main first="rtdsrv.458a5932996f485b8b1b8d7cbb3f77a6">
      <tp>
        <v>1</v>
        <stp/>
        <stp>6cc72f47-82eb-4428-9a89-85ac26635f8a</stp>
        <tr r="EB7" s="132"/>
      </tp>
    </main>
    <main first="rtdsrv.458a5932996f485b8b1b8d7cbb3f77a6">
      <tp>
        <v>1</v>
        <stp/>
        <stp>737b1ba0-af7a-49f8-9c52-edf8a64c87cf</stp>
        <tr r="AP21" s="130"/>
      </tp>
    </main>
    <main first="rtdsrv.458a5932996f485b8b1b8d7cbb3f77a6">
      <tp>
        <v>1</v>
        <stp/>
        <stp>687094df-15ef-4ce0-98fc-04c9fedfcb12</stp>
        <tr r="BE73" s="130"/>
      </tp>
    </main>
    <main first="rtdsrv.458a5932996f485b8b1b8d7cbb3f77a6">
      <tp>
        <v>1</v>
        <stp/>
        <stp>8404a95f-c7ca-4d26-a67f-536da4a5100d</stp>
        <tr r="CH12" s="132"/>
      </tp>
      <tp>
        <v>1</v>
        <stp/>
        <stp>18adf871-de6f-4f88-a000-52ef1ddfbb1d</stp>
        <tr r="CC7" s="132"/>
      </tp>
    </main>
    <main first="rtdsrv.458a5932996f485b8b1b8d7cbb3f77a6">
      <tp>
        <v>1</v>
        <stp/>
        <stp>fa31e2a6-efeb-411a-8204-896e96433015</stp>
        <tr r="Z29" s="130"/>
      </tp>
      <tp>
        <v>1</v>
        <stp/>
        <stp>31b5aeb1-5240-46a7-bd86-78425785d944</stp>
        <tr r="E20" s="130"/>
      </tp>
    </main>
    <main first="rtdsrv.458a5932996f485b8b1b8d7cbb3f77a6">
      <tp>
        <v>1</v>
        <stp/>
        <stp>2375873b-06e1-43e4-baf6-3f0c3a1f4996</stp>
        <tr r="W44" s="130"/>
      </tp>
    </main>
    <main first="rtdsrv.458a5932996f485b8b1b8d7cbb3f77a6">
      <tp>
        <v>1</v>
        <stp/>
        <stp>06bbffba-6913-4255-85d6-0542cb6ad816</stp>
        <tr r="AO80" s="130"/>
      </tp>
    </main>
    <main first="rtdsrv.458a5932996f485b8b1b8d7cbb3f77a6">
      <tp>
        <v>1</v>
        <stp/>
        <stp>2ec6543e-8c32-4406-9804-b33bfe171a9c</stp>
        <tr r="D5" s="132"/>
      </tp>
    </main>
    <main first="rtdsrv.458a5932996f485b8b1b8d7cbb3f77a6">
      <tp>
        <v>1</v>
        <stp/>
        <stp>e16fa05d-2512-4ace-ba94-e48e9e7fdf13</stp>
        <tr r="Q68" s="130"/>
      </tp>
      <tp>
        <v>1</v>
        <stp/>
        <stp>479e18f1-de03-41e7-9cb1-aab334ec7301</stp>
        <tr r="FO11" s="132"/>
      </tp>
    </main>
    <main first="rtdsrv.458a5932996f485b8b1b8d7cbb3f77a6">
      <tp>
        <v>1</v>
        <stp/>
        <stp>f2d97f8c-5cf6-49f3-919b-82dac13e007d</stp>
        <tr r="HE9" s="132"/>
      </tp>
    </main>
    <main first="rtdsrv.458a5932996f485b8b1b8d7cbb3f77a6">
      <tp>
        <v>1</v>
        <stp/>
        <stp>650e9d59-a946-440f-bf63-2ef998bbce6b</stp>
        <tr r="EQ9" s="132"/>
      </tp>
    </main>
    <main first="rtdsrv.458a5932996f485b8b1b8d7cbb3f77a6">
      <tp>
        <v>1</v>
        <stp/>
        <stp>6c2b3928-410a-4114-8d3f-a9cbb8944007</stp>
        <tr r="AI91" s="130"/>
      </tp>
    </main>
    <main first="rtdsrv.458a5932996f485b8b1b8d7cbb3f77a6">
      <tp>
        <v>1</v>
        <stp/>
        <stp>34c43183-54f4-474b-ad5c-8b2309488d72</stp>
        <tr r="BI69" s="130"/>
      </tp>
    </main>
    <main first="rtdsrv.458a5932996f485b8b1b8d7cbb3f77a6">
      <tp>
        <v>1</v>
        <stp/>
        <stp>b45219c8-4faf-45e2-a939-ad3f610cb576</stp>
        <tr r="BV12" s="132"/>
      </tp>
      <tp>
        <v>1</v>
        <stp/>
        <stp>98485962-f781-4b82-89bc-3ace060ee88b</stp>
        <tr r="AV18" s="130"/>
      </tp>
    </main>
    <main first="rtdsrv.458a5932996f485b8b1b8d7cbb3f77a6">
      <tp>
        <v>1</v>
        <stp/>
        <stp>09ba8eb5-cb72-4a21-9bd4-bbf73a409194</stp>
        <tr r="DM11" s="132"/>
      </tp>
    </main>
    <main first="rtdsrv.458a5932996f485b8b1b8d7cbb3f77a6">
      <tp>
        <v>1</v>
        <stp/>
        <stp>5a55a846-d237-436a-8d1a-edc6206d6a96</stp>
        <tr r="AM55" s="130"/>
      </tp>
    </main>
    <main first="rtdsrv.458a5932996f485b8b1b8d7cbb3f77a6">
      <tp>
        <v>1</v>
        <stp/>
        <stp>0dfa0f0c-78c8-4844-b14d-294ef0a85da9</stp>
        <tr r="CY12" s="132"/>
      </tp>
    </main>
    <main first="rtdsrv.458a5932996f485b8b1b8d7cbb3f77a6">
      <tp>
        <v>1</v>
        <stp/>
        <stp>c95f6856-5e5c-440a-9e19-88b3e06be468</stp>
        <tr r="C47" s="130"/>
        <tr r="C52" s="130"/>
      </tp>
    </main>
    <main first="rtdsrv.458a5932996f485b8b1b8d7cbb3f77a6">
      <tp>
        <v>1</v>
        <stp/>
        <stp>2be46125-9d45-4c31-8821-d5d2209cf4a1</stp>
        <tr r="I60" s="130"/>
      </tp>
    </main>
    <main first="rtdsrv.458a5932996f485b8b1b8d7cbb3f77a6">
      <tp>
        <v>1</v>
        <stp/>
        <stp>21dd4485-4083-479c-9574-5498d889a1f0</stp>
        <tr r="BC9" s="132"/>
      </tp>
    </main>
    <main first="rtdsrv.458a5932996f485b8b1b8d7cbb3f77a6">
      <tp>
        <v>1</v>
        <stp/>
        <stp>603467e2-1fa1-4e6b-8cbb-8f8dd9e4f108</stp>
        <tr r="D8" s="132"/>
      </tp>
    </main>
    <main first="rtdsrv.458a5932996f485b8b1b8d7cbb3f77a6">
      <tp>
        <v>1</v>
        <stp/>
        <stp>fce9e9cb-baae-48b0-8474-d696abb9e372</stp>
        <tr r="O8" s="130"/>
      </tp>
    </main>
    <main first="rtdsrv.458a5932996f485b8b1b8d7cbb3f77a6">
      <tp>
        <v>1</v>
        <stp/>
        <stp>78d87096-77ce-4f3d-aabe-bca9d33c61b5</stp>
        <tr r="D41" s="130"/>
      </tp>
    </main>
    <main first="rtdsrv.458a5932996f485b8b1b8d7cbb3f77a6">
      <tp>
        <v>1</v>
        <stp/>
        <stp>befae172-b275-41f0-9669-38649e1b65b1</stp>
        <tr r="BB29" s="130"/>
      </tp>
    </main>
    <main first="rtdsrv.458a5932996f485b8b1b8d7cbb3f77a6">
      <tp>
        <v>1</v>
        <stp/>
        <stp>f16cd16a-c2f2-461d-8689-1141b4a7ebaf</stp>
        <tr r="AL62" s="130"/>
      </tp>
      <tp>
        <v>1</v>
        <stp/>
        <stp>7579d956-19f6-4083-aac6-42f6935d74ac</stp>
        <tr r="D91" s="130"/>
      </tp>
    </main>
    <main first="rtdsrv.458a5932996f485b8b1b8d7cbb3f77a6">
      <tp>
        <v>1</v>
        <stp/>
        <stp>bb6aa6f3-dd35-4268-acf7-545c61619384</stp>
        <tr r="EY7" s="132"/>
      </tp>
    </main>
    <main first="rtdsrv.458a5932996f485b8b1b8d7cbb3f77a6">
      <tp>
        <v>1</v>
        <stp/>
        <stp>7892abad-1018-4a4a-a65c-064d7343cb35</stp>
        <tr r="AE79" s="130"/>
      </tp>
    </main>
    <main first="rtdsrv.458a5932996f485b8b1b8d7cbb3f77a6">
      <tp>
        <v>1</v>
        <stp/>
        <stp>5147afb0-8442-4f5b-b3d3-bd2b9cc2668d</stp>
        <tr r="P69" s="130"/>
      </tp>
    </main>
    <main first="rtdsrv.458a5932996f485b8b1b8d7cbb3f77a6">
      <tp>
        <v>1</v>
        <stp/>
        <stp>7869b35a-3c22-4e4a-8647-04ef5b840c2e</stp>
        <tr r="H67" s="130"/>
      </tp>
      <tp>
        <v>1</v>
        <stp/>
        <stp>4d594ba7-f451-46fa-91ca-ce89f9054f18</stp>
        <tr r="BC27" s="130"/>
      </tp>
    </main>
    <main first="rtdsrv.458a5932996f485b8b1b8d7cbb3f77a6">
      <tp>
        <v>1</v>
        <stp/>
        <stp>44c43d5e-01ce-4b82-a4f5-88a78e374188</stp>
        <tr r="DE16" s="132"/>
      </tp>
    </main>
    <main first="rtdsrv.458a5932996f485b8b1b8d7cbb3f77a6">
      <tp>
        <v>1</v>
        <stp/>
        <stp>9c12293c-2d3c-4ebb-b562-368c24b60f68</stp>
        <tr r="FX16" s="132"/>
      </tp>
    </main>
    <main first="rtdsrv.458a5932996f485b8b1b8d7cbb3f77a6">
      <tp>
        <v>1</v>
        <stp/>
        <stp>547ec2d9-f265-4dc7-9e8c-2963595cb780</stp>
        <tr r="AT31" s="130"/>
      </tp>
    </main>
    <main first="rtdsrv.458a5932996f485b8b1b8d7cbb3f77a6">
      <tp>
        <v>1</v>
        <stp/>
        <stp>5cc536f6-c9e4-4158-ac46-70d044c21f4b</stp>
        <tr r="BE33" s="130"/>
      </tp>
    </main>
    <main first="rtdsrv.458a5932996f485b8b1b8d7cbb3f77a6">
      <tp>
        <v>1</v>
        <stp/>
        <stp>940eed73-0555-4384-9246-f92f2488a57c</stp>
        <tr r="AE5" s="132"/>
      </tp>
    </main>
    <main first="rtdsrv.458a5932996f485b8b1b8d7cbb3f77a6">
      <tp>
        <v>1</v>
        <stp/>
        <stp>ffc20481-6694-4753-b3d6-23ff59250a6a</stp>
        <tr r="AB45" s="130"/>
      </tp>
    </main>
    <main first="rtdsrv.458a5932996f485b8b1b8d7cbb3f77a6">
      <tp>
        <v>1</v>
        <stp/>
        <stp>ed0ec2e5-50bb-49f1-8a9b-03438198513d</stp>
        <tr r="AC84" s="130"/>
      </tp>
    </main>
    <main first="rtdsrv.458a5932996f485b8b1b8d7cbb3f77a6">
      <tp>
        <v>1</v>
        <stp/>
        <stp>2e560a85-ee06-4ba6-a67b-ace2cca36871</stp>
        <tr r="FF8" s="132"/>
      </tp>
      <tp>
        <v>1</v>
        <stp/>
        <stp>f18bc4e2-38a2-4e70-819c-8785e1e44abc</stp>
        <tr r="O39" s="130"/>
      </tp>
      <tp>
        <v>1</v>
        <stp/>
        <stp>d6cfdf11-a9f7-4a99-88ca-303b8176b271</stp>
        <tr r="E22" s="130"/>
      </tp>
    </main>
    <main first="rtdsrv.458a5932996f485b8b1b8d7cbb3f77a6">
      <tp>
        <v>1</v>
        <stp/>
        <stp>de018219-6609-4557-aa51-bfd0dd83c9cc</stp>
        <tr r="AE95" s="130"/>
      </tp>
    </main>
    <main first="rtdsrv.458a5932996f485b8b1b8d7cbb3f77a6">
      <tp>
        <v>1</v>
        <stp/>
        <stp>1db8632f-d3f3-4e4b-a369-765a790b20f5</stp>
        <tr r="BJ17" s="130"/>
      </tp>
      <tp>
        <v>1</v>
        <stp/>
        <stp>5f1dd7f1-34ff-4b42-9051-14fef9450091</stp>
        <tr r="AN8" s="132"/>
      </tp>
    </main>
    <main first="rtdsrv.458a5932996f485b8b1b8d7cbb3f77a6">
      <tp>
        <v>1</v>
        <stp/>
        <stp>18ec3a9d-ef01-4a71-aae1-db53a3736a3b</stp>
        <tr r="D89" s="130"/>
      </tp>
    </main>
    <main first="rtdsrv.458a5932996f485b8b1b8d7cbb3f77a6">
      <tp>
        <v>1</v>
        <stp/>
        <stp>750abe6b-bf55-4938-adcf-7c96e439ff62</stp>
        <tr r="GD5" s="132"/>
      </tp>
    </main>
    <main first="rtdsrv.458a5932996f485b8b1b8d7cbb3f77a6">
      <tp>
        <v>1</v>
        <stp/>
        <stp>a8dd7e85-8ccc-4110-a383-0add4ff9924a</stp>
        <tr r="AI18" s="130"/>
      </tp>
    </main>
    <main first="rtdsrv.458a5932996f485b8b1b8d7cbb3f77a6">
      <tp>
        <v>1</v>
        <stp/>
        <stp>92537b0d-fca0-4e33-8e47-249639be5d0d</stp>
        <tr r="AB68" s="130"/>
      </tp>
    </main>
    <main first="rtdsrv.458a5932996f485b8b1b8d7cbb3f77a6">
      <tp>
        <v>1</v>
        <stp/>
        <stp>09ef6974-9aba-4dc4-b33b-01af5e3bd295</stp>
        <tr r="GJ8" s="132"/>
      </tp>
    </main>
    <main first="rtdsrv.458a5932996f485b8b1b8d7cbb3f77a6">
      <tp>
        <v>1</v>
        <stp/>
        <stp>6684c6b0-7068-4788-bbfd-2f2a91176f74</stp>
        <tr r="BH20" s="130"/>
      </tp>
    </main>
    <main first="rtdsrv.458a5932996f485b8b1b8d7cbb3f77a6">
      <tp>
        <v>1</v>
        <stp/>
        <stp>44232095-9d3a-449b-89c1-aa0c52b5376f</stp>
        <tr r="N60" s="130"/>
      </tp>
    </main>
    <main first="rtdsrv.458a5932996f485b8b1b8d7cbb3f77a6">
      <tp>
        <v>1</v>
        <stp/>
        <stp>85d67438-302b-416f-b388-64ac8a07ba5e</stp>
        <tr r="EE15" s="132"/>
      </tp>
    </main>
    <main first="rtdsrv.458a5932996f485b8b1b8d7cbb3f77a6">
      <tp>
        <v>1</v>
        <stp/>
        <stp>ae9768fd-7724-401c-a182-18b8605b2a67</stp>
        <tr r="N13" s="130"/>
      </tp>
    </main>
    <main first="rtdsrv.458a5932996f485b8b1b8d7cbb3f77a6">
      <tp>
        <v>1</v>
        <stp/>
        <stp>dff964a5-41c0-4030-a1a1-09875345ee08</stp>
        <tr r="R87" s="130"/>
      </tp>
    </main>
    <main first="rtdsrv.458a5932996f485b8b1b8d7cbb3f77a6">
      <tp>
        <v>1</v>
        <stp/>
        <stp>5295f097-9b15-46c8-ac3c-0eff19da948c</stp>
        <tr r="AW14" s="130"/>
        <tr r="AW26" s="130"/>
      </tp>
    </main>
    <main first="rtdsrv.458a5932996f485b8b1b8d7cbb3f77a6">
      <tp>
        <v>1</v>
        <stp/>
        <stp>d5a3e02e-8890-41db-9916-aa19be43f2cc</stp>
        <tr r="BK91" s="130"/>
      </tp>
    </main>
    <main first="rtdsrv.458a5932996f485b8b1b8d7cbb3f77a6">
      <tp>
        <v>1</v>
        <stp/>
        <stp>9d2ccc95-efba-437b-9f90-27c4971f2a4e</stp>
        <tr r="AS84" s="130"/>
      </tp>
    </main>
    <main first="rtdsrv.458a5932996f485b8b1b8d7cbb3f77a6">
      <tp>
        <v>1</v>
        <stp/>
        <stp>01e1f084-ce0d-4aad-8728-fb59c60a68aa</stp>
        <tr r="AP24" s="130"/>
      </tp>
    </main>
    <main first="rtdsrv.458a5932996f485b8b1b8d7cbb3f77a6">
      <tp>
        <v>1</v>
        <stp/>
        <stp>5950a064-32b4-4250-ba17-656a93aa0e5d</stp>
        <tr r="AW9" s="130"/>
      </tp>
      <tp>
        <v>1</v>
        <stp/>
        <stp>b70ad548-9a71-4123-af3d-8d2d9ff92a12</stp>
        <tr r="D92" s="130"/>
      </tp>
    </main>
    <main first="rtdsrv.458a5932996f485b8b1b8d7cbb3f77a6">
      <tp>
        <v>1</v>
        <stp/>
        <stp>4778530a-5a2e-4906-b7b4-a941f454c074</stp>
        <tr r="CY13" s="132"/>
      </tp>
    </main>
    <main first="rtdsrv.458a5932996f485b8b1b8d7cbb3f77a6">
      <tp>
        <v>1</v>
        <stp/>
        <stp>82d869ca-1633-4ed1-9a73-b0f32d766078</stp>
        <tr r="AK13" s="130"/>
      </tp>
    </main>
    <main first="rtdsrv.458a5932996f485b8b1b8d7cbb3f77a6">
      <tp>
        <v>1</v>
        <stp/>
        <stp>fd6abd00-2729-458e-b6a1-ff7a214e79fd</stp>
        <tr r="M33" s="130"/>
      </tp>
    </main>
    <main first="rtdsrv.458a5932996f485b8b1b8d7cbb3f77a6">
      <tp>
        <v>1</v>
        <stp/>
        <stp>03f001df-c203-4ef0-bf00-58ca4566e40d</stp>
        <tr r="AJ66" s="130"/>
      </tp>
    </main>
    <main first="rtdsrv.458a5932996f485b8b1b8d7cbb3f77a6">
      <tp>
        <v>1</v>
        <stp/>
        <stp>f4d60e7d-e04f-4fdc-8e75-32a0c24cb8f6</stp>
        <tr r="C33" s="130"/>
      </tp>
    </main>
    <main first="rtdsrv.458a5932996f485b8b1b8d7cbb3f77a6">
      <tp>
        <v>1</v>
        <stp/>
        <stp>4a1145c6-ec0f-420a-898f-efce67f5aa74</stp>
        <tr r="DP11" s="132"/>
      </tp>
      <tp>
        <v>1</v>
        <stp/>
        <stp>34367048-0064-4e2b-b86f-761db8f136c3</stp>
        <tr r="AH61" s="130"/>
      </tp>
    </main>
    <main first="rtdsrv.458a5932996f485b8b1b8d7cbb3f77a6">
      <tp>
        <v>1</v>
        <stp/>
        <stp>ffd9d599-263c-40b4-af68-88aaeefb3f1e</stp>
        <tr r="Q89" s="130"/>
      </tp>
    </main>
    <main first="rtdsrv.458a5932996f485b8b1b8d7cbb3f77a6">
      <tp>
        <v>1</v>
        <stp/>
        <stp>d7d568db-fd3a-4cb5-9c36-1a7cf7ab2aa1</stp>
        <tr r="DQ7" s="132"/>
      </tp>
    </main>
    <main first="rtdsrv.458a5932996f485b8b1b8d7cbb3f77a6">
      <tp>
        <v>1</v>
        <stp/>
        <stp>cb0857c7-9cfb-4ac2-be52-7baa2eb5e4d2</stp>
        <tr r="K58" s="130"/>
      </tp>
    </main>
    <main first="rtdsrv.458a5932996f485b8b1b8d7cbb3f77a6">
      <tp>
        <v>1</v>
        <stp/>
        <stp>3a59b3e9-efd0-43be-9c11-385f9fd1ee31</stp>
        <tr r="S45" s="130"/>
      </tp>
      <tp>
        <v>1</v>
        <stp/>
        <stp>d653857b-8b59-44de-a223-8eddaec44426</stp>
        <tr r="FZ16" s="132"/>
      </tp>
    </main>
    <main first="rtdsrv.458a5932996f485b8b1b8d7cbb3f77a6">
      <tp>
        <v>1</v>
        <stp/>
        <stp>598e162e-02e3-4f0c-9042-e19e321673d6</stp>
        <tr r="Y9" s="132"/>
      </tp>
    </main>
    <main first="rtdsrv.458a5932996f485b8b1b8d7cbb3f77a6">
      <tp>
        <v>1</v>
        <stp/>
        <stp>5431263a-df55-47d0-bd33-1487318e3839</stp>
        <tr r="AI45" s="130"/>
      </tp>
    </main>
    <main first="rtdsrv.458a5932996f485b8b1b8d7cbb3f77a6">
      <tp>
        <v>1</v>
        <stp/>
        <stp>58453ebb-aa95-4f65-bdb3-72371efbcd7e</stp>
        <tr r="BC14" s="132"/>
      </tp>
    </main>
    <main first="rtdsrv.458a5932996f485b8b1b8d7cbb3f77a6">
      <tp>
        <v>1</v>
        <stp/>
        <stp>10cb1c94-e061-4f39-b7de-879ce0be042c</stp>
        <tr r="O88" s="130"/>
      </tp>
      <tp>
        <v>1</v>
        <stp/>
        <stp>fe029232-f646-4e87-9fb0-48d5eea88afd</stp>
        <tr r="I89" s="130"/>
      </tp>
    </main>
    <main first="rtdsrv.458a5932996f485b8b1b8d7cbb3f77a6">
      <tp>
        <v>1</v>
        <stp/>
        <stp>73e75b3c-91d0-42bf-8971-8c411449e602</stp>
        <tr r="AX77" s="130"/>
      </tp>
      <tp>
        <v>1</v>
        <stp/>
        <stp>0bde1b70-0f54-4c90-9496-f1d2efdb56ee</stp>
        <tr r="BJ75" s="130"/>
      </tp>
    </main>
    <main first="rtdsrv.458a5932996f485b8b1b8d7cbb3f77a6">
      <tp>
        <v>1</v>
        <stp/>
        <stp>8a01c54f-5543-46d4-b792-3cf26e757249</stp>
        <tr r="S36" s="130"/>
      </tp>
      <tp>
        <v>1</v>
        <stp/>
        <stp>d5a6e20c-f544-481e-9043-8933cd7b2559</stp>
        <tr r="AC33" s="130"/>
      </tp>
    </main>
    <main first="rtdsrv.458a5932996f485b8b1b8d7cbb3f77a6">
      <tp>
        <v>1</v>
        <stp/>
        <stp>d8cfa3ae-1c43-4c61-b503-4feb272a02ba</stp>
        <tr r="CI12" s="132"/>
      </tp>
    </main>
    <main first="rtdsrv.458a5932996f485b8b1b8d7cbb3f77a6">
      <tp>
        <v>1</v>
        <stp/>
        <stp>18f1cd48-008f-4700-b166-d34281a4a0fb</stp>
        <tr r="AI8" s="132"/>
      </tp>
    </main>
    <main first="rtdsrv.458a5932996f485b8b1b8d7cbb3f77a6">
      <tp>
        <v>1</v>
        <stp/>
        <stp>a0809f96-46b0-4648-b4aa-7c57557a9544</stp>
        <tr r="EV9" s="132"/>
      </tp>
      <tp>
        <v>1</v>
        <stp/>
        <stp>395431ae-b665-4ec0-affc-63a7551cdb1e</stp>
        <tr r="AZ7" s="130"/>
      </tp>
    </main>
    <main first="rtdsrv.458a5932996f485b8b1b8d7cbb3f77a6">
      <tp>
        <v>1</v>
        <stp/>
        <stp>c6707d87-1870-430e-af4c-d78998968e50</stp>
        <tr r="FF12" s="132"/>
      </tp>
    </main>
    <main first="rtdsrv.458a5932996f485b8b1b8d7cbb3f77a6">
      <tp>
        <v>1</v>
        <stp/>
        <stp>6266d8ab-8ab7-4158-88c9-e2bfa489e759</stp>
        <tr r="AH95" s="130"/>
      </tp>
    </main>
    <main first="rtdsrv.458a5932996f485b8b1b8d7cbb3f77a6">
      <tp>
        <v>1</v>
        <stp/>
        <stp>b8d9efa8-074a-42ec-9e36-21588b7745f2</stp>
        <tr r="V15" s="132"/>
      </tp>
      <tp>
        <v>1</v>
        <stp/>
        <stp>3a051000-89fa-421d-bb17-6f2223e37191</stp>
        <tr r="U30" s="130"/>
      </tp>
      <tp>
        <v>1</v>
        <stp/>
        <stp>e4438e17-d6f0-4e6a-ad8b-ad51d3622c2d</stp>
        <tr r="N42" s="130"/>
      </tp>
    </main>
    <main first="rtdsrv.458a5932996f485b8b1b8d7cbb3f77a6">
      <tp>
        <v>1</v>
        <stp/>
        <stp>8c52ce18-f9a2-4dc3-bc89-38ecf9038210</stp>
        <tr r="FN16" s="132"/>
      </tp>
    </main>
    <main first="rtdsrv.458a5932996f485b8b1b8d7cbb3f77a6">
      <tp>
        <v>1</v>
        <stp/>
        <stp>09698501-6d7f-4a48-a890-32b034e4fe50</stp>
        <tr r="K42" s="130"/>
      </tp>
    </main>
    <main first="rtdsrv.458a5932996f485b8b1b8d7cbb3f77a6">
      <tp>
        <v>1</v>
        <stp/>
        <stp>3755fa0d-3a07-4e68-8512-f3e73deddc74</stp>
        <tr r="BD77" s="130"/>
      </tp>
    </main>
    <main first="rtdsrv.458a5932996f485b8b1b8d7cbb3f77a6">
      <tp>
        <v>1</v>
        <stp/>
        <stp>3ae9b1f9-7408-449e-a5dd-3c5cc9d7edc7</stp>
        <tr r="DP9" s="132"/>
      </tp>
    </main>
    <main first="rtdsrv.458a5932996f485b8b1b8d7cbb3f77a6">
      <tp>
        <v>1</v>
        <stp/>
        <stp>3971c327-8515-4dd7-858d-cdc05b3ccce0</stp>
        <tr r="Q60" s="130"/>
      </tp>
    </main>
    <main first="rtdsrv.458a5932996f485b8b1b8d7cbb3f77a6">
      <tp>
        <v>1</v>
        <stp/>
        <stp>2332265a-5586-4fd1-ae84-a0e284480e43</stp>
        <tr r="AR64" s="130"/>
      </tp>
    </main>
    <main first="rtdsrv.458a5932996f485b8b1b8d7cbb3f77a6">
      <tp>
        <v>1</v>
        <stp/>
        <stp>ce377f65-1237-4982-85de-5731497cb247</stp>
        <tr r="H8" s="130"/>
      </tp>
    </main>
    <main first="rtdsrv.458a5932996f485b8b1b8d7cbb3f77a6">
      <tp>
        <v>1</v>
        <stp/>
        <stp>34d36917-bc08-4601-93ff-bde89e5bdabb</stp>
        <tr r="AV82" s="130"/>
      </tp>
    </main>
    <main first="rtdsrv.458a5932996f485b8b1b8d7cbb3f77a6">
      <tp>
        <v>1</v>
        <stp/>
        <stp>802e7aca-f705-4870-8e59-665568929d13</stp>
        <tr r="U15" s="132"/>
      </tp>
      <tp>
        <v>1</v>
        <stp/>
        <stp>d92ca37d-6bc4-4d17-9cf4-ceb9db5712f7</stp>
        <tr r="EF14" s="132"/>
      </tp>
    </main>
    <main first="rtdsrv.458a5932996f485b8b1b8d7cbb3f77a6">
      <tp>
        <v>1</v>
        <stp/>
        <stp>c90db66d-f565-4c0b-8561-075c31ce9c6f</stp>
        <tr r="M5" s="132"/>
      </tp>
    </main>
    <main first="rtdsrv.458a5932996f485b8b1b8d7cbb3f77a6">
      <tp>
        <v>1</v>
        <stp/>
        <stp>480120a8-4e7f-46f1-b10c-f3fc335d0eff</stp>
        <tr r="X78" s="130"/>
      </tp>
    </main>
    <main first="rtdsrv.458a5932996f485b8b1b8d7cbb3f77a6">
      <tp>
        <v>1</v>
        <stp/>
        <stp>168b7601-2ab9-4fc1-8bb6-639b03706935</stp>
        <tr r="U83" s="130"/>
      </tp>
    </main>
    <main first="rtdsrv.458a5932996f485b8b1b8d7cbb3f77a6">
      <tp>
        <v>1</v>
        <stp/>
        <stp>69212adc-cca4-4695-8236-5b73602737ed</stp>
        <tr r="EG15" s="132"/>
      </tp>
    </main>
    <main first="rtdsrv.458a5932996f485b8b1b8d7cbb3f77a6">
      <tp>
        <v>1</v>
        <stp/>
        <stp>e8a81e50-4010-47e0-a45c-b85678b4743f</stp>
        <tr r="DX9" s="132"/>
      </tp>
    </main>
    <main first="rtdsrv.458a5932996f485b8b1b8d7cbb3f77a6">
      <tp>
        <v>1</v>
        <stp/>
        <stp>979b5e7b-6ea0-435f-84c7-68b7976096d1</stp>
        <tr r="EZ8" s="132"/>
      </tp>
      <tp>
        <v>1</v>
        <stp/>
        <stp>055223e8-c31e-402f-b98c-30f706933e36</stp>
        <tr r="X76" s="130"/>
      </tp>
    </main>
    <main first="rtdsrv.458a5932996f485b8b1b8d7cbb3f77a6">
      <tp>
        <v>1</v>
        <stp/>
        <stp>15034994-bb78-40ef-8aa4-9cbb3378bafd</stp>
        <tr r="AK8" s="130"/>
      </tp>
    </main>
    <main first="rtdsrv.458a5932996f485b8b1b8d7cbb3f77a6">
      <tp>
        <v>1</v>
        <stp/>
        <stp>a1510995-95a5-40e5-8142-386d01437ae4</stp>
        <tr r="AR15" s="130"/>
      </tp>
      <tp>
        <v>1</v>
        <stp/>
        <stp>e45e4152-d025-41b7-8836-db8defdd596b</stp>
        <tr r="V25" s="130"/>
      </tp>
    </main>
    <main first="rtdsrv.458a5932996f485b8b1b8d7cbb3f77a6">
      <tp>
        <v>1</v>
        <stp/>
        <stp>688e0000-8eea-47d1-b4cd-6298a8e33081</stp>
        <tr r="AO56" s="130"/>
      </tp>
    </main>
    <main first="rtdsrv.458a5932996f485b8b1b8d7cbb3f77a6">
      <tp>
        <v>1</v>
        <stp/>
        <stp>c052c7a8-57d4-4adf-85f9-722969ae1ad5</stp>
        <tr r="ED16" s="132"/>
      </tp>
    </main>
    <main first="rtdsrv.458a5932996f485b8b1b8d7cbb3f77a6">
      <tp>
        <v>1</v>
        <stp/>
        <stp>6c5df8d3-b3d2-42cf-990d-b1b8e309959e</stp>
        <tr r="AQ76" s="130"/>
      </tp>
    </main>
    <main first="rtdsrv.458a5932996f485b8b1b8d7cbb3f77a6">
      <tp>
        <v>1</v>
        <stp/>
        <stp>64a4f0f7-a5a8-4eb6-801d-c20ff19e492d</stp>
        <tr r="I8" s="130"/>
      </tp>
    </main>
    <main first="rtdsrv.458a5932996f485b8b1b8d7cbb3f77a6">
      <tp>
        <v>1</v>
        <stp/>
        <stp>b7298b90-0beb-4db7-b45c-4366c4f8587d</stp>
        <tr r="X34" s="130"/>
      </tp>
    </main>
    <main first="rtdsrv.458a5932996f485b8b1b8d7cbb3f77a6">
      <tp>
        <v>1</v>
        <stp/>
        <stp>82f8cab7-7bcd-4e6c-98b6-d60f82840961</stp>
        <tr r="GG6" s="132"/>
      </tp>
    </main>
    <main first="rtdsrv.458a5932996f485b8b1b8d7cbb3f77a6">
      <tp>
        <v>1</v>
        <stp/>
        <stp>c1c9c60d-2092-4e64-884d-087a01f25d88</stp>
        <tr r="W57" s="130"/>
      </tp>
    </main>
    <main first="rtdsrv.458a5932996f485b8b1b8d7cbb3f77a6">
      <tp>
        <v>1</v>
        <stp/>
        <stp>9da0e704-26e0-4818-ace9-1572e7ad3ff0</stp>
        <tr r="K15" s="130"/>
      </tp>
    </main>
    <main first="rtdsrv.458a5932996f485b8b1b8d7cbb3f77a6">
      <tp>
        <v>1</v>
        <stp/>
        <stp>e378d952-7842-40f3-afa1-2dd49a9a4285</stp>
        <tr r="BF55" s="130"/>
      </tp>
    </main>
    <main first="rtdsrv.458a5932996f485b8b1b8d7cbb3f77a6">
      <tp>
        <v>1</v>
        <stp/>
        <stp>818d5332-9cbb-481c-89e6-b24ee37b7d2f</stp>
        <tr r="AP31" s="130"/>
      </tp>
    </main>
    <main first="rtdsrv.458a5932996f485b8b1b8d7cbb3f77a6">
      <tp>
        <v>1</v>
        <stp/>
        <stp>7f95c9d2-2a2c-4ecd-8047-cd52180cf9a0</stp>
        <tr r="FA15" s="132"/>
      </tp>
      <tp>
        <v>1</v>
        <stp/>
        <stp>5346982a-3bc5-44aa-a633-015223264080</stp>
        <tr r="AZ61" s="130"/>
      </tp>
    </main>
    <main first="rtdsrv.458a5932996f485b8b1b8d7cbb3f77a6">
      <tp>
        <v>1</v>
        <stp/>
        <stp>325c8890-aeac-48f5-8ad9-e292bf1fe603</stp>
        <tr r="AV63" s="130"/>
      </tp>
    </main>
    <main first="rtdsrv.458a5932996f485b8b1b8d7cbb3f77a6">
      <tp>
        <v>1</v>
        <stp/>
        <stp>98b5cb1f-5c7f-4f6f-8bfa-10983369346e</stp>
        <tr r="GY11" s="132"/>
      </tp>
    </main>
    <main first="rtdsrv.458a5932996f485b8b1b8d7cbb3f77a6">
      <tp>
        <v>1</v>
        <stp/>
        <stp>297880d7-3138-424c-9ec3-4a3cc32be084</stp>
        <tr r="V62" s="130"/>
      </tp>
    </main>
    <main first="rtdsrv.458a5932996f485b8b1b8d7cbb3f77a6">
      <tp>
        <v>1</v>
        <stp/>
        <stp>74dba3a6-b316-4c9a-865d-c993ae695554</stp>
        <tr r="P73" s="130"/>
      </tp>
    </main>
    <main first="rtdsrv.458a5932996f485b8b1b8d7cbb3f77a6">
      <tp>
        <v>1</v>
        <stp/>
        <stp>ccac0fd6-9b18-43a1-99b8-0e47eeac37b5</stp>
        <tr r="AM29" s="130"/>
      </tp>
    </main>
    <main first="rtdsrv.458a5932996f485b8b1b8d7cbb3f77a6">
      <tp>
        <v>1</v>
        <stp/>
        <stp>2864d724-fbac-4ca3-b238-a2ea901823b7</stp>
        <tr r="FD12" s="132"/>
      </tp>
      <tp>
        <v>1</v>
        <stp/>
        <stp>dda7eb1c-e8d6-493f-bacf-e364742099bb</stp>
        <tr r="HC15" s="132"/>
      </tp>
      <tp>
        <v>1</v>
        <stp/>
        <stp>1df2f9b3-29cb-4d0e-9f93-512facccf976</stp>
        <tr r="Q88" s="130"/>
      </tp>
    </main>
    <main first="rtdsrv.458a5932996f485b8b1b8d7cbb3f77a6">
      <tp>
        <v>1</v>
        <stp/>
        <stp>19ca697d-29f4-42f8-977e-1fd254323768</stp>
        <tr r="AS7" s="130"/>
      </tp>
    </main>
    <main first="rtdsrv.458a5932996f485b8b1b8d7cbb3f77a6">
      <tp>
        <v>1</v>
        <stp/>
        <stp>eb9c6f42-ad2d-4189-88bf-131ac7b0cb59</stp>
        <tr r="AX25" s="130"/>
      </tp>
    </main>
    <main first="rtdsrv.458a5932996f485b8b1b8d7cbb3f77a6">
      <tp>
        <v>1</v>
        <stp/>
        <stp>21ce2f17-9947-4a32-8436-85d4025fb0ea</stp>
        <tr r="BF34" s="130"/>
      </tp>
      <tp>
        <v>1</v>
        <stp/>
        <stp>c84efccf-3c90-4bcf-b0e3-b19f3dbcff54</stp>
        <tr r="N67" s="130"/>
      </tp>
      <tp>
        <v>1</v>
        <stp/>
        <stp>cbcf9a07-33e8-450a-9477-c899b1581723</stp>
        <tr r="AN84" s="130"/>
      </tp>
    </main>
    <main first="rtdsrv.458a5932996f485b8b1b8d7cbb3f77a6">
      <tp>
        <v>1</v>
        <stp/>
        <stp>8c84991e-1ca8-4c64-a2e1-05e815521bb0</stp>
        <tr r="AV12" s="132"/>
      </tp>
    </main>
    <main first="rtdsrv.458a5932996f485b8b1b8d7cbb3f77a6">
      <tp>
        <v>1</v>
        <stp/>
        <stp>aa632c87-3744-485e-b38b-bc3ad41f3c38</stp>
        <tr r="DV16" s="132"/>
      </tp>
    </main>
    <main first="rtdsrv.458a5932996f485b8b1b8d7cbb3f77a6">
      <tp>
        <v>1</v>
        <stp/>
        <stp>cca7a769-8270-4da3-8f76-65aed791e2a6</stp>
        <tr r="AU78" s="130"/>
      </tp>
    </main>
    <main first="rtdsrv.458a5932996f485b8b1b8d7cbb3f77a6">
      <tp>
        <v>1</v>
        <stp/>
        <stp>b5aaae67-f076-48b3-9314-418778872e9b</stp>
        <tr r="AF41" s="130"/>
      </tp>
      <tp>
        <v>1</v>
        <stp/>
        <stp>5736c59d-d184-4807-a724-7300403be8fc</stp>
        <tr r="L88" s="130"/>
      </tp>
      <tp>
        <v>1</v>
        <stp/>
        <stp>098b5554-4b44-44b3-97ef-b358963f13e0</stp>
        <tr r="L33" s="130"/>
      </tp>
    </main>
    <main first="rtdsrv.458a5932996f485b8b1b8d7cbb3f77a6">
      <tp>
        <v>1</v>
        <stp/>
        <stp>c311d60e-a735-43fb-b5d9-8407e91f87e7</stp>
        <tr r="Q8" s="130"/>
      </tp>
    </main>
    <main first="rtdsrv.458a5932996f485b8b1b8d7cbb3f77a6">
      <tp>
        <v>1</v>
        <stp/>
        <stp>8df68181-461a-4f0d-b2c1-e92af3d8e4d5</stp>
        <tr r="AB58" s="130"/>
      </tp>
      <tp>
        <v>1</v>
        <stp/>
        <stp>e106d7e0-b689-425b-bfd8-bad4bb1ca9ee</stp>
        <tr r="AP68" s="130"/>
      </tp>
    </main>
    <main first="rtdsrv.458a5932996f485b8b1b8d7cbb3f77a6">
      <tp>
        <v>1</v>
        <stp/>
        <stp>0454f808-680c-4957-8f7c-833deedfb4b0</stp>
        <tr r="BH21" s="130"/>
      </tp>
    </main>
    <main first="rtdsrv.458a5932996f485b8b1b8d7cbb3f77a6">
      <tp>
        <v>1</v>
        <stp/>
        <stp>2ac59ee9-ffef-4be0-b8e1-699afcbcf5ab</stp>
        <tr r="J66" s="130"/>
      </tp>
    </main>
    <main first="rtdsrv.458a5932996f485b8b1b8d7cbb3f77a6">
      <tp>
        <v>1</v>
        <stp/>
        <stp>fe218d99-819b-4571-a6bc-ab8e516e5bc1</stp>
        <tr r="AK31" s="130"/>
      </tp>
    </main>
    <main first="rtdsrv.458a5932996f485b8b1b8d7cbb3f77a6">
      <tp>
        <v>1</v>
        <stp/>
        <stp>4ab8105e-b3eb-4c32-afea-7cb1b9ce7e00</stp>
        <tr r="AK6" s="132"/>
      </tp>
    </main>
    <main first="rtdsrv.458a5932996f485b8b1b8d7cbb3f77a6">
      <tp>
        <v>1</v>
        <stp/>
        <stp>9aef0cb2-f374-47b4-b6a3-62a26ae24977</stp>
        <tr r="BV7" s="132"/>
      </tp>
    </main>
    <main first="rtdsrv.458a5932996f485b8b1b8d7cbb3f77a6">
      <tp>
        <v>1</v>
        <stp/>
        <stp>8ff9ad1f-b66c-4cfe-ab15-a4fc99460b21</stp>
        <tr r="AV79" s="130"/>
      </tp>
    </main>
    <main first="rtdsrv.458a5932996f485b8b1b8d7cbb3f77a6">
      <tp>
        <v>1</v>
        <stp/>
        <stp>5465f715-6bf9-48e4-97bf-18e8ada0fd3a</stp>
        <tr r="V38" s="130"/>
      </tp>
      <tp>
        <v>1</v>
        <stp/>
        <stp>cfa2a942-bbc4-4b1d-8979-4a0e6037bd9f</stp>
        <tr r="AI6" s="132"/>
      </tp>
    </main>
    <main first="rtdsrv.458a5932996f485b8b1b8d7cbb3f77a6">
      <tp>
        <v>1</v>
        <stp/>
        <stp>adcb7bd6-9743-4081-9824-f6dc03b4cb65</stp>
        <tr r="BS16" s="132"/>
      </tp>
    </main>
    <main first="rtdsrv.458a5932996f485b8b1b8d7cbb3f77a6">
      <tp>
        <v>1</v>
        <stp/>
        <stp>f21863d4-829a-4f87-8915-31c17d65a129</stp>
        <tr r="AH14" s="132"/>
      </tp>
    </main>
    <main first="rtdsrv.458a5932996f485b8b1b8d7cbb3f77a6">
      <tp>
        <v>1</v>
        <stp/>
        <stp>3ac07b5c-34dd-49bd-9cca-35fe9aada81b</stp>
        <tr r="E24" s="130"/>
      </tp>
    </main>
    <main first="rtdsrv.458a5932996f485b8b1b8d7cbb3f77a6">
      <tp>
        <v>1</v>
        <stp/>
        <stp>0894c6dd-1da5-4a97-80c3-5249dd884f38</stp>
        <tr r="CY6" s="132"/>
      </tp>
    </main>
    <main first="rtdsrv.458a5932996f485b8b1b8d7cbb3f77a6">
      <tp>
        <v>1</v>
        <stp/>
        <stp>6c4c4a6c-4f53-4a85-b48c-651a44e4caf9</stp>
        <tr r="AA77" s="130"/>
      </tp>
    </main>
    <main first="rtdsrv.458a5932996f485b8b1b8d7cbb3f77a6">
      <tp>
        <v>1</v>
        <stp/>
        <stp>f2492bac-6048-47b5-85e6-7a6fc5be792d</stp>
        <tr r="Q34" s="130"/>
      </tp>
    </main>
    <main first="rtdsrv.458a5932996f485b8b1b8d7cbb3f77a6">
      <tp>
        <v>1</v>
        <stp/>
        <stp>e6c3a2cd-7115-44da-b705-11e1500528d5</stp>
        <tr r="AX66" s="130"/>
      </tp>
    </main>
    <main first="rtdsrv.458a5932996f485b8b1b8d7cbb3f77a6">
      <tp>
        <v>1</v>
        <stp/>
        <stp>190d1227-ee08-4d76-be98-68c86504d79c</stp>
        <tr r="Z10" s="130"/>
      </tp>
    </main>
    <main first="rtdsrv.458a5932996f485b8b1b8d7cbb3f77a6">
      <tp>
        <v>1</v>
        <stp/>
        <stp>a701229c-9eda-4a3c-a348-81a4d145d07d</stp>
        <tr r="AU21" s="130"/>
      </tp>
    </main>
    <main first="rtdsrv.458a5932996f485b8b1b8d7cbb3f77a6">
      <tp>
        <v>1</v>
        <stp/>
        <stp>cfd23e23-216d-48ce-b3fc-5b07b3219804</stp>
        <tr r="DZ9" s="132"/>
      </tp>
    </main>
    <main first="rtdsrv.458a5932996f485b8b1b8d7cbb3f77a6">
      <tp>
        <v>1</v>
        <stp/>
        <stp>a77a1747-59f5-4cd9-8c23-1d9a2161100a</stp>
        <tr r="U13" s="132"/>
      </tp>
    </main>
    <main first="rtdsrv.458a5932996f485b8b1b8d7cbb3f77a6">
      <tp>
        <v>1</v>
        <stp/>
        <stp>af0a51e6-e1f0-48ba-9909-a75068fa478b</stp>
        <tr r="AZ28" s="130"/>
      </tp>
      <tp>
        <v>1</v>
        <stp/>
        <stp>631cee1e-e12b-4dc4-b6b7-095277754027</stp>
        <tr r="G56" s="130"/>
      </tp>
      <tp>
        <v>1</v>
        <stp/>
        <stp>a0c43de5-2d41-4771-a98c-fadf1a7104d6</stp>
        <tr r="EL13" s="132"/>
      </tp>
    </main>
    <main first="rtdsrv.458a5932996f485b8b1b8d7cbb3f77a6">
      <tp>
        <v>1</v>
        <stp/>
        <stp>597c042e-31ab-458c-8ba1-e1c8db20d4c6</stp>
        <tr r="BG14" s="132"/>
      </tp>
    </main>
    <main first="rtdsrv.458a5932996f485b8b1b8d7cbb3f77a6">
      <tp>
        <v>1</v>
        <stp/>
        <stp>77592fbb-0e2c-4484-b3c2-e46e4a869895</stp>
        <tr r="T68" s="130"/>
      </tp>
    </main>
    <main first="rtdsrv.458a5932996f485b8b1b8d7cbb3f77a6">
      <tp>
        <v>1</v>
        <stp/>
        <stp>73a681b1-4d70-43e9-97e7-33c8442f066a</stp>
        <tr r="O42" s="130"/>
      </tp>
    </main>
    <main first="rtdsrv.458a5932996f485b8b1b8d7cbb3f77a6">
      <tp>
        <v>1</v>
        <stp/>
        <stp>58ef60cf-e0d8-40ef-aa90-fc8188943203</stp>
        <tr r="AP11" s="130"/>
      </tp>
    </main>
    <main first="rtdsrv.458a5932996f485b8b1b8d7cbb3f77a6">
      <tp>
        <v>1</v>
        <stp/>
        <stp>47b1ae3e-c229-4cf0-b07a-b85fe432ca31</stp>
        <tr r="AT32" s="130"/>
      </tp>
    </main>
    <main first="rtdsrv.458a5932996f485b8b1b8d7cbb3f77a6">
      <tp>
        <v>1</v>
        <stp/>
        <stp>c70ce9e8-f0f4-435b-a2a5-e47c313265c0</stp>
        <tr r="AO14" s="132"/>
      </tp>
    </main>
    <main first="rtdsrv.458a5932996f485b8b1b8d7cbb3f77a6">
      <tp>
        <v>1</v>
        <stp/>
        <stp>a0424445-9ca5-4670-a04b-20c416336daf</stp>
        <tr r="L18" s="130"/>
      </tp>
      <tp>
        <v>1</v>
        <stp/>
        <stp>03f71329-f6fd-42b4-b5a6-f43ebdf47819</stp>
        <tr r="Q55" s="130"/>
      </tp>
      <tp>
        <v>1</v>
        <stp/>
        <stp>d3ca629d-7881-4105-8d82-347acab6c553</stp>
        <tr r="BG84" s="130"/>
      </tp>
    </main>
    <main first="rtdsrv.458a5932996f485b8b1b8d7cbb3f77a6">
      <tp>
        <v>1</v>
        <stp/>
        <stp>a9aebdeb-8391-4b7f-a79a-d45aa47ddadf</stp>
        <tr r="FQ16" s="132"/>
      </tp>
    </main>
    <main first="rtdsrv.458a5932996f485b8b1b8d7cbb3f77a6">
      <tp>
        <v>1</v>
        <stp/>
        <stp>3f0e043f-27bf-467c-8e62-794fa3687d42</stp>
        <tr r="U9" s="132"/>
      </tp>
    </main>
    <main first="rtdsrv.458a5932996f485b8b1b8d7cbb3f77a6">
      <tp>
        <v>1</v>
        <stp/>
        <stp>553f7528-8dfc-42e4-970e-0adb711527ef</stp>
        <tr r="G52" s="130"/>
        <tr r="G47" s="130"/>
      </tp>
    </main>
    <main first="rtdsrv.458a5932996f485b8b1b8d7cbb3f77a6">
      <tp>
        <v>1</v>
        <stp/>
        <stp>b74e30d1-bb3c-464b-9a43-6b6c6271c805</stp>
        <tr r="J47" s="130"/>
        <tr r="J52" s="130"/>
      </tp>
    </main>
    <main first="rtdsrv.458a5932996f485b8b1b8d7cbb3f77a6">
      <tp>
        <v>1</v>
        <stp/>
        <stp>7e30fb25-8764-4363-95f7-25279223e612</stp>
        <tr r="R45" s="130"/>
      </tp>
    </main>
    <main first="rtdsrv.458a5932996f485b8b1b8d7cbb3f77a6">
      <tp>
        <v>1</v>
        <stp/>
        <stp>bcfc08e1-0d5d-4113-a423-951dd265a6b5</stp>
        <tr r="Z51" s="130"/>
        <tr r="Z46" s="130"/>
      </tp>
    </main>
    <main first="rtdsrv.458a5932996f485b8b1b8d7cbb3f77a6">
      <tp>
        <v>1</v>
        <stp/>
        <stp>dfd34afa-6449-4818-98a2-463402055769</stp>
        <tr r="Y8" s="132"/>
      </tp>
      <tp>
        <v>1</v>
        <stp/>
        <stp>0f30152f-edb1-4353-8241-6b2a914e89cd</stp>
        <tr r="S88" s="130"/>
      </tp>
    </main>
    <main first="rtdsrv.458a5932996f485b8b1b8d7cbb3f77a6">
      <tp>
        <v>1</v>
        <stp/>
        <stp>79388f3b-e748-40ab-a464-b2df1babce7b</stp>
        <tr r="Q98" s="130"/>
      </tp>
    </main>
    <main first="rtdsrv.458a5932996f485b8b1b8d7cbb3f77a6">
      <tp>
        <v>1</v>
        <stp/>
        <stp>67db18bf-2d40-42f7-a760-241742a1ea3c</stp>
        <tr r="AU66" s="130"/>
      </tp>
    </main>
    <main first="rtdsrv.458a5932996f485b8b1b8d7cbb3f77a6">
      <tp>
        <v>1</v>
        <stp/>
        <stp>e5bb191d-7c7f-4bdb-952e-9143c45db5e1</stp>
        <tr r="GL16" s="132"/>
      </tp>
    </main>
    <main first="rtdsrv.458a5932996f485b8b1b8d7cbb3f77a6">
      <tp>
        <v>1</v>
        <stp/>
        <stp>ca3d8410-4339-43f1-96e0-41e3bf3db9f1</stp>
        <tr r="AP8" s="130"/>
      </tp>
    </main>
    <main first="rtdsrv.458a5932996f485b8b1b8d7cbb3f77a6">
      <tp>
        <v>1</v>
        <stp/>
        <stp>f0a09e93-8dd8-4ec3-824b-ad47eb9a77bd</stp>
        <tr r="X40" s="130"/>
      </tp>
    </main>
    <main first="rtdsrv.458a5932996f485b8b1b8d7cbb3f77a6">
      <tp>
        <v>1</v>
        <stp/>
        <stp>8c1dfbab-d725-4ab0-969a-9e25f7484e22</stp>
        <tr r="AI44" s="130"/>
      </tp>
    </main>
    <main first="rtdsrv.458a5932996f485b8b1b8d7cbb3f77a6">
      <tp>
        <v>1</v>
        <stp/>
        <stp>7a132bbc-b561-4662-8665-89057e507bd2</stp>
        <tr r="BK33" s="130"/>
      </tp>
    </main>
    <main first="rtdsrv.458a5932996f485b8b1b8d7cbb3f77a6">
      <tp>
        <v>1</v>
        <stp/>
        <stp>d474b1d0-9099-4d62-a0d2-d4fbe049351e</stp>
        <tr r="R14" s="132"/>
      </tp>
    </main>
    <main first="rtdsrv.458a5932996f485b8b1b8d7cbb3f77a6">
      <tp>
        <v>1</v>
        <stp/>
        <stp>cb0fca3d-094e-474d-b8fd-e1011cef0894</stp>
        <tr r="C21" s="130"/>
      </tp>
    </main>
    <main first="rtdsrv.458a5932996f485b8b1b8d7cbb3f77a6">
      <tp>
        <v>1</v>
        <stp/>
        <stp>83171f79-cd25-41dc-8a04-ee0259768bc8</stp>
        <tr r="AT18" s="130"/>
      </tp>
    </main>
    <main first="rtdsrv.458a5932996f485b8b1b8d7cbb3f77a6">
      <tp>
        <v>1</v>
        <stp/>
        <stp>45b70166-0a33-4042-87c7-e8147612d005</stp>
        <tr r="G12" s="130"/>
      </tp>
    </main>
    <main first="rtdsrv.458a5932996f485b8b1b8d7cbb3f77a6">
      <tp>
        <v>1</v>
        <stp/>
        <stp>876f447c-f298-4d62-af5a-88453c36bbfe</stp>
        <tr r="M78" s="130"/>
      </tp>
      <tp>
        <v>1</v>
        <stp/>
        <stp>0458a772-1847-4706-b64d-36a1a88bae4f</stp>
        <tr r="AU67" s="130"/>
      </tp>
    </main>
    <main first="rtdsrv.458a5932996f485b8b1b8d7cbb3f77a6">
      <tp>
        <v>1</v>
        <stp/>
        <stp>9a728d2c-c48a-4b85-aeb1-df5698b0c4d0</stp>
        <tr r="BJ8" s="132"/>
      </tp>
    </main>
    <main first="rtdsrv.458a5932996f485b8b1b8d7cbb3f77a6">
      <tp>
        <v>1</v>
        <stp/>
        <stp>966066b7-ec28-47ae-82fe-bfa1ecae88a7</stp>
        <tr r="GT13" s="132"/>
      </tp>
    </main>
    <main first="rtdsrv.458a5932996f485b8b1b8d7cbb3f77a6">
      <tp>
        <v>1</v>
        <stp/>
        <stp>c78efa92-32c2-4e64-912f-65ca3439f967</stp>
        <tr r="BB9" s="130"/>
      </tp>
    </main>
    <main first="rtdsrv.458a5932996f485b8b1b8d7cbb3f77a6">
      <tp>
        <v>1</v>
        <stp/>
        <stp>49c2208c-8787-4ec0-afec-39c8832e45bd</stp>
        <tr r="AU94" s="130"/>
      </tp>
    </main>
    <main first="rtdsrv.458a5932996f485b8b1b8d7cbb3f77a6">
      <tp>
        <v>1</v>
        <stp/>
        <stp>b24a196f-d1e0-48d4-9802-921c6d85bf46</stp>
        <tr r="I58" s="130"/>
      </tp>
    </main>
    <main first="rtdsrv.458a5932996f485b8b1b8d7cbb3f77a6">
      <tp>
        <v>1</v>
        <stp/>
        <stp>6ff35cc1-e2d9-461d-90d8-a6cb056808f2</stp>
        <tr r="AV5" s="132"/>
      </tp>
      <tp>
        <v>1</v>
        <stp/>
        <stp>d13f1215-0d93-4ecb-b88d-96da529836c5</stp>
        <tr r="DX8" s="132"/>
      </tp>
    </main>
    <main first="rtdsrv.458a5932996f485b8b1b8d7cbb3f77a6">
      <tp>
        <v>1</v>
        <stp/>
        <stp>c25291b7-68fd-4555-88fc-7c40a8d84fa9</stp>
        <tr r="N90" s="130"/>
      </tp>
    </main>
    <main first="rtdsrv.458a5932996f485b8b1b8d7cbb3f77a6">
      <tp>
        <v>1</v>
        <stp/>
        <stp>88e8a990-7c5a-4800-8504-9dbad967c0b6</stp>
        <tr r="T71" s="130"/>
      </tp>
    </main>
    <main first="rtdsrv.458a5932996f485b8b1b8d7cbb3f77a6">
      <tp>
        <v>1</v>
        <stp/>
        <stp>cad5ef30-ee0a-402a-9efc-9097c9d5071e</stp>
        <tr r="EI8" s="132"/>
      </tp>
    </main>
    <main first="rtdsrv.458a5932996f485b8b1b8d7cbb3f77a6">
      <tp>
        <v>1</v>
        <stp/>
        <stp>886f0f1b-8d70-43d9-b73b-ae5ef7124e85</stp>
        <tr r="AG10" s="130"/>
      </tp>
    </main>
    <main first="rtdsrv.458a5932996f485b8b1b8d7cbb3f77a6">
      <tp>
        <v>1</v>
        <stp/>
        <stp>cef31451-7551-444a-bf65-7adb888b632a</stp>
        <tr r="BA68" s="130"/>
      </tp>
    </main>
    <main first="rtdsrv.458a5932996f485b8b1b8d7cbb3f77a6">
      <tp>
        <v>1</v>
        <stp/>
        <stp>96216d02-3de2-4846-b377-a47aa89467bb</stp>
        <tr r="H68" s="130"/>
      </tp>
    </main>
    <main first="rtdsrv.458a5932996f485b8b1b8d7cbb3f77a6">
      <tp>
        <v>1</v>
        <stp/>
        <stp>92cc2135-15aa-4ef9-b4cb-579b84b6f0be</stp>
        <tr r="AH60" s="130"/>
      </tp>
    </main>
    <main first="rtdsrv.458a5932996f485b8b1b8d7cbb3f77a6">
      <tp>
        <v>1</v>
        <stp/>
        <stp>5659bc84-a54a-4d31-a83f-3e98f89f80a7</stp>
        <tr r="BA97" s="130"/>
      </tp>
    </main>
    <main first="rtdsrv.458a5932996f485b8b1b8d7cbb3f77a6">
      <tp>
        <v>1</v>
        <stp/>
        <stp>0d9c2c70-1ab4-4e22-bbf7-d929763b76f7</stp>
        <tr r="O23" s="130"/>
      </tp>
    </main>
    <main first="rtdsrv.458a5932996f485b8b1b8d7cbb3f77a6">
      <tp>
        <v>1</v>
        <stp/>
        <stp>bd973e1b-9079-46ad-a675-4ef9d11a5deb</stp>
        <tr r="AR62" s="130"/>
      </tp>
      <tp>
        <v>1</v>
        <stp/>
        <stp>fcd2b59b-30ca-4d4b-8e23-79b2ba6ac650</stp>
        <tr r="D38" s="130"/>
      </tp>
    </main>
    <main first="rtdsrv.458a5932996f485b8b1b8d7cbb3f77a6">
      <tp>
        <v>1</v>
        <stp/>
        <stp>aeccb376-5290-4a46-9b48-807d637a39ff</stp>
        <tr r="AO83" s="130"/>
      </tp>
      <tp>
        <v>1</v>
        <stp/>
        <stp>1df1db78-2632-46f9-b5c8-a2250da65c48</stp>
        <tr r="BF35" s="130"/>
      </tp>
    </main>
    <main first="rtdsrv.458a5932996f485b8b1b8d7cbb3f77a6">
      <tp>
        <v>1</v>
        <stp/>
        <stp>54ef7324-983a-4c21-9eae-5baf5a63d6e7</stp>
        <tr r="G37" s="130"/>
      </tp>
    </main>
    <main first="rtdsrv.458a5932996f485b8b1b8d7cbb3f77a6">
      <tp>
        <v>1</v>
        <stp/>
        <stp>09ac65e6-717a-447e-851c-caea0e987026</stp>
        <tr r="AU68" s="130"/>
      </tp>
      <tp>
        <v>1</v>
        <stp/>
        <stp>077e3ed4-b854-48ee-8718-4dc2e8183c9a</stp>
        <tr r="AX8" s="130"/>
      </tp>
    </main>
    <main first="rtdsrv.458a5932996f485b8b1b8d7cbb3f77a6">
      <tp>
        <v>1</v>
        <stp/>
        <stp>cd6d8d46-5a73-4952-a10b-3495f9565a50</stp>
        <tr r="BE14" s="130"/>
        <tr r="BE26" s="130"/>
      </tp>
    </main>
    <main first="rtdsrv.458a5932996f485b8b1b8d7cbb3f77a6">
      <tp>
        <v>1</v>
        <stp/>
        <stp>5a0a4ed8-13ff-4449-9c9f-a2c89dbda88d</stp>
        <tr r="D39" s="130"/>
      </tp>
    </main>
    <main first="rtdsrv.458a5932996f485b8b1b8d7cbb3f77a6">
      <tp>
        <v>1</v>
        <stp/>
        <stp>a66ef55b-77fb-4867-8217-5a318197d902</stp>
        <tr r="FZ13" s="132"/>
      </tp>
    </main>
    <main first="rtdsrv.458a5932996f485b8b1b8d7cbb3f77a6">
      <tp>
        <v>1</v>
        <stp/>
        <stp>a5ed63f8-b9e6-47b3-8a85-c0ef927a96da</stp>
        <tr r="Z22" s="130"/>
      </tp>
      <tp>
        <v>1</v>
        <stp/>
        <stp>f3c53d4e-9ce6-4bd3-b0b5-5fc7edce7f89</stp>
        <tr r="AH76" s="130"/>
      </tp>
      <tp>
        <v>1</v>
        <stp/>
        <stp>98192461-6f1e-4592-8fc2-ce681ae0849a</stp>
        <tr r="AW56" s="130"/>
      </tp>
    </main>
    <main first="rtdsrv.458a5932996f485b8b1b8d7cbb3f77a6">
      <tp>
        <v>1</v>
        <stp/>
        <stp>129c89f6-2bf2-440e-907a-33ad144d3708</stp>
        <tr r="ER8" s="132"/>
      </tp>
    </main>
    <main first="rtdsrv.458a5932996f485b8b1b8d7cbb3f77a6">
      <tp>
        <v>1</v>
        <stp/>
        <stp>3337e2f1-8908-4238-89ee-e851ea3dcf6c</stp>
        <tr r="N77" s="130"/>
      </tp>
    </main>
    <main first="rtdsrv.458a5932996f485b8b1b8d7cbb3f77a6">
      <tp>
        <v>1</v>
        <stp/>
        <stp>e024b442-890e-4fec-8a06-37322f129e15</stp>
        <tr r="O7" s="132"/>
      </tp>
      <tp>
        <v>1</v>
        <stp/>
        <stp>90309026-a0e9-48bf-bad4-3869ee99de0b</stp>
        <tr r="J85" s="130"/>
      </tp>
    </main>
    <main first="rtdsrv.458a5932996f485b8b1b8d7cbb3f77a6">
      <tp>
        <v>1</v>
        <stp/>
        <stp>19915315-00f4-41ed-9d61-79c8f3b96921</stp>
        <tr r="AA8" s="130"/>
      </tp>
      <tp>
        <v>1</v>
        <stp/>
        <stp>1ed88c8b-9b58-4829-9294-42c5ef5ce0fa</stp>
        <tr r="F39" s="130"/>
      </tp>
    </main>
    <main first="rtdsrv.458a5932996f485b8b1b8d7cbb3f77a6">
      <tp>
        <v>1</v>
        <stp/>
        <stp>b32f69b5-4ffa-4bcb-b9b3-7cfc8c82eeab</stp>
        <tr r="J27" s="130"/>
      </tp>
    </main>
    <main first="rtdsrv.458a5932996f485b8b1b8d7cbb3f77a6">
      <tp>
        <v>1</v>
        <stp/>
        <stp>69bd9c3c-1524-40a6-b7b9-d5b89d14854a</stp>
        <tr r="BR11" s="132"/>
      </tp>
    </main>
    <main first="rtdsrv.458a5932996f485b8b1b8d7cbb3f77a6">
      <tp>
        <v>1</v>
        <stp/>
        <stp>59206612-2460-4aca-8172-fa067a7d2086</stp>
        <tr r="AL34" s="130"/>
      </tp>
    </main>
    <main first="rtdsrv.458a5932996f485b8b1b8d7cbb3f77a6">
      <tp>
        <v>1</v>
        <stp/>
        <stp>2ae88a94-cf3b-47b9-be91-d7cd262e79a6</stp>
        <tr r="AU7" s="132"/>
      </tp>
    </main>
    <main first="rtdsrv.458a5932996f485b8b1b8d7cbb3f77a6">
      <tp>
        <v>1</v>
        <stp/>
        <stp>d4a71e8b-d0f2-49fd-9610-a3e4e87a800c</stp>
        <tr r="EI7" s="132"/>
      </tp>
    </main>
    <main first="rtdsrv.458a5932996f485b8b1b8d7cbb3f77a6">
      <tp>
        <v>1</v>
        <stp/>
        <stp>51cf6c41-c9cb-4ef2-97db-597746f723fc</stp>
        <tr r="M94" s="130"/>
      </tp>
      <tp>
        <v>1</v>
        <stp/>
        <stp>c321ab9a-f3ff-4ec8-af1f-61f8e2325f02</stp>
        <tr r="I73" s="130"/>
      </tp>
    </main>
    <main first="rtdsrv.458a5932996f485b8b1b8d7cbb3f77a6">
      <tp>
        <v>1</v>
        <stp/>
        <stp>e14b8b05-0fa8-4d90-a5bf-3641bdc6e87f</stp>
        <tr r="BD73" s="130"/>
      </tp>
    </main>
    <main first="rtdsrv.458a5932996f485b8b1b8d7cbb3f77a6">
      <tp>
        <v>1</v>
        <stp/>
        <stp>c619c8fb-0573-4b51-bee4-62fed0c06378</stp>
        <tr r="J16" s="130"/>
      </tp>
    </main>
    <main first="rtdsrv.458a5932996f485b8b1b8d7cbb3f77a6">
      <tp>
        <v>1</v>
        <stp/>
        <stp>d2029141-96fe-4530-86f2-f777e2b1f21d</stp>
        <tr r="W45" s="130"/>
      </tp>
    </main>
    <main first="rtdsrv.458a5932996f485b8b1b8d7cbb3f77a6">
      <tp>
        <v>1</v>
        <stp/>
        <stp>08b49bb1-50fb-4bf1-a3db-7a3a29b519fc</stp>
        <tr r="AD63" s="130"/>
      </tp>
      <tp>
        <v>1</v>
        <stp/>
        <stp>d25196c5-2b2f-44a8-b9ed-07e0e3b7f423</stp>
        <tr r="AZ58" s="130"/>
      </tp>
    </main>
    <main first="rtdsrv.458a5932996f485b8b1b8d7cbb3f77a6">
      <tp>
        <v>1</v>
        <stp/>
        <stp>e8391ed0-042e-4bec-9f20-f1c46c4405a2</stp>
        <tr r="BJ11" s="132"/>
      </tp>
    </main>
    <main first="rtdsrv.458a5932996f485b8b1b8d7cbb3f77a6">
      <tp>
        <v>1</v>
        <stp/>
        <stp>23163f84-b919-4a38-bcd7-dc3b3fcac52a</stp>
        <tr r="AI96" s="130"/>
      </tp>
    </main>
    <main first="rtdsrv.458a5932996f485b8b1b8d7cbb3f77a6">
      <tp>
        <v>1</v>
        <stp/>
        <stp>29d473ee-b4d1-4185-8f46-6c5d8ce1f261</stp>
        <tr r="J80" s="130"/>
      </tp>
      <tp>
        <v>1</v>
        <stp/>
        <stp>cb0abe4f-ee8f-4ed9-b0ec-473443d32a09</stp>
        <tr r="BA85" s="130"/>
      </tp>
    </main>
    <main first="rtdsrv.458a5932996f485b8b1b8d7cbb3f77a6">
      <tp>
        <v>1</v>
        <stp/>
        <stp>762ed922-eadb-4b01-a6b5-1639fa60f542</stp>
        <tr r="P13" s="130"/>
      </tp>
    </main>
    <main first="rtdsrv.458a5932996f485b8b1b8d7cbb3f77a6">
      <tp>
        <v>1</v>
        <stp/>
        <stp>366b79ae-cbd8-409a-8d9b-c2a9f9434dd3</stp>
        <tr r="AM15" s="132"/>
      </tp>
    </main>
    <main first="rtdsrv.458a5932996f485b8b1b8d7cbb3f77a6">
      <tp>
        <v>1</v>
        <stp/>
        <stp>815f2dd9-24a3-4678-896b-560115f45177</stp>
        <tr r="FG15" s="132"/>
      </tp>
    </main>
    <main first="rtdsrv.458a5932996f485b8b1b8d7cbb3f77a6">
      <tp>
        <v>1</v>
        <stp/>
        <stp>efb9b62f-85db-4f4e-8a5c-4a02f5b73735</stp>
        <tr r="O73" s="130"/>
      </tp>
    </main>
    <main first="rtdsrv.458a5932996f485b8b1b8d7cbb3f77a6">
      <tp>
        <v>1</v>
        <stp/>
        <stp>047023c3-75c8-4f23-b1eb-f938f31057f5</stp>
        <tr r="D22" s="130"/>
      </tp>
    </main>
    <main first="rtdsrv.458a5932996f485b8b1b8d7cbb3f77a6">
      <tp>
        <v>1</v>
        <stp/>
        <stp>eae6c425-4f66-40c3-9dcc-2923cda2c7fe</stp>
        <tr r="AQ16" s="130"/>
      </tp>
    </main>
    <main first="rtdsrv.458a5932996f485b8b1b8d7cbb3f77a6">
      <tp>
        <v>1</v>
        <stp/>
        <stp>7beee203-4d19-418d-8b00-e89245f3ef9f</stp>
        <tr r="EJ14" s="132"/>
      </tp>
    </main>
    <main first="rtdsrv.458a5932996f485b8b1b8d7cbb3f77a6">
      <tp>
        <v>1</v>
        <stp/>
        <stp>5326d1e5-3523-4275-b818-446e5b95985c</stp>
        <tr r="CO13" s="132"/>
      </tp>
    </main>
    <main first="rtdsrv.458a5932996f485b8b1b8d7cbb3f77a6">
      <tp>
        <v>1</v>
        <stp/>
        <stp>cdaf7133-d029-4116-b8ab-b955d11e05d4</stp>
        <tr r="AB76" s="130"/>
      </tp>
    </main>
    <main first="rtdsrv.458a5932996f485b8b1b8d7cbb3f77a6">
      <tp>
        <v>1</v>
        <stp/>
        <stp>b6609921-bb1e-4944-884b-d0c96b03fd7d</stp>
        <tr r="AW60" s="130"/>
      </tp>
      <tp>
        <v>1</v>
        <stp/>
        <stp>04610864-4790-48fb-938a-68b26df55e2d</stp>
        <tr r="AG83" s="130"/>
      </tp>
    </main>
    <main first="rtdsrv.458a5932996f485b8b1b8d7cbb3f77a6">
      <tp>
        <v>1</v>
        <stp/>
        <stp>7c7e3967-cd97-4451-882f-1147fa1831f5</stp>
        <tr r="Y18" s="130"/>
      </tp>
    </main>
    <main first="rtdsrv.458a5932996f485b8b1b8d7cbb3f77a6">
      <tp>
        <v>1</v>
        <stp/>
        <stp>ad910824-0686-4d1d-a3c7-0fc34082df13</stp>
        <tr r="BP14" s="132"/>
      </tp>
    </main>
    <main first="rtdsrv.458a5932996f485b8b1b8d7cbb3f77a6">
      <tp>
        <v>1</v>
        <stp/>
        <stp>913e9a0a-26c5-4146-b690-5aae4fd611a1</stp>
        <tr r="DL8" s="132"/>
      </tp>
    </main>
    <main first="rtdsrv.458a5932996f485b8b1b8d7cbb3f77a6">
      <tp>
        <v>1</v>
        <stp/>
        <stp>a7eb9da0-fcdb-45c5-b932-7c154967c23f</stp>
        <tr r="CU6" s="132"/>
      </tp>
    </main>
    <main first="rtdsrv.458a5932996f485b8b1b8d7cbb3f77a6">
      <tp>
        <v>1</v>
        <stp/>
        <stp>dcd028d0-f512-449c-b73a-1123d16ba614</stp>
        <tr r="AE74" s="130"/>
      </tp>
      <tp>
        <v>1</v>
        <stp/>
        <stp>a8722e2b-33c6-4bdd-a3aa-7b95a38bca7f</stp>
        <tr r="AW6" s="132"/>
      </tp>
    </main>
    <main first="rtdsrv.458a5932996f485b8b1b8d7cbb3f77a6">
      <tp>
        <v>1</v>
        <stp/>
        <stp>f833df1f-ea01-4489-919a-86c9805f5f59</stp>
        <tr r="R76" s="130"/>
      </tp>
    </main>
    <main first="rtdsrv.458a5932996f485b8b1b8d7cbb3f77a6">
      <tp>
        <v>1</v>
        <stp/>
        <stp>aa0f34ed-816d-4382-b676-bae9c63ddde1</stp>
        <tr r="AQ71" s="130"/>
      </tp>
      <tp>
        <v>1</v>
        <stp/>
        <stp>4c1c6071-7f44-4639-ba24-58db343ad8b8</stp>
        <tr r="GL7" s="132"/>
      </tp>
    </main>
    <main first="rtdsrv.458a5932996f485b8b1b8d7cbb3f77a6">
      <tp>
        <v>1</v>
        <stp/>
        <stp>c86e6149-6d00-46ea-96fd-b0c1fd3e470c</stp>
        <tr r="G14" s="132"/>
      </tp>
    </main>
    <main first="rtdsrv.458a5932996f485b8b1b8d7cbb3f77a6">
      <tp>
        <v>1</v>
        <stp/>
        <stp>8846b4ff-d445-4bed-82d3-cf1aaab474d8</stp>
        <tr r="AH59" s="130"/>
      </tp>
    </main>
    <main first="rtdsrv.458a5932996f485b8b1b8d7cbb3f77a6">
      <tp>
        <v>1</v>
        <stp/>
        <stp>84bde7a4-b2d4-4a28-a654-26ccf0beb1fb</stp>
        <tr r="DE8" s="132"/>
      </tp>
    </main>
    <main first="rtdsrv.458a5932996f485b8b1b8d7cbb3f77a6">
      <tp>
        <v>1</v>
        <stp/>
        <stp>99936d2d-4a62-41b6-a929-8f352d487465</stp>
        <tr r="Y88" s="130"/>
      </tp>
    </main>
    <main first="rtdsrv.458a5932996f485b8b1b8d7cbb3f77a6">
      <tp>
        <v>1</v>
        <stp/>
        <stp>1d28f818-801e-4320-9d03-e4b5a99ba289</stp>
        <tr r="AU79" s="130"/>
      </tp>
      <tp>
        <v>1</v>
        <stp/>
        <stp>e1c6c865-bdfb-47ba-a9c6-e72c40aee57a</stp>
        <tr r="E82" s="130"/>
      </tp>
      <tp>
        <v>1</v>
        <stp/>
        <stp>ebbec11c-ad26-40cb-acee-7abf38da7771</stp>
        <tr r="AJ43" s="130"/>
      </tp>
    </main>
    <main first="rtdsrv.458a5932996f485b8b1b8d7cbb3f77a6">
      <tp>
        <v>1</v>
        <stp/>
        <stp>5727fda7-37c2-4a78-b032-d3a58254c1a0</stp>
        <tr r="GP11" s="132"/>
      </tp>
    </main>
    <main first="rtdsrv.458a5932996f485b8b1b8d7cbb3f77a6">
      <tp>
        <v>1</v>
        <stp/>
        <stp>a63ade61-7ff6-403e-8542-96a8ea69c9ec</stp>
        <tr r="EK14" s="132"/>
      </tp>
      <tp>
        <v>1</v>
        <stp/>
        <stp>ccef4273-a66c-4dc5-a707-64e94ce61900</stp>
        <tr r="R40" s="130"/>
      </tp>
    </main>
    <main first="rtdsrv.458a5932996f485b8b1b8d7cbb3f77a6">
      <tp>
        <v>1</v>
        <stp/>
        <stp>eda3773a-1cbb-4db9-8125-67704ddeba4a</stp>
        <tr r="BE68" s="130"/>
      </tp>
      <tp>
        <v>1</v>
        <stp/>
        <stp>dfe1876a-4a7a-47f1-afc1-7dd1014bf90e</stp>
        <tr r="L96" s="130"/>
      </tp>
    </main>
    <main first="rtdsrv.458a5932996f485b8b1b8d7cbb3f77a6">
      <tp>
        <v>1</v>
        <stp/>
        <stp>04ac4177-228c-4a7b-944e-3d9ebfb5889e</stp>
        <tr r="EX7" s="132"/>
      </tp>
    </main>
    <main first="rtdsrv.458a5932996f485b8b1b8d7cbb3f77a6">
      <tp>
        <v>1</v>
        <stp/>
        <stp>0c56ea42-5218-4979-a4ac-b7476b73da0f</stp>
        <tr r="J8" s="132"/>
      </tp>
      <tp>
        <v>1</v>
        <stp/>
        <stp>2c0257f5-90af-437a-abc3-51e950ed956d</stp>
        <tr r="EQ14" s="132"/>
      </tp>
    </main>
    <main first="rtdsrv.458a5932996f485b8b1b8d7cbb3f77a6">
      <tp>
        <v>1</v>
        <stp/>
        <stp>3252a566-7015-4f7c-bbe3-528cefc0b971</stp>
        <tr r="BK31" s="130"/>
      </tp>
      <tp>
        <v>1</v>
        <stp/>
        <stp>ca19e1e8-9bbe-4a12-b209-37bd253e3223</stp>
        <tr r="EC14" s="132"/>
      </tp>
    </main>
    <main first="rtdsrv.458a5932996f485b8b1b8d7cbb3f77a6">
      <tp>
        <v>1</v>
        <stp/>
        <stp>8d459a3f-2c4a-44ee-9065-5300158de95b</stp>
        <tr r="J11" s="130"/>
      </tp>
    </main>
    <main first="rtdsrv.458a5932996f485b8b1b8d7cbb3f77a6">
      <tp>
        <v>1</v>
        <stp/>
        <stp>7aab44f5-f1cb-4cd5-92d6-0228828bf9f7</stp>
        <tr r="AH25" s="130"/>
      </tp>
    </main>
    <main first="rtdsrv.458a5932996f485b8b1b8d7cbb3f77a6">
      <tp>
        <v>1</v>
        <stp/>
        <stp>c52446e5-8f3f-4d51-8a71-2ba0a2920652</stp>
        <tr r="BA17" s="130"/>
      </tp>
    </main>
    <main first="rtdsrv.458a5932996f485b8b1b8d7cbb3f77a6">
      <tp>
        <v>1</v>
        <stp/>
        <stp>5922c598-f5c2-433f-a263-4614de5d62d7</stp>
        <tr r="BD88" s="130"/>
      </tp>
    </main>
    <main first="rtdsrv.458a5932996f485b8b1b8d7cbb3f77a6">
      <tp>
        <v>1</v>
        <stp/>
        <stp>3187f372-d9cf-4da6-b656-c994e7d3200f</stp>
        <tr r="AQ84" s="130"/>
      </tp>
    </main>
    <main first="rtdsrv.458a5932996f485b8b1b8d7cbb3f77a6">
      <tp>
        <v>1</v>
        <stp/>
        <stp>1556e9c0-0473-4e5f-914f-425c33e1b490</stp>
        <tr r="N87" s="130"/>
      </tp>
    </main>
    <main first="rtdsrv.458a5932996f485b8b1b8d7cbb3f77a6">
      <tp>
        <v>1</v>
        <stp/>
        <stp>5d07db9c-0c23-47f4-a9ec-7949a269c7f9</stp>
        <tr r="F73" s="130"/>
      </tp>
      <tp>
        <v>1</v>
        <stp/>
        <stp>b05c25b9-4d7a-4ea7-8b8c-8f1217939459</stp>
        <tr r="AH27" s="130"/>
      </tp>
    </main>
    <main first="rtdsrv.458a5932996f485b8b1b8d7cbb3f77a6">
      <tp>
        <v>1</v>
        <stp/>
        <stp>5137d059-8f9b-4992-b826-db8e7e6b5e68</stp>
        <tr r="BH77" s="130"/>
      </tp>
      <tp>
        <v>1</v>
        <stp/>
        <stp>743d226d-79f9-4157-b7ec-59ca687af9ef</stp>
        <tr r="G38" s="130"/>
      </tp>
      <tp>
        <v>1</v>
        <stp/>
        <stp>db303e4f-cd78-4f7c-9a2d-449cece75959</stp>
        <tr r="CE7" s="132"/>
      </tp>
    </main>
    <main first="rtdsrv.458a5932996f485b8b1b8d7cbb3f77a6">
      <tp>
        <v>1</v>
        <stp/>
        <stp>20d43198-ae69-4449-8f36-161fcb72cef3</stp>
        <tr r="AP15" s="132"/>
      </tp>
    </main>
    <main first="rtdsrv.458a5932996f485b8b1b8d7cbb3f77a6">
      <tp>
        <v>1</v>
        <stp/>
        <stp>1f5b6919-726f-4183-8d77-f2d7e520009a</stp>
        <tr r="BA83" s="130"/>
      </tp>
    </main>
    <main first="rtdsrv.458a5932996f485b8b1b8d7cbb3f77a6">
      <tp>
        <v>1</v>
        <stp/>
        <stp>1cb7663c-2efc-420e-94bc-c19278a242a0</stp>
        <tr r="AC56" s="130"/>
      </tp>
    </main>
    <main first="rtdsrv.458a5932996f485b8b1b8d7cbb3f77a6">
      <tp>
        <v>1</v>
        <stp/>
        <stp>de0e0e8f-32e9-4de1-95d4-9ebcaa14893d</stp>
        <tr r="AE22" s="130"/>
      </tp>
    </main>
    <main first="rtdsrv.458a5932996f485b8b1b8d7cbb3f77a6">
      <tp>
        <v>1</v>
        <stp/>
        <stp>3d335827-314f-42be-b938-4f79d02214b0</stp>
        <tr r="W74" s="130"/>
      </tp>
      <tp>
        <v>1</v>
        <stp/>
        <stp>5b47115a-14f1-43c3-88ca-08909035aa1e</stp>
        <tr r="BG17" s="130"/>
      </tp>
    </main>
    <main first="rtdsrv.458a5932996f485b8b1b8d7cbb3f77a6">
      <tp>
        <v>1</v>
        <stp/>
        <stp>c829719b-bd59-4f9a-a71f-03f9f0289c20</stp>
        <tr r="AN12" s="130"/>
      </tp>
    </main>
    <main first="rtdsrv.458a5932996f485b8b1b8d7cbb3f77a6">
      <tp>
        <v>1</v>
        <stp/>
        <stp>6896f790-31e1-45f6-b648-b0afe74deb34</stp>
        <tr r="BF65" s="130"/>
      </tp>
    </main>
    <main first="rtdsrv.458a5932996f485b8b1b8d7cbb3f77a6">
      <tp>
        <v>1</v>
        <stp/>
        <stp>30311a23-d841-4778-9fd0-517272d6b156</stp>
        <tr r="AD25" s="130"/>
      </tp>
      <tp>
        <v>1</v>
        <stp/>
        <stp>f37dc801-d18f-419a-9ad4-b7bb0484e279</stp>
        <tr r="DV5" s="132"/>
      </tp>
      <tp>
        <v>1</v>
        <stp/>
        <stp>c42738c3-00b5-4f23-96f0-ad872ebff3da</stp>
        <tr r="V75" s="130"/>
      </tp>
    </main>
    <main first="rtdsrv.458a5932996f485b8b1b8d7cbb3f77a6">
      <tp>
        <v>1</v>
        <stp/>
        <stp>ad821f4a-8b5a-4216-aca7-4a8fa5134b85</stp>
        <tr r="AY37" s="130"/>
      </tp>
    </main>
    <main first="rtdsrv.458a5932996f485b8b1b8d7cbb3f77a6">
      <tp>
        <v>1</v>
        <stp/>
        <stp>919e4f60-c2ae-4add-8fa3-036928598ae6</stp>
        <tr r="BD12" s="132"/>
      </tp>
      <tp>
        <v>1</v>
        <stp/>
        <stp>fe6abffe-a59c-4d78-bc0e-3c8783df9a41</stp>
        <tr r="CA8" s="132"/>
      </tp>
    </main>
    <main first="rtdsrv.458a5932996f485b8b1b8d7cbb3f77a6">
      <tp>
        <v>1</v>
        <stp/>
        <stp>0ce9784e-0b07-47d5-872d-a4842200417b</stp>
        <tr r="AY5" s="132"/>
      </tp>
    </main>
    <main first="rtdsrv.458a5932996f485b8b1b8d7cbb3f77a6">
      <tp>
        <v>1</v>
        <stp/>
        <stp>b94f69db-812a-4446-a312-6e8f2e20dd0c</stp>
        <tr r="E58" s="130"/>
      </tp>
    </main>
    <main first="rtdsrv.458a5932996f485b8b1b8d7cbb3f77a6">
      <tp>
        <v>1</v>
        <stp/>
        <stp>add70757-3556-497d-b00b-6c4e249a28b8</stp>
        <tr r="AH26" s="130"/>
        <tr r="AH14" s="130"/>
      </tp>
    </main>
    <main first="rtdsrv.458a5932996f485b8b1b8d7cbb3f77a6">
      <tp>
        <v>1</v>
        <stp/>
        <stp>2facb571-9682-407b-97e5-215daf0b6a94</stp>
        <tr r="AV46" s="130"/>
        <tr r="AV51" s="130"/>
      </tp>
    </main>
    <main first="rtdsrv.458a5932996f485b8b1b8d7cbb3f77a6">
      <tp>
        <v>1</v>
        <stp/>
        <stp>5d5e6721-a97f-4bd9-b31c-cd2c2a0e7d6b</stp>
        <tr r="Z82" s="130"/>
      </tp>
    </main>
    <main first="rtdsrv.458a5932996f485b8b1b8d7cbb3f77a6">
      <tp>
        <v>1</v>
        <stp/>
        <stp>fd80a348-ef76-4e81-9ca4-58dc635352f0</stp>
        <tr r="Z91" s="130"/>
      </tp>
    </main>
    <main first="rtdsrv.458a5932996f485b8b1b8d7cbb3f77a6">
      <tp>
        <v>1</v>
        <stp/>
        <stp>a7ec21df-e61b-4876-a6c0-259419118ae8</stp>
        <tr r="AG15" s="132"/>
      </tp>
    </main>
    <main first="rtdsrv.458a5932996f485b8b1b8d7cbb3f77a6">
      <tp>
        <v>1</v>
        <stp/>
        <stp>357724ca-a9f3-48d5-8390-b92837a1e9dd</stp>
        <tr r="BD8" s="130"/>
      </tp>
    </main>
    <main first="rtdsrv.458a5932996f485b8b1b8d7cbb3f77a6">
      <tp>
        <v>1</v>
        <stp/>
        <stp>c6ec162d-86ed-4e7c-9cd9-464bcb0a206f</stp>
        <tr r="BK66" s="130"/>
      </tp>
    </main>
    <main first="rtdsrv.458a5932996f485b8b1b8d7cbb3f77a6">
      <tp>
        <v>1</v>
        <stp/>
        <stp>c597f407-67c7-4058-af83-5ce80764a849</stp>
        <tr r="BD9" s="132"/>
      </tp>
    </main>
    <main first="rtdsrv.458a5932996f485b8b1b8d7cbb3f77a6">
      <tp>
        <v>1</v>
        <stp/>
        <stp>a375863a-78bc-4163-803f-635758095b55</stp>
        <tr r="J78" s="130"/>
      </tp>
    </main>
    <main first="rtdsrv.458a5932996f485b8b1b8d7cbb3f77a6">
      <tp>
        <v>1</v>
        <stp/>
        <stp>0430c526-904a-4e64-85f7-d6e15382a41c</stp>
        <tr r="Z11" s="130"/>
      </tp>
    </main>
    <main first="rtdsrv.458a5932996f485b8b1b8d7cbb3f77a6">
      <tp>
        <v>1</v>
        <stp/>
        <stp>0e74213a-8941-4024-88b4-e0bb949a1e8c</stp>
        <tr r="AJ16" s="130"/>
      </tp>
    </main>
    <main first="rtdsrv.458a5932996f485b8b1b8d7cbb3f77a6">
      <tp>
        <v>1</v>
        <stp/>
        <stp>aae206b6-b09e-4442-8f17-2a75d5e7e99d</stp>
        <tr r="CL8" s="132"/>
      </tp>
      <tp>
        <v>1</v>
        <stp/>
        <stp>7e5be5f1-8925-42bd-aa75-e425b5b09ada</stp>
        <tr r="DQ8" s="132"/>
      </tp>
    </main>
    <main first="rtdsrv.458a5932996f485b8b1b8d7cbb3f77a6">
      <tp>
        <v>1</v>
        <stp/>
        <stp>9922d7b0-5e78-43c7-a87d-aca4d7c1048b</stp>
        <tr r="EG6" s="132"/>
      </tp>
    </main>
    <main first="rtdsrv.458a5932996f485b8b1b8d7cbb3f77a6">
      <tp>
        <v>1</v>
        <stp/>
        <stp>816b8987-fcff-49e0-ac91-e700e3fcd8a2</stp>
        <tr r="Y36" s="130"/>
      </tp>
    </main>
    <main first="rtdsrv.458a5932996f485b8b1b8d7cbb3f77a6">
      <tp>
        <v>1</v>
        <stp/>
        <stp>a8181e40-462f-4901-b53a-1f01c6ab4a7d</stp>
        <tr r="AN9" s="130"/>
      </tp>
    </main>
    <main first="rtdsrv.458a5932996f485b8b1b8d7cbb3f77a6">
      <tp>
        <v>1</v>
        <stp/>
        <stp>99aaa21c-5344-402b-8411-9e63c74d1ed8</stp>
        <tr r="L1" s="133"/>
      </tp>
    </main>
    <main first="rtdsrv.458a5932996f485b8b1b8d7cbb3f77a6">
      <tp>
        <v>1</v>
        <stp/>
        <stp>6b008100-86fc-45b3-86d4-3bda4a01bebf</stp>
        <tr r="X94" s="130"/>
      </tp>
    </main>
    <main first="rtdsrv.458a5932996f485b8b1b8d7cbb3f77a6">
      <tp>
        <v>1</v>
        <stp/>
        <stp>4f96f5bf-214a-4e73-97c9-18d207eaadf7</stp>
        <tr r="AC6" s="132"/>
      </tp>
    </main>
    <main first="rtdsrv.458a5932996f485b8b1b8d7cbb3f77a6">
      <tp>
        <v>1</v>
        <stp/>
        <stp>dec9f4b0-1557-4b67-8eb3-dd3563f6b8fe</stp>
        <tr r="CD13" s="132"/>
      </tp>
    </main>
    <main first="rtdsrv.458a5932996f485b8b1b8d7cbb3f77a6">
      <tp>
        <v>1</v>
        <stp/>
        <stp>32666567-9a84-436d-a599-f74c1794d9a1</stp>
        <tr r="P34" s="130"/>
      </tp>
    </main>
    <main first="rtdsrv.458a5932996f485b8b1b8d7cbb3f77a6">
      <tp>
        <v>1</v>
        <stp/>
        <stp>0a5af348-aadc-4ae8-8b5a-be7fc1f770ec</stp>
        <tr r="BJ93" s="130"/>
      </tp>
      <tp>
        <v>1</v>
        <stp/>
        <stp>47dc2987-4737-4287-b56c-0fbfad93bcf4</stp>
        <tr r="BG8" s="130"/>
      </tp>
    </main>
    <main first="rtdsrv.458a5932996f485b8b1b8d7cbb3f77a6">
      <tp>
        <v>1</v>
        <stp/>
        <stp>20947913-7106-4066-b808-c7a4a06a2ecc</stp>
        <tr r="EW13" s="132"/>
      </tp>
    </main>
    <main first="rtdsrv.458a5932996f485b8b1b8d7cbb3f77a6">
      <tp>
        <v>1</v>
        <stp/>
        <stp>8a4a6d17-5621-479f-8677-f8e032e25115</stp>
        <tr r="G43" s="130"/>
      </tp>
    </main>
    <main first="rtdsrv.458a5932996f485b8b1b8d7cbb3f77a6">
      <tp>
        <v>1</v>
        <stp/>
        <stp>24ce9128-9fd9-43d4-bf95-cdfa57cf8827</stp>
        <tr r="BC10" s="130"/>
      </tp>
    </main>
    <main first="rtdsrv.458a5932996f485b8b1b8d7cbb3f77a6">
      <tp>
        <v>1</v>
        <stp/>
        <stp>10f6f614-ce47-416b-9eb1-9be7a9c73d09</stp>
        <tr r="CM5" s="132"/>
      </tp>
    </main>
    <main first="rtdsrv.458a5932996f485b8b1b8d7cbb3f77a6">
      <tp>
        <v>1</v>
        <stp/>
        <stp>a94f7422-dcb6-493a-a304-80d77bc840cd</stp>
        <tr r="DN5" s="132"/>
      </tp>
    </main>
    <main first="rtdsrv.458a5932996f485b8b1b8d7cbb3f77a6">
      <tp>
        <v>1</v>
        <stp/>
        <stp>5a4b400a-a507-4d5f-9b85-330a42412552</stp>
        <tr r="GW12" s="132"/>
      </tp>
      <tp>
        <v>1</v>
        <stp/>
        <stp>ea9f0867-4322-4006-9c79-360159f2f9fe</stp>
        <tr r="BU9" s="132"/>
      </tp>
    </main>
    <main first="rtdsrv.458a5932996f485b8b1b8d7cbb3f77a6">
      <tp>
        <v>1</v>
        <stp/>
        <stp>6f9b8f8a-1146-47b3-8f8f-91c05e37c437</stp>
        <tr r="BE35" s="130"/>
      </tp>
      <tp>
        <v>1</v>
        <stp/>
        <stp>786dc9d5-7658-4d29-9476-f1dddd67d75b</stp>
        <tr r="AV32" s="130"/>
      </tp>
    </main>
    <main first="rtdsrv.458a5932996f485b8b1b8d7cbb3f77a6">
      <tp>
        <v>1</v>
        <stp/>
        <stp>a2a509e7-ff93-4af6-a024-9ded8a70d629</stp>
        <tr r="GS14" s="132"/>
      </tp>
      <tp>
        <v>1</v>
        <stp/>
        <stp>1080f203-e9c8-4539-a813-f44fe6370733</stp>
        <tr r="D61" s="130"/>
      </tp>
    </main>
    <main first="rtdsrv.458a5932996f485b8b1b8d7cbb3f77a6">
      <tp>
        <v>1</v>
        <stp/>
        <stp>ae8b4df9-a187-42b5-bb6f-9e1b486a9d8c</stp>
        <tr r="GY15" s="132"/>
      </tp>
    </main>
    <main first="rtdsrv.458a5932996f485b8b1b8d7cbb3f77a6">
      <tp>
        <v>1</v>
        <stp/>
        <stp>eff54ffa-3166-41f4-8977-d9535a3e726b</stp>
        <tr r="AQ7" s="130"/>
      </tp>
    </main>
    <main first="rtdsrv.458a5932996f485b8b1b8d7cbb3f77a6">
      <tp>
        <v>1</v>
        <stp/>
        <stp>12942519-cb54-4dc8-be87-15cc39987218</stp>
        <tr r="FQ14" s="132"/>
      </tp>
    </main>
    <main first="rtdsrv.458a5932996f485b8b1b8d7cbb3f77a6">
      <tp>
        <v>1</v>
        <stp/>
        <stp>b25f3ac5-59b7-4565-a702-86a2a69bb932</stp>
        <tr r="Z30" s="130"/>
      </tp>
      <tp>
        <v>1</v>
        <stp/>
        <stp>79c8a103-c7e0-4c0b-bd51-9b6d5e783ab4</stp>
        <tr r="AY44" s="130"/>
      </tp>
    </main>
    <main first="rtdsrv.458a5932996f485b8b1b8d7cbb3f77a6">
      <tp>
        <v>1</v>
        <stp/>
        <stp>8e59b918-c095-4ab4-9db3-53268f50ef6c</stp>
        <tr r="V72" s="130"/>
      </tp>
    </main>
    <main first="rtdsrv.458a5932996f485b8b1b8d7cbb3f77a6">
      <tp>
        <v>1</v>
        <stp/>
        <stp>88fcab66-65f3-46e1-838e-b9d835b65307</stp>
        <tr r="BE5" s="132"/>
      </tp>
    </main>
    <main first="rtdsrv.458a5932996f485b8b1b8d7cbb3f77a6">
      <tp>
        <v>1</v>
        <stp/>
        <stp>ca04c7e1-de04-4ff6-a00f-e34eb8f1fe2d</stp>
        <tr r="AA30" s="130"/>
      </tp>
    </main>
    <main first="rtdsrv.458a5932996f485b8b1b8d7cbb3f77a6">
      <tp>
        <v>1</v>
        <stp/>
        <stp>e4178360-e802-4b95-9658-4ecc3d3319a3</stp>
        <tr r="AF13" s="132"/>
      </tp>
      <tp>
        <v>1</v>
        <stp/>
        <stp>cedbbdfb-cac7-4949-8c60-d756c9abc918</stp>
        <tr r="AB92" s="130"/>
      </tp>
    </main>
    <main first="rtdsrv.458a5932996f485b8b1b8d7cbb3f77a6">
      <tp>
        <v>1</v>
        <stp/>
        <stp>f3a7cf38-ed9f-4269-a6c0-2a3cf558ed64</stp>
        <tr r="AW27" s="130"/>
      </tp>
    </main>
    <main first="rtdsrv.458a5932996f485b8b1b8d7cbb3f77a6">
      <tp>
        <v>1</v>
        <stp/>
        <stp>08b97612-e995-4043-bfe2-f581b6a1ad61</stp>
        <tr r="CB16" s="132"/>
      </tp>
    </main>
    <main first="rtdsrv.458a5932996f485b8b1b8d7cbb3f77a6">
      <tp>
        <v>1</v>
        <stp/>
        <stp>4d697200-a238-4ed0-a956-c980ed4ea592</stp>
        <tr r="BB7" s="130"/>
      </tp>
      <tp>
        <v>1</v>
        <stp/>
        <stp>db40c0a9-bf1c-4f9a-af88-10ac3b945ad1</stp>
        <tr r="V76" s="130"/>
      </tp>
    </main>
    <main first="rtdsrv.458a5932996f485b8b1b8d7cbb3f77a6">
      <tp>
        <v>1</v>
        <stp/>
        <stp>88d3ca13-d8a5-4f84-96c6-95004f859cd5</stp>
        <tr r="D31" s="130"/>
      </tp>
    </main>
    <main first="rtdsrv.458a5932996f485b8b1b8d7cbb3f77a6">
      <tp>
        <v>1</v>
        <stp/>
        <stp>fa459c4f-b0ff-4c27-92c3-ffb98100e9a1</stp>
        <tr r="EY14" s="132"/>
      </tp>
    </main>
    <main first="rtdsrv.458a5932996f485b8b1b8d7cbb3f77a6">
      <tp>
        <v>1</v>
        <stp/>
        <stp>fa31dae1-7076-438b-9b86-670d1ae89a50</stp>
        <tr r="AN68" s="130"/>
      </tp>
    </main>
    <main first="rtdsrv.458a5932996f485b8b1b8d7cbb3f77a6">
      <tp>
        <v>1</v>
        <stp/>
        <stp>78f2e97d-38b4-4cae-8978-0ed329d9bfa8</stp>
        <tr r="U61" s="130"/>
      </tp>
      <tp>
        <v>1</v>
        <stp/>
        <stp>5fe5d83d-331d-4795-842a-eeaf3b4bd7a6</stp>
        <tr r="AB66" s="130"/>
      </tp>
      <tp>
        <v>1</v>
        <stp/>
        <stp>946519bd-5e69-40de-9ae3-c68f0a21d58e</stp>
        <tr r="AF69" s="130"/>
      </tp>
      <tp>
        <v>1</v>
        <stp/>
        <stp>f6caf548-7691-4406-99d6-99c585664022</stp>
        <tr r="C85" s="130"/>
      </tp>
      <tp>
        <v>1</v>
        <stp/>
        <stp>d7073f00-8c91-41b1-a806-a39fd28f23d7</stp>
        <tr r="FU7" s="132"/>
      </tp>
    </main>
    <main first="rtdsrv.458a5932996f485b8b1b8d7cbb3f77a6">
      <tp>
        <v>1</v>
        <stp/>
        <stp>4d37dc6e-94ef-4b74-a1ed-af0d2bee7107</stp>
        <tr r="U23" s="130"/>
      </tp>
    </main>
    <main first="rtdsrv.458a5932996f485b8b1b8d7cbb3f77a6">
      <tp>
        <v>1</v>
        <stp/>
        <stp>8facb8f5-aa09-4f20-9b20-a6180bf99318</stp>
        <tr r="BF24" s="130"/>
      </tp>
    </main>
    <main first="rtdsrv.458a5932996f485b8b1b8d7cbb3f77a6">
      <tp>
        <v>1</v>
        <stp/>
        <stp>ef396a65-2578-4a5a-b687-6f2de2b0dbf3</stp>
        <tr r="HD7" s="132"/>
      </tp>
      <tp>
        <v>1</v>
        <stp/>
        <stp>21ec1fb5-1d48-4149-a21e-67c8057216cf</stp>
        <tr r="F66" s="130"/>
      </tp>
    </main>
    <main first="rtdsrv.458a5932996f485b8b1b8d7cbb3f77a6">
      <tp>
        <v>1</v>
        <stp/>
        <stp>bba5c5dd-2cb0-4eb8-ac06-6c6c2d27b0e9</stp>
        <tr r="AV15" s="132"/>
      </tp>
    </main>
    <main first="rtdsrv.458a5932996f485b8b1b8d7cbb3f77a6">
      <tp>
        <v>1</v>
        <stp/>
        <stp>4eb33a7b-d01c-4cc6-aa23-216d57e3b842</stp>
        <tr r="T12" s="132"/>
      </tp>
    </main>
    <main first="rtdsrv.458a5932996f485b8b1b8d7cbb3f77a6">
      <tp>
        <v>1</v>
        <stp/>
        <stp>373e4ea4-ffc2-4bdd-a3ad-60f6b8738c02</stp>
        <tr r="C12" s="132"/>
      </tp>
      <tp>
        <v>1</v>
        <stp/>
        <stp>e5b86bf0-3e7e-48a2-a7d2-c8f252634b2b</stp>
        <tr r="U41" s="130"/>
      </tp>
    </main>
    <main first="rtdsrv.458a5932996f485b8b1b8d7cbb3f77a6">
      <tp>
        <v>1</v>
        <stp/>
        <stp>9e789534-bda8-41e8-9475-2016dfa1814c</stp>
        <tr r="M13" s="130"/>
      </tp>
    </main>
    <main first="rtdsrv.458a5932996f485b8b1b8d7cbb3f77a6">
      <tp>
        <v>1</v>
        <stp/>
        <stp>8719ea0f-53d8-41d0-9ee7-17da392e2bb9</stp>
        <tr r="J21" s="130"/>
      </tp>
    </main>
    <main first="rtdsrv.458a5932996f485b8b1b8d7cbb3f77a6">
      <tp>
        <v>1</v>
        <stp/>
        <stp>8eb9f4cd-370b-4849-8bd5-aaa07feedb60</stp>
        <tr r="AB65" s="130"/>
      </tp>
    </main>
    <main first="rtdsrv.458a5932996f485b8b1b8d7cbb3f77a6">
      <tp>
        <v>1</v>
        <stp/>
        <stp>1bc827ed-9c2d-4bed-a2ed-3c38c678cb72</stp>
        <tr r="AS73" s="130"/>
      </tp>
    </main>
    <main first="rtdsrv.458a5932996f485b8b1b8d7cbb3f77a6">
      <tp>
        <v>1</v>
        <stp/>
        <stp>d430a20a-e59f-4d62-a832-b2ffc8ff2265</stp>
        <tr r="AO32" s="130"/>
      </tp>
    </main>
    <main first="rtdsrv.458a5932996f485b8b1b8d7cbb3f77a6">
      <tp>
        <v>1</v>
        <stp/>
        <stp>afd0f79a-b5ef-4e08-b6d5-a384362660e1</stp>
        <tr r="AM11" s="132"/>
      </tp>
    </main>
    <main first="rtdsrv.458a5932996f485b8b1b8d7cbb3f77a6">
      <tp>
        <v>1</v>
        <stp/>
        <stp>60a53edc-e160-4894-8392-ecb1946710a9</stp>
        <tr r="GT7" s="132"/>
      </tp>
      <tp>
        <v>1</v>
        <stp/>
        <stp>ceb9a269-72e7-4c25-b560-58b612a873f5</stp>
        <tr r="CR15" s="132"/>
      </tp>
    </main>
    <main first="rtdsrv.458a5932996f485b8b1b8d7cbb3f77a6">
      <tp>
        <v>1</v>
        <stp/>
        <stp>2bbd5a49-d42b-4ded-a917-8b3602c8286c</stp>
        <tr r="AU62" s="130"/>
      </tp>
    </main>
    <main first="rtdsrv.458a5932996f485b8b1b8d7cbb3f77a6">
      <tp>
        <v>1</v>
        <stp/>
        <stp>fe6b3721-4551-4571-a08c-574d1161d3cc</stp>
        <tr r="BC57" s="130"/>
      </tp>
      <tp>
        <v>1</v>
        <stp/>
        <stp>e534f78b-fc14-4811-b04e-3880e4c6f7e9</stp>
        <tr r="HC6" s="132"/>
      </tp>
    </main>
    <main first="rtdsrv.458a5932996f485b8b1b8d7cbb3f77a6">
      <tp>
        <v>1</v>
        <stp/>
        <stp>61cf2ee2-32f6-4a0c-b0aa-c90d8076d6ac</stp>
        <tr r="AM99" s="130"/>
      </tp>
    </main>
    <main first="rtdsrv.458a5932996f485b8b1b8d7cbb3f77a6">
      <tp>
        <v>1</v>
        <stp/>
        <stp>773ec1fe-e3a8-4d9f-bc5d-923e49546a79</stp>
        <tr r="F85" s="130"/>
      </tp>
    </main>
    <main first="rtdsrv.458a5932996f485b8b1b8d7cbb3f77a6">
      <tp>
        <v>1</v>
        <stp/>
        <stp>fa8abdaf-c6a5-423c-a85e-53fa2ae32852</stp>
        <tr r="AG79" s="130"/>
      </tp>
      <tp>
        <v>1</v>
        <stp/>
        <stp>fb1630e1-8db4-4f93-9091-bfaf6ee03999</stp>
        <tr r="CN8" s="132"/>
      </tp>
      <tp>
        <v>1</v>
        <stp/>
        <stp>c73f6d1b-2d24-41d1-aadc-fd92d8440244</stp>
        <tr r="U70" s="130"/>
      </tp>
    </main>
    <main first="rtdsrv.458a5932996f485b8b1b8d7cbb3f77a6">
      <tp>
        <v>1</v>
        <stp/>
        <stp>2bdbf976-d99e-4416-886c-1b2edad7afca</stp>
        <tr r="BB20" s="130"/>
      </tp>
    </main>
    <main first="rtdsrv.458a5932996f485b8b1b8d7cbb3f77a6">
      <tp>
        <v>1</v>
        <stp/>
        <stp>4b4d2f5f-db53-49ed-832a-bb6b48923618</stp>
        <tr r="AC13" s="132"/>
      </tp>
    </main>
    <main first="rtdsrv.458a5932996f485b8b1b8d7cbb3f77a6">
      <tp>
        <v>1</v>
        <stp/>
        <stp>14dce88a-e601-4b03-a620-c434456763c7</stp>
        <tr r="AS38" s="130"/>
      </tp>
      <tp>
        <v>1</v>
        <stp/>
        <stp>1cc9b3dc-9095-4dcb-b4ec-6bc3753f9c85</stp>
        <tr r="N41" s="130"/>
      </tp>
    </main>
    <main first="rtdsrv.458a5932996f485b8b1b8d7cbb3f77a6">
      <tp>
        <v>1</v>
        <stp/>
        <stp>82741daf-9f9c-4939-a18b-d8ca2595c94c</stp>
        <tr r="AW34" s="130"/>
      </tp>
    </main>
    <main first="rtdsrv.458a5932996f485b8b1b8d7cbb3f77a6">
      <tp>
        <v>1</v>
        <stp/>
        <stp>912bc2bd-2f99-45cc-973c-1923329790b5</stp>
        <tr r="DB5" s="132"/>
      </tp>
    </main>
    <main first="rtdsrv.458a5932996f485b8b1b8d7cbb3f77a6">
      <tp>
        <v>1</v>
        <stp/>
        <stp>fba44c80-b9e1-44e9-8203-3e8ecba3c767</stp>
        <tr r="BO8" s="132"/>
      </tp>
    </main>
    <main first="rtdsrv.458a5932996f485b8b1b8d7cbb3f77a6">
      <tp>
        <v>1</v>
        <stp/>
        <stp>83a8ea88-3ab8-4e4a-be5e-cf40f85031a2</stp>
        <tr r="C99" s="130"/>
      </tp>
    </main>
    <main first="rtdsrv.458a5932996f485b8b1b8d7cbb3f77a6">
      <tp>
        <v>1</v>
        <stp/>
        <stp>20d090eb-92ca-421a-b276-f38795232320</stp>
        <tr r="ET11" s="132"/>
      </tp>
      <tp>
        <v>1</v>
        <stp/>
        <stp>bb1e7405-1a7d-46f9-974b-c0894f643f11</stp>
        <tr r="K6" s="132"/>
      </tp>
      <tp>
        <v>1</v>
        <stp/>
        <stp>c16749b0-8486-40bf-9969-3815eda47f4d</stp>
        <tr r="Y28" s="130"/>
      </tp>
      <tp>
        <v>1</v>
        <stp/>
        <stp>f654d13a-a86a-4157-b095-b637546bb034</stp>
        <tr r="R38" s="130"/>
      </tp>
    </main>
    <main first="rtdsrv.458a5932996f485b8b1b8d7cbb3f77a6">
      <tp>
        <v>1</v>
        <stp/>
        <stp>1f275d87-8f1d-4265-a33f-51f6a1322fb8</stp>
        <tr r="AB15" s="130"/>
      </tp>
    </main>
    <main first="rtdsrv.458a5932996f485b8b1b8d7cbb3f77a6">
      <tp>
        <v>1</v>
        <stp/>
        <stp>b7c449f3-daf1-4803-a562-4957548488fb</stp>
        <tr r="AV83" s="130"/>
      </tp>
    </main>
    <main first="rtdsrv.458a5932996f485b8b1b8d7cbb3f77a6">
      <tp>
        <v>1</v>
        <stp/>
        <stp>6cf46b34-d014-4619-8f9a-38f1b0f4e791</stp>
        <tr r="CX11" s="132"/>
      </tp>
    </main>
    <main first="rtdsrv.458a5932996f485b8b1b8d7cbb3f77a6">
      <tp>
        <v>1</v>
        <stp/>
        <stp>b38aea94-b981-46cf-a7cc-c811262acaf0</stp>
        <tr r="BK74" s="130"/>
      </tp>
    </main>
    <main first="rtdsrv.458a5932996f485b8b1b8d7cbb3f77a6">
      <tp>
        <v>1</v>
        <stp/>
        <stp>e52351ea-1884-4893-9c97-f1c88c0ea74d</stp>
        <tr r="AJ26" s="130"/>
        <tr r="AJ14" s="130"/>
      </tp>
    </main>
    <main first="rtdsrv.458a5932996f485b8b1b8d7cbb3f77a6">
      <tp>
        <v>1</v>
        <stp/>
        <stp>d1aa5bf8-9916-4d9a-802c-5e8dbbc95d99</stp>
        <tr r="X79" s="130"/>
      </tp>
    </main>
    <main first="rtdsrv.458a5932996f485b8b1b8d7cbb3f77a6">
      <tp>
        <v>1</v>
        <stp/>
        <stp>bbcf130c-1439-4969-aedf-ca852733e153</stp>
        <tr r="AD18" s="130"/>
      </tp>
      <tp>
        <v>1</v>
        <stp/>
        <stp>b0d9cd9c-a4c5-4880-839e-4743ff7bf700</stp>
        <tr r="U74" s="130"/>
      </tp>
    </main>
    <main first="rtdsrv.458a5932996f485b8b1b8d7cbb3f77a6">
      <tp>
        <v>1</v>
        <stp/>
        <stp>2a457e55-4b04-4c07-aa97-b39011c91f16</stp>
        <tr r="H19" s="130"/>
      </tp>
      <tp>
        <v>1</v>
        <stp/>
        <stp>3fb435be-78cb-4bcb-8595-205101ff7da2</stp>
        <tr r="AA79" s="130"/>
      </tp>
    </main>
    <main first="rtdsrv.458a5932996f485b8b1b8d7cbb3f77a6">
      <tp>
        <v>1</v>
        <stp/>
        <stp>2914dc07-f2db-43b0-a218-4cdcb54081c0</stp>
        <tr r="CI8" s="132"/>
      </tp>
    </main>
    <main first="rtdsrv.458a5932996f485b8b1b8d7cbb3f77a6">
      <tp>
        <v>1</v>
        <stp/>
        <stp>242f122b-aef7-415e-8893-6644b2906ec0</stp>
        <tr r="FE7" s="132"/>
      </tp>
    </main>
    <main first="rtdsrv.458a5932996f485b8b1b8d7cbb3f77a6">
      <tp>
        <v>1</v>
        <stp/>
        <stp>bf38caba-ce72-4768-92f6-1397b23fba1f</stp>
        <tr r="P65" s="130"/>
      </tp>
    </main>
    <main first="rtdsrv.458a5932996f485b8b1b8d7cbb3f77a6">
      <tp>
        <v>1</v>
        <stp/>
        <stp>b5c26691-f930-4ed8-a0f9-9282a59f8fb5</stp>
        <tr r="AM80" s="130"/>
      </tp>
    </main>
    <main first="rtdsrv.458a5932996f485b8b1b8d7cbb3f77a6">
      <tp>
        <v>1</v>
        <stp/>
        <stp>3aebe473-57b7-4035-9d58-91ee826e7975</stp>
        <tr r="AT12" s="130"/>
      </tp>
      <tp>
        <v>1</v>
        <stp/>
        <stp>3a78798e-0251-4fe3-b410-8ede216f7dfa</stp>
        <tr r="CU7" s="132"/>
      </tp>
    </main>
    <main first="rtdsrv.458a5932996f485b8b1b8d7cbb3f77a6">
      <tp>
        <v>1</v>
        <stp/>
        <stp>8485eee0-9260-4830-be1f-c66556b2b3de</stp>
        <tr r="DD13" s="132"/>
      </tp>
      <tp>
        <v>1</v>
        <stp/>
        <stp>985c679f-a2d2-4a83-ad5f-cdf805fecca6</stp>
        <tr r="S20" s="130"/>
      </tp>
    </main>
    <main first="rtdsrv.458a5932996f485b8b1b8d7cbb3f77a6">
      <tp>
        <v>1</v>
        <stp/>
        <stp>88b1d475-d293-461e-a20a-b6967fc247ef</stp>
        <tr r="FI8" s="132"/>
      </tp>
    </main>
    <main first="rtdsrv.458a5932996f485b8b1b8d7cbb3f77a6">
      <tp>
        <v>1</v>
        <stp/>
        <stp>f40a1d68-65a7-4ab1-8ad8-9a042164d972</stp>
        <tr r="DM8" s="132"/>
      </tp>
    </main>
    <main first="rtdsrv.458a5932996f485b8b1b8d7cbb3f77a6">
      <tp>
        <v>1</v>
        <stp/>
        <stp>28be323e-66f7-4287-8b71-51a25e506286</stp>
        <tr r="BF39" s="130"/>
      </tp>
    </main>
    <main first="rtdsrv.458a5932996f485b8b1b8d7cbb3f77a6">
      <tp>
        <v>1</v>
        <stp/>
        <stp>89a58248-b9eb-4567-832b-dbc10a5725be</stp>
        <tr r="EL6" s="132"/>
      </tp>
    </main>
    <main first="rtdsrv.458a5932996f485b8b1b8d7cbb3f77a6">
      <tp>
        <v>1</v>
        <stp/>
        <stp>2b1d7b4d-fc63-4ee4-8f89-e2b77fcecdd7</stp>
        <tr r="FW11" s="132"/>
      </tp>
    </main>
    <main first="rtdsrv.458a5932996f485b8b1b8d7cbb3f77a6">
      <tp>
        <v>1</v>
        <stp/>
        <stp>c219642c-a786-4b18-8948-44fed32406bb</stp>
        <tr r="GC15" s="132"/>
      </tp>
    </main>
    <main first="rtdsrv.458a5932996f485b8b1b8d7cbb3f77a6">
      <tp>
        <v>1</v>
        <stp/>
        <stp>ef5954ce-e280-47d5-a261-4a91194306cb</stp>
        <tr r="AL5" s="132"/>
      </tp>
    </main>
    <main first="rtdsrv.458a5932996f485b8b1b8d7cbb3f77a6">
      <tp>
        <v>1</v>
        <stp/>
        <stp>2b2d7cbd-d55a-48f4-b906-d8f95487c761</stp>
        <tr r="FC12" s="132"/>
      </tp>
    </main>
    <main first="rtdsrv.458a5932996f485b8b1b8d7cbb3f77a6">
      <tp>
        <v>1</v>
        <stp/>
        <stp>a83c73b9-2ef4-46e9-8e75-78a300b36e95</stp>
        <tr r="AP93" s="130"/>
      </tp>
    </main>
    <main first="rtdsrv.458a5932996f485b8b1b8d7cbb3f77a6">
      <tp>
        <v>1</v>
        <stp/>
        <stp>543ba37e-072c-407e-bd9f-47f22182870a</stp>
        <tr r="AR10" s="130"/>
      </tp>
      <tp>
        <v>1</v>
        <stp/>
        <stp>b7629f41-992d-40e3-bb3a-cf2db1c4ee03</stp>
        <tr r="GM5" s="132"/>
      </tp>
    </main>
    <main first="rtdsrv.458a5932996f485b8b1b8d7cbb3f77a6">
      <tp>
        <v>1</v>
        <stp/>
        <stp>db139891-7f7f-4d0c-954b-6b6ddd6b9f7d</stp>
        <tr r="W38" s="130"/>
      </tp>
    </main>
    <main first="rtdsrv.458a5932996f485b8b1b8d7cbb3f77a6">
      <tp>
        <v>1</v>
        <stp/>
        <stp>a3e3ec30-f79a-42e4-a8ac-b2d3182ee30a</stp>
        <tr r="DB12" s="132"/>
      </tp>
    </main>
    <main first="rtdsrv.458a5932996f485b8b1b8d7cbb3f77a6">
      <tp>
        <v>1</v>
        <stp/>
        <stp>9f3f9084-566c-4b28-bbd2-54c3b39dbb15</stp>
        <tr r="FH14" s="132"/>
      </tp>
    </main>
    <main first="rtdsrv.458a5932996f485b8b1b8d7cbb3f77a6">
      <tp>
        <v>1</v>
        <stp/>
        <stp>cd1a47dd-6d02-4eb8-ba2d-6a8d508d8d10</stp>
        <tr r="CM14" s="132"/>
      </tp>
    </main>
    <main first="rtdsrv.458a5932996f485b8b1b8d7cbb3f77a6">
      <tp>
        <v>1</v>
        <stp/>
        <stp>91f579f6-362e-4741-a815-4f2b2c48fda6</stp>
        <tr r="F89" s="130"/>
      </tp>
    </main>
    <main first="rtdsrv.458a5932996f485b8b1b8d7cbb3f77a6">
      <tp>
        <v>1</v>
        <stp/>
        <stp>cb56cb78-29ac-488e-a946-c3c2d98e6335</stp>
        <tr r="BB13" s="132"/>
      </tp>
    </main>
    <main first="rtdsrv.458a5932996f485b8b1b8d7cbb3f77a6">
      <tp>
        <v>1</v>
        <stp/>
        <stp>4da24873-f7af-4013-b622-8c64d1ab43a7</stp>
        <tr r="GM13" s="132"/>
      </tp>
    </main>
    <main first="rtdsrv.458a5932996f485b8b1b8d7cbb3f77a6">
      <tp>
        <v>1</v>
        <stp/>
        <stp>e60b03ae-fa41-4837-87d1-c0df3819db15</stp>
        <tr r="GX7" s="132"/>
      </tp>
    </main>
    <main first="rtdsrv.458a5932996f485b8b1b8d7cbb3f77a6">
      <tp>
        <v>1</v>
        <stp/>
        <stp>92165e20-c5b0-4eca-a864-79a4250de563</stp>
        <tr r="Z72" s="130"/>
      </tp>
    </main>
    <main first="rtdsrv.458a5932996f485b8b1b8d7cbb3f77a6">
      <tp>
        <v>1</v>
        <stp/>
        <stp>d449ca58-1f93-4862-8887-abf825e1ec62</stp>
        <tr r="AN51" s="130"/>
        <tr r="AN46" s="130"/>
      </tp>
    </main>
    <main first="rtdsrv.458a5932996f485b8b1b8d7cbb3f77a6">
      <tp>
        <v>1</v>
        <stp/>
        <stp>7d3e16e7-4abb-48a7-a4d1-4962cac0b76e</stp>
        <tr r="M58" s="130"/>
      </tp>
    </main>
    <main first="rtdsrv.458a5932996f485b8b1b8d7cbb3f77a6">
      <tp>
        <v>1</v>
        <stp/>
        <stp>c96c3cc2-ca3a-40e2-98a5-050c416d34bd</stp>
        <tr r="ET14" s="132"/>
      </tp>
    </main>
    <main first="rtdsrv.458a5932996f485b8b1b8d7cbb3f77a6">
      <tp>
        <v>1</v>
        <stp/>
        <stp>782e8005-dddd-4213-8f20-357a33a461f4</stp>
        <tr r="BF33" s="130"/>
      </tp>
    </main>
    <main first="rtdsrv.458a5932996f485b8b1b8d7cbb3f77a6">
      <tp>
        <v>1</v>
        <stp/>
        <stp>7d024e8a-c50a-4f5d-80b0-e8806ef42c5c</stp>
        <tr r="J83" s="130"/>
      </tp>
      <tp>
        <v>1</v>
        <stp/>
        <stp>e91aeaaf-1b1c-4886-aafb-e03f207b9c22</stp>
        <tr r="DW14" s="132"/>
      </tp>
    </main>
    <main first="rtdsrv.458a5932996f485b8b1b8d7cbb3f77a6">
      <tp>
        <v>1</v>
        <stp/>
        <stp>87a2981c-363d-45a7-af04-a116d3717c26</stp>
        <tr r="C79" s="130"/>
      </tp>
    </main>
    <main first="rtdsrv.458a5932996f485b8b1b8d7cbb3f77a6">
      <tp>
        <v>1</v>
        <stp/>
        <stp>23e41974-2dd3-4c61-b035-1544ddf1717c</stp>
        <tr r="AV62" s="130"/>
      </tp>
    </main>
    <main first="rtdsrv.458a5932996f485b8b1b8d7cbb3f77a6">
      <tp>
        <v>1</v>
        <stp/>
        <stp>cbcd452e-efce-494d-91b5-48bc252c9c4c</stp>
        <tr r="AB95" s="130"/>
      </tp>
    </main>
    <main first="rtdsrv.458a5932996f485b8b1b8d7cbb3f77a6">
      <tp>
        <v>1</v>
        <stp/>
        <stp>2eea8881-3655-46dd-b5c4-85931c750e78</stp>
        <tr r="AM70" s="130"/>
      </tp>
      <tp>
        <v>1</v>
        <stp/>
        <stp>04beea65-64a6-4d28-8168-a286b711a27e</stp>
        <tr r="GQ14" s="132"/>
      </tp>
    </main>
    <main first="rtdsrv.458a5932996f485b8b1b8d7cbb3f77a6">
      <tp>
        <v>1</v>
        <stp/>
        <stp>9ab2bc7d-1e79-48a2-bb5a-09566b577570</stp>
        <tr r="CD15" s="132"/>
      </tp>
    </main>
    <main first="rtdsrv.458a5932996f485b8b1b8d7cbb3f77a6">
      <tp>
        <v>1</v>
        <stp/>
        <stp>b4a8667c-2a6b-4c7c-b953-88ed2a749e04</stp>
        <tr r="J39" s="130"/>
      </tp>
      <tp>
        <v>1</v>
        <stp/>
        <stp>bab18518-ab30-4891-8f44-968978869dbb</stp>
        <tr r="EQ5" s="132"/>
      </tp>
    </main>
    <main first="rtdsrv.458a5932996f485b8b1b8d7cbb3f77a6">
      <tp>
        <v>1</v>
        <stp/>
        <stp>17476a20-0000-41c6-a910-744c464fa9a7</stp>
        <tr r="AX14" s="132"/>
      </tp>
      <tp>
        <v>1</v>
        <stp/>
        <stp>e63bb83b-ba8d-4288-9f35-d4d1a8bfd150</stp>
        <tr r="K98" s="130"/>
      </tp>
    </main>
    <main first="rtdsrv.458a5932996f485b8b1b8d7cbb3f77a6">
      <tp>
        <v>1</v>
        <stp/>
        <stp>03703762-2829-4d0a-a4c8-fb4305db2967</stp>
        <tr r="H14" s="132"/>
      </tp>
    </main>
    <main first="rtdsrv.458a5932996f485b8b1b8d7cbb3f77a6">
      <tp>
        <v>1</v>
        <stp/>
        <stp>1d9b7265-26c7-4efc-b36a-4bb5b086c9ea</stp>
        <tr r="AS83" s="130"/>
      </tp>
    </main>
    <main first="rtdsrv.458a5932996f485b8b1b8d7cbb3f77a6">
      <tp>
        <v>1</v>
        <stp/>
        <stp>8c075caf-830d-4506-8f32-5b602782a291</stp>
        <tr r="AW21" s="130"/>
      </tp>
    </main>
    <main first="rtdsrv.458a5932996f485b8b1b8d7cbb3f77a6">
      <tp>
        <v>1</v>
        <stp/>
        <stp>e2fe4834-779e-4bcb-97f5-251133292e3c</stp>
        <tr r="I56" s="130"/>
      </tp>
    </main>
    <main first="rtdsrv.458a5932996f485b8b1b8d7cbb3f77a6">
      <tp>
        <v>1</v>
        <stp/>
        <stp>68a745fa-e278-4570-9d45-ada3b03e1b59</stp>
        <tr r="FV12" s="132"/>
      </tp>
    </main>
    <main first="rtdsrv.458a5932996f485b8b1b8d7cbb3f77a6">
      <tp>
        <v>1</v>
        <stp/>
        <stp>9a898304-4af4-4a36-81c8-1d5fe952c416</stp>
        <tr r="BF5" s="132"/>
      </tp>
    </main>
    <main first="rtdsrv.458a5932996f485b8b1b8d7cbb3f77a6">
      <tp>
        <v>1</v>
        <stp/>
        <stp>051d0767-96b7-45e4-9e0f-11a0fafcd501</stp>
        <tr r="AS68" s="130"/>
      </tp>
    </main>
    <main first="rtdsrv.458a5932996f485b8b1b8d7cbb3f77a6">
      <tp>
        <v>1</v>
        <stp/>
        <stp>2bbe590d-6b6f-49b0-ae2d-5ffdef4065ff</stp>
        <tr r="AB87" s="130"/>
      </tp>
    </main>
    <main first="rtdsrv.458a5932996f485b8b1b8d7cbb3f77a6">
      <tp>
        <v>1</v>
        <stp/>
        <stp>2504d7da-119a-44a4-a278-c166ec9d2822</stp>
        <tr r="AB40" s="130"/>
      </tp>
    </main>
    <main first="rtdsrv.458a5932996f485b8b1b8d7cbb3f77a6">
      <tp>
        <v>1</v>
        <stp/>
        <stp>48b7442f-2039-4ddd-bb17-691c880df06d</stp>
        <tr r="O67" s="130"/>
      </tp>
    </main>
    <main first="rtdsrv.458a5932996f485b8b1b8d7cbb3f77a6">
      <tp>
        <v>1</v>
        <stp/>
        <stp>1e703630-3666-4008-bf15-c4242c4a4da2</stp>
        <tr r="R89" s="130"/>
      </tp>
    </main>
    <main first="rtdsrv.458a5932996f485b8b1b8d7cbb3f77a6">
      <tp>
        <v>1</v>
        <stp/>
        <stp>cde4479b-c361-4bde-90a4-ebff349ab8ea</stp>
        <tr r="Q43" s="130"/>
      </tp>
    </main>
    <main first="rtdsrv.458a5932996f485b8b1b8d7cbb3f77a6">
      <tp>
        <v>1</v>
        <stp/>
        <stp>2bd79730-a0b0-4a89-83fe-52a9e7401462</stp>
        <tr r="W9" s="130"/>
      </tp>
    </main>
    <main first="rtdsrv.458a5932996f485b8b1b8d7cbb3f77a6">
      <tp>
        <v>1</v>
        <stp/>
        <stp>c4563950-0b95-43e0-bc49-418e00087b27</stp>
        <tr r="BG36" s="130"/>
      </tp>
    </main>
    <main first="rtdsrv.458a5932996f485b8b1b8d7cbb3f77a6">
      <tp>
        <v>1</v>
        <stp/>
        <stp>988732ec-d3b6-45ac-b5dd-3cc6ab1f5295</stp>
        <tr r="S6" s="132"/>
      </tp>
    </main>
    <main first="rtdsrv.458a5932996f485b8b1b8d7cbb3f77a6">
      <tp>
        <v>1</v>
        <stp/>
        <stp>1eaf345d-871f-4750-b82c-d131c3bbd306</stp>
        <tr r="AU16" s="130"/>
      </tp>
    </main>
    <main first="rtdsrv.458a5932996f485b8b1b8d7cbb3f77a6">
      <tp>
        <v>1</v>
        <stp/>
        <stp>fe73c336-5afa-4ee7-805a-b5cc9974d71b</stp>
        <tr r="K20" s="130"/>
      </tp>
    </main>
    <main first="rtdsrv.458a5932996f485b8b1b8d7cbb3f77a6">
      <tp>
        <v>1</v>
        <stp/>
        <stp>5601acbd-01cd-4581-b724-43371869173f</stp>
        <tr r="AO27" s="130"/>
      </tp>
    </main>
    <main first="rtdsrv.458a5932996f485b8b1b8d7cbb3f77a6">
      <tp>
        <v>1</v>
        <stp/>
        <stp>63f7451c-44ce-45c2-865f-a977addcc248</stp>
        <tr r="CO15" s="132"/>
      </tp>
    </main>
    <main first="rtdsrv.458a5932996f485b8b1b8d7cbb3f77a6">
      <tp>
        <v>1</v>
        <stp/>
        <stp>cdf5bf66-e40a-4239-87c7-95519075bb3b</stp>
        <tr r="BG75" s="130"/>
      </tp>
    </main>
    <main first="rtdsrv.458a5932996f485b8b1b8d7cbb3f77a6">
      <tp>
        <v>1</v>
        <stp/>
        <stp>ad3b2f16-22b4-4d56-8f0d-d803e770ac12</stp>
        <tr r="V82" s="130"/>
      </tp>
    </main>
    <main first="rtdsrv.458a5932996f485b8b1b8d7cbb3f77a6">
      <tp>
        <v>1</v>
        <stp/>
        <stp>28dad603-5001-4f55-bff4-692f73f078f3</stp>
        <tr r="AE36" s="130"/>
      </tp>
    </main>
    <main first="rtdsrv.458a5932996f485b8b1b8d7cbb3f77a6">
      <tp>
        <v>1</v>
        <stp/>
        <stp>f370d8bd-fc7b-4095-a615-0f4fa7ccab65</stp>
        <tr r="AY11" s="130"/>
      </tp>
    </main>
    <main first="rtdsrv.458a5932996f485b8b1b8d7cbb3f77a6">
      <tp>
        <v>1</v>
        <stp/>
        <stp>9cd34cdb-ddf5-40f9-a673-f8891856e094</stp>
        <tr r="DL5" s="132"/>
      </tp>
    </main>
    <main first="rtdsrv.458a5932996f485b8b1b8d7cbb3f77a6">
      <tp>
        <v>1</v>
        <stp/>
        <stp>0c2cc346-b0f6-44ca-a896-a079bb658bb7</stp>
        <tr r="V70" s="130"/>
      </tp>
      <tp>
        <v>1</v>
        <stp/>
        <stp>3c3f7234-5381-47d5-8c96-18c9a33a296a</stp>
        <tr r="AH43" s="130"/>
      </tp>
    </main>
    <main first="rtdsrv.458a5932996f485b8b1b8d7cbb3f77a6">
      <tp>
        <v>1</v>
        <stp/>
        <stp>0562a325-7508-4abb-a3ee-dd37b84a5009</stp>
        <tr r="BE80" s="130"/>
      </tp>
    </main>
    <main first="rtdsrv.458a5932996f485b8b1b8d7cbb3f77a6">
      <tp>
        <v>1</v>
        <stp/>
        <stp>8ac2fea4-4625-4db2-bd05-f96b3e7f14c2</stp>
        <tr r="BB88" s="130"/>
      </tp>
    </main>
    <main first="rtdsrv.458a5932996f485b8b1b8d7cbb3f77a6">
      <tp>
        <v>1</v>
        <stp/>
        <stp>e6444b6a-dcb1-4731-b1d2-1c1ff8e94dd3</stp>
        <tr r="ES12" s="132"/>
      </tp>
    </main>
    <main first="rtdsrv.458a5932996f485b8b1b8d7cbb3f77a6">
      <tp>
        <v>1</v>
        <stp/>
        <stp>3b246024-ddcf-44c5-8f6b-f9326e3cc3e4</stp>
        <tr r="AB70" s="130"/>
      </tp>
    </main>
    <main first="rtdsrv.458a5932996f485b8b1b8d7cbb3f77a6">
      <tp>
        <v>1</v>
        <stp/>
        <stp>0869bfbb-7f60-4d1c-8c6f-178d3b7af37a</stp>
        <tr r="C41" s="130"/>
      </tp>
    </main>
    <main first="rtdsrv.458a5932996f485b8b1b8d7cbb3f77a6">
      <tp>
        <v>1</v>
        <stp/>
        <stp>b14f9c6d-4bd2-485d-88b7-98255c994a08</stp>
        <tr r="BF64" s="130"/>
      </tp>
      <tp>
        <v>1</v>
        <stp/>
        <stp>e1027984-041b-49c2-a1f7-bccc10292e6d</stp>
        <tr r="AY39" s="130"/>
      </tp>
    </main>
    <main first="rtdsrv.458a5932996f485b8b1b8d7cbb3f77a6">
      <tp>
        <v>1</v>
        <stp/>
        <stp>d4625362-eec2-4d2b-9bde-6814eee5bc8c</stp>
        <tr r="AJ81" s="130"/>
      </tp>
    </main>
    <main first="rtdsrv.458a5932996f485b8b1b8d7cbb3f77a6">
      <tp>
        <v>1</v>
        <stp/>
        <stp>88ff5cb3-9f11-4065-9d80-73a61bf5dd95</stp>
        <tr r="T65" s="130"/>
      </tp>
    </main>
    <main first="rtdsrv.458a5932996f485b8b1b8d7cbb3f77a6">
      <tp>
        <v>1</v>
        <stp/>
        <stp>672e3849-a984-4b5a-86d3-4027fc231baa</stp>
        <tr r="S87" s="130"/>
      </tp>
      <tp>
        <v>1</v>
        <stp/>
        <stp>1691b9d8-3892-452a-8179-7f20dcef55f0</stp>
        <tr r="FL8" s="132"/>
      </tp>
      <tp>
        <v>1</v>
        <stp/>
        <stp>9def3e93-2e3f-461c-9b05-b0033336e9b5</stp>
        <tr r="AZ16" s="130"/>
      </tp>
    </main>
    <main first="rtdsrv.458a5932996f485b8b1b8d7cbb3f77a6">
      <tp>
        <v>1</v>
        <stp/>
        <stp>9e1739d8-d44b-4749-be1c-cc8cf8f6a113</stp>
        <tr r="S14" s="130"/>
        <tr r="S26" s="130"/>
      </tp>
    </main>
    <main first="rtdsrv.458a5932996f485b8b1b8d7cbb3f77a6">
      <tp>
        <v>1</v>
        <stp/>
        <stp>ea0ac0db-1ed8-4e62-b89d-4493b4455164</stp>
        <tr r="CM6" s="132"/>
      </tp>
      <tp>
        <v>1</v>
        <stp/>
        <stp>891f8737-885a-43e8-b00e-b7c546308eab</stp>
        <tr r="F64" s="130"/>
      </tp>
      <tp>
        <v>1</v>
        <stp/>
        <stp>f571312a-04be-4dcd-a965-4dfaaa430985</stp>
        <tr r="D71" s="130"/>
      </tp>
    </main>
    <main first="rtdsrv.458a5932996f485b8b1b8d7cbb3f77a6">
      <tp>
        <v>1</v>
        <stp/>
        <stp>d5ac97ff-569a-4dbc-b002-4b9f28786dca</stp>
        <tr r="BB71" s="130"/>
      </tp>
    </main>
    <main first="rtdsrv.458a5932996f485b8b1b8d7cbb3f77a6">
      <tp>
        <v>1</v>
        <stp/>
        <stp>1dd01608-03db-4709-9a68-6bf651cccd43</stp>
        <tr r="AB56" s="130"/>
      </tp>
    </main>
    <main first="rtdsrv.458a5932996f485b8b1b8d7cbb3f77a6">
      <tp>
        <v>1</v>
        <stp/>
        <stp>0f157dd0-e1ee-404a-a985-be98c07ed11b</stp>
        <tr r="FD6" s="132"/>
      </tp>
      <tp>
        <v>1</v>
        <stp/>
        <stp>affba0e3-6c9e-4a06-bcc4-93942d47087e</stp>
        <tr r="AA81" s="130"/>
      </tp>
    </main>
    <main first="rtdsrv.458a5932996f485b8b1b8d7cbb3f77a6">
      <tp>
        <v>1</v>
        <stp/>
        <stp>8265ecdc-a9f0-44db-9877-88aaa5a0422d</stp>
        <tr r="BA41" s="130"/>
      </tp>
      <tp>
        <v>1</v>
        <stp/>
        <stp>3c45cd14-3288-4b03-9f86-7dba778ad644</stp>
        <tr r="C30" s="130"/>
      </tp>
    </main>
    <main first="rtdsrv.458a5932996f485b8b1b8d7cbb3f77a6">
      <tp>
        <v>1</v>
        <stp/>
        <stp>cad3ae7e-96e2-4bae-840c-fa87c52b4fcc</stp>
        <tr r="Y59" s="130"/>
      </tp>
      <tp>
        <v>1</v>
        <stp/>
        <stp>3eb1e5f2-4f6b-4c0d-bc89-5872acbe69a8</stp>
        <tr r="AD8" s="132"/>
      </tp>
      <tp>
        <v>1</v>
        <stp/>
        <stp>5dd677cc-3c36-4785-a788-d62999b7c8ce</stp>
        <tr r="Y79" s="130"/>
      </tp>
    </main>
    <main first="rtdsrv.458a5932996f485b8b1b8d7cbb3f77a6">
      <tp>
        <v>1</v>
        <stp/>
        <stp>8b6becd8-cbc6-484f-bc10-c08c5ffbc91f</stp>
        <tr r="EU13" s="132"/>
      </tp>
      <tp>
        <v>1</v>
        <stp/>
        <stp>021b25f2-c6e0-455e-88d4-c31079382582</stp>
        <tr r="AV21" s="130"/>
      </tp>
      <tp>
        <v>1</v>
        <stp/>
        <stp>7f8011ad-4adf-4a54-8891-e4e9ed1c7d22</stp>
        <tr r="AB39" s="130"/>
      </tp>
    </main>
    <main first="rtdsrv.458a5932996f485b8b1b8d7cbb3f77a6">
      <tp>
        <v>1</v>
        <stp/>
        <stp>9e0ef887-7d39-4812-a510-e327383b682e</stp>
        <tr r="BI33" s="130"/>
      </tp>
    </main>
    <main first="rtdsrv.458a5932996f485b8b1b8d7cbb3f77a6">
      <tp>
        <v>1</v>
        <stp/>
        <stp>58fc1d14-a861-4d85-852b-d2cd3e2f874c</stp>
        <tr r="X9" s="130"/>
      </tp>
    </main>
    <main first="rtdsrv.458a5932996f485b8b1b8d7cbb3f77a6">
      <tp>
        <v>1</v>
        <stp/>
        <stp>4b3b0932-2d13-4907-bc10-8688823c717d</stp>
        <tr r="AP61" s="130"/>
      </tp>
      <tp>
        <v>1</v>
        <stp/>
        <stp>58435f89-1a5a-487a-94e7-868cad392c9a</stp>
        <tr r="X88" s="130"/>
      </tp>
    </main>
    <main first="rtdsrv.458a5932996f485b8b1b8d7cbb3f77a6">
      <tp>
        <v>1</v>
        <stp/>
        <stp>7422b3f2-1775-4d24-bf3c-218e98669bfc</stp>
        <tr r="AJ70" s="130"/>
      </tp>
    </main>
    <main first="rtdsrv.458a5932996f485b8b1b8d7cbb3f77a6">
      <tp>
        <v>1</v>
        <stp/>
        <stp>0e2d13c2-0a8a-4f6b-829c-51f884de6b9c</stp>
        <tr r="AC98" s="130"/>
      </tp>
    </main>
    <main first="rtdsrv.458a5932996f485b8b1b8d7cbb3f77a6">
      <tp>
        <v>1</v>
        <stp/>
        <stp>b9da8328-208b-4665-8838-564c0728ee09</stp>
        <tr r="F25" s="130"/>
      </tp>
    </main>
    <main first="rtdsrv.458a5932996f485b8b1b8d7cbb3f77a6">
      <tp>
        <v>1</v>
        <stp/>
        <stp>afe6be8f-c454-41c9-a550-e6d174c7d47d</stp>
        <tr r="AL91" s="130"/>
      </tp>
    </main>
    <main first="rtdsrv.458a5932996f485b8b1b8d7cbb3f77a6">
      <tp>
        <v>1</v>
        <stp/>
        <stp>620ee9f0-3386-459e-8b08-34c7f2b41157</stp>
        <tr r="Y69" s="130"/>
      </tp>
      <tp>
        <v>1</v>
        <stp/>
        <stp>e8a1f81f-cc32-4c4b-b1dc-ec803825ad32</stp>
        <tr r="AR7" s="132"/>
      </tp>
    </main>
    <main first="rtdsrv.458a5932996f485b8b1b8d7cbb3f77a6">
      <tp>
        <v>1</v>
        <stp/>
        <stp>6fed9799-fe59-4aa3-9193-2fa05318823d</stp>
        <tr r="X85" s="130"/>
      </tp>
      <tp>
        <v>1</v>
        <stp/>
        <stp>5923f592-5aaf-4ef5-9e1c-4efa41bc33db</stp>
        <tr r="AV39" s="130"/>
      </tp>
    </main>
    <main first="rtdsrv.458a5932996f485b8b1b8d7cbb3f77a6">
      <tp>
        <v>1</v>
        <stp/>
        <stp>8ddfb6d3-a484-4e72-8c85-828217d63f7b</stp>
        <tr r="Q51" s="130"/>
        <tr r="Q46" s="130"/>
      </tp>
    </main>
    <main first="rtdsrv.458a5932996f485b8b1b8d7cbb3f77a6">
      <tp>
        <v>1</v>
        <stp/>
        <stp>d4da62ae-92f1-4f45-a3cf-8bb6ae8dc4ad</stp>
        <tr r="CP11" s="132"/>
      </tp>
    </main>
    <main first="rtdsrv.458a5932996f485b8b1b8d7cbb3f77a6">
      <tp>
        <v>1</v>
        <stp/>
        <stp>22f31a99-22a6-4398-87e3-3fc62325b3e9</stp>
        <tr r="AC39" s="130"/>
      </tp>
    </main>
    <main first="rtdsrv.458a5932996f485b8b1b8d7cbb3f77a6">
      <tp>
        <v>1</v>
        <stp/>
        <stp>bbf3b802-886f-4292-af04-794d2f75de33</stp>
        <tr r="AQ82" s="130"/>
      </tp>
    </main>
    <main first="rtdsrv.458a5932996f485b8b1b8d7cbb3f77a6">
      <tp>
        <v>1</v>
        <stp/>
        <stp>c86cf077-b935-4656-b21e-4b1fba04246e</stp>
        <tr r="AB14" s="130"/>
        <tr r="AB26" s="130"/>
      </tp>
    </main>
    <main first="rtdsrv.458a5932996f485b8b1b8d7cbb3f77a6">
      <tp>
        <v>1</v>
        <stp/>
        <stp>72bcc93f-ed6c-4bf1-8525-f79633dc2374</stp>
        <tr r="O20" s="130"/>
      </tp>
      <tp>
        <v>1</v>
        <stp/>
        <stp>c6171efb-de8a-4896-95f5-f791c32089fe</stp>
        <tr r="AS98" s="130"/>
      </tp>
    </main>
    <main first="rtdsrv.458a5932996f485b8b1b8d7cbb3f77a6">
      <tp>
        <v>1</v>
        <stp/>
        <stp>1446f8e0-df3f-4321-aff4-31918d49d0e1</stp>
        <tr r="H40" s="130"/>
      </tp>
    </main>
    <main first="rtdsrv.458a5932996f485b8b1b8d7cbb3f77a6">
      <tp>
        <v>1</v>
        <stp/>
        <stp>e3070a2a-9342-48ed-b8df-0d83ceb190fa</stp>
        <tr r="R97" s="130"/>
      </tp>
    </main>
    <main first="rtdsrv.458a5932996f485b8b1b8d7cbb3f77a6">
      <tp>
        <v>1</v>
        <stp/>
        <stp>098dea88-992e-484a-a86a-20c65e33a9c0</stp>
        <tr r="BI12" s="130"/>
      </tp>
      <tp>
        <v>1</v>
        <stp/>
        <stp>c4da0239-30e2-4a8a-be7b-9699d8bbb75e</stp>
        <tr r="AV69" s="130"/>
      </tp>
    </main>
    <main first="rtdsrv.458a5932996f485b8b1b8d7cbb3f77a6">
      <tp>
        <v>1</v>
        <stp/>
        <stp>c14dbbee-ddc7-4d99-a819-8c09a11b77f2</stp>
        <tr r="BE41" s="130"/>
      </tp>
      <tp>
        <v>1</v>
        <stp/>
        <stp>cac44a30-ab69-4291-878d-b212cd528d92</stp>
        <tr r="AD11" s="130"/>
      </tp>
    </main>
    <main first="rtdsrv.458a5932996f485b8b1b8d7cbb3f77a6">
      <tp>
        <v>1</v>
        <stp/>
        <stp>df9b1f91-de23-4523-8b9d-1fb98c09218f</stp>
        <tr r="AE8" s="132"/>
      </tp>
    </main>
    <main first="rtdsrv.458a5932996f485b8b1b8d7cbb3f77a6">
      <tp>
        <v>1</v>
        <stp/>
        <stp>b3ba17b7-f2f9-4736-b640-b10954063864</stp>
        <tr r="BF15" s="130"/>
      </tp>
    </main>
    <main first="rtdsrv.458a5932996f485b8b1b8d7cbb3f77a6">
      <tp>
        <v>1</v>
        <stp/>
        <stp>cbdd8332-07f4-4c5c-8d1a-19149f64e122</stp>
        <tr r="BR15" s="132"/>
      </tp>
    </main>
    <main first="rtdsrv.458a5932996f485b8b1b8d7cbb3f77a6">
      <tp>
        <v>1</v>
        <stp/>
        <stp>5cdbe975-4d8a-4b2c-b91c-ec75133731d5</stp>
        <tr r="E5" s="132"/>
      </tp>
      <tp>
        <v>1</v>
        <stp/>
        <stp>9e7c930e-2a23-4d44-8edb-b13dc96cda57</stp>
        <tr r="BJ87" s="130"/>
      </tp>
    </main>
    <main first="rtdsrv.458a5932996f485b8b1b8d7cbb3f77a6">
      <tp>
        <v>1</v>
        <stp/>
        <stp>0f1e61bd-9fbf-4d9b-b551-37cc8103fbc6</stp>
        <tr r="I61" s="130"/>
      </tp>
    </main>
    <main first="rtdsrv.458a5932996f485b8b1b8d7cbb3f77a6">
      <tp>
        <v>1</v>
        <stp/>
        <stp>d527536f-0892-4d9d-a2a3-e8804eaac3b2</stp>
        <tr r="AL63" s="130"/>
      </tp>
      <tp>
        <v>1</v>
        <stp/>
        <stp>f1a8b9d4-d0d1-41d0-ba20-d0a6226c61fc</stp>
        <tr r="Z12" s="132"/>
      </tp>
    </main>
    <main first="rtdsrv.458a5932996f485b8b1b8d7cbb3f77a6">
      <tp>
        <v>1</v>
        <stp/>
        <stp>a80cbc35-a4dd-4f74-b87e-5d5772a97223</stp>
        <tr r="S64" s="130"/>
      </tp>
      <tp>
        <v>1</v>
        <stp/>
        <stp>a2057573-8356-42ee-ab67-8ee6050ebab9</stp>
        <tr r="BD86" s="130"/>
      </tp>
    </main>
    <main first="rtdsrv.458a5932996f485b8b1b8d7cbb3f77a6">
      <tp>
        <v>1</v>
        <stp/>
        <stp>9c29a255-36bb-4a9c-8f97-c734d0e36bd9</stp>
        <tr r="AU74" s="130"/>
      </tp>
      <tp>
        <v>1</v>
        <stp/>
        <stp>5b78ee97-c3dc-4cd2-b075-c99b86d0c3a1</stp>
        <tr r="AQ18" s="130"/>
      </tp>
    </main>
    <main first="rtdsrv.458a5932996f485b8b1b8d7cbb3f77a6">
      <tp>
        <v>1</v>
        <stp/>
        <stp>12de7f77-6434-4349-beb7-a0760b1036ca</stp>
        <tr r="AH33" s="130"/>
      </tp>
    </main>
    <main first="rtdsrv.458a5932996f485b8b1b8d7cbb3f77a6">
      <tp>
        <v>1</v>
        <stp/>
        <stp>408b6afb-021a-4145-a182-bec5ce8f8104</stp>
        <tr r="GS15" s="132"/>
      </tp>
    </main>
    <main first="rtdsrv.458a5932996f485b8b1b8d7cbb3f77a6">
      <tp>
        <v>1</v>
        <stp/>
        <stp>33d760e3-8bf8-42fb-ad33-7dba6d1ae764</stp>
        <tr r="CM12" s="132"/>
      </tp>
      <tp>
        <v>1</v>
        <stp/>
        <stp>fb4dcc59-c2cb-4273-a32b-e8192b013dea</stp>
        <tr r="C65" s="130"/>
      </tp>
    </main>
    <main first="rtdsrv.458a5932996f485b8b1b8d7cbb3f77a6">
      <tp>
        <v>1</v>
        <stp/>
        <stp>31ed5d95-24b4-470c-b119-887fcb1b32a1</stp>
        <tr r="DC12" s="132"/>
      </tp>
    </main>
    <main first="rtdsrv.458a5932996f485b8b1b8d7cbb3f77a6">
      <tp>
        <v>1</v>
        <stp/>
        <stp>7f903a8e-6a6a-48ea-bd81-c6ef95243608</stp>
        <tr r="GH13" s="132"/>
      </tp>
    </main>
    <main first="rtdsrv.458a5932996f485b8b1b8d7cbb3f77a6">
      <tp>
        <v>1</v>
        <stp/>
        <stp>4b35523b-ebfb-47e4-80a6-8b9c3fc5f989</stp>
        <tr r="BI47" s="130"/>
        <tr r="BI52" s="130"/>
      </tp>
      <tp>
        <v>1</v>
        <stp/>
        <stp>91b1471d-2e59-48cc-a9a6-8baf413998d9</stp>
        <tr r="M66" s="130"/>
      </tp>
    </main>
    <main first="rtdsrv.458a5932996f485b8b1b8d7cbb3f77a6">
      <tp>
        <v>1</v>
        <stp/>
        <stp>794bd656-7665-46e6-b8ec-c6ed9f573f28</stp>
        <tr r="EO16" s="132"/>
      </tp>
    </main>
    <main first="rtdsrv.458a5932996f485b8b1b8d7cbb3f77a6">
      <tp>
        <v>1</v>
        <stp/>
        <stp>36958a2d-c83f-4576-86ab-9378b8d42549</stp>
        <tr r="BK55" s="130"/>
      </tp>
    </main>
    <main first="rtdsrv.458a5932996f485b8b1b8d7cbb3f77a6">
      <tp>
        <v>1</v>
        <stp/>
        <stp>23427804-bee9-40bd-8d65-b113ced8f27e</stp>
        <tr r="BC43" s="130"/>
      </tp>
      <tp>
        <v>1</v>
        <stp/>
        <stp>8a2bfc96-62d2-4b39-a918-3f931a6e8f8a</stp>
        <tr r="I24" s="130"/>
      </tp>
    </main>
    <main first="rtdsrv.458a5932996f485b8b1b8d7cbb3f77a6">
      <tp>
        <v>1</v>
        <stp/>
        <stp>d78c5c4f-a8b6-4bd2-bcdd-882442e2e41b</stp>
        <tr r="M98" s="130"/>
      </tp>
    </main>
    <main first="rtdsrv.458a5932996f485b8b1b8d7cbb3f77a6">
      <tp>
        <v>1</v>
        <stp/>
        <stp>4f789081-6135-4f57-8f2a-c98b274546e1</stp>
        <tr r="DZ12" s="132"/>
      </tp>
    </main>
    <main first="rtdsrv.458a5932996f485b8b1b8d7cbb3f77a6">
      <tp>
        <v>1</v>
        <stp/>
        <stp>e8854c5b-a236-4be5-9cd9-33e4ed07dae3</stp>
        <tr r="GB14" s="132"/>
      </tp>
      <tp>
        <v>1</v>
        <stp/>
        <stp>81049f47-536f-4dc9-b31d-e222f3d85636</stp>
        <tr r="AL45" s="130"/>
      </tp>
      <tp>
        <v>1</v>
        <stp/>
        <stp>9f640c41-a387-4007-b57e-6870fccb7b63</stp>
        <tr r="X16" s="132"/>
      </tp>
    </main>
    <main first="rtdsrv.458a5932996f485b8b1b8d7cbb3f77a6">
      <tp>
        <v>1</v>
        <stp/>
        <stp>0fcd5160-005f-4db9-97d9-7fc47d03be91</stp>
        <tr r="AO37" s="130"/>
      </tp>
    </main>
    <main first="rtdsrv.458a5932996f485b8b1b8d7cbb3f77a6">
      <tp>
        <v>1</v>
        <stp/>
        <stp>65d26645-3228-4789-ae67-2d18c57983d4</stp>
        <tr r="BH26" s="130"/>
        <tr r="BH14" s="130"/>
      </tp>
    </main>
    <main first="rtdsrv.458a5932996f485b8b1b8d7cbb3f77a6">
      <tp>
        <v>1</v>
        <stp/>
        <stp>43d5f359-5d1f-4d79-b64e-d145b7633cec</stp>
        <tr r="AD61" s="130"/>
      </tp>
    </main>
    <main first="rtdsrv.458a5932996f485b8b1b8d7cbb3f77a6">
      <tp>
        <v>1</v>
        <stp/>
        <stp>293f3aea-4731-4f5a-abd7-32f6b51c236a</stp>
        <tr r="AI90" s="130"/>
      </tp>
    </main>
    <main first="rtdsrv.458a5932996f485b8b1b8d7cbb3f77a6">
      <tp>
        <v>1</v>
        <stp/>
        <stp>8b9324aa-305a-487f-b768-e6cb880cef47</stp>
        <tr r="FK6" s="132"/>
      </tp>
    </main>
    <main first="rtdsrv.458a5932996f485b8b1b8d7cbb3f77a6">
      <tp>
        <v>1</v>
        <stp/>
        <stp>47058125-dfa1-4517-aeae-1e74a4b038c9</stp>
        <tr r="Q9" s="130"/>
      </tp>
    </main>
    <main first="rtdsrv.458a5932996f485b8b1b8d7cbb3f77a6">
      <tp>
        <v>1</v>
        <stp/>
        <stp>974bd347-114f-457b-9446-2c595df059d2</stp>
        <tr r="AR30" s="130"/>
      </tp>
    </main>
    <main first="rtdsrv.458a5932996f485b8b1b8d7cbb3f77a6">
      <tp>
        <v>1</v>
        <stp/>
        <stp>7f5cb772-768c-4018-b36d-31e0863ac260</stp>
        <tr r="O66" s="130"/>
      </tp>
      <tp>
        <v>1</v>
        <stp/>
        <stp>7fcc72e1-c1f3-41d4-b920-e915afb2e3d9</stp>
        <tr r="BK8" s="130"/>
      </tp>
    </main>
    <main first="rtdsrv.458a5932996f485b8b1b8d7cbb3f77a6">
      <tp>
        <v>1</v>
        <stp/>
        <stp>04d76bd6-9f88-403c-a921-e029b2d3fa1d</stp>
        <tr r="AP74" s="130"/>
      </tp>
    </main>
    <main first="rtdsrv.458a5932996f485b8b1b8d7cbb3f77a6">
      <tp>
        <v>1</v>
        <stp/>
        <stp>bc20a9ba-f0ef-41a4-a15f-461d2e64f316</stp>
        <tr r="I16" s="130"/>
      </tp>
    </main>
    <main first="rtdsrv.458a5932996f485b8b1b8d7cbb3f77a6">
      <tp>
        <v>1</v>
        <stp/>
        <stp>69a8f16e-69fe-4fed-8a38-4adafb61e744</stp>
        <tr r="BC20" s="130"/>
      </tp>
      <tp>
        <v>1</v>
        <stp/>
        <stp>1f0fc05d-2301-44e7-a190-f6fce9d19844</stp>
        <tr r="HD13" s="132"/>
      </tp>
    </main>
    <main first="rtdsrv.458a5932996f485b8b1b8d7cbb3f77a6">
      <tp>
        <v>1</v>
        <stp/>
        <stp>e22cc5ea-ad74-4fba-80f1-18a754d2507d</stp>
        <tr r="E74" s="130"/>
      </tp>
    </main>
    <main first="rtdsrv.458a5932996f485b8b1b8d7cbb3f77a6">
      <tp>
        <v>1</v>
        <stp/>
        <stp>9fbf345e-c23d-4790-a563-0e5546dac978</stp>
        <tr r="BG35" s="130"/>
      </tp>
    </main>
    <main first="rtdsrv.458a5932996f485b8b1b8d7cbb3f77a6">
      <tp>
        <v>1</v>
        <stp/>
        <stp>2a101cd9-11ab-4372-892d-9b0b58e4e4df</stp>
        <tr r="M80" s="130"/>
      </tp>
      <tp>
        <v>1</v>
        <stp/>
        <stp>d5aebe75-980b-44a8-afbd-990301200f9d</stp>
        <tr r="W20" s="130"/>
      </tp>
      <tp>
        <v>1</v>
        <stp/>
        <stp>487ef938-5ccc-4db5-93a3-c91beaa49e5d</stp>
        <tr r="AQ11" s="130"/>
      </tp>
    </main>
    <main first="rtdsrv.458a5932996f485b8b1b8d7cbb3f77a6">
      <tp>
        <v>1</v>
        <stp/>
        <stp>16a71f18-dc47-4e59-ae65-ca73339ee495</stp>
        <tr r="C59" s="130"/>
      </tp>
    </main>
    <main first="rtdsrv.458a5932996f485b8b1b8d7cbb3f77a6">
      <tp>
        <v>1</v>
        <stp/>
        <stp>b9c8beaa-3489-48a9-ad32-7877264fc661</stp>
        <tr r="BJ65" s="130"/>
      </tp>
    </main>
    <main first="rtdsrv.458a5932996f485b8b1b8d7cbb3f77a6">
      <tp>
        <v>1</v>
        <stp/>
        <stp>51987155-d28e-425d-af76-66b618cc9d80</stp>
        <tr r="AW37" s="130"/>
      </tp>
    </main>
    <main first="rtdsrv.458a5932996f485b8b1b8d7cbb3f77a6">
      <tp>
        <v>1</v>
        <stp/>
        <stp>cdeb70e9-bd23-4e8b-9793-d92c8009e9df</stp>
        <tr r="FT9" s="132"/>
      </tp>
    </main>
    <main first="rtdsrv.458a5932996f485b8b1b8d7cbb3f77a6">
      <tp>
        <v>1</v>
        <stp/>
        <stp>8bc1df4b-b2d6-4127-a19f-8e1ea1151a1c</stp>
        <tr r="CK6" s="132"/>
      </tp>
    </main>
    <main first="rtdsrv.458a5932996f485b8b1b8d7cbb3f77a6">
      <tp>
        <v>1</v>
        <stp/>
        <stp>51c3c01e-db47-45a9-8fdd-83e9ec49f571</stp>
        <tr r="AE87" s="130"/>
      </tp>
    </main>
    <main first="rtdsrv.458a5932996f485b8b1b8d7cbb3f77a6">
      <tp>
        <v>1</v>
        <stp/>
        <stp>8b41012b-e2c3-4c35-9076-61329966aa55</stp>
        <tr r="HE6" s="132"/>
      </tp>
      <tp>
        <v>1</v>
        <stp/>
        <stp>98effeaa-81d9-4b58-8892-e9b9a2a9726c</stp>
        <tr r="ER16" s="132"/>
      </tp>
    </main>
    <main first="rtdsrv.458a5932996f485b8b1b8d7cbb3f77a6">
      <tp>
        <v>1</v>
        <stp/>
        <stp>62388e18-84d8-4ae5-8f41-e7e4856991f7</stp>
        <tr r="Q84" s="130"/>
      </tp>
    </main>
    <main first="rtdsrv.458a5932996f485b8b1b8d7cbb3f77a6">
      <tp>
        <v>1</v>
        <stp/>
        <stp>8e2e763b-5ca9-443f-b564-59441dd12649</stp>
        <tr r="F78" s="130"/>
      </tp>
    </main>
    <main first="rtdsrv.458a5932996f485b8b1b8d7cbb3f77a6">
      <tp>
        <v>1</v>
        <stp/>
        <stp>bc01a477-b774-413c-a9a5-7faec93a45d4</stp>
        <tr r="C78" s="130"/>
      </tp>
    </main>
    <main first="rtdsrv.458a5932996f485b8b1b8d7cbb3f77a6">
      <tp>
        <v>1</v>
        <stp/>
        <stp>c7a9690e-36d4-433a-b227-3d6d3da3734e</stp>
        <tr r="FF6" s="132"/>
      </tp>
    </main>
    <main first="rtdsrv.458a5932996f485b8b1b8d7cbb3f77a6">
      <tp>
        <v>1</v>
        <stp/>
        <stp>c033c0f0-e6c3-455e-9864-3f2f78b90546</stp>
        <tr r="D90" s="130"/>
      </tp>
    </main>
    <main first="rtdsrv.458a5932996f485b8b1b8d7cbb3f77a6">
      <tp>
        <v>1</v>
        <stp/>
        <stp>212aebb5-ff79-4255-ad14-c92c66e27cfb</stp>
        <tr r="AB20" s="130"/>
      </tp>
    </main>
    <main first="rtdsrv.458a5932996f485b8b1b8d7cbb3f77a6">
      <tp>
        <v>1</v>
        <stp/>
        <stp>8a76f207-fab9-472e-8a00-62c0f851a73b</stp>
        <tr r="GI11" s="132"/>
      </tp>
    </main>
    <main first="rtdsrv.458a5932996f485b8b1b8d7cbb3f77a6">
      <tp>
        <v>1</v>
        <stp/>
        <stp>382414a7-5ff5-494f-8b1d-710594c8e61f</stp>
        <tr r="AI27" s="130"/>
      </tp>
    </main>
    <main first="rtdsrv.458a5932996f485b8b1b8d7cbb3f77a6">
      <tp>
        <v>1</v>
        <stp/>
        <stp>7d15d6b3-2c6e-44a1-86c7-8d4d28ecd3e6</stp>
        <tr r="AZ40" s="130"/>
      </tp>
    </main>
    <main first="rtdsrv.458a5932996f485b8b1b8d7cbb3f77a6">
      <tp>
        <v>1</v>
        <stp/>
        <stp>745b9264-05fb-41d7-9b61-57f239e7fd74</stp>
        <tr r="Y16" s="130"/>
      </tp>
      <tp>
        <v>1</v>
        <stp/>
        <stp>8eae40fb-1b1d-48de-89f9-a259201908da</stp>
        <tr r="BD33" s="130"/>
      </tp>
    </main>
    <main first="rtdsrv.458a5932996f485b8b1b8d7cbb3f77a6">
      <tp>
        <v>1</v>
        <stp/>
        <stp>90c6c813-ba03-4d4e-adf6-8282eb661d7e</stp>
        <tr r="Z77" s="130"/>
      </tp>
    </main>
    <main first="rtdsrv.458a5932996f485b8b1b8d7cbb3f77a6">
      <tp>
        <v>1</v>
        <stp/>
        <stp>c3769862-937d-4978-a9b1-7070e484a103</stp>
        <tr r="L17" s="130"/>
      </tp>
      <tp>
        <v>1</v>
        <stp/>
        <stp>39e74cfb-5bbf-4668-b223-4a8dfa2be8da</stp>
        <tr r="U11" s="130"/>
      </tp>
    </main>
    <main first="rtdsrv.458a5932996f485b8b1b8d7cbb3f77a6">
      <tp>
        <v>1</v>
        <stp/>
        <stp>ad70455e-489f-437d-8c9e-2d3db35422e6</stp>
        <tr r="Q41" s="130"/>
      </tp>
    </main>
    <main first="rtdsrv.458a5932996f485b8b1b8d7cbb3f77a6">
      <tp>
        <v>1</v>
        <stp/>
        <stp>09417571-fd80-4e93-ac32-fc8560a9dd1e</stp>
        <tr r="T55" s="130"/>
      </tp>
    </main>
    <main first="rtdsrv.458a5932996f485b8b1b8d7cbb3f77a6">
      <tp>
        <v>1</v>
        <stp/>
        <stp>45d2590e-8f5e-4255-b7c7-9ad74fe19890</stp>
        <tr r="AM25" s="130"/>
      </tp>
    </main>
    <main first="rtdsrv.458a5932996f485b8b1b8d7cbb3f77a6">
      <tp>
        <v>1</v>
        <stp/>
        <stp>6286b592-b0d5-465a-95b5-a4e8a9ea4699</stp>
        <tr r="O87" s="130"/>
      </tp>
    </main>
    <main first="rtdsrv.458a5932996f485b8b1b8d7cbb3f77a6">
      <tp>
        <v>1</v>
        <stp/>
        <stp>6bbbc298-5e35-4a33-9fa3-abb040ce1824</stp>
        <tr r="CM13" s="132"/>
      </tp>
    </main>
    <main first="rtdsrv.458a5932996f485b8b1b8d7cbb3f77a6">
      <tp>
        <v>1</v>
        <stp/>
        <stp>42ae1016-4860-46ee-8989-af912b0e62fa</stp>
        <tr r="FA5" s="132"/>
      </tp>
    </main>
    <main first="rtdsrv.458a5932996f485b8b1b8d7cbb3f77a6">
      <tp>
        <v>1</v>
        <stp/>
        <stp>d790e9b1-ac97-4c3b-9b14-67afa7e1da66</stp>
        <tr r="BD41" s="130"/>
      </tp>
      <tp>
        <v>1</v>
        <stp/>
        <stp>d9546f56-6730-49b0-9058-3d02e00b2e1c</stp>
        <tr r="BH70" s="130"/>
      </tp>
    </main>
    <main first="rtdsrv.458a5932996f485b8b1b8d7cbb3f77a6">
      <tp>
        <v>1</v>
        <stp/>
        <stp>00a0106d-f2dc-44fb-b65c-074b5c8d284a</stp>
        <tr r="K13" s="130"/>
      </tp>
    </main>
    <main first="rtdsrv.458a5932996f485b8b1b8d7cbb3f77a6">
      <tp>
        <v>1</v>
        <stp/>
        <stp>c02e4404-458e-40de-8280-208bb5cba5c6</stp>
        <tr r="J70" s="130"/>
      </tp>
    </main>
    <main first="rtdsrv.458a5932996f485b8b1b8d7cbb3f77a6">
      <tp>
        <v>1</v>
        <stp/>
        <stp>4cdbd5ce-37b4-4e56-8d95-fbf92d8011de</stp>
        <tr r="AY34" s="130"/>
      </tp>
    </main>
    <main first="rtdsrv.458a5932996f485b8b1b8d7cbb3f77a6">
      <tp>
        <v>1</v>
        <stp/>
        <stp>2f2ac630-183b-416d-ba9c-b5f4f64f2b78</stp>
        <tr r="AF58" s="130"/>
      </tp>
    </main>
    <main first="rtdsrv.458a5932996f485b8b1b8d7cbb3f77a6">
      <tp>
        <v>1</v>
        <stp/>
        <stp>f1876e47-44da-435f-aecf-dcb37b76d940</stp>
        <tr r="P40" s="130"/>
      </tp>
      <tp>
        <v>1</v>
        <stp/>
        <stp>e08d2377-4616-433f-bcc0-e5a62bf5d813</stp>
        <tr r="FZ15" s="132"/>
      </tp>
    </main>
    <main first="rtdsrv.458a5932996f485b8b1b8d7cbb3f77a6">
      <tp>
        <v>1</v>
        <stp/>
        <stp>52de5a2d-3509-4b20-9595-3d62f39a9cf7</stp>
        <tr r="AQ83" s="130"/>
      </tp>
      <tp>
        <v>1</v>
        <stp/>
        <stp>cc21fd63-3590-437c-b94a-79cd8f819a42</stp>
        <tr r="K23" s="130"/>
      </tp>
    </main>
    <main first="rtdsrv.458a5932996f485b8b1b8d7cbb3f77a6">
      <tp>
        <v>1</v>
        <stp/>
        <stp>91200e9b-ed52-4df0-91a6-69c2650f815d</stp>
        <tr r="GP6" s="132"/>
      </tp>
    </main>
    <main first="rtdsrv.458a5932996f485b8b1b8d7cbb3f77a6">
      <tp>
        <v>1</v>
        <stp/>
        <stp>a9a85e2b-efe8-4d27-860b-4a98640676f3</stp>
        <tr r="AI33" s="130"/>
      </tp>
      <tp>
        <v>1</v>
        <stp/>
        <stp>e51d503b-926a-4e66-9831-f096923e5f3d</stp>
        <tr r="N11" s="132"/>
      </tp>
      <tp>
        <v>1</v>
        <stp/>
        <stp>2066b077-cc73-412d-9f30-817ae9d31a97</stp>
        <tr r="I14" s="132"/>
      </tp>
    </main>
    <main first="rtdsrv.458a5932996f485b8b1b8d7cbb3f77a6">
      <tp>
        <v>1</v>
        <stp/>
        <stp>2b8dec4f-dd0b-41b5-a83c-d66d1833d062</stp>
        <tr r="I70" s="130"/>
      </tp>
      <tp>
        <v>1</v>
        <stp/>
        <stp>1a51bd5c-0371-4a08-a732-63816ce313da</stp>
        <tr r="AT27" s="130"/>
      </tp>
    </main>
    <main first="rtdsrv.458a5932996f485b8b1b8d7cbb3f77a6">
      <tp>
        <v>1</v>
        <stp/>
        <stp>135a61a8-ef67-4af8-99f6-6f99760d545d</stp>
        <tr r="U47" s="130"/>
        <tr r="U52" s="130"/>
      </tp>
    </main>
    <main first="rtdsrv.458a5932996f485b8b1b8d7cbb3f77a6">
      <tp>
        <v>1</v>
        <stp/>
        <stp>af8bdf13-cc39-4869-b045-f04526dc257d</stp>
        <tr r="L10" s="130"/>
      </tp>
    </main>
    <main first="rtdsrv.458a5932996f485b8b1b8d7cbb3f77a6">
      <tp>
        <v>1</v>
        <stp/>
        <stp>9e722f95-e16e-47da-bc22-3a54a194d887</stp>
        <tr r="AB7" s="130"/>
      </tp>
      <tp>
        <v>1</v>
        <stp/>
        <stp>81fd7d50-46e0-4584-9c5d-e14bb558f995</stp>
        <tr r="D57" s="130"/>
      </tp>
    </main>
    <main first="rtdsrv.458a5932996f485b8b1b8d7cbb3f77a6">
      <tp>
        <v>1</v>
        <stp/>
        <stp>1b9d29a4-2fa7-4ee6-aa53-86c27e41edcf</stp>
        <tr r="AA91" s="130"/>
      </tp>
    </main>
    <main first="rtdsrv.458a5932996f485b8b1b8d7cbb3f77a6">
      <tp>
        <v>1</v>
        <stp/>
        <stp>a54e0e85-a128-4311-8ad6-0e047e2c190d</stp>
        <tr r="T20" s="130"/>
      </tp>
    </main>
    <main first="rtdsrv.458a5932996f485b8b1b8d7cbb3f77a6">
      <tp>
        <v>1</v>
        <stp/>
        <stp>0e881e97-d7f7-432e-b2e0-c1c721d55985</stp>
        <tr r="O94" s="130"/>
      </tp>
    </main>
    <main first="rtdsrv.458a5932996f485b8b1b8d7cbb3f77a6">
      <tp>
        <v>1</v>
        <stp/>
        <stp>1d19a682-3b12-4b8e-899b-77bc7ab1f63d</stp>
        <tr r="AG78" s="130"/>
      </tp>
    </main>
    <main first="rtdsrv.458a5932996f485b8b1b8d7cbb3f77a6">
      <tp>
        <v>1</v>
        <stp/>
        <stp>81be1880-7f8c-4e8d-8dd6-fe3ed076f640</stp>
        <tr r="P36" s="130"/>
      </tp>
    </main>
    <main first="rtdsrv.458a5932996f485b8b1b8d7cbb3f77a6">
      <tp>
        <v>1</v>
        <stp/>
        <stp>8edb50bb-aca1-4df0-a59a-9544d0996e3f</stp>
        <tr r="AY87" s="130"/>
      </tp>
      <tp>
        <v>1</v>
        <stp/>
        <stp>0ee422e7-b17c-4c78-9f4a-f1976ecfa001</stp>
        <tr r="AZ10" s="130"/>
      </tp>
    </main>
    <main first="rtdsrv.458a5932996f485b8b1b8d7cbb3f77a6">
      <tp>
        <v>1</v>
        <stp/>
        <stp>df98091c-fd13-48d1-a5f2-dc04cffab635</stp>
        <tr r="CR16" s="132"/>
      </tp>
    </main>
    <main first="rtdsrv.458a5932996f485b8b1b8d7cbb3f77a6">
      <tp>
        <v>1</v>
        <stp/>
        <stp>5615bfb5-5aac-47a9-99e5-0578140d3ede</stp>
        <tr r="AP9" s="130"/>
      </tp>
    </main>
    <main first="rtdsrv.458a5932996f485b8b1b8d7cbb3f77a6">
      <tp>
        <v>1</v>
        <stp/>
        <stp>c7220a7f-63f9-4b02-badb-496dd7337e54</stp>
        <tr r="G36" s="130"/>
      </tp>
    </main>
    <main first="rtdsrv.458a5932996f485b8b1b8d7cbb3f77a6">
      <tp>
        <v>1</v>
        <stp/>
        <stp>99106a6a-c55e-4de5-801a-ea6bfe563f45</stp>
        <tr r="BE52" s="130"/>
        <tr r="BE47" s="130"/>
      </tp>
    </main>
    <main first="rtdsrv.458a5932996f485b8b1b8d7cbb3f77a6">
      <tp>
        <v>1</v>
        <stp/>
        <stp>5fc6658c-a863-48f8-9927-a5dc76042fd7</stp>
        <tr r="BK9" s="132"/>
      </tp>
    </main>
    <main first="rtdsrv.458a5932996f485b8b1b8d7cbb3f77a6">
      <tp>
        <v>1</v>
        <stp/>
        <stp>fe1874d0-2ca0-491b-ae2f-f8b58af88701</stp>
        <tr r="AW8" s="132"/>
      </tp>
    </main>
    <main first="rtdsrv.458a5932996f485b8b1b8d7cbb3f77a6">
      <tp>
        <v>1</v>
        <stp/>
        <stp>e609fb52-76ae-4291-aa72-56834886f6e0</stp>
        <tr r="AF94" s="130"/>
      </tp>
    </main>
    <main first="rtdsrv.458a5932996f485b8b1b8d7cbb3f77a6">
      <tp>
        <v>1</v>
        <stp/>
        <stp>69255c34-2254-467a-ad4c-42d2cba04007</stp>
        <tr r="BW9" s="132"/>
      </tp>
    </main>
    <main first="rtdsrv.458a5932996f485b8b1b8d7cbb3f77a6">
      <tp>
        <v>1</v>
        <stp/>
        <stp>4956af55-6e84-408f-a805-16c9c6512bc6</stp>
        <tr r="AS32" s="130"/>
      </tp>
    </main>
    <main first="rtdsrv.458a5932996f485b8b1b8d7cbb3f77a6">
      <tp>
        <v>1</v>
        <stp/>
        <stp>7a82c6d7-7906-4e69-8f67-74d7d1e0d761</stp>
        <tr r="EO6" s="132"/>
      </tp>
    </main>
    <main first="rtdsrv.458a5932996f485b8b1b8d7cbb3f77a6">
      <tp>
        <v>1</v>
        <stp/>
        <stp>a175a461-a18b-425e-b425-457ab8dbcc37</stp>
        <tr r="V86" s="130"/>
      </tp>
    </main>
    <main first="rtdsrv.458a5932996f485b8b1b8d7cbb3f77a6">
      <tp>
        <v>1</v>
        <stp/>
        <stp>70be0724-a892-4c69-923d-d3f1b660f490</stp>
        <tr r="EC8" s="132"/>
      </tp>
    </main>
    <main first="rtdsrv.458a5932996f485b8b1b8d7cbb3f77a6">
      <tp>
        <v>1</v>
        <stp/>
        <stp>6f67bb75-9eb6-4927-b42d-9451bed15449</stp>
        <tr r="BG86" s="130"/>
      </tp>
    </main>
    <main first="rtdsrv.458a5932996f485b8b1b8d7cbb3f77a6">
      <tp>
        <v>1</v>
        <stp/>
        <stp>6bf21502-4918-4d1c-9827-89d743a5de8a</stp>
        <tr r="EX13" s="132"/>
      </tp>
    </main>
    <main first="rtdsrv.458a5932996f485b8b1b8d7cbb3f77a6">
      <tp>
        <v>1</v>
        <stp/>
        <stp>d4c36c63-2d59-4cff-8b87-ef35422b12af</stp>
        <tr r="AB28" s="130"/>
      </tp>
      <tp>
        <v>1</v>
        <stp/>
        <stp>6570492c-2256-4aea-8443-a460852e87f4</stp>
        <tr r="AZ88" s="130"/>
      </tp>
    </main>
    <main first="rtdsrv.458a5932996f485b8b1b8d7cbb3f77a6">
      <tp>
        <v>1</v>
        <stp/>
        <stp>57498a7f-f236-4ee8-a20d-6b22cb9dfe8d</stp>
        <tr r="AT43" s="130"/>
      </tp>
    </main>
    <main first="rtdsrv.458a5932996f485b8b1b8d7cbb3f77a6">
      <tp>
        <v>1</v>
        <stp/>
        <stp>c154f35a-27ea-4f98-83d3-3063a80379d7</stp>
        <tr r="CY15" s="132"/>
      </tp>
      <tp>
        <v>1</v>
        <stp/>
        <stp>00c0110a-9a48-47c2-bddd-3df203780dac</stp>
        <tr r="D12" s="132"/>
      </tp>
    </main>
    <main first="rtdsrv.458a5932996f485b8b1b8d7cbb3f77a6">
      <tp>
        <v>1</v>
        <stp/>
        <stp>900dae09-6633-4c13-9bcc-fe35b8ad43ab</stp>
        <tr r="AI12" s="132"/>
      </tp>
    </main>
    <main first="rtdsrv.458a5932996f485b8b1b8d7cbb3f77a6">
      <tp>
        <v>1</v>
        <stp/>
        <stp>d7d77fa0-452f-4936-bd1d-100cc8762756</stp>
        <tr r="BK15" s="132"/>
      </tp>
    </main>
    <main first="rtdsrv.458a5932996f485b8b1b8d7cbb3f77a6">
      <tp>
        <v>1</v>
        <stp/>
        <stp>d2c71540-8116-4ef0-96ca-5553fa380ef2</stp>
        <tr r="AO22" s="130"/>
      </tp>
    </main>
    <main first="rtdsrv.458a5932996f485b8b1b8d7cbb3f77a6">
      <tp>
        <v>1</v>
        <stp/>
        <stp>a70049ed-efd9-4ae7-aa01-9dffdbe107f8</stp>
        <tr r="O59" s="130"/>
      </tp>
    </main>
    <main first="rtdsrv.458a5932996f485b8b1b8d7cbb3f77a6">
      <tp>
        <v>1</v>
        <stp/>
        <stp>e54ffc7d-821b-48ef-bdc8-7c2674eaca9b</stp>
        <tr r="O46" s="130"/>
        <tr r="O51" s="130"/>
      </tp>
      <tp>
        <v>1</v>
        <stp/>
        <stp>0b59e583-92af-44d1-ac6e-70bf379653f2</stp>
        <tr r="AA44" s="130"/>
      </tp>
    </main>
    <main first="rtdsrv.458a5932996f485b8b1b8d7cbb3f77a6">
      <tp>
        <v>1</v>
        <stp/>
        <stp>d582cb88-9450-4af7-a29d-7f870b884972</stp>
        <tr r="AJ14" s="132"/>
      </tp>
    </main>
    <main first="rtdsrv.458a5932996f485b8b1b8d7cbb3f77a6">
      <tp>
        <v>1</v>
        <stp/>
        <stp>39c01425-079d-40af-abdc-1fa205ab21b6</stp>
        <tr r="AB22" s="130"/>
      </tp>
    </main>
    <main first="rtdsrv.458a5932996f485b8b1b8d7cbb3f77a6">
      <tp>
        <v>1</v>
        <stp/>
        <stp>debad98d-4600-46e0-a898-28c8515ee5e4</stp>
        <tr r="K73" s="130"/>
      </tp>
    </main>
    <main first="rtdsrv.458a5932996f485b8b1b8d7cbb3f77a6">
      <tp>
        <v>1</v>
        <stp/>
        <stp>61a8a88a-5da5-419d-a5bc-4a2a11842735</stp>
        <tr r="BC23" s="130"/>
      </tp>
    </main>
    <main first="rtdsrv.458a5932996f485b8b1b8d7cbb3f77a6">
      <tp>
        <v>1</v>
        <stp/>
        <stp>9d248078-f815-4433-9c6b-a91b4c823064</stp>
        <tr r="P83" s="130"/>
      </tp>
    </main>
    <main first="rtdsrv.458a5932996f485b8b1b8d7cbb3f77a6">
      <tp>
        <v>1</v>
        <stp/>
        <stp>83db7a0b-c404-4cea-869a-567bdf024dfa</stp>
        <tr r="EY5" s="132"/>
      </tp>
    </main>
    <main first="rtdsrv.458a5932996f485b8b1b8d7cbb3f77a6">
      <tp>
        <v>1</v>
        <stp/>
        <stp>340c740a-230f-4b66-86d6-19f1a4a110b0</stp>
        <tr r="AK33" s="130"/>
      </tp>
    </main>
    <main first="rtdsrv.458a5932996f485b8b1b8d7cbb3f77a6">
      <tp>
        <v>1</v>
        <stp/>
        <stp>8387cdc5-c2e5-486a-aeea-5c9d46d90840</stp>
        <tr r="BJ51" s="130"/>
        <tr r="BJ46" s="130"/>
      </tp>
      <tp>
        <v>1</v>
        <stp/>
        <stp>78c5f3c4-7b67-49b2-870e-fadad573a756</stp>
        <tr r="BT12" s="132"/>
      </tp>
    </main>
    <main first="rtdsrv.458a5932996f485b8b1b8d7cbb3f77a6">
      <tp>
        <v>1</v>
        <stp/>
        <stp>bc615383-36c2-4fec-b6ff-0b86e8a63af9</stp>
        <tr r="AD41" s="130"/>
      </tp>
    </main>
    <main first="rtdsrv.458a5932996f485b8b1b8d7cbb3f77a6">
      <tp>
        <v>1</v>
        <stp/>
        <stp>2b8df36b-f61f-4f84-8684-d58c50cd7c65</stp>
        <tr r="T58" s="130"/>
      </tp>
      <tp>
        <v>1</v>
        <stp/>
        <stp>f0715283-a65e-468f-be2c-27a338b28e88</stp>
        <tr r="AA87" s="130"/>
      </tp>
    </main>
    <main first="rtdsrv.458a5932996f485b8b1b8d7cbb3f77a6">
      <tp>
        <v>1</v>
        <stp/>
        <stp>6f0835e9-3fe1-42b9-a611-8a63c6b06b76</stp>
        <tr r="BK26" s="130"/>
        <tr r="BK14" s="130"/>
      </tp>
      <tp>
        <v>1</v>
        <stp/>
        <stp>fe5ef545-bade-4380-9290-aa6887ae20fb</stp>
        <tr r="AY22" s="130"/>
      </tp>
      <tp>
        <v>1</v>
        <stp/>
        <stp>3e4d3c16-6ef0-4f52-a7d2-4419884c176f</stp>
        <tr r="BB82" s="130"/>
      </tp>
    </main>
    <main first="rtdsrv.458a5932996f485b8b1b8d7cbb3f77a6">
      <tp>
        <v>1</v>
        <stp/>
        <stp>a0225a6c-132f-4b67-9fba-d8ba3e4ad5a6</stp>
        <tr r="AV15" s="130"/>
      </tp>
    </main>
    <main first="rtdsrv.458a5932996f485b8b1b8d7cbb3f77a6">
      <tp>
        <v>1</v>
        <stp/>
        <stp>7faf4ba7-d394-4ada-a248-b1936a57c8e8</stp>
        <tr r="BA14" s="132"/>
      </tp>
      <tp>
        <v>1</v>
        <stp/>
        <stp>98d43c5b-f3a5-421f-a6f0-0fed70e7460c</stp>
        <tr r="T30" s="130"/>
      </tp>
    </main>
    <main first="rtdsrv.458a5932996f485b8b1b8d7cbb3f77a6">
      <tp>
        <v>1</v>
        <stp/>
        <stp>f4dad027-1805-4c49-802a-8284db1413da</stp>
        <tr r="AZ12" s="132"/>
      </tp>
    </main>
    <main first="rtdsrv.458a5932996f485b8b1b8d7cbb3f77a6">
      <tp>
        <v>1</v>
        <stp/>
        <stp>93668f09-2546-4f16-aba0-a9ddd6622b32</stp>
        <tr r="GU13" s="132"/>
      </tp>
    </main>
    <main first="rtdsrv.458a5932996f485b8b1b8d7cbb3f77a6">
      <tp>
        <v>1</v>
        <stp/>
        <stp>4438322e-9ddf-4f18-8212-0e294649783b</stp>
        <tr r="AQ58" s="130"/>
      </tp>
    </main>
    <main first="rtdsrv.458a5932996f485b8b1b8d7cbb3f77a6">
      <tp>
        <v>1</v>
        <stp/>
        <stp>1d194754-8dd0-41f9-8a9c-ffdecd3bc46d</stp>
        <tr r="GW8" s="132"/>
      </tp>
    </main>
    <main first="rtdsrv.458a5932996f485b8b1b8d7cbb3f77a6">
      <tp>
        <v>1</v>
        <stp/>
        <stp>14cbba24-9792-4b54-92be-9de052a1c1e7</stp>
        <tr r="FD11" s="132"/>
      </tp>
    </main>
    <main first="rtdsrv.458a5932996f485b8b1b8d7cbb3f77a6">
      <tp>
        <v>1</v>
        <stp/>
        <stp>d38589d8-d1ea-4b86-bcd5-4f7712598599</stp>
        <tr r="AT56" s="130"/>
      </tp>
    </main>
    <main first="rtdsrv.458a5932996f485b8b1b8d7cbb3f77a6">
      <tp>
        <v>1</v>
        <stp/>
        <stp>0c7f0f71-9305-48b8-8387-1fc4d23e1572</stp>
        <tr r="FK12" s="132"/>
      </tp>
    </main>
    <main first="rtdsrv.458a5932996f485b8b1b8d7cbb3f77a6">
      <tp>
        <v>1</v>
        <stp/>
        <stp>4d1be8e2-b8bb-4060-a4d7-297d6774a982</stp>
        <tr r="AK57" s="130"/>
      </tp>
    </main>
    <main first="rtdsrv.458a5932996f485b8b1b8d7cbb3f77a6">
      <tp>
        <v>1</v>
        <stp/>
        <stp>1c7cdf7c-1b6a-4a0c-a83e-e9dcc864a86a</stp>
        <tr r="BB8" s="132"/>
      </tp>
    </main>
    <main first="rtdsrv.458a5932996f485b8b1b8d7cbb3f77a6">
      <tp>
        <v>1</v>
        <stp/>
        <stp>d94e61cc-3faa-4d4f-827c-5010ee99ab6d</stp>
        <tr r="FU12" s="132"/>
      </tp>
    </main>
    <main first="rtdsrv.458a5932996f485b8b1b8d7cbb3f77a6">
      <tp>
        <v>1</v>
        <stp/>
        <stp>233c55ed-3621-4f01-ae87-bd70375fd290</stp>
        <tr r="FP15" s="132"/>
      </tp>
    </main>
    <main first="rtdsrv.458a5932996f485b8b1b8d7cbb3f77a6">
      <tp>
        <v>1</v>
        <stp/>
        <stp>11016734-96f0-4487-b9df-1074e508e48d</stp>
        <tr r="ES8" s="132"/>
      </tp>
      <tp>
        <v>1</v>
        <stp/>
        <stp>486f0a8d-b288-40b0-b64b-fb10d3164324</stp>
        <tr r="X5" s="130"/>
      </tp>
      <tp>
        <v>1</v>
        <stp/>
        <stp>2ba77617-6d57-4858-ab70-1d877a4e75df</stp>
        <tr r="AO75" s="130"/>
      </tp>
    </main>
    <main first="rtdsrv.458a5932996f485b8b1b8d7cbb3f77a6">
      <tp>
        <v>1</v>
        <stp/>
        <stp>fb90eeb1-d008-4d7f-b880-7ec526b29362</stp>
        <tr r="M28" s="130"/>
      </tp>
    </main>
    <main first="rtdsrv.458a5932996f485b8b1b8d7cbb3f77a6">
      <tp>
        <v>1</v>
        <stp/>
        <stp>26b513fd-98fc-4045-9852-2fcf4356044c</stp>
        <tr r="DV6" s="132"/>
      </tp>
    </main>
    <main first="rtdsrv.458a5932996f485b8b1b8d7cbb3f77a6">
      <tp>
        <v>1</v>
        <stp/>
        <stp>49221ca3-57b3-4f3a-b9af-2b9f75b54e46</stp>
        <tr r="Y75" s="130"/>
      </tp>
    </main>
    <main first="rtdsrv.458a5932996f485b8b1b8d7cbb3f77a6">
      <tp>
        <v>1</v>
        <stp/>
        <stp>400add12-911f-4ee3-878f-04873926d62d</stp>
        <tr r="DY14" s="132"/>
      </tp>
    </main>
    <main first="rtdsrv.458a5932996f485b8b1b8d7cbb3f77a6">
      <tp>
        <v>1</v>
        <stp/>
        <stp>415a159e-af7d-48b0-93fe-8837d57c5cec</stp>
        <tr r="BC31" s="130"/>
      </tp>
    </main>
    <main first="rtdsrv.458a5932996f485b8b1b8d7cbb3f77a6">
      <tp>
        <v>1</v>
        <stp/>
        <stp>49d1c0fc-f37b-4fbc-ac48-8b334adedf04</stp>
        <tr r="V46" s="130"/>
        <tr r="V51" s="130"/>
      </tp>
      <tp>
        <v>1</v>
        <stp/>
        <stp>fede3bc8-9865-4249-9165-dc3e184747c2</stp>
        <tr r="EB5" s="132"/>
      </tp>
    </main>
    <main first="rtdsrv.458a5932996f485b8b1b8d7cbb3f77a6">
      <tp>
        <v>1</v>
        <stp/>
        <stp>7a005dad-033d-4216-8718-8af8b776c9d3</stp>
        <tr r="DN8" s="132"/>
      </tp>
    </main>
    <main first="rtdsrv.458a5932996f485b8b1b8d7cbb3f77a6">
      <tp>
        <v>1</v>
        <stp/>
        <stp>9a5843c3-80a5-4571-aefd-0e8fd616c3d3</stp>
        <tr r="DF9" s="132"/>
      </tp>
    </main>
    <main first="rtdsrv.458a5932996f485b8b1b8d7cbb3f77a6">
      <tp>
        <v>1</v>
        <stp/>
        <stp>3294e279-954b-45a7-8405-db1a1bd79c48</stp>
        <tr r="EG13" s="132"/>
      </tp>
    </main>
    <main first="rtdsrv.458a5932996f485b8b1b8d7cbb3f77a6">
      <tp>
        <v>1</v>
        <stp/>
        <stp>5fa430b4-9f5b-4925-8de5-3b23e087a054</stp>
        <tr r="K41" s="130"/>
      </tp>
    </main>
    <main first="rtdsrv.458a5932996f485b8b1b8d7cbb3f77a6">
      <tp>
        <v>1</v>
        <stp/>
        <stp>f88c8bc9-18a4-4ca7-bac6-e431d0946f00</stp>
        <tr r="S56" s="130"/>
      </tp>
    </main>
    <main first="rtdsrv.458a5932996f485b8b1b8d7cbb3f77a6">
      <tp>
        <v>1</v>
        <stp/>
        <stp>1be7afaf-3957-43f1-b527-4cd1b2606879</stp>
        <tr r="P45" s="130"/>
      </tp>
    </main>
    <main first="rtdsrv.458a5932996f485b8b1b8d7cbb3f77a6">
      <tp>
        <v>1</v>
        <stp/>
        <stp>c9c85d79-c617-40f8-81b7-bd300e0b289a</stp>
        <tr r="AP15" s="130"/>
      </tp>
    </main>
    <main first="rtdsrv.458a5932996f485b8b1b8d7cbb3f77a6">
      <tp>
        <v>1</v>
        <stp/>
        <stp>0349a712-e265-491d-8d2c-e9687d82c72f</stp>
        <tr r="AC69" s="130"/>
      </tp>
    </main>
    <main first="rtdsrv.458a5932996f485b8b1b8d7cbb3f77a6">
      <tp>
        <v>1</v>
        <stp/>
        <stp>ad88ae4b-61b2-4442-aa82-207486cd2f3e</stp>
        <tr r="GN12" s="132"/>
      </tp>
      <tp>
        <v>1</v>
        <stp/>
        <stp>4d82c847-678d-40a1-b05e-d3685f773f78</stp>
        <tr r="U86" s="130"/>
      </tp>
    </main>
    <main first="rtdsrv.458a5932996f485b8b1b8d7cbb3f77a6">
      <tp>
        <v>1</v>
        <stp/>
        <stp>5f9e98b6-c372-4ac1-ae41-da6fcfdd9bcd</stp>
        <tr r="AF89" s="130"/>
      </tp>
      <tp>
        <v>1</v>
        <stp/>
        <stp>27905849-e981-4d97-a8c6-309832743ad9</stp>
        <tr r="DS8" s="132"/>
      </tp>
    </main>
    <main first="rtdsrv.458a5932996f485b8b1b8d7cbb3f77a6">
      <tp>
        <v>1</v>
        <stp/>
        <stp>28b5424d-80bc-45da-b593-d5850a04ac45</stp>
        <tr r="D11" s="132"/>
      </tp>
    </main>
    <main first="rtdsrv.458a5932996f485b8b1b8d7cbb3f77a6">
      <tp>
        <v>1</v>
        <stp/>
        <stp>b9e8b4f2-fb4f-493a-8f19-9d3d945a967e</stp>
        <tr r="BJ10" s="130"/>
      </tp>
    </main>
    <main first="rtdsrv.458a5932996f485b8b1b8d7cbb3f77a6">
      <tp>
        <v>1</v>
        <stp/>
        <stp>d3790c41-8fc5-46f7-aee8-440045204f6e</stp>
        <tr r="AK86" s="130"/>
      </tp>
    </main>
    <main first="rtdsrv.458a5932996f485b8b1b8d7cbb3f77a6">
      <tp>
        <v>1</v>
        <stp/>
        <stp>29236f47-c563-4d85-afcc-5f2a3f2e9796</stp>
        <tr r="BA38" s="130"/>
      </tp>
      <tp>
        <v>1</v>
        <stp/>
        <stp>e896e310-dbd1-43ed-b110-8c15cadf4efe</stp>
        <tr r="AR79" s="130"/>
      </tp>
    </main>
    <main first="rtdsrv.458a5932996f485b8b1b8d7cbb3f77a6">
      <tp>
        <v>1</v>
        <stp/>
        <stp>31486a33-8100-4296-a338-27ec55148230</stp>
        <tr r="AL67" s="130"/>
      </tp>
    </main>
    <main first="rtdsrv.458a5932996f485b8b1b8d7cbb3f77a6">
      <tp>
        <v>1</v>
        <stp/>
        <stp>116b726f-5d02-4359-a25c-c38ce64aeba1</stp>
        <tr r="AE7" s="132"/>
      </tp>
      <tp>
        <v>1</v>
        <stp/>
        <stp>6d38257d-b874-4885-b3fb-40ffc94444f6</stp>
        <tr r="HG9" s="132"/>
      </tp>
    </main>
    <main first="rtdsrv.458a5932996f485b8b1b8d7cbb3f77a6">
      <tp>
        <v>1</v>
        <stp/>
        <stp>36fb18c1-cef2-42dd-abcb-5b8bde37f0cb</stp>
        <tr r="EZ7" s="132"/>
      </tp>
    </main>
    <main first="rtdsrv.458a5932996f485b8b1b8d7cbb3f77a6">
      <tp>
        <v>1</v>
        <stp/>
        <stp>1338675b-afb9-4e04-a761-733fa11a389d</stp>
        <tr r="CG14" s="132"/>
      </tp>
      <tp>
        <v>1</v>
        <stp/>
        <stp>03bb3a83-6c34-4ffe-9be1-50bb31369836</stp>
        <tr r="GJ15" s="132"/>
      </tp>
    </main>
    <main first="rtdsrv.458a5932996f485b8b1b8d7cbb3f77a6">
      <tp>
        <v>1</v>
        <stp/>
        <stp>3603fd65-8090-4d34-a070-7671449af6b2</stp>
        <tr r="AL16" s="130"/>
      </tp>
    </main>
    <main first="rtdsrv.458a5932996f485b8b1b8d7cbb3f77a6">
      <tp>
        <v>1</v>
        <stp/>
        <stp>c6941271-aef3-426e-b473-b77ba901ed5f</stp>
        <tr r="CX7" s="132"/>
      </tp>
      <tp>
        <v>1</v>
        <stp/>
        <stp>10eb9d3d-c0a9-411a-b589-cede0bbd7430</stp>
        <tr r="BC85" s="130"/>
      </tp>
    </main>
    <main first="rtdsrv.458a5932996f485b8b1b8d7cbb3f77a6">
      <tp>
        <v>1</v>
        <stp/>
        <stp>7cb3a5fa-74a9-4012-9e7d-d98a797f5912</stp>
        <tr r="E94" s="130"/>
      </tp>
    </main>
    <main first="rtdsrv.458a5932996f485b8b1b8d7cbb3f77a6">
      <tp>
        <v>1</v>
        <stp/>
        <stp>89ca1c76-31fe-4d00-bdf5-8737a6993c05</stp>
        <tr r="AS13" s="132"/>
      </tp>
      <tp>
        <v>1</v>
        <stp/>
        <stp>d161e82f-5930-4c5b-8aed-fefc7bdb5a15</stp>
        <tr r="GO14" s="132"/>
      </tp>
      <tp>
        <v>1</v>
        <stp/>
        <stp>81dfad9c-a20b-4363-8fb6-0c55fb3cc95b</stp>
        <tr r="AN81" s="130"/>
      </tp>
      <tp>
        <v>1</v>
        <stp/>
        <stp>82cd53f8-2221-4f6d-ba3a-f2e853aa989d</stp>
        <tr r="R14" s="130"/>
        <tr r="R26" s="130"/>
      </tp>
    </main>
    <main first="rtdsrv.458a5932996f485b8b1b8d7cbb3f77a6">
      <tp>
        <v>1</v>
        <stp/>
        <stp>aaaddcd0-b32e-47f9-9711-1493d04421a1</stp>
        <tr r="AC75" s="130"/>
      </tp>
      <tp>
        <v>1</v>
        <stp/>
        <stp>005e331e-9ace-43d5-9669-c15aca36541c</stp>
        <tr r="DQ12" s="132"/>
      </tp>
    </main>
    <main first="rtdsrv.458a5932996f485b8b1b8d7cbb3f77a6">
      <tp>
        <v>1</v>
        <stp/>
        <stp>0015fddc-fc9e-4742-a0bd-6893f4600360</stp>
        <tr r="BD11" s="132"/>
      </tp>
    </main>
    <main first="rtdsrv.458a5932996f485b8b1b8d7cbb3f77a6">
      <tp>
        <v>1</v>
        <stp/>
        <stp>6dc6db63-6383-4234-9efa-e87ef7fff1bb</stp>
        <tr r="AO5" s="132"/>
      </tp>
    </main>
    <main first="rtdsrv.458a5932996f485b8b1b8d7cbb3f77a6">
      <tp>
        <v>1</v>
        <stp/>
        <stp>718a5010-9515-48b7-90a8-0c1cbb77136d</stp>
        <tr r="AA11" s="130"/>
      </tp>
    </main>
    <main first="rtdsrv.458a5932996f485b8b1b8d7cbb3f77a6">
      <tp>
        <v>1</v>
        <stp/>
        <stp>52ebe6cf-920d-4794-96d1-22aef4f5c767</stp>
        <tr r="AV91" s="130"/>
      </tp>
    </main>
    <main first="rtdsrv.458a5932996f485b8b1b8d7cbb3f77a6">
      <tp>
        <v>1</v>
        <stp/>
        <stp>8b7a272e-9b9c-4166-92fb-a0376f2c360f</stp>
        <tr r="EP8" s="132"/>
      </tp>
    </main>
    <main first="rtdsrv.458a5932996f485b8b1b8d7cbb3f77a6">
      <tp>
        <v>1</v>
        <stp/>
        <stp>c16ec284-3b36-416a-bdbc-4f90200ee92a</stp>
        <tr r="BC37" s="130"/>
      </tp>
    </main>
    <main first="rtdsrv.458a5932996f485b8b1b8d7cbb3f77a6">
      <tp>
        <v>1</v>
        <stp/>
        <stp>590e78fb-f532-4c81-816d-7569a126a87d</stp>
        <tr r="DG11" s="132"/>
      </tp>
    </main>
    <main first="rtdsrv.458a5932996f485b8b1b8d7cbb3f77a6">
      <tp>
        <v>1</v>
        <stp/>
        <stp>0e92fd7c-9e19-4779-897b-e3dbda8d28ab</stp>
        <tr r="AG67" s="130"/>
      </tp>
      <tp>
        <v>1</v>
        <stp/>
        <stp>eb206551-7e55-4fd0-8a35-51afa9d3f7f4</stp>
        <tr r="ES5" s="132"/>
      </tp>
    </main>
    <main first="rtdsrv.458a5932996f485b8b1b8d7cbb3f77a6">
      <tp>
        <v>1</v>
        <stp/>
        <stp>1ef59592-42cf-4da3-86ca-03bf898f7bb0</stp>
        <tr r="U11" s="132"/>
      </tp>
      <tp>
        <v>1</v>
        <stp/>
        <stp>62f0daf2-8eac-4dd3-b0ba-3007d37fbe6b</stp>
        <tr r="AG7" s="132"/>
      </tp>
    </main>
    <main first="rtdsrv.458a5932996f485b8b1b8d7cbb3f77a6">
      <tp>
        <v>1</v>
        <stp/>
        <stp>cf1620ed-fbcd-4f4f-a64c-ae0f09e0db59</stp>
        <tr r="AI62" s="130"/>
      </tp>
    </main>
    <main first="rtdsrv.458a5932996f485b8b1b8d7cbb3f77a6">
      <tp>
        <v>1</v>
        <stp/>
        <stp>93199403-c8b4-40c8-99ea-2c6f67b1c195</stp>
        <tr r="DC11" s="132"/>
      </tp>
    </main>
    <main first="rtdsrv.458a5932996f485b8b1b8d7cbb3f77a6">
      <tp>
        <v>1</v>
        <stp/>
        <stp>dfc7dc67-8c47-44b0-8df6-ca07c4660b33</stp>
        <tr r="AZ93" s="130"/>
      </tp>
    </main>
    <main first="rtdsrv.458a5932996f485b8b1b8d7cbb3f77a6">
      <tp>
        <v>1</v>
        <stp/>
        <stp>06183c00-0b23-4927-859a-5485c68d0549</stp>
        <tr r="D86" s="130"/>
      </tp>
    </main>
    <main first="rtdsrv.458a5932996f485b8b1b8d7cbb3f77a6">
      <tp>
        <v>1</v>
        <stp/>
        <stp>d0e760c2-a7d3-4973-b800-b3fe89bd843d</stp>
        <tr r="AS16" s="132"/>
      </tp>
    </main>
    <main first="rtdsrv.458a5932996f485b8b1b8d7cbb3f77a6">
      <tp>
        <v>1</v>
        <stp/>
        <stp>9c0dfe3b-9463-4290-8a8b-71aa2c0f892e</stp>
        <tr r="CT14" s="132"/>
      </tp>
    </main>
    <main first="rtdsrv.458a5932996f485b8b1b8d7cbb3f77a6">
      <tp>
        <v>1</v>
        <stp/>
        <stp>7820465a-1532-4f5c-bba4-5e7d7adfeecf</stp>
        <tr r="AX96" s="130"/>
      </tp>
    </main>
    <main first="rtdsrv.458a5932996f485b8b1b8d7cbb3f77a6">
      <tp>
        <v>1</v>
        <stp/>
        <stp>fcba5822-6f35-4cf0-9a76-817d1c5bbd59</stp>
        <tr r="R64" s="130"/>
      </tp>
    </main>
    <main first="rtdsrv.458a5932996f485b8b1b8d7cbb3f77a6">
      <tp>
        <v>1</v>
        <stp/>
        <stp>f6ba5244-647c-4ef5-9a8f-f99f4c855950</stp>
        <tr r="R10" s="130"/>
      </tp>
      <tp>
        <v>1</v>
        <stp/>
        <stp>b2d66664-865a-4043-84a7-dc36ae5bc4e7</stp>
        <tr r="R71" s="130"/>
      </tp>
    </main>
    <main first="rtdsrv.458a5932996f485b8b1b8d7cbb3f77a6">
      <tp>
        <v>1</v>
        <stp/>
        <stp>d5806f13-9625-41ad-9b5a-0bdc0f2f4c8f</stp>
        <tr r="AK28" s="130"/>
      </tp>
    </main>
    <main first="rtdsrv.458a5932996f485b8b1b8d7cbb3f77a6">
      <tp>
        <v>1</v>
        <stp/>
        <stp>0eb52ccd-53fe-4a6f-bc35-424a11e919f6</stp>
        <tr r="D44" s="130"/>
      </tp>
      <tp>
        <v>1</v>
        <stp/>
        <stp>716f38af-eb4e-4ba3-8816-1e36a2ba7eba</stp>
        <tr r="V24" s="130"/>
      </tp>
    </main>
    <main first="rtdsrv.458a5932996f485b8b1b8d7cbb3f77a6">
      <tp>
        <v>1</v>
        <stp/>
        <stp>b61a5ebc-93c4-4edb-90c4-1aa18acd37f0</stp>
        <tr r="AV61" s="130"/>
      </tp>
    </main>
    <main first="rtdsrv.458a5932996f485b8b1b8d7cbb3f77a6">
      <tp>
        <v>1</v>
        <stp/>
        <stp>8128773b-90b8-46c7-82d5-abe67ef46773</stp>
        <tr r="D20" s="130"/>
      </tp>
    </main>
    <main first="rtdsrv.458a5932996f485b8b1b8d7cbb3f77a6">
      <tp>
        <v>1</v>
        <stp/>
        <stp>59c902dc-b6ec-478f-a4f5-95da71b44129</stp>
        <tr r="X41" s="130"/>
      </tp>
    </main>
    <main first="rtdsrv.458a5932996f485b8b1b8d7cbb3f77a6">
      <tp>
        <v>1</v>
        <stp/>
        <stp>f02f0b94-afb0-41da-8f09-192d2cbebd48</stp>
        <tr r="AY55" s="130"/>
      </tp>
    </main>
    <main first="rtdsrv.458a5932996f485b8b1b8d7cbb3f77a6">
      <tp>
        <v>1</v>
        <stp/>
        <stp>01887897-4fdb-4799-a629-b8b7a356ca91</stp>
        <tr r="AO38" s="130"/>
      </tp>
    </main>
    <main first="rtdsrv.458a5932996f485b8b1b8d7cbb3f77a6">
      <tp>
        <v>1</v>
        <stp/>
        <stp>cad8c74e-8d90-48d6-b6cf-26ea0be033c8</stp>
        <tr r="BK82" s="130"/>
      </tp>
    </main>
    <main first="rtdsrv.458a5932996f485b8b1b8d7cbb3f77a6">
      <tp>
        <v>1</v>
        <stp/>
        <stp>127e4dea-9ef0-4bbd-b5ec-c7241434b1d1</stp>
        <tr r="BI6" s="132"/>
      </tp>
    </main>
    <main first="rtdsrv.458a5932996f485b8b1b8d7cbb3f77a6">
      <tp>
        <v>1</v>
        <stp/>
        <stp>b93b7a2b-855f-446b-9be2-d43358e3f7ae</stp>
        <tr r="J93" s="130"/>
      </tp>
    </main>
    <main first="rtdsrv.458a5932996f485b8b1b8d7cbb3f77a6">
      <tp>
        <v>1</v>
        <stp/>
        <stp>d9a6d7de-7698-4932-b5fb-a871f8f3e114</stp>
        <tr r="AR8" s="130"/>
      </tp>
    </main>
    <main first="rtdsrv.458a5932996f485b8b1b8d7cbb3f77a6">
      <tp>
        <v>1</v>
        <stp/>
        <stp>141638ee-3453-4e13-9b28-cf500e87aad0</stp>
        <tr r="T69" s="130"/>
      </tp>
    </main>
    <main first="rtdsrv.458a5932996f485b8b1b8d7cbb3f77a6">
      <tp>
        <v>1</v>
        <stp/>
        <stp>49ac3cc9-3fb7-4083-8fdb-b26a4fdcc6fb</stp>
        <tr r="Y77" s="130"/>
      </tp>
    </main>
    <main first="rtdsrv.458a5932996f485b8b1b8d7cbb3f77a6">
      <tp>
        <v>1</v>
        <stp/>
        <stp>6717a283-3fb0-4ebc-87fb-4c82b954352d</stp>
        <tr r="V34" s="130"/>
      </tp>
    </main>
    <main first="rtdsrv.458a5932996f485b8b1b8d7cbb3f77a6">
      <tp>
        <v>1</v>
        <stp/>
        <stp>330b6383-a0fb-48c9-8839-f524f67b246d</stp>
        <tr r="GY9" s="132"/>
      </tp>
    </main>
    <main first="rtdsrv.458a5932996f485b8b1b8d7cbb3f77a6">
      <tp>
        <v>1</v>
        <stp/>
        <stp>f2f5ffe4-b57f-4f90-b1f4-c8369fa18bb7</stp>
        <tr r="EC9" s="132"/>
      </tp>
      <tp>
        <v>1</v>
        <stp/>
        <stp>4dd9dabb-3297-4ee8-be14-0b8cb0203187</stp>
        <tr r="N9" s="132"/>
      </tp>
      <tp>
        <v>1</v>
        <stp/>
        <stp>79305242-5573-45f0-a05c-6defab25ca42</stp>
        <tr r="AI65" s="130"/>
      </tp>
    </main>
    <main first="rtdsrv.458a5932996f485b8b1b8d7cbb3f77a6">
      <tp>
        <v>1</v>
        <stp/>
        <stp>28106c31-5e0f-4967-92dd-b32a664c9d6c</stp>
        <tr r="FQ6" s="132"/>
      </tp>
      <tp>
        <v>1</v>
        <stp/>
        <stp>48617698-092f-4e2b-b8ae-b87818db0a39</stp>
        <tr r="BH31" s="130"/>
      </tp>
    </main>
    <main first="rtdsrv.458a5932996f485b8b1b8d7cbb3f77a6">
      <tp>
        <v>1</v>
        <stp/>
        <stp>d0a959c8-addb-43c2-b942-f63a86b99261</stp>
        <tr r="DB15" s="132"/>
      </tp>
    </main>
    <main first="rtdsrv.458a5932996f485b8b1b8d7cbb3f77a6">
      <tp>
        <v>1</v>
        <stp/>
        <stp>8b6409b7-8bb6-46e5-9314-e8efe6efe516</stp>
        <tr r="J58" s="130"/>
      </tp>
    </main>
    <main first="rtdsrv.458a5932996f485b8b1b8d7cbb3f77a6">
      <tp>
        <v>1</v>
        <stp/>
        <stp>f0571eda-fbee-4c66-8997-1b7f00147215</stp>
        <tr r="AQ29" s="130"/>
      </tp>
    </main>
    <main first="rtdsrv.458a5932996f485b8b1b8d7cbb3f77a6">
      <tp>
        <v>1</v>
        <stp/>
        <stp>3d6d5465-c5db-4348-ab5a-ccd9075b7667</stp>
        <tr r="X16" s="130"/>
      </tp>
    </main>
    <main first="rtdsrv.458a5932996f485b8b1b8d7cbb3f77a6">
      <tp>
        <v>1</v>
        <stp/>
        <stp>92c86f24-1dbd-4419-90b5-f4fdc5ccec99</stp>
        <tr r="AP94" s="130"/>
      </tp>
    </main>
    <main first="rtdsrv.458a5932996f485b8b1b8d7cbb3f77a6">
      <tp>
        <v>1</v>
        <stp/>
        <stp>e9a95de9-a0a5-4014-ae69-ab1486be26bf</stp>
        <tr r="DG5" s="132"/>
      </tp>
    </main>
    <main first="rtdsrv.458a5932996f485b8b1b8d7cbb3f77a6">
      <tp>
        <v>1</v>
        <stp/>
        <stp>e7d42037-3979-48ca-9e63-880c24d7335d</stp>
        <tr r="X82" s="130"/>
      </tp>
    </main>
    <main first="rtdsrv.458a5932996f485b8b1b8d7cbb3f77a6">
      <tp>
        <v>1</v>
        <stp/>
        <stp>6931339b-85bd-48a4-85a2-95a196a1580e</stp>
        <tr r="Q80" s="130"/>
      </tp>
    </main>
    <main first="rtdsrv.458a5932996f485b8b1b8d7cbb3f77a6">
      <tp>
        <v>1</v>
        <stp/>
        <stp>182e20e1-779a-4b86-b436-3b885fb47b13</stp>
        <tr r="AG8" s="130"/>
      </tp>
    </main>
    <main first="rtdsrv.458a5932996f485b8b1b8d7cbb3f77a6">
      <tp>
        <v>1</v>
        <stp/>
        <stp>ff370dcd-189b-4df2-b90a-ba43d43dc834</stp>
        <tr r="AI82" s="130"/>
      </tp>
      <tp>
        <v>1</v>
        <stp/>
        <stp>2cf0bb5b-d4c6-44d0-a69c-bcb21189abca</stp>
        <tr r="BH81" s="130"/>
      </tp>
    </main>
    <main first="rtdsrv.458a5932996f485b8b1b8d7cbb3f77a6">
      <tp>
        <v>1</v>
        <stp/>
        <stp>593c828e-9ad5-4736-8b2c-375ce9347d21</stp>
        <tr r="R8" s="130"/>
      </tp>
      <tp>
        <v>1</v>
        <stp/>
        <stp>b06c7440-85a8-4a78-a894-9f68fc851d04</stp>
        <tr r="M74" s="130"/>
      </tp>
    </main>
    <main first="rtdsrv.458a5932996f485b8b1b8d7cbb3f77a6">
      <tp>
        <v>1</v>
        <stp/>
        <stp>1a406c6d-b315-44d4-a0ef-ca02858019b8</stp>
        <tr r="AF91" s="130"/>
      </tp>
    </main>
    <main first="rtdsrv.458a5932996f485b8b1b8d7cbb3f77a6">
      <tp>
        <v>1</v>
        <stp/>
        <stp>1ed6ad13-fc81-4888-b39e-75ffc89ed724</stp>
        <tr r="BA20" s="130"/>
      </tp>
    </main>
    <main first="rtdsrv.458a5932996f485b8b1b8d7cbb3f77a6">
      <tp>
        <v>1</v>
        <stp/>
        <stp>c86a5526-1837-4b12-8b6a-a4aa9b714254</stp>
        <tr r="D66" s="130"/>
      </tp>
    </main>
    <main first="rtdsrv.458a5932996f485b8b1b8d7cbb3f77a6">
      <tp>
        <v>1</v>
        <stp/>
        <stp>703c2995-1d14-4ff4-a0fb-97bb42a8131b</stp>
        <tr r="AD21" s="130"/>
      </tp>
    </main>
    <main first="rtdsrv.458a5932996f485b8b1b8d7cbb3f77a6">
      <tp>
        <v>1</v>
        <stp/>
        <stp>8936f1cb-7cdc-4f8a-b5d2-87e62cce329d</stp>
        <tr r="G78" s="130"/>
      </tp>
      <tp>
        <v>1</v>
        <stp/>
        <stp>17572195-0182-4b19-8f3e-a6c6afa060dd</stp>
        <tr r="E14" s="132"/>
      </tp>
    </main>
    <main first="rtdsrv.458a5932996f485b8b1b8d7cbb3f77a6">
      <tp>
        <v>1</v>
        <stp/>
        <stp>ac46a4f7-683e-4720-b2e3-20431a5c39f7</stp>
        <tr r="I62" s="130"/>
      </tp>
    </main>
    <main first="rtdsrv.458a5932996f485b8b1b8d7cbb3f77a6">
      <tp>
        <v>1</v>
        <stp/>
        <stp>48eaa707-f2ad-489b-8538-96abc12aac29</stp>
        <tr r="AO9" s="132"/>
      </tp>
      <tp>
        <v>1</v>
        <stp/>
        <stp>79456980-2a4d-44ea-b086-cbe8067a7c75</stp>
        <tr r="EO7" s="132"/>
      </tp>
    </main>
    <main first="rtdsrv.458a5932996f485b8b1b8d7cbb3f77a6">
      <tp>
        <v>1</v>
        <stp/>
        <stp>a36b2679-516f-40d9-85fd-4a3f1690ddae</stp>
        <tr r="BJ25" s="130"/>
      </tp>
    </main>
    <main first="rtdsrv.458a5932996f485b8b1b8d7cbb3f77a6">
      <tp>
        <v>1</v>
        <stp/>
        <stp>da5932e7-0161-48c8-9f26-043f96c26789</stp>
        <tr r="N16" s="130"/>
      </tp>
    </main>
    <main first="rtdsrv.458a5932996f485b8b1b8d7cbb3f77a6">
      <tp>
        <v>1</v>
        <stp/>
        <stp>06efaac3-141a-443d-be31-614a2d965815</stp>
        <tr r="D25" s="130"/>
      </tp>
    </main>
    <main first="rtdsrv.458a5932996f485b8b1b8d7cbb3f77a6">
      <tp>
        <v>1</v>
        <stp/>
        <stp>6e4ce390-4b79-4b1a-a5ad-ebd6fd5968e1</stp>
        <tr r="AE15" s="130"/>
      </tp>
    </main>
    <main first="rtdsrv.458a5932996f485b8b1b8d7cbb3f77a6">
      <tp>
        <v>1</v>
        <stp/>
        <stp>83162149-a21b-4104-a9c2-d869c5977e5c</stp>
        <tr r="CK5" s="132"/>
      </tp>
    </main>
    <main first="rtdsrv.458a5932996f485b8b1b8d7cbb3f77a6">
      <tp>
        <v>1</v>
        <stp/>
        <stp>c8c03e3d-823c-4590-a600-c9964a0cbac0</stp>
        <tr r="AO15" s="132"/>
      </tp>
    </main>
    <main first="rtdsrv.458a5932996f485b8b1b8d7cbb3f77a6">
      <tp>
        <v>1</v>
        <stp/>
        <stp>e1864546-c051-4ffb-9ff4-b5d1630529d4</stp>
        <tr r="BV9" s="132"/>
      </tp>
    </main>
    <main first="rtdsrv.458a5932996f485b8b1b8d7cbb3f77a6">
      <tp>
        <v>1</v>
        <stp/>
        <stp>1533872d-659b-46f8-ad58-2c2826666001</stp>
        <tr r="P8" s="132"/>
      </tp>
    </main>
    <main first="rtdsrv.458a5932996f485b8b1b8d7cbb3f77a6">
      <tp>
        <v>1</v>
        <stp/>
        <stp>beaba882-f756-4a21-a4bc-b6d30dcdaf34</stp>
        <tr r="AN39" s="130"/>
      </tp>
    </main>
    <main first="rtdsrv.458a5932996f485b8b1b8d7cbb3f77a6">
      <tp>
        <v>1</v>
        <stp/>
        <stp>29584be4-01fc-4806-a80f-9a23ed97f455</stp>
        <tr r="AP7" s="132"/>
      </tp>
    </main>
    <main first="rtdsrv.458a5932996f485b8b1b8d7cbb3f77a6">
      <tp>
        <v>1</v>
        <stp/>
        <stp>e9d84aba-17c7-4007-901d-23caee9c9e5f</stp>
        <tr r="EL11" s="132"/>
      </tp>
    </main>
    <main first="rtdsrv.458a5932996f485b8b1b8d7cbb3f77a6">
      <tp>
        <v>1</v>
        <stp/>
        <stp>db79bff6-2a9a-4691-b348-d4180911ab21</stp>
        <tr r="CS6" s="132"/>
      </tp>
      <tp>
        <v>1</v>
        <stp/>
        <stp>a08e7eea-3386-403c-8a2f-54a74fcb5908</stp>
        <tr r="M85" s="130"/>
      </tp>
    </main>
    <main first="rtdsrv.458a5932996f485b8b1b8d7cbb3f77a6">
      <tp>
        <v>1</v>
        <stp/>
        <stp>ff0c8bcb-c6bb-41c7-ada8-dadc39f195ec</stp>
        <tr r="DJ15" s="132"/>
      </tp>
    </main>
    <main first="rtdsrv.458a5932996f485b8b1b8d7cbb3f77a6">
      <tp>
        <v>1</v>
        <stp/>
        <stp>96544de0-19e4-4859-b00c-0b0d7c9b1797</stp>
        <tr r="Q28" s="130"/>
      </tp>
      <tp>
        <v>1</v>
        <stp/>
        <stp>64b94631-6c48-4b03-a9e2-bd6a1b8bf845</stp>
        <tr r="AO67" s="130"/>
      </tp>
    </main>
    <main first="rtdsrv.458a5932996f485b8b1b8d7cbb3f77a6">
      <tp>
        <v>1</v>
        <stp/>
        <stp>856958d3-c005-4430-964a-ab4cdf8e724e</stp>
        <tr r="FE9" s="132"/>
      </tp>
    </main>
    <main first="rtdsrv.458a5932996f485b8b1b8d7cbb3f77a6">
      <tp>
        <v>1</v>
        <stp/>
        <stp>594eedca-301f-4a61-8349-353384a8f676</stp>
        <tr r="AW71" s="130"/>
      </tp>
      <tp>
        <v>1</v>
        <stp/>
        <stp>270cc994-2a6a-408e-9211-533133fcb47d</stp>
        <tr r="AZ8" s="132"/>
      </tp>
    </main>
    <main first="rtdsrv.458a5932996f485b8b1b8d7cbb3f77a6">
      <tp>
        <v>1</v>
        <stp/>
        <stp>fac67896-22dc-498a-9205-02b21b3a6678</stp>
        <tr r="AL9" s="130"/>
      </tp>
      <tp>
        <v>1</v>
        <stp/>
        <stp>4caa4785-f511-4032-b1bd-2d03c9605c59</stp>
        <tr r="BK44" s="130"/>
      </tp>
    </main>
    <main first="rtdsrv.458a5932996f485b8b1b8d7cbb3f77a6">
      <tp>
        <v>1</v>
        <stp/>
        <stp>47cc9d37-8f40-4c02-b32f-e4c4733880d0</stp>
        <tr r="AM86" s="130"/>
      </tp>
    </main>
    <main first="rtdsrv.458a5932996f485b8b1b8d7cbb3f77a6">
      <tp>
        <v>1</v>
        <stp/>
        <stp>ce960102-8617-4c3e-b1db-8a325e24c587</stp>
        <tr r="AF70" s="130"/>
      </tp>
    </main>
    <main first="rtdsrv.458a5932996f485b8b1b8d7cbb3f77a6">
      <tp>
        <v>1</v>
        <stp/>
        <stp>83cdd25f-0d14-4735-ad84-657ab17e1dbc</stp>
        <tr r="AH28" s="130"/>
      </tp>
    </main>
    <main first="rtdsrv.458a5932996f485b8b1b8d7cbb3f77a6">
      <tp>
        <v>1</v>
        <stp/>
        <stp>566448b8-141b-4a05-8f51-51b2e6abed64</stp>
        <tr r="AG39" s="130"/>
      </tp>
    </main>
    <main first="rtdsrv.458a5932996f485b8b1b8d7cbb3f77a6">
      <tp>
        <v>1</v>
        <stp/>
        <stp>5800f3a2-0ad6-4b1e-b6d4-40b3ccd8d5ff</stp>
        <tr r="D78" s="130"/>
      </tp>
    </main>
    <main first="rtdsrv.458a5932996f485b8b1b8d7cbb3f77a6">
      <tp>
        <v>1</v>
        <stp/>
        <stp>68183e3d-d451-4e5f-bdf6-53b165741c1c</stp>
        <tr r="H15" s="132"/>
      </tp>
    </main>
    <main first="rtdsrv.458a5932996f485b8b1b8d7cbb3f77a6">
      <tp>
        <v>1</v>
        <stp/>
        <stp>4749a3f8-73f3-4365-8098-cde8eea1eb83</stp>
        <tr r="BD9" s="130"/>
      </tp>
    </main>
    <main first="rtdsrv.458a5932996f485b8b1b8d7cbb3f77a6">
      <tp>
        <v>1</v>
        <stp/>
        <stp>94870d85-8e58-43fa-8aad-2b4ecf2800b5</stp>
        <tr r="AU15" s="130"/>
      </tp>
      <tp>
        <v>1</v>
        <stp/>
        <stp>a5b3d2f2-2b21-4224-a971-909adc87a93e</stp>
        <tr r="AI60" s="130"/>
      </tp>
    </main>
    <main first="rtdsrv.458a5932996f485b8b1b8d7cbb3f77a6">
      <tp>
        <v>1</v>
        <stp/>
        <stp>02ab1e65-c6b7-4b0a-acff-4ad4a946072f</stp>
        <tr r="CZ14" s="132"/>
      </tp>
    </main>
    <main first="rtdsrv.458a5932996f485b8b1b8d7cbb3f77a6">
      <tp>
        <v>1</v>
        <stp/>
        <stp>6ada684e-c47b-44ba-bd2d-5d68fd6255e0</stp>
        <tr r="C6" s="132"/>
      </tp>
    </main>
    <main first="rtdsrv.458a5932996f485b8b1b8d7cbb3f77a6">
      <tp>
        <v>1</v>
        <stp/>
        <stp>b6a260a9-43f6-47ea-b394-ba328a4af6e5</stp>
        <tr r="AX87" s="130"/>
      </tp>
    </main>
    <main first="rtdsrv.458a5932996f485b8b1b8d7cbb3f77a6">
      <tp>
        <v>1</v>
        <stp/>
        <stp>b33ce89f-17c5-4bef-825e-d06e1a21dd90</stp>
        <tr r="AS44" s="130"/>
      </tp>
    </main>
    <main first="rtdsrv.458a5932996f485b8b1b8d7cbb3f77a6">
      <tp>
        <v>1</v>
        <stp/>
        <stp>6bdcb552-8693-4e78-bca2-6d4976a7c8ef</stp>
        <tr r="E13" s="132"/>
      </tp>
    </main>
    <main first="rtdsrv.458a5932996f485b8b1b8d7cbb3f77a6">
      <tp>
        <v>1</v>
        <stp/>
        <stp>18c0841b-7334-4e8c-a970-3111561fc447</stp>
        <tr r="K64" s="130"/>
      </tp>
    </main>
    <main first="rtdsrv.458a5932996f485b8b1b8d7cbb3f77a6">
      <tp>
        <v>1</v>
        <stp/>
        <stp>8a426e00-749e-4f14-9027-e85cac5252b4</stp>
        <tr r="J63" s="130"/>
      </tp>
    </main>
    <main first="rtdsrv.458a5932996f485b8b1b8d7cbb3f77a6">
      <tp>
        <v>1</v>
        <stp/>
        <stp>864df050-2de8-4f82-9e86-00b1b3e07a1c</stp>
        <tr r="BE69" s="130"/>
      </tp>
    </main>
    <main first="rtdsrv.458a5932996f485b8b1b8d7cbb3f77a6">
      <tp>
        <v>1</v>
        <stp/>
        <stp>4542506c-7ff1-4db9-9665-0c9efd4e9f9a</stp>
        <tr r="AL69" s="130"/>
      </tp>
    </main>
    <main first="rtdsrv.458a5932996f485b8b1b8d7cbb3f77a6">
      <tp>
        <v>1</v>
        <stp/>
        <stp>be0e0943-2c70-4bb2-a3f0-ed7176233443</stp>
        <tr r="O71" s="130"/>
      </tp>
    </main>
    <main first="rtdsrv.458a5932996f485b8b1b8d7cbb3f77a6">
      <tp>
        <v>1</v>
        <stp/>
        <stp>380e2142-1a77-4bf0-ada0-85588314d376</stp>
        <tr r="M96" s="130"/>
      </tp>
    </main>
    <main first="rtdsrv.458a5932996f485b8b1b8d7cbb3f77a6">
      <tp>
        <v>1</v>
        <stp/>
        <stp>0e0738b8-5921-4851-aa92-e3bc2790e8d2</stp>
        <tr r="FH6" s="132"/>
      </tp>
    </main>
    <main first="rtdsrv.458a5932996f485b8b1b8d7cbb3f77a6">
      <tp>
        <v>1</v>
        <stp/>
        <stp>0424af32-6f45-40fd-8d10-bb7a77eab8c8</stp>
        <tr r="FP5" s="132"/>
      </tp>
    </main>
    <main first="rtdsrv.458a5932996f485b8b1b8d7cbb3f77a6">
      <tp>
        <v>1</v>
        <stp/>
        <stp>215ff8fe-70d5-4aaa-9f10-5623e554b127</stp>
        <tr r="BE84" s="130"/>
      </tp>
    </main>
    <main first="rtdsrv.458a5932996f485b8b1b8d7cbb3f77a6">
      <tp>
        <v>1</v>
        <stp/>
        <stp>b1e5a6c2-5d59-45ac-8583-e995a464a880</stp>
        <tr r="AW86" s="130"/>
      </tp>
      <tp>
        <v>1</v>
        <stp/>
        <stp>99609f39-7a21-46c0-ab93-b93df10f052c</stp>
        <tr r="AY58" s="130"/>
      </tp>
    </main>
    <main first="rtdsrv.458a5932996f485b8b1b8d7cbb3f77a6">
      <tp>
        <v>1</v>
        <stp/>
        <stp>3917fc27-acfd-44ce-97b3-304024e4ddde</stp>
        <tr r="BA73" s="130"/>
      </tp>
    </main>
    <main first="rtdsrv.458a5932996f485b8b1b8d7cbb3f77a6">
      <tp>
        <v>1</v>
        <stp/>
        <stp>284cccda-7139-40bf-a9c4-a81159b484a5</stp>
        <tr r="BD46" s="130"/>
        <tr r="BD51" s="130"/>
      </tp>
    </main>
    <main first="rtdsrv.458a5932996f485b8b1b8d7cbb3f77a6">
      <tp>
        <v>1</v>
        <stp/>
        <stp>4210c0ab-03fe-41c4-8e4b-b5c2bcdeb8a5</stp>
        <tr r="R43" s="130"/>
      </tp>
    </main>
    <main first="rtdsrv.458a5932996f485b8b1b8d7cbb3f77a6">
      <tp>
        <v>1</v>
        <stp/>
        <stp>92c147d4-93e8-4efc-b98e-012df809324d</stp>
        <tr r="DE7" s="132"/>
      </tp>
    </main>
    <main first="rtdsrv.458a5932996f485b8b1b8d7cbb3f77a6">
      <tp>
        <v>1</v>
        <stp/>
        <stp>cd97f616-6d3f-452b-a789-8b685924b96f</stp>
        <tr r="BE96" s="130"/>
      </tp>
      <tp>
        <v>1</v>
        <stp/>
        <stp>5136746e-6e64-454a-95c2-dc2aa7072974</stp>
        <tr r="EN14" s="132"/>
      </tp>
    </main>
    <main first="rtdsrv.458a5932996f485b8b1b8d7cbb3f77a6">
      <tp>
        <v>1</v>
        <stp/>
        <stp>7fb0a528-90ab-4d18-934a-22df011e094b</stp>
        <tr r="AY86" s="130"/>
      </tp>
    </main>
    <main first="rtdsrv.458a5932996f485b8b1b8d7cbb3f77a6">
      <tp>
        <v>1</v>
        <stp/>
        <stp>b3a94792-893e-43e3-9544-c2da87765bf0</stp>
        <tr r="AB7" s="132"/>
      </tp>
    </main>
    <main first="rtdsrv.458a5932996f485b8b1b8d7cbb3f77a6">
      <tp>
        <v>1</v>
        <stp/>
        <stp>d9152515-9b71-4a26-bfd6-88f31046e3fb</stp>
        <tr r="O14" s="130"/>
        <tr r="O26" s="130"/>
      </tp>
    </main>
    <main first="rtdsrv.458a5932996f485b8b1b8d7cbb3f77a6">
      <tp>
        <v>1</v>
        <stp/>
        <stp>15a887ce-24bb-4369-ba14-db5cc643f0cc</stp>
        <tr r="BE87" s="130"/>
      </tp>
    </main>
    <main first="rtdsrv.458a5932996f485b8b1b8d7cbb3f77a6">
      <tp>
        <v>1</v>
        <stp/>
        <stp>71578804-16fe-4534-877d-3ffc59bfb836</stp>
        <tr r="P5" s="130"/>
      </tp>
    </main>
    <main first="rtdsrv.458a5932996f485b8b1b8d7cbb3f77a6">
      <tp>
        <v>1</v>
        <stp/>
        <stp>626dcd8d-3ae0-49c5-994b-7880c93069fa</stp>
        <tr r="ED9" s="132"/>
      </tp>
    </main>
    <main first="rtdsrv.458a5932996f485b8b1b8d7cbb3f77a6">
      <tp>
        <v>1</v>
        <stp/>
        <stp>37303645-d6a9-49c4-9195-702f275d23cd</stp>
        <tr r="U81" s="130"/>
      </tp>
    </main>
    <main first="rtdsrv.458a5932996f485b8b1b8d7cbb3f77a6">
      <tp>
        <v>1</v>
        <stp/>
        <stp>fb3ca53d-eabd-4e4e-990d-88e9906dd36d</stp>
        <tr r="CV11" s="132"/>
      </tp>
    </main>
    <main first="rtdsrv.458a5932996f485b8b1b8d7cbb3f77a6">
      <tp>
        <v>1</v>
        <stp/>
        <stp>f5b0a9f1-f483-430d-94b9-6f6454f8bb96</stp>
        <tr r="AU84" s="130"/>
      </tp>
    </main>
    <main first="rtdsrv.458a5932996f485b8b1b8d7cbb3f77a6">
      <tp>
        <v>1</v>
        <stp/>
        <stp>950bafe2-6edb-46ad-8c6d-16f689730de6</stp>
        <tr r="BJ33" s="130"/>
      </tp>
      <tp>
        <v>1</v>
        <stp/>
        <stp>b58bb72a-3467-42dd-8a5a-32d698b12691</stp>
        <tr r="BE88" s="130"/>
      </tp>
    </main>
    <main first="rtdsrv.458a5932996f485b8b1b8d7cbb3f77a6">
      <tp>
        <v>1</v>
        <stp/>
        <stp>28ece46d-d7f1-41e7-93ff-e161bed89114</stp>
        <tr r="GK8" s="132"/>
      </tp>
      <tp>
        <v>1</v>
        <stp/>
        <stp>f75213c7-c0c8-4f75-8181-67af854584c8</stp>
        <tr r="AT87" s="130"/>
      </tp>
    </main>
    <main first="rtdsrv.458a5932996f485b8b1b8d7cbb3f77a6">
      <tp>
        <v>1</v>
        <stp/>
        <stp>7f1dd3f1-6291-4f65-ae80-26767f11cb22</stp>
        <tr r="BR7" s="132"/>
      </tp>
    </main>
    <main first="rtdsrv.458a5932996f485b8b1b8d7cbb3f77a6">
      <tp>
        <v>1</v>
        <stp/>
        <stp>d4d55495-987a-4435-8212-7e79cee32ad7</stp>
        <tr r="BB8" s="130"/>
      </tp>
    </main>
    <main first="rtdsrv.458a5932996f485b8b1b8d7cbb3f77a6">
      <tp>
        <v>1</v>
        <stp/>
        <stp>70c459f1-203a-4e39-ae9a-b036ff175172</stp>
        <tr r="AW32" s="130"/>
      </tp>
      <tp>
        <v>1</v>
        <stp/>
        <stp>23e8ff02-8bd7-4edf-acab-8fe17f70d6fd</stp>
        <tr r="AS75" s="130"/>
      </tp>
    </main>
    <main first="rtdsrv.458a5932996f485b8b1b8d7cbb3f77a6">
      <tp>
        <v>1</v>
        <stp/>
        <stp>2dfe49f8-f846-4d23-9409-bbb47c0efe13</stp>
        <tr r="BA11" s="130"/>
      </tp>
    </main>
    <main first="rtdsrv.458a5932996f485b8b1b8d7cbb3f77a6">
      <tp>
        <v>1</v>
        <stp/>
        <stp>3625958f-d898-44f9-83ae-1f4e3de5badd</stp>
        <tr r="AY28" s="130"/>
      </tp>
    </main>
    <main first="rtdsrv.458a5932996f485b8b1b8d7cbb3f77a6">
      <tp>
        <v>1</v>
        <stp/>
        <stp>43d9686e-44c9-4198-aa0b-1fff84870984</stp>
        <tr r="AW63" s="130"/>
      </tp>
      <tp>
        <v>1</v>
        <stp/>
        <stp>a769afe0-3720-49f0-a314-810ed746b969</stp>
        <tr r="AM84" s="130"/>
      </tp>
    </main>
    <main first="rtdsrv.458a5932996f485b8b1b8d7cbb3f77a6">
      <tp>
        <v>1</v>
        <stp/>
        <stp>9568a89e-229d-4dbe-9347-5c8accb2e22c</stp>
        <tr r="BA16" s="130"/>
      </tp>
      <tp>
        <v>1</v>
        <stp/>
        <stp>c2cd2e35-1647-490d-9983-662fef1b1656</stp>
        <tr r="GO11" s="132"/>
      </tp>
    </main>
    <main first="rtdsrv.458a5932996f485b8b1b8d7cbb3f77a6">
      <tp>
        <v>1</v>
        <stp/>
        <stp>3c211661-df77-466c-af56-421c00d389be</stp>
        <tr r="GW11" s="132"/>
      </tp>
    </main>
    <main first="rtdsrv.458a5932996f485b8b1b8d7cbb3f77a6">
      <tp>
        <v>1</v>
        <stp/>
        <stp>0477a25e-ca1b-4a1a-8b86-64e6f6282ba7</stp>
        <tr r="DX13" s="132"/>
      </tp>
    </main>
    <main first="rtdsrv.458a5932996f485b8b1b8d7cbb3f77a6">
      <tp>
        <v>1</v>
        <stp/>
        <stp>0b451754-4a44-46fb-9800-413178886f82</stp>
        <tr r="G21" s="130"/>
      </tp>
    </main>
    <main first="rtdsrv.458a5932996f485b8b1b8d7cbb3f77a6">
      <tp>
        <v>1</v>
        <stp/>
        <stp>3bff3b62-1339-4d8a-bbfd-28c66f0f7471</stp>
        <tr r="I9" s="130"/>
      </tp>
    </main>
    <main first="rtdsrv.458a5932996f485b8b1b8d7cbb3f77a6">
      <tp>
        <v>1</v>
        <stp/>
        <stp>61cf1c42-0b56-45bf-af9d-36f4ddc8b377</stp>
        <tr r="GF7" s="132"/>
      </tp>
    </main>
    <main first="rtdsrv.458a5932996f485b8b1b8d7cbb3f77a6">
      <tp>
        <v>1</v>
        <stp/>
        <stp>58f56ef0-2ba8-42c8-975e-e07b77a62926</stp>
        <tr r="EE9" s="132"/>
      </tp>
      <tp>
        <v>1</v>
        <stp/>
        <stp>3775b4eb-16ea-48a8-b827-55158d31952d</stp>
        <tr r="AQ99" s="130"/>
      </tp>
    </main>
    <main first="rtdsrv.458a5932996f485b8b1b8d7cbb3f77a6">
      <tp>
        <v>1</v>
        <stp/>
        <stp>01f9c0e1-501a-444b-b931-e899d4fba51b</stp>
        <tr r="Y72" s="130"/>
      </tp>
    </main>
    <main first="rtdsrv.458a5932996f485b8b1b8d7cbb3f77a6">
      <tp>
        <v>1</v>
        <stp/>
        <stp>b8b1e52f-3049-4ff7-966b-f6ba4e4d208d</stp>
        <tr r="Y60" s="130"/>
      </tp>
    </main>
    <main first="rtdsrv.458a5932996f485b8b1b8d7cbb3f77a6">
      <tp>
        <v>1</v>
        <stp/>
        <stp>55be7a25-4820-42b4-94ca-645c79401fdc</stp>
        <tr r="J26" s="130"/>
        <tr r="J14" s="130"/>
      </tp>
    </main>
    <main first="rtdsrv.458a5932996f485b8b1b8d7cbb3f77a6">
      <tp>
        <v>1</v>
        <stp/>
        <stp>e38d6370-e566-425a-85aa-c4b12908b4eb</stp>
        <tr r="X7" s="130"/>
      </tp>
    </main>
    <main first="rtdsrv.458a5932996f485b8b1b8d7cbb3f77a6">
      <tp>
        <v>1</v>
        <stp/>
        <stp>2a0f7763-ead8-408d-9119-49d2c1c30256</stp>
        <tr r="CM9" s="132"/>
      </tp>
    </main>
    <main first="rtdsrv.458a5932996f485b8b1b8d7cbb3f77a6">
      <tp>
        <v>1</v>
        <stp/>
        <stp>a9cdec8e-2f16-40eb-aa58-b4c59f33b180</stp>
        <tr r="DN12" s="132"/>
      </tp>
      <tp>
        <v>1</v>
        <stp/>
        <stp>84b87a82-9e0f-43e8-8e82-081660c4582f</stp>
        <tr r="I63" s="130"/>
      </tp>
    </main>
    <main first="rtdsrv.458a5932996f485b8b1b8d7cbb3f77a6">
      <tp>
        <v>1</v>
        <stp/>
        <stp>e7311b61-4e8f-4445-8906-c81dca290a86</stp>
        <tr r="AP8" s="132"/>
      </tp>
    </main>
    <main first="rtdsrv.458a5932996f485b8b1b8d7cbb3f77a6">
      <tp>
        <v>1</v>
        <stp/>
        <stp>80869829-06a9-4b56-a94a-7cd8dc280ff7</stp>
        <tr r="CF5" s="132"/>
      </tp>
    </main>
    <main first="rtdsrv.458a5932996f485b8b1b8d7cbb3f77a6">
      <tp>
        <v>1</v>
        <stp/>
        <stp>d751f650-e8c0-4f1d-b134-9820b1e19f6d</stp>
        <tr r="AL32" s="130"/>
      </tp>
    </main>
    <main first="rtdsrv.458a5932996f485b8b1b8d7cbb3f77a6">
      <tp>
        <v>1</v>
        <stp/>
        <stp>6dd1ecb4-4672-46bb-a5be-739019eb1ed6</stp>
        <tr r="DS5" s="132"/>
      </tp>
    </main>
    <main first="rtdsrv.458a5932996f485b8b1b8d7cbb3f77a6">
      <tp>
        <v>1</v>
        <stp/>
        <stp>40aee6a3-a0b5-4d58-b149-3060dba9ee34</stp>
        <tr r="AT14" s="130"/>
        <tr r="AT26" s="130"/>
      </tp>
    </main>
    <main first="rtdsrv.458a5932996f485b8b1b8d7cbb3f77a6">
      <tp>
        <v>1</v>
        <stp/>
        <stp>1c9cfb3c-45ff-43ee-8826-9b7dd8239da4</stp>
        <tr r="AY19" s="130"/>
      </tp>
      <tp>
        <v>1</v>
        <stp/>
        <stp>f80523bd-6f21-4eda-b1a2-428e0ca4a028</stp>
        <tr r="AH22" s="130"/>
      </tp>
    </main>
    <main first="rtdsrv.458a5932996f485b8b1b8d7cbb3f77a6">
      <tp>
        <v>1</v>
        <stp/>
        <stp>18c77792-1211-4750-9dd9-fe201f707590</stp>
        <tr r="AQ28" s="130"/>
      </tp>
    </main>
    <main first="rtdsrv.458a5932996f485b8b1b8d7cbb3f77a6">
      <tp>
        <v>1</v>
        <stp/>
        <stp>79611b94-1f70-44fe-b259-c58c36e09ecf</stp>
        <tr r="AI87" s="130"/>
      </tp>
    </main>
    <main first="rtdsrv.458a5932996f485b8b1b8d7cbb3f77a6">
      <tp>
        <v>1</v>
        <stp/>
        <stp>4784056d-1aaf-43c5-9d24-fff679e5176a</stp>
        <tr r="FB9" s="132"/>
      </tp>
      <tp>
        <v>1</v>
        <stp/>
        <stp>b74694eb-a8e6-49e6-9809-7b07d894bb71</stp>
        <tr r="EV11" s="132"/>
      </tp>
    </main>
    <main first="rtdsrv.458a5932996f485b8b1b8d7cbb3f77a6">
      <tp>
        <v>1</v>
        <stp/>
        <stp>4bb2c57a-0396-43aa-a525-7a8311192842</stp>
        <tr r="Z14" s="132"/>
      </tp>
    </main>
    <main first="rtdsrv.458a5932996f485b8b1b8d7cbb3f77a6">
      <tp>
        <v>1</v>
        <stp/>
        <stp>3224bf10-2c34-47be-aec6-a997b1bae4c8</stp>
        <tr r="U64" s="130"/>
      </tp>
    </main>
    <main first="rtdsrv.458a5932996f485b8b1b8d7cbb3f77a6">
      <tp>
        <v>1</v>
        <stp/>
        <stp>d8245939-869c-4e67-8db8-13aff2456147</stp>
        <tr r="AR22" s="130"/>
      </tp>
      <tp>
        <v>1</v>
        <stp/>
        <stp>e8ec4e15-e3f0-422d-9357-5da345956df1</stp>
        <tr r="AA40" s="130"/>
      </tp>
      <tp>
        <v>1</v>
        <stp/>
        <stp>888f5a5b-74e1-411b-9f1c-ad6770d7d5fb</stp>
        <tr r="X57" s="130"/>
      </tp>
    </main>
    <main first="rtdsrv.458a5932996f485b8b1b8d7cbb3f77a6">
      <tp>
        <v>1</v>
        <stp/>
        <stp>b48f6ffc-7bec-40b3-87ae-4135cc0e7940</stp>
        <tr r="BK78" s="130"/>
      </tp>
      <tp>
        <v>1</v>
        <stp/>
        <stp>63188001-100b-401a-abb5-8bf47797985c</stp>
        <tr r="AJ24" s="130"/>
      </tp>
    </main>
    <main first="rtdsrv.458a5932996f485b8b1b8d7cbb3f77a6">
      <tp>
        <v>1</v>
        <stp/>
        <stp>f17e15be-a225-41e6-bb18-f54e120cf946</stp>
        <tr r="AC32" s="130"/>
      </tp>
    </main>
    <main first="rtdsrv.458a5932996f485b8b1b8d7cbb3f77a6">
      <tp>
        <v>1</v>
        <stp/>
        <stp>528e6f74-098e-4b20-bce4-699355f48a25</stp>
        <tr r="U65" s="130"/>
      </tp>
    </main>
    <main first="rtdsrv.458a5932996f485b8b1b8d7cbb3f77a6">
      <tp>
        <v>1</v>
        <stp/>
        <stp>93c43483-5232-4499-8817-eca1fab76d28</stp>
        <tr r="E40" s="130"/>
      </tp>
    </main>
    <main first="rtdsrv.458a5932996f485b8b1b8d7cbb3f77a6">
      <tp>
        <v>1</v>
        <stp/>
        <stp>83457e49-453e-4347-b099-253a221927a8</stp>
        <tr r="AR40" s="130"/>
      </tp>
    </main>
    <main first="rtdsrv.458a5932996f485b8b1b8d7cbb3f77a6">
      <tp>
        <v>1</v>
        <stp/>
        <stp>899ae3a1-947f-45a5-bd59-9340d972ee98</stp>
        <tr r="GC6" s="132"/>
      </tp>
      <tp>
        <v>1</v>
        <stp/>
        <stp>577601c5-3bc5-4a99-ac8e-ce6db95c9481</stp>
        <tr r="V43" s="130"/>
      </tp>
      <tp>
        <v>1</v>
        <stp/>
        <stp>e20ed42f-6e67-48ed-a7b9-c90ac7c90deb</stp>
        <tr r="AY8" s="132"/>
      </tp>
    </main>
    <main first="rtdsrv.458a5932996f485b8b1b8d7cbb3f77a6">
      <tp>
        <v>1</v>
        <stp/>
        <stp>f5323c0e-5a4e-4ae2-9386-8f52dd975709</stp>
        <tr r="L27" s="130"/>
      </tp>
    </main>
    <main first="rtdsrv.458a5932996f485b8b1b8d7cbb3f77a6">
      <tp>
        <v>1</v>
        <stp/>
        <stp>a5ee3818-3b18-4d4f-b66b-74603d805b2e</stp>
        <tr r="AO8" s="132"/>
      </tp>
    </main>
    <main first="rtdsrv.458a5932996f485b8b1b8d7cbb3f77a6">
      <tp>
        <v>1</v>
        <stp/>
        <stp>2c694904-f681-44f3-aacd-e7989166063d</stp>
        <tr r="AK12" s="130"/>
      </tp>
    </main>
    <main first="rtdsrv.458a5932996f485b8b1b8d7cbb3f77a6">
      <tp>
        <v>1</v>
        <stp/>
        <stp>f26f46a7-c84f-4671-a1c1-e3f25b11d8a9</stp>
        <tr r="P84" s="130"/>
      </tp>
    </main>
    <main first="rtdsrv.458a5932996f485b8b1b8d7cbb3f77a6">
      <tp>
        <v>1</v>
        <stp/>
        <stp>672e546c-69f1-4428-b355-d51c35af5d14</stp>
        <tr r="BJ68" s="130"/>
      </tp>
    </main>
    <main first="rtdsrv.458a5932996f485b8b1b8d7cbb3f77a6">
      <tp>
        <v>1</v>
        <stp/>
        <stp>21636b98-747f-4e32-a5a9-e6a56e239882</stp>
        <tr r="L19" s="130"/>
      </tp>
      <tp>
        <v>1</v>
        <stp/>
        <stp>554503fb-82cd-4945-aa89-651b788d1b9a</stp>
        <tr r="M71" s="130"/>
      </tp>
    </main>
    <main first="rtdsrv.458a5932996f485b8b1b8d7cbb3f77a6">
      <tp>
        <v>1</v>
        <stp/>
        <stp>ba923bd7-1d44-4ba9-b7b1-ccef8b5a442c</stp>
        <tr r="Q35" s="130"/>
      </tp>
      <tp>
        <v>1</v>
        <stp/>
        <stp>fe2a2105-8c9e-44b1-83e8-de1feb1d2c37</stp>
        <tr r="E44" s="130"/>
      </tp>
    </main>
    <main first="rtdsrv.458a5932996f485b8b1b8d7cbb3f77a6">
      <tp>
        <v>1</v>
        <stp/>
        <stp>7d639d33-53b7-4ad8-b778-e3a3da41d411</stp>
        <tr r="AV85" s="130"/>
      </tp>
    </main>
    <main first="rtdsrv.458a5932996f485b8b1b8d7cbb3f77a6">
      <tp>
        <v>1</v>
        <stp/>
        <stp>f02cbaa8-6cec-41b1-903d-459c381da46a</stp>
        <tr r="AY65" s="130"/>
      </tp>
    </main>
    <main first="rtdsrv.458a5932996f485b8b1b8d7cbb3f77a6">
      <tp>
        <v>1</v>
        <stp/>
        <stp>14f4759b-8ba0-4e5f-be76-a1c5a037a512</stp>
        <tr r="W31" s="130"/>
      </tp>
      <tp>
        <v>1</v>
        <stp/>
        <stp>87f963a6-36e7-4dbc-87f1-f8c24a029798</stp>
        <tr r="BA84" s="130"/>
      </tp>
    </main>
    <main first="rtdsrv.458a5932996f485b8b1b8d7cbb3f77a6">
      <tp>
        <v>1</v>
        <stp/>
        <stp>2875a27f-a85c-46fd-bec5-a771df4edae2</stp>
        <tr r="Y6" s="132"/>
      </tp>
      <tp>
        <v>1</v>
        <stp/>
        <stp>8bae54cd-cc12-4329-82a0-30804e0fbd29</stp>
        <tr r="AF64" s="130"/>
      </tp>
    </main>
    <main first="rtdsrv.458a5932996f485b8b1b8d7cbb3f77a6">
      <tp>
        <v>1</v>
        <stp/>
        <stp>aedb64e8-7ed3-4d1e-a2f1-f9913036a04c</stp>
        <tr r="DL12" s="132"/>
      </tp>
    </main>
    <main first="rtdsrv.458a5932996f485b8b1b8d7cbb3f77a6">
      <tp>
        <v>1</v>
        <stp/>
        <stp>095910ac-67af-4dc0-b725-475bcc8a950b</stp>
        <tr r="L7" s="130"/>
      </tp>
    </main>
    <main first="rtdsrv.458a5932996f485b8b1b8d7cbb3f77a6">
      <tp>
        <v>1</v>
        <stp/>
        <stp>fb3ae9c9-e74b-4594-a469-83ab40076cd5</stp>
        <tr r="AG71" s="130"/>
      </tp>
      <tp>
        <v>1</v>
        <stp/>
        <stp>04964728-f3c7-49c5-a382-34b451079130</stp>
        <tr r="BJ70" s="130"/>
      </tp>
    </main>
    <main first="rtdsrv.458a5932996f485b8b1b8d7cbb3f77a6">
      <tp>
        <v>1</v>
        <stp/>
        <stp>a206a635-cc44-483f-9ee2-0282233de92c</stp>
        <tr r="N99" s="130"/>
      </tp>
    </main>
    <main first="rtdsrv.458a5932996f485b8b1b8d7cbb3f77a6">
      <tp>
        <v>1</v>
        <stp/>
        <stp>99f4f6bc-19b8-4256-b5aa-5ec1db7ed2c8</stp>
        <tr r="D59" s="130"/>
      </tp>
    </main>
    <main first="rtdsrv.458a5932996f485b8b1b8d7cbb3f77a6">
      <tp>
        <v>1</v>
        <stp/>
        <stp>c1bf7e37-d9ae-4ec5-b8c1-b9b02b6e4b9e</stp>
        <tr r="AL68" s="130"/>
      </tp>
    </main>
    <main first="rtdsrv.458a5932996f485b8b1b8d7cbb3f77a6">
      <tp>
        <v>1</v>
        <stp/>
        <stp>ae01497c-88b9-4d6e-9828-ef2af2d598e9</stp>
        <tr r="AP23" s="130"/>
      </tp>
    </main>
    <main first="rtdsrv.458a5932996f485b8b1b8d7cbb3f77a6">
      <tp>
        <v>1</v>
        <stp/>
        <stp>a95414e7-c0d4-493c-a84a-b20eeb3c4664</stp>
        <tr r="AT5" s="132"/>
      </tp>
    </main>
    <main first="rtdsrv.458a5932996f485b8b1b8d7cbb3f77a6">
      <tp>
        <v>1</v>
        <stp/>
        <stp>3a10937d-561a-4f76-a6ae-9ba46589488e</stp>
        <tr r="AQ87" s="130"/>
      </tp>
    </main>
    <main first="rtdsrv.458a5932996f485b8b1b8d7cbb3f77a6">
      <tp>
        <v>1</v>
        <stp/>
        <stp>e997a217-4de7-482c-b3dd-2640541e0e87</stp>
        <tr r="FO13" s="132"/>
      </tp>
      <tp>
        <v>1</v>
        <stp/>
        <stp>55736353-a1dc-42f5-829a-800d2652a2bb</stp>
        <tr r="AW41" s="130"/>
      </tp>
    </main>
    <main first="rtdsrv.458a5932996f485b8b1b8d7cbb3f77a6">
      <tp>
        <v>1</v>
        <stp/>
        <stp>a0f5ec38-aaa8-4386-92a2-82487948b13c</stp>
        <tr r="AJ42" s="130"/>
      </tp>
    </main>
    <main first="rtdsrv.458a5932996f485b8b1b8d7cbb3f77a6">
      <tp>
        <v>1</v>
        <stp/>
        <stp>058f1847-7998-4f55-a8e1-e6cc5a34dba4</stp>
        <tr r="BH94" s="130"/>
      </tp>
    </main>
    <main first="rtdsrv.458a5932996f485b8b1b8d7cbb3f77a6">
      <tp>
        <v>1</v>
        <stp/>
        <stp>5fd2eb30-f00e-4eca-8512-5cd52827266d</stp>
        <tr r="AN38" s="130"/>
      </tp>
      <tp>
        <v>1</v>
        <stp/>
        <stp>4352f16c-5045-4a56-ad8b-21a2836ead0d</stp>
        <tr r="AC68" s="130"/>
      </tp>
    </main>
    <main first="rtdsrv.458a5932996f485b8b1b8d7cbb3f77a6">
      <tp>
        <v>1</v>
        <stp/>
        <stp>974fae4f-9247-42f7-8950-c3c8cddf4a38</stp>
        <tr r="AA76" s="130"/>
      </tp>
    </main>
    <main first="rtdsrv.458a5932996f485b8b1b8d7cbb3f77a6">
      <tp>
        <v>1</v>
        <stp/>
        <stp>eac66ede-430c-40da-b070-50da31f2b80d</stp>
        <tr r="FH7" s="132"/>
      </tp>
    </main>
    <main first="rtdsrv.458a5932996f485b8b1b8d7cbb3f77a6">
      <tp>
        <v>1</v>
        <stp/>
        <stp>5974b611-d524-4ef6-a770-cb5ee4de5ceb</stp>
        <tr r="AN91" s="130"/>
      </tp>
      <tp>
        <v>1</v>
        <stp/>
        <stp>8629307d-4d46-4080-92dc-69295261d217</stp>
        <tr r="L85" s="130"/>
      </tp>
    </main>
    <main first="rtdsrv.458a5932996f485b8b1b8d7cbb3f77a6">
      <tp>
        <v>1</v>
        <stp/>
        <stp>2d107525-2a15-41c8-9bad-460d8a539246</stp>
        <tr r="GQ16" s="132"/>
      </tp>
    </main>
    <main first="rtdsrv.458a5932996f485b8b1b8d7cbb3f77a6">
      <tp>
        <v>1</v>
        <stp/>
        <stp>e485b264-87f8-4324-9076-a3755d645590</stp>
        <tr r="BD80" s="130"/>
      </tp>
    </main>
    <main first="rtdsrv.458a5932996f485b8b1b8d7cbb3f77a6">
      <tp>
        <v>1</v>
        <stp/>
        <stp>4f42b69d-29c7-43de-967a-92350848fee0</stp>
        <tr r="BA89" s="130"/>
      </tp>
    </main>
    <main first="rtdsrv.458a5932996f485b8b1b8d7cbb3f77a6">
      <tp>
        <v>1</v>
        <stp/>
        <stp>fceab06d-19c7-415c-8301-890a82dade8b</stp>
        <tr r="BG8" s="132"/>
      </tp>
    </main>
    <main first="rtdsrv.458a5932996f485b8b1b8d7cbb3f77a6">
      <tp>
        <v>1</v>
        <stp/>
        <stp>cba9123c-abd9-47d0-aa54-780456671e5c</stp>
        <tr r="AS19" s="130"/>
      </tp>
    </main>
    <main first="rtdsrv.458a5932996f485b8b1b8d7cbb3f77a6">
      <tp>
        <v>1</v>
        <stp/>
        <stp>12313364-b1a9-4e5d-9a4f-5ef8410ec842</stp>
        <tr r="AM45" s="130"/>
      </tp>
    </main>
    <main first="rtdsrv.458a5932996f485b8b1b8d7cbb3f77a6">
      <tp>
        <v>1</v>
        <stp/>
        <stp>d4fa5ed7-d117-4898-96a1-e4d6ed7a9cae</stp>
        <tr r="G69" s="130"/>
      </tp>
      <tp>
        <v>1</v>
        <stp/>
        <stp>5b803693-d504-46a4-b92b-4c73823a88ba</stp>
        <tr r="AM43" s="130"/>
      </tp>
    </main>
    <main first="rtdsrv.458a5932996f485b8b1b8d7cbb3f77a6">
      <tp>
        <v>1</v>
        <stp/>
        <stp>311c435d-f56b-4047-8252-799e5036c092</stp>
        <tr r="FI14" s="132"/>
      </tp>
    </main>
    <main first="rtdsrv.458a5932996f485b8b1b8d7cbb3f77a6">
      <tp>
        <v>1</v>
        <stp/>
        <stp>b8ae455a-e413-4043-b6d3-1e1b67fb024f</stp>
        <tr r="O76" s="130"/>
      </tp>
    </main>
    <main first="rtdsrv.458a5932996f485b8b1b8d7cbb3f77a6">
      <tp>
        <v>1</v>
        <stp/>
        <stp>8ccf09c9-2113-49d4-bc2c-a097f29573b7</stp>
        <tr r="N73" s="130"/>
      </tp>
    </main>
    <main first="rtdsrv.458a5932996f485b8b1b8d7cbb3f77a6">
      <tp>
        <v>1</v>
        <stp/>
        <stp>1cad29b7-3131-4ebd-87ac-9f2f3ca4e62d</stp>
        <tr r="FT7" s="132"/>
      </tp>
    </main>
    <main first="rtdsrv.458a5932996f485b8b1b8d7cbb3f77a6">
      <tp>
        <v>1</v>
        <stp/>
        <stp>ebd19d7a-9dfa-4aae-8aa3-2c456be3ceea</stp>
        <tr r="AP40" s="130"/>
      </tp>
    </main>
    <main first="rtdsrv.458a5932996f485b8b1b8d7cbb3f77a6">
      <tp>
        <v>1</v>
        <stp/>
        <stp>45b5dbd3-a430-4446-a92d-ca15d4ba984e</stp>
        <tr r="AY6" s="132"/>
      </tp>
    </main>
    <main first="rtdsrv.458a5932996f485b8b1b8d7cbb3f77a6">
      <tp>
        <v>1</v>
        <stp/>
        <stp>7447c104-8ad0-45df-b20d-8dbddffe9643</stp>
        <tr r="AP85" s="130"/>
      </tp>
    </main>
    <main first="rtdsrv.458a5932996f485b8b1b8d7cbb3f77a6">
      <tp>
        <v>1</v>
        <stp/>
        <stp>45415b21-80a2-4ed6-8fd8-d7634e0ee09f</stp>
        <tr r="AL51" s="130"/>
        <tr r="AL46" s="130"/>
      </tp>
    </main>
    <main first="rtdsrv.458a5932996f485b8b1b8d7cbb3f77a6">
      <tp>
        <v>1</v>
        <stp/>
        <stp>0ec4de7b-7b48-4aa9-bd43-c2f73d44d3e5</stp>
        <tr r="AG41" s="130"/>
      </tp>
      <tp>
        <v>1</v>
        <stp/>
        <stp>282017f0-2611-4556-bbb9-d6827c3b3cba</stp>
        <tr r="AN64" s="130"/>
      </tp>
    </main>
    <main first="rtdsrv.458a5932996f485b8b1b8d7cbb3f77a6">
      <tp>
        <v>1</v>
        <stp/>
        <stp>1b3ee6c8-407b-474e-af93-b7333bfe2640</stp>
        <tr r="AO36" s="130"/>
      </tp>
    </main>
    <main first="rtdsrv.458a5932996f485b8b1b8d7cbb3f77a6">
      <tp>
        <v>1</v>
        <stp/>
        <stp>27a3bf84-88f0-4f3e-91fe-b547caa5eac0</stp>
        <tr r="AZ68" s="130"/>
      </tp>
    </main>
    <main first="rtdsrv.458a5932996f485b8b1b8d7cbb3f77a6">
      <tp>
        <v>1</v>
        <stp/>
        <stp>2d4798c1-1bdd-405e-84a3-d5ff34fa9758</stp>
        <tr r="BB44" s="130"/>
      </tp>
    </main>
    <main first="rtdsrv.458a5932996f485b8b1b8d7cbb3f77a6">
      <tp>
        <v>1</v>
        <stp/>
        <stp>a274f3c6-adb5-4899-8160-9ab07e5744d3</stp>
        <tr r="K81" s="130"/>
      </tp>
    </main>
    <main first="rtdsrv.458a5932996f485b8b1b8d7cbb3f77a6">
      <tp>
        <v>1</v>
        <stp/>
        <stp>50280d00-62b5-4fe3-9772-732b78b1c2a5</stp>
        <tr r="U5" s="130"/>
      </tp>
    </main>
    <main first="rtdsrv.458a5932996f485b8b1b8d7cbb3f77a6">
      <tp>
        <v>1</v>
        <stp/>
        <stp>4c354101-f092-4b56-aa26-4304bdc9f8eb</stp>
        <tr r="AZ91" s="130"/>
      </tp>
      <tp>
        <v>1</v>
        <stp/>
        <stp>eb8a28ac-406f-401a-b84c-3fc6dcb77a87</stp>
        <tr r="I76" s="130"/>
      </tp>
    </main>
    <main first="rtdsrv.458a5932996f485b8b1b8d7cbb3f77a6">
      <tp>
        <v>1</v>
        <stp/>
        <stp>4130c5bb-6a5a-49a8-bcd4-0358cd4a1f69</stp>
        <tr r="GU16" s="132"/>
      </tp>
    </main>
    <main first="rtdsrv.458a5932996f485b8b1b8d7cbb3f77a6">
      <tp>
        <v>1</v>
        <stp/>
        <stp>04eac74a-30da-463a-8890-ce16dae51365</stp>
        <tr r="F15" s="132"/>
      </tp>
    </main>
    <main first="rtdsrv.458a5932996f485b8b1b8d7cbb3f77a6">
      <tp>
        <v>1</v>
        <stp/>
        <stp>206f5b63-bb0c-497c-87d4-88b4c1be9ae2</stp>
        <tr r="HH11" s="132"/>
      </tp>
    </main>
    <main first="rtdsrv.458a5932996f485b8b1b8d7cbb3f77a6">
      <tp>
        <v>1</v>
        <stp/>
        <stp>3e0f9811-77b1-4ccc-8918-07a8349bade2</stp>
        <tr r="BG91" s="130"/>
      </tp>
    </main>
    <main first="rtdsrv.458a5932996f485b8b1b8d7cbb3f77a6">
      <tp>
        <v>1</v>
        <stp/>
        <stp>4779ac80-edcc-4b98-a848-a4204f0a00b6</stp>
        <tr r="AL73" s="130"/>
      </tp>
    </main>
    <main first="rtdsrv.458a5932996f485b8b1b8d7cbb3f77a6">
      <tp>
        <v>1</v>
        <stp/>
        <stp>e5e3082e-b50f-4bc0-8f11-9f1162c1ae27</stp>
        <tr r="F43" s="130"/>
      </tp>
    </main>
    <main first="rtdsrv.458a5932996f485b8b1b8d7cbb3f77a6">
      <tp>
        <v>1</v>
        <stp/>
        <stp>81fa2c06-6e05-4abd-bca9-8dcd4b9988c3</stp>
        <tr r="F83" s="130"/>
      </tp>
    </main>
    <main first="rtdsrv.458a5932996f485b8b1b8d7cbb3f77a6">
      <tp>
        <v>1</v>
        <stp/>
        <stp>d01d6f84-914e-4754-9fae-5f2c27c62409</stp>
        <tr r="FM9" s="132"/>
      </tp>
    </main>
    <main first="rtdsrv.458a5932996f485b8b1b8d7cbb3f77a6">
      <tp>
        <v>1</v>
        <stp/>
        <stp>56148498-d566-432f-8a8c-51e3fc458533</stp>
        <tr r="EM9" s="132"/>
      </tp>
    </main>
    <main first="rtdsrv.458a5932996f485b8b1b8d7cbb3f77a6">
      <tp>
        <v>1</v>
        <stp/>
        <stp>94a22fe7-0993-4ae2-a2e3-7b05c0d948f9</stp>
        <tr r="V40" s="130"/>
      </tp>
    </main>
    <main first="rtdsrv.458a5932996f485b8b1b8d7cbb3f77a6">
      <tp>
        <v>1</v>
        <stp/>
        <stp>729d81df-cfcd-4541-ab88-3fdd1ec2b590</stp>
        <tr r="AV35" s="130"/>
      </tp>
    </main>
    <main first="rtdsrv.458a5932996f485b8b1b8d7cbb3f77a6">
      <tp>
        <v>1</v>
        <stp/>
        <stp>b70ecab4-4dcd-4bf5-ab98-1a30c3091c0f</stp>
        <tr r="AQ9" s="132"/>
      </tp>
    </main>
    <main first="rtdsrv.458a5932996f485b8b1b8d7cbb3f77a6">
      <tp>
        <v>1</v>
        <stp/>
        <stp>16d292a3-da8a-400b-a721-28128dac9384</stp>
        <tr r="BJ74" s="130"/>
      </tp>
    </main>
    <main first="rtdsrv.458a5932996f485b8b1b8d7cbb3f77a6">
      <tp>
        <v>1</v>
        <stp/>
        <stp>e549a2fb-8d8f-4931-91e8-977b84b2c7ef</stp>
        <tr r="BD72" s="130"/>
      </tp>
    </main>
    <main first="rtdsrv.458a5932996f485b8b1b8d7cbb3f77a6">
      <tp>
        <v>1</v>
        <stp/>
        <stp>01f87e99-fc20-4be3-89b7-0c95a9427f82</stp>
        <tr r="GL12" s="132"/>
      </tp>
    </main>
    <main first="rtdsrv.458a5932996f485b8b1b8d7cbb3f77a6">
      <tp>
        <v>1</v>
        <stp/>
        <stp>ae3828da-9130-4b37-adc4-ce641282f8b5</stp>
        <tr r="DB9" s="132"/>
      </tp>
    </main>
    <main first="rtdsrv.458a5932996f485b8b1b8d7cbb3f77a6">
      <tp>
        <v>1</v>
        <stp/>
        <stp>64c4af1a-3931-408f-8f85-dfea1149a719</stp>
        <tr r="U38" s="130"/>
      </tp>
    </main>
    <main first="rtdsrv.458a5932996f485b8b1b8d7cbb3f77a6">
      <tp>
        <v>1</v>
        <stp/>
        <stp>0910ecaf-9b50-46c0-995b-282d8985e8d4</stp>
        <tr r="HE12" s="132"/>
      </tp>
    </main>
    <main first="rtdsrv.458a5932996f485b8b1b8d7cbb3f77a6">
      <tp>
        <v>1</v>
        <stp/>
        <stp>8d515c87-eb70-44b4-a1e6-efc6f2402814</stp>
        <tr r="BK42" s="130"/>
      </tp>
    </main>
    <main first="rtdsrv.458a5932996f485b8b1b8d7cbb3f77a6">
      <tp>
        <v>1</v>
        <stp/>
        <stp>3e52ed89-7c01-4038-beaf-3beaebe1c07b</stp>
        <tr r="F21" s="130"/>
      </tp>
      <tp>
        <v>1</v>
        <stp/>
        <stp>8233396b-aa76-4585-9b69-9c51b7e1eb20</stp>
        <tr r="M95" s="130"/>
      </tp>
      <tp>
        <v>1</v>
        <stp/>
        <stp>6e032b6b-31ba-46e8-96db-c580acac2a35</stp>
        <tr r="D32" s="130"/>
      </tp>
    </main>
    <main first="rtdsrv.458a5932996f485b8b1b8d7cbb3f77a6">
      <tp>
        <v>1</v>
        <stp/>
        <stp>16fb1af1-3f22-42d5-85bb-32f6ff9fb8db</stp>
        <tr r="AR27" s="130"/>
      </tp>
      <tp>
        <v>1</v>
        <stp/>
        <stp>05007c0d-f59e-4b11-ad8f-af022d82fdd6</stp>
        <tr r="P10" s="130"/>
      </tp>
    </main>
    <main first="rtdsrv.458a5932996f485b8b1b8d7cbb3f77a6">
      <tp>
        <v>1</v>
        <stp/>
        <stp>c1e7b745-2c7f-433d-aaa9-59ffc5aafb3a</stp>
        <tr r="AL12" s="132"/>
      </tp>
    </main>
    <main first="rtdsrv.458a5932996f485b8b1b8d7cbb3f77a6">
      <tp>
        <v>1</v>
        <stp/>
        <stp>31fa43c3-b8c7-4da9-a42d-522db3bb051e</stp>
        <tr r="BC12" s="132"/>
      </tp>
    </main>
    <main first="rtdsrv.458a5932996f485b8b1b8d7cbb3f77a6">
      <tp>
        <v>1</v>
        <stp/>
        <stp>7db2dcb0-69c4-4d16-a767-99d961ef4f7a</stp>
        <tr r="K17" s="130"/>
      </tp>
    </main>
    <main first="rtdsrv.458a5932996f485b8b1b8d7cbb3f77a6">
      <tp>
        <v>1</v>
        <stp/>
        <stp>b8ea4cd2-6b51-4f31-a134-80a1fe940e7a</stp>
        <tr r="BC70" s="130"/>
      </tp>
    </main>
    <main first="rtdsrv.458a5932996f485b8b1b8d7cbb3f77a6">
      <tp>
        <v>1</v>
        <stp/>
        <stp>d5e479b9-4644-4d6e-bb4c-6024dda57b94</stp>
        <tr r="EO14" s="132"/>
      </tp>
    </main>
    <main first="rtdsrv.458a5932996f485b8b1b8d7cbb3f77a6">
      <tp>
        <v>1</v>
        <stp/>
        <stp>421f8dad-beca-4347-9fc6-9348747d989d</stp>
        <tr r="G87" s="130"/>
      </tp>
      <tp>
        <v>1</v>
        <stp/>
        <stp>00ef2f83-fedc-447a-98cd-d33fbf0098f8</stp>
        <tr r="AV9" s="132"/>
      </tp>
    </main>
    <main first="rtdsrv.458a5932996f485b8b1b8d7cbb3f77a6">
      <tp>
        <v>1</v>
        <stp/>
        <stp>f2d36ea0-668d-4660-ac77-399b03e113ad</stp>
        <tr r="AD26" s="130"/>
        <tr r="AD14" s="130"/>
      </tp>
    </main>
    <main first="rtdsrv.458a5932996f485b8b1b8d7cbb3f77a6">
      <tp>
        <v>1</v>
        <stp/>
        <stp>3dd4346b-17a0-43b9-b478-b7056622c1fd</stp>
        <tr r="BE46" s="130"/>
        <tr r="BE51" s="130"/>
      </tp>
    </main>
    <main first="rtdsrv.458a5932996f485b8b1b8d7cbb3f77a6">
      <tp>
        <v>1</v>
        <stp/>
        <stp>4f3f2696-a0a6-4388-afb4-3c3e22beeefc</stp>
        <tr r="AK16" s="132"/>
      </tp>
    </main>
    <main first="rtdsrv.458a5932996f485b8b1b8d7cbb3f77a6">
      <tp>
        <v>1</v>
        <stp/>
        <stp>d12b9120-96c3-4ba7-8135-c68605aa2ac5</stp>
        <tr r="AM38" s="130"/>
      </tp>
      <tp>
        <v>1</v>
        <stp/>
        <stp>bb1e2882-fb58-4afb-8281-b5a3f9672547</stp>
        <tr r="AZ62" s="130"/>
      </tp>
    </main>
    <main first="rtdsrv.458a5932996f485b8b1b8d7cbb3f77a6">
      <tp>
        <v>1</v>
        <stp/>
        <stp>9e11f32b-9757-4300-aff0-ea242f507a9e</stp>
        <tr r="AO5" s="130"/>
      </tp>
    </main>
    <main first="rtdsrv.458a5932996f485b8b1b8d7cbb3f77a6">
      <tp>
        <v>1</v>
        <stp/>
        <stp>5b0d48fc-2cce-4c1e-ae4c-dce1901e858a</stp>
        <tr r="AJ15" s="132"/>
      </tp>
    </main>
    <main first="rtdsrv.458a5932996f485b8b1b8d7cbb3f77a6">
      <tp>
        <v>1</v>
        <stp/>
        <stp>dd52c18e-6b58-4179-991b-24374fa5dfe1</stp>
        <tr r="W29" s="130"/>
      </tp>
    </main>
    <main first="rtdsrv.458a5932996f485b8b1b8d7cbb3f77a6">
      <tp>
        <v>1</v>
        <stp/>
        <stp>399ec3e7-a125-41de-a8b5-b21b1c528bf8</stp>
        <tr r="O32" s="130"/>
      </tp>
    </main>
    <main first="rtdsrv.458a5932996f485b8b1b8d7cbb3f77a6">
      <tp>
        <v>1</v>
        <stp/>
        <stp>f9c8f7a7-2cd4-4b57-8c02-8badb010b69c</stp>
        <tr r="D88" s="130"/>
      </tp>
    </main>
    <main first="rtdsrv.458a5932996f485b8b1b8d7cbb3f77a6">
      <tp>
        <v>1</v>
        <stp/>
        <stp>305b3905-98e5-4dea-a981-95f0e741b4d9</stp>
        <tr r="BF32" s="130"/>
      </tp>
    </main>
    <main first="rtdsrv.458a5932996f485b8b1b8d7cbb3f77a6">
      <tp>
        <v>1</v>
        <stp/>
        <stp>bbe46502-54ec-4a8d-8cdd-a98711039576</stp>
        <tr r="CQ15" s="132"/>
      </tp>
      <tp>
        <v>1</v>
        <stp/>
        <stp>34d519a3-483c-4053-a490-0edad867b1de</stp>
        <tr r="H99" s="130"/>
      </tp>
    </main>
    <main first="rtdsrv.458a5932996f485b8b1b8d7cbb3f77a6">
      <tp>
        <v>1</v>
        <stp/>
        <stp>cbd74a56-b9ab-4f41-bb72-b8417d37fdf1</stp>
        <tr r="DZ14" s="132"/>
      </tp>
    </main>
    <main first="rtdsrv.458a5932996f485b8b1b8d7cbb3f77a6">
      <tp>
        <v>1</v>
        <stp/>
        <stp>0218b881-9004-49e8-ae23-9b6647d8e3c3</stp>
        <tr r="GN8" s="132"/>
      </tp>
      <tp>
        <v>1</v>
        <stp/>
        <stp>ebb87b5b-f471-4b14-b66b-0667298bf44c</stp>
        <tr r="AT24" s="130"/>
      </tp>
    </main>
    <main first="rtdsrv.458a5932996f485b8b1b8d7cbb3f77a6">
      <tp>
        <v>1</v>
        <stp/>
        <stp>2e8adf53-75f1-4c19-bba3-52e2d3a67245</stp>
        <tr r="AZ43" s="130"/>
      </tp>
    </main>
    <main first="rtdsrv.458a5932996f485b8b1b8d7cbb3f77a6">
      <tp>
        <v>1</v>
        <stp/>
        <stp>38dd1583-f101-4e6a-a57f-c0f9ad4266bc</stp>
        <tr r="D18" s="130"/>
      </tp>
    </main>
    <main first="rtdsrv.458a5932996f485b8b1b8d7cbb3f77a6">
      <tp>
        <v>1</v>
        <stp/>
        <stp>48b9ce9f-e723-49bd-bfd9-8a6ce4ff72ab</stp>
        <tr r="BH9" s="132"/>
      </tp>
    </main>
    <main first="rtdsrv.458a5932996f485b8b1b8d7cbb3f77a6">
      <tp>
        <v>1</v>
        <stp/>
        <stp>ab30ce65-d777-49e7-8f31-cc3bbc1868e1</stp>
        <tr r="AF8" s="130"/>
      </tp>
    </main>
    <main first="rtdsrv.458a5932996f485b8b1b8d7cbb3f77a6">
      <tp>
        <v>1</v>
        <stp/>
        <stp>f045c1fc-b4e6-4713-8b94-7b18ad3fb04d</stp>
        <tr r="AN97" s="130"/>
      </tp>
    </main>
    <main first="rtdsrv.458a5932996f485b8b1b8d7cbb3f77a6">
      <tp>
        <v>1</v>
        <stp/>
        <stp>4f5e1276-5f77-4b3e-940d-c890daea628c</stp>
        <tr r="BB13" s="130"/>
      </tp>
    </main>
    <main first="rtdsrv.458a5932996f485b8b1b8d7cbb3f77a6">
      <tp>
        <v>1</v>
        <stp/>
        <stp>0c5394ef-0003-4d01-aa32-e8b73df82f2e</stp>
        <tr r="AR35" s="130"/>
      </tp>
      <tp>
        <v>1</v>
        <stp/>
        <stp>ba3294f1-9628-482e-afe7-11ebcc629ac1</stp>
        <tr r="F74" s="130"/>
      </tp>
    </main>
    <main first="rtdsrv.458a5932996f485b8b1b8d7cbb3f77a6">
      <tp>
        <v>1</v>
        <stp/>
        <stp>79b792c3-d7f2-4be3-a1e1-bb32f44a60ee</stp>
        <tr r="GB11" s="132"/>
      </tp>
      <tp>
        <v>1</v>
        <stp/>
        <stp>e108d769-b1d1-44a9-a527-adfd6a242516</stp>
        <tr r="BA36" s="130"/>
      </tp>
    </main>
    <main first="rtdsrv.458a5932996f485b8b1b8d7cbb3f77a6">
      <tp>
        <v>1</v>
        <stp/>
        <stp>28c591c4-4f9c-400e-be46-47087b466f10</stp>
        <tr r="GG13" s="132"/>
      </tp>
    </main>
    <main first="rtdsrv.458a5932996f485b8b1b8d7cbb3f77a6">
      <tp>
        <v>1</v>
        <stp/>
        <stp>8e888408-3109-46bd-94e0-a81b278b83ea</stp>
        <tr r="G34" s="130"/>
      </tp>
      <tp>
        <v>1</v>
        <stp/>
        <stp>0289e20e-8ea7-4077-aaa0-ebd09f9d25ee</stp>
        <tr r="AH69" s="130"/>
      </tp>
    </main>
    <main first="rtdsrv.458a5932996f485b8b1b8d7cbb3f77a6">
      <tp>
        <v>1</v>
        <stp/>
        <stp>d6299e3a-fd4a-43f0-918d-aed494280323</stp>
        <tr r="BU5" s="132"/>
      </tp>
      <tp>
        <v>1</v>
        <stp/>
        <stp>e8e087f7-46e1-41a0-a055-fef57b300f00</stp>
        <tr r="D82" s="130"/>
      </tp>
    </main>
    <main first="rtdsrv.458a5932996f485b8b1b8d7cbb3f77a6">
      <tp>
        <v>1</v>
        <stp/>
        <stp>c9893736-eae9-468d-9e6d-6f900d3fada3</stp>
        <tr r="AF24" s="130"/>
      </tp>
      <tp>
        <v>1</v>
        <stp/>
        <stp>7973dc2b-e54b-4ebf-ab66-806c00b7b075</stp>
        <tr r="BC16" s="130"/>
      </tp>
    </main>
    <main first="rtdsrv.458a5932996f485b8b1b8d7cbb3f77a6">
      <tp>
        <v>1</v>
        <stp/>
        <stp>a7acf9ee-d32c-4eaf-9b5a-2115aa42666a</stp>
        <tr r="BH19" s="130"/>
      </tp>
    </main>
    <main first="rtdsrv.458a5932996f485b8b1b8d7cbb3f77a6">
      <tp>
        <v>1</v>
        <stp/>
        <stp>fc43a8e2-de4f-40ce-a832-b729cd5a8ed6</stp>
        <tr r="AF73" s="130"/>
      </tp>
    </main>
    <main first="rtdsrv.458a5932996f485b8b1b8d7cbb3f77a6">
      <tp>
        <v>1</v>
        <stp/>
        <stp>5d4a65e4-d4b5-4498-bd97-9907aab193ff</stp>
        <tr r="AE85" s="130"/>
      </tp>
    </main>
    <main first="rtdsrv.458a5932996f485b8b1b8d7cbb3f77a6">
      <tp>
        <v>1</v>
        <stp/>
        <stp>9d229945-4731-4ecc-aa6d-10fc6db72763</stp>
        <tr r="BB36" s="130"/>
      </tp>
      <tp>
        <v>1</v>
        <stp/>
        <stp>48f80151-8eb3-4743-8bf6-d7fee47d1863</stp>
        <tr r="R9" s="132"/>
      </tp>
    </main>
    <main first="rtdsrv.458a5932996f485b8b1b8d7cbb3f77a6">
      <tp>
        <v>1</v>
        <stp/>
        <stp>65d9a2bf-a617-419f-b3d0-18e76bc9daaa</stp>
        <tr r="T62" s="130"/>
      </tp>
      <tp>
        <v>1</v>
        <stp/>
        <stp>f91071c3-d5a6-4a10-874b-e82d366799f9</stp>
        <tr r="W24" s="130"/>
      </tp>
      <tp>
        <v>1</v>
        <stp/>
        <stp>2d55c33b-1122-45ad-9103-c75868f50b04</stp>
        <tr r="DK9" s="132"/>
      </tp>
    </main>
    <main first="rtdsrv.458a5932996f485b8b1b8d7cbb3f77a6">
      <tp>
        <v>1</v>
        <stp/>
        <stp>5e4f61e5-47ae-4bfb-924c-d9f801582a19</stp>
        <tr r="L15" s="130"/>
      </tp>
    </main>
    <main first="rtdsrv.458a5932996f485b8b1b8d7cbb3f77a6">
      <tp>
        <v>1</v>
        <stp/>
        <stp>82b09578-6083-43fd-906c-0856260b72d7</stp>
        <tr r="BD78" s="130"/>
      </tp>
    </main>
    <main first="rtdsrv.458a5932996f485b8b1b8d7cbb3f77a6">
      <tp>
        <v>1</v>
        <stp/>
        <stp>8bfeecf7-6cf5-40e4-9b97-7b5014ddc3b1</stp>
        <tr r="AV31" s="130"/>
      </tp>
    </main>
    <main first="rtdsrv.458a5932996f485b8b1b8d7cbb3f77a6">
      <tp>
        <v>1</v>
        <stp/>
        <stp>dd321dc8-ab08-441f-9fa7-d5e3d4220855</stp>
        <tr r="BG73" s="130"/>
      </tp>
    </main>
    <main first="rtdsrv.458a5932996f485b8b1b8d7cbb3f77a6">
      <tp>
        <v>1</v>
        <stp/>
        <stp>dd97055e-3acf-4d7a-87fb-3f1ffe87b9a3</stp>
        <tr r="BF12" s="130"/>
      </tp>
    </main>
    <main first="rtdsrv.458a5932996f485b8b1b8d7cbb3f77a6">
      <tp>
        <v>1</v>
        <stp/>
        <stp>556f0c28-8ba0-4a53-8430-31b29064d0b2</stp>
        <tr r="AW39" s="130"/>
      </tp>
    </main>
    <main first="rtdsrv.458a5932996f485b8b1b8d7cbb3f77a6">
      <tp>
        <v>1</v>
        <stp/>
        <stp>1b364bf8-ab8e-4668-80cf-cb4c143f736c</stp>
        <tr r="GV16" s="132"/>
      </tp>
    </main>
    <main first="rtdsrv.458a5932996f485b8b1b8d7cbb3f77a6">
      <tp>
        <v>1</v>
        <stp/>
        <stp>e2a71950-da22-42af-94b4-7a44f3107fdb</stp>
        <tr r="BI16" s="130"/>
      </tp>
    </main>
    <main first="rtdsrv.458a5932996f485b8b1b8d7cbb3f77a6">
      <tp>
        <v>1</v>
        <stp/>
        <stp>bba82223-57e7-4ee8-9e61-ecd01b5ef5dd</stp>
        <tr r="AT9" s="132"/>
      </tp>
    </main>
    <main first="rtdsrv.458a5932996f485b8b1b8d7cbb3f77a6">
      <tp>
        <v>1</v>
        <stp/>
        <stp>0d3e1503-90bd-4b5b-8cda-1c99718fec31</stp>
        <tr r="L43" s="130"/>
      </tp>
    </main>
    <main first="rtdsrv.458a5932996f485b8b1b8d7cbb3f77a6">
      <tp>
        <v>1</v>
        <stp/>
        <stp>2c3a4426-4572-4455-a973-fff719d02add</stp>
        <tr r="AZ24" s="130"/>
      </tp>
    </main>
    <main first="rtdsrv.458a5932996f485b8b1b8d7cbb3f77a6">
      <tp>
        <v>1</v>
        <stp/>
        <stp>cc29ca61-708a-4ee8-b794-5edfe6568804</stp>
        <tr r="S57" s="130"/>
      </tp>
      <tp>
        <v>1</v>
        <stp/>
        <stp>38dc2c7c-44b2-445e-b5d4-c4f234b5616a</stp>
        <tr r="V37" s="130"/>
      </tp>
    </main>
    <main first="rtdsrv.458a5932996f485b8b1b8d7cbb3f77a6">
      <tp>
        <v>1</v>
        <stp/>
        <stp>d49b22d0-2097-4b0f-9252-d81a14752484</stp>
        <tr r="DD11" s="132"/>
      </tp>
    </main>
    <main first="rtdsrv.458a5932996f485b8b1b8d7cbb3f77a6">
      <tp>
        <v>1</v>
        <stp/>
        <stp>10d80fad-d6d8-439a-b182-8745f224d1f7</stp>
        <tr r="AN76" s="130"/>
      </tp>
    </main>
    <main first="rtdsrv.458a5932996f485b8b1b8d7cbb3f77a6">
      <tp>
        <v>1</v>
        <stp/>
        <stp>126694a6-b2b0-4be8-b748-3c8146205b6d</stp>
        <tr r="R13" s="130"/>
      </tp>
      <tp>
        <v>1</v>
        <stp/>
        <stp>f30b8cf7-8fb0-4331-bb3f-db56931abd37</stp>
        <tr r="BJ80" s="130"/>
      </tp>
      <tp>
        <v>1</v>
        <stp/>
        <stp>d8b2085a-3a7e-46a6-84a1-a9080cb12a4e</stp>
        <tr r="AL97" s="130"/>
      </tp>
    </main>
    <main first="rtdsrv.458a5932996f485b8b1b8d7cbb3f77a6">
      <tp>
        <v>1</v>
        <stp/>
        <stp>b9fadb78-c103-4221-a3a0-deab6ceb5159</stp>
        <tr r="BL9" s="132"/>
      </tp>
      <tp>
        <v>1</v>
        <stp/>
        <stp>757dcbca-e171-4512-bbe4-906c79ec33cf</stp>
        <tr r="BG9" s="132"/>
      </tp>
      <tp>
        <v>1</v>
        <stp/>
        <stp>2ceacae2-88bd-4b1b-a4ae-0082047d5b3e</stp>
        <tr r="AE41" s="130"/>
      </tp>
      <tp>
        <v>1</v>
        <stp/>
        <stp>d84c4678-ee49-420c-8d8d-6b21d5e7d84b</stp>
        <tr r="H8" s="132"/>
      </tp>
      <tp>
        <v>1</v>
        <stp/>
        <stp>74cc8e77-b522-4dc9-bae9-6eea3be63797</stp>
        <tr r="BK39" s="130"/>
      </tp>
    </main>
    <main first="rtdsrv.458a5932996f485b8b1b8d7cbb3f77a6">
      <tp>
        <v>1</v>
        <stp/>
        <stp>02e27935-f32a-4ff1-b3df-f0202b41c5d9</stp>
        <tr r="GB12" s="132"/>
      </tp>
    </main>
    <main first="rtdsrv.458a5932996f485b8b1b8d7cbb3f77a6">
      <tp>
        <v>1</v>
        <stp/>
        <stp>2ce2194e-b403-4863-b494-4a11a9add5c6</stp>
        <tr r="AK9" s="132"/>
      </tp>
    </main>
    <main first="rtdsrv.458a5932996f485b8b1b8d7cbb3f77a6">
      <tp>
        <v>1</v>
        <stp/>
        <stp>c1fa0799-33a9-40c2-afb8-20ec281402bb</stp>
        <tr r="AF88" s="130"/>
      </tp>
    </main>
    <main first="rtdsrv.458a5932996f485b8b1b8d7cbb3f77a6">
      <tp>
        <v>1</v>
        <stp/>
        <stp>0a911255-58dd-4285-aa80-086a744d48d4</stp>
        <tr r="BG6" s="132"/>
      </tp>
      <tp>
        <v>1</v>
        <stp/>
        <stp>a29864c5-03fb-4a3c-9cd6-f9dd6fada182</stp>
        <tr r="GA8" s="132"/>
      </tp>
      <tp>
        <v>1</v>
        <stp/>
        <stp>207cb044-1416-40a5-aefa-b152d41a980e</stp>
        <tr r="N74" s="130"/>
      </tp>
    </main>
    <main first="rtdsrv.458a5932996f485b8b1b8d7cbb3f77a6">
      <tp>
        <v>1</v>
        <stp/>
        <stp>b3f4f30a-af9f-4d18-a4e1-14a981496f6c</stp>
        <tr r="CT5" s="132"/>
      </tp>
    </main>
    <main first="rtdsrv.458a5932996f485b8b1b8d7cbb3f77a6">
      <tp>
        <v>1</v>
        <stp/>
        <stp>c1dcc50f-8405-4f7c-9f50-9c5f551bbc6d</stp>
        <tr r="BC63" s="130"/>
      </tp>
    </main>
    <main first="rtdsrv.458a5932996f485b8b1b8d7cbb3f77a6">
      <tp>
        <v>1</v>
        <stp/>
        <stp>21b6e82a-cef4-43bb-88a8-4d8e9e0187f7</stp>
        <tr r="BJ36" s="130"/>
      </tp>
      <tp>
        <v>1</v>
        <stp/>
        <stp>a8f0c2c2-eecc-4354-a5d7-e4b5c1574ec6</stp>
        <tr r="AZ13" s="130"/>
      </tp>
    </main>
    <main first="rtdsrv.458a5932996f485b8b1b8d7cbb3f77a6">
      <tp>
        <v>1</v>
        <stp/>
        <stp>1469d913-5f3b-485f-8030-dcdca4512ecd</stp>
        <tr r="BI68" s="130"/>
      </tp>
    </main>
    <main first="rtdsrv.458a5932996f485b8b1b8d7cbb3f77a6">
      <tp>
        <v>1</v>
        <stp/>
        <stp>2a1cf264-ccf5-421e-9d93-82f245d46466</stp>
        <tr r="BA28" s="130"/>
      </tp>
    </main>
    <main first="rtdsrv.458a5932996f485b8b1b8d7cbb3f77a6">
      <tp>
        <v>1</v>
        <stp/>
        <stp>b903eeab-5c92-4c2b-af19-57199fc38455</stp>
        <tr r="CL9" s="132"/>
      </tp>
    </main>
    <main first="rtdsrv.458a5932996f485b8b1b8d7cbb3f77a6">
      <tp>
        <v>1</v>
        <stp/>
        <stp>1b54d081-387f-4970-b683-ef6fcde8849e</stp>
        <tr r="I7" s="132"/>
      </tp>
    </main>
    <main first="rtdsrv.458a5932996f485b8b1b8d7cbb3f77a6">
      <tp>
        <v>1</v>
        <stp/>
        <stp>776c3fbc-5986-456a-b352-5242f9bf1dee</stp>
        <tr r="AE81" s="130"/>
      </tp>
    </main>
    <main first="rtdsrv.458a5932996f485b8b1b8d7cbb3f77a6">
      <tp>
        <v>1</v>
        <stp/>
        <stp>47b0876a-7cfd-49c3-9fe6-e866cb908db4</stp>
        <tr r="CO16" s="132"/>
      </tp>
      <tp>
        <v>1</v>
        <stp/>
        <stp>9a66c3f7-bb78-4313-8c78-3ae4c3e469f8</stp>
        <tr r="P25" s="130"/>
      </tp>
    </main>
    <main first="rtdsrv.458a5932996f485b8b1b8d7cbb3f77a6">
      <tp>
        <v>1</v>
        <stp/>
        <stp>f8dacb23-75d3-42b9-bf72-614ca493e91f</stp>
        <tr r="I12" s="132"/>
      </tp>
    </main>
    <main first="rtdsrv.458a5932996f485b8b1b8d7cbb3f77a6">
      <tp>
        <v>1</v>
        <stp/>
        <stp>cfc53b94-23bd-41c9-94ff-26e1676ab71a</stp>
        <tr r="Q79" s="130"/>
      </tp>
    </main>
    <main first="rtdsrv.458a5932996f485b8b1b8d7cbb3f77a6">
      <tp>
        <v>1</v>
        <stp/>
        <stp>2183d961-8e38-48bb-9f8c-3f6f501d2cb6</stp>
        <tr r="P20" s="130"/>
      </tp>
    </main>
    <main first="rtdsrv.458a5932996f485b8b1b8d7cbb3f77a6">
      <tp>
        <v>1</v>
        <stp/>
        <stp>6f169227-386d-4d03-b166-8731b2d91876</stp>
        <tr r="GP5" s="132"/>
      </tp>
    </main>
    <main first="rtdsrv.458a5932996f485b8b1b8d7cbb3f77a6">
      <tp>
        <v>1</v>
        <stp/>
        <stp>482791c4-d9f8-4ea4-8203-9203d24de619</stp>
        <tr r="CX6" s="132"/>
      </tp>
    </main>
    <main first="rtdsrv.458a5932996f485b8b1b8d7cbb3f77a6">
      <tp>
        <v>1</v>
        <stp/>
        <stp>92b043c5-7a64-4b21-bfc6-4b033a0f7882</stp>
        <tr r="EE14" s="132"/>
      </tp>
    </main>
    <main first="rtdsrv.458a5932996f485b8b1b8d7cbb3f77a6">
      <tp>
        <v>1</v>
        <stp/>
        <stp>b88ff496-5211-4155-81f4-4499e0b53128</stp>
        <tr r="EB8" s="132"/>
      </tp>
    </main>
    <main first="rtdsrv.458a5932996f485b8b1b8d7cbb3f77a6">
      <tp>
        <v>1</v>
        <stp/>
        <stp>b6ef819b-fc81-43b8-b8bc-0c5832117568</stp>
        <tr r="AQ79" s="130"/>
      </tp>
    </main>
    <main first="rtdsrv.458a5932996f485b8b1b8d7cbb3f77a6">
      <tp>
        <v>1</v>
        <stp/>
        <stp>2e9ed31b-70cb-466f-a4b9-aedcef3a0987</stp>
        <tr r="W95" s="130"/>
      </tp>
      <tp>
        <v>1</v>
        <stp/>
        <stp>7f627cdd-20fc-44da-939b-56964b662da8</stp>
        <tr r="I97" s="130"/>
      </tp>
    </main>
    <main first="rtdsrv.458a5932996f485b8b1b8d7cbb3f77a6">
      <tp>
        <v>1</v>
        <stp/>
        <stp>20de329f-80f4-4e6d-a2c1-04215b1b6418</stp>
        <tr r="H63" s="130"/>
      </tp>
      <tp>
        <v>1</v>
        <stp/>
        <stp>af4d0690-ae64-4d5a-b902-7c49996a4e65</stp>
        <tr r="AR76" s="130"/>
      </tp>
    </main>
    <main first="rtdsrv.458a5932996f485b8b1b8d7cbb3f77a6">
      <tp>
        <v>1</v>
        <stp/>
        <stp>c26b5618-70fa-401c-8401-93a6f903e58f</stp>
        <tr r="GT16" s="132"/>
      </tp>
    </main>
    <main first="rtdsrv.458a5932996f485b8b1b8d7cbb3f77a6">
      <tp>
        <v>1</v>
        <stp/>
        <stp>ac2c5eb1-5a23-48cd-8f48-58cad4d860ab</stp>
        <tr r="H11" s="130"/>
      </tp>
    </main>
    <main first="rtdsrv.458a5932996f485b8b1b8d7cbb3f77a6">
      <tp>
        <v>1</v>
        <stp/>
        <stp>bf64028d-b781-4c78-8701-fbad603d7354</stp>
        <tr r="AE67" s="130"/>
      </tp>
    </main>
    <main first="rtdsrv.458a5932996f485b8b1b8d7cbb3f77a6">
      <tp>
        <v>1</v>
        <stp/>
        <stp>e517c9a2-ff46-4db2-b642-b492bf3bdaf1</stp>
        <tr r="V12" s="132"/>
      </tp>
    </main>
    <main first="rtdsrv.458a5932996f485b8b1b8d7cbb3f77a6">
      <tp>
        <v>1</v>
        <stp/>
        <stp>59ae748b-7c44-41cb-adac-ffd431f5d138</stp>
        <tr r="BH66" s="130"/>
      </tp>
    </main>
    <main first="rtdsrv.458a5932996f485b8b1b8d7cbb3f77a6">
      <tp>
        <v>1</v>
        <stp/>
        <stp>aa4b5949-7e95-4661-b568-48eb67b7182d</stp>
        <tr r="BC9" s="130"/>
      </tp>
    </main>
    <main first="rtdsrv.458a5932996f485b8b1b8d7cbb3f77a6">
      <tp>
        <v>1</v>
        <stp/>
        <stp>16bca8e1-0c45-4dd1-85f9-3d546cb871b8</stp>
        <tr r="EO9" s="132"/>
      </tp>
    </main>
    <main first="rtdsrv.458a5932996f485b8b1b8d7cbb3f77a6">
      <tp>
        <v>1</v>
        <stp/>
        <stp>228bcd78-760d-4bc3-a780-def98a578130</stp>
        <tr r="V68" s="130"/>
      </tp>
    </main>
    <main first="rtdsrv.458a5932996f485b8b1b8d7cbb3f77a6">
      <tp>
        <v>1</v>
        <stp/>
        <stp>cbd6279a-3b99-46bf-9a9d-62e85ae6b523</stp>
        <tr r="D42" s="130"/>
      </tp>
    </main>
    <main first="rtdsrv.458a5932996f485b8b1b8d7cbb3f77a6">
      <tp>
        <v>1</v>
        <stp/>
        <stp>7c2de9ab-1f57-428c-8ad3-d72e84de709a</stp>
        <tr r="FR11" s="132"/>
      </tp>
    </main>
    <main first="rtdsrv.458a5932996f485b8b1b8d7cbb3f77a6">
      <tp>
        <v>1</v>
        <stp/>
        <stp>7f26290d-ac7b-4cfd-b5ab-73fd83503d95</stp>
        <tr r="T56" s="130"/>
      </tp>
      <tp>
        <v>1</v>
        <stp/>
        <stp>61fc5fb7-eaca-40f7-b199-dcb59226d2ec</stp>
        <tr r="Y67" s="130"/>
      </tp>
    </main>
    <main first="rtdsrv.458a5932996f485b8b1b8d7cbb3f77a6">
      <tp>
        <v>1</v>
        <stp/>
        <stp>4791be56-be71-4699-b746-f3769e7ec466</stp>
        <tr r="N96" s="130"/>
      </tp>
    </main>
    <main first="rtdsrv.458a5932996f485b8b1b8d7cbb3f77a6">
      <tp>
        <v>1</v>
        <stp/>
        <stp>a32c25cd-fcd5-4f9e-9174-7bf71798c803</stp>
        <tr r="BB66" s="130"/>
      </tp>
    </main>
    <main first="rtdsrv.458a5932996f485b8b1b8d7cbb3f77a6">
      <tp>
        <v>1</v>
        <stp/>
        <stp>920213fc-9e03-4a1b-af69-542de32824c0</stp>
        <tr r="F38" s="130"/>
      </tp>
      <tp>
        <v>1</v>
        <stp/>
        <stp>bdba850b-8a66-4bf3-b9d4-364a0dbad389</stp>
        <tr r="CH15" s="132"/>
      </tp>
    </main>
    <main first="rtdsrv.458a5932996f485b8b1b8d7cbb3f77a6">
      <tp>
        <v>1</v>
        <stp/>
        <stp>a2a8bed8-60ed-4489-a7bf-e783a36c0a73</stp>
        <tr r="DB14" s="132"/>
      </tp>
    </main>
    <main first="rtdsrv.458a5932996f485b8b1b8d7cbb3f77a6">
      <tp>
        <v>1</v>
        <stp/>
        <stp>ed0d23df-1131-481b-81db-9db5ab63999e</stp>
        <tr r="GW7" s="132"/>
      </tp>
    </main>
    <main first="rtdsrv.458a5932996f485b8b1b8d7cbb3f77a6">
      <tp>
        <v>1</v>
        <stp/>
        <stp>a15f061c-b848-43c8-a867-a2a504dd22db</stp>
        <tr r="AV8" s="130"/>
      </tp>
    </main>
    <main first="rtdsrv.458a5932996f485b8b1b8d7cbb3f77a6">
      <tp>
        <v>1</v>
        <stp/>
        <stp>02b95c5b-8301-49ec-82e5-9d813ce3a7f5</stp>
        <tr r="BB63" s="130"/>
      </tp>
    </main>
    <main first="rtdsrv.458a5932996f485b8b1b8d7cbb3f77a6">
      <tp>
        <v>1</v>
        <stp/>
        <stp>fb63bea8-93bd-4eae-bece-9765fbd3e291</stp>
        <tr r="BC67" s="130"/>
      </tp>
      <tp>
        <v>1</v>
        <stp/>
        <stp>289263ce-0c77-4781-b1ad-96080651142e</stp>
        <tr r="N26" s="130"/>
        <tr r="N14" s="130"/>
      </tp>
    </main>
    <main first="rtdsrv.458a5932996f485b8b1b8d7cbb3f77a6">
      <tp>
        <v>1</v>
        <stp/>
        <stp>dede8768-cb30-4ae5-9a59-49355d64f3f0</stp>
        <tr r="AV41" s="130"/>
      </tp>
    </main>
    <main first="rtdsrv.458a5932996f485b8b1b8d7cbb3f77a6">
      <tp>
        <v>1</v>
        <stp/>
        <stp>28876ddc-1ec8-4571-abea-c0c0b2ce2d29</stp>
        <tr r="AK25" s="130"/>
      </tp>
    </main>
    <main first="rtdsrv.458a5932996f485b8b1b8d7cbb3f77a6">
      <tp>
        <v>1</v>
        <stp/>
        <stp>e8004fa2-80bd-4451-906f-8e86aceb2803</stp>
        <tr r="I84" s="130"/>
      </tp>
    </main>
    <main first="rtdsrv.458a5932996f485b8b1b8d7cbb3f77a6">
      <tp>
        <v>1</v>
        <stp/>
        <stp>5509e74d-98e2-4ffa-bddb-d5f26faa0220</stp>
        <tr r="F51" s="130"/>
        <tr r="F46" s="130"/>
      </tp>
    </main>
    <main first="rtdsrv.458a5932996f485b8b1b8d7cbb3f77a6">
      <tp>
        <v>1</v>
        <stp/>
        <stp>dacc0f48-68b7-4308-82d4-cf4eeebb21f7</stp>
        <tr r="L45" s="130"/>
      </tp>
    </main>
    <main first="rtdsrv.458a5932996f485b8b1b8d7cbb3f77a6">
      <tp>
        <v>1</v>
        <stp/>
        <stp>5e7d8cfc-8490-41dc-922f-c7a870c8465a</stp>
        <tr r="AH8" s="130"/>
      </tp>
    </main>
    <main first="rtdsrv.458a5932996f485b8b1b8d7cbb3f77a6">
      <tp>
        <v>1</v>
        <stp/>
        <stp>b6d0a663-9933-49bd-a6d9-dfe49266d351</stp>
        <tr r="AQ74" s="130"/>
      </tp>
    </main>
    <main first="rtdsrv.458a5932996f485b8b1b8d7cbb3f77a6">
      <tp>
        <v>1</v>
        <stp/>
        <stp>b7f26d3f-60ad-4ad5-909c-2baff72f0ba7</stp>
        <tr r="CH11" s="132"/>
      </tp>
    </main>
    <main first="rtdsrv.458a5932996f485b8b1b8d7cbb3f77a6">
      <tp>
        <v>1</v>
        <stp/>
        <stp>83bedec4-6ff0-416f-9e2c-78ca16acfd2e</stp>
        <tr r="GZ11" s="132"/>
      </tp>
    </main>
    <main first="rtdsrv.458a5932996f485b8b1b8d7cbb3f77a6">
      <tp>
        <v>1</v>
        <stp/>
        <stp>39114264-941a-469f-9d71-84c531d44815</stp>
        <tr r="AJ83" s="130"/>
      </tp>
    </main>
    <main first="rtdsrv.458a5932996f485b8b1b8d7cbb3f77a6">
      <tp>
        <v>1</v>
        <stp/>
        <stp>b9ad794e-6777-47ef-a910-dced6e7db952</stp>
        <tr r="O80" s="130"/>
      </tp>
    </main>
    <main first="rtdsrv.458a5932996f485b8b1b8d7cbb3f77a6">
      <tp>
        <v>1</v>
        <stp/>
        <stp>44b729c1-c255-40fc-889b-fba69062683c</stp>
        <tr r="Y14" s="132"/>
      </tp>
    </main>
    <main first="rtdsrv.458a5932996f485b8b1b8d7cbb3f77a6">
      <tp>
        <v>1</v>
        <stp/>
        <stp>96f1d47c-47d3-4be2-87f3-51daf46f0922</stp>
        <tr r="AI92" s="130"/>
      </tp>
    </main>
    <main first="rtdsrv.458a5932996f485b8b1b8d7cbb3f77a6">
      <tp>
        <v>1</v>
        <stp/>
        <stp>fcee2797-7e34-41c5-b119-d9c1e6aaa67f</stp>
        <tr r="K22" s="130"/>
      </tp>
    </main>
    <main first="rtdsrv.458a5932996f485b8b1b8d7cbb3f77a6">
      <tp>
        <v>1</v>
        <stp/>
        <stp>30ea50b9-bd99-4f32-9fdc-08b83fbbe45d</stp>
        <tr r="AA83" s="130"/>
      </tp>
    </main>
    <main first="rtdsrv.458a5932996f485b8b1b8d7cbb3f77a6">
      <tp>
        <v>1</v>
        <stp/>
        <stp>d7692a98-9c94-453f-b96e-c1a72bdcc296</stp>
        <tr r="AW97" s="130"/>
      </tp>
    </main>
    <main first="rtdsrv.458a5932996f485b8b1b8d7cbb3f77a6">
      <tp>
        <v>1</v>
        <stp/>
        <stp>2a00b196-961d-4bf5-808b-288e943386c0</stp>
        <tr r="BE45" s="130"/>
      </tp>
    </main>
    <main first="rtdsrv.458a5932996f485b8b1b8d7cbb3f77a6">
      <tp>
        <v>1</v>
        <stp/>
        <stp>0824380e-2f22-4f89-bffb-fcf45cefe33b</stp>
        <tr r="V47" s="130"/>
        <tr r="V52" s="130"/>
      </tp>
    </main>
    <main first="rtdsrv.458a5932996f485b8b1b8d7cbb3f77a6">
      <tp>
        <v>1</v>
        <stp/>
        <stp>f7d13e4f-52ed-4faf-8885-85d8740a0f5a</stp>
        <tr r="R18" s="130"/>
      </tp>
    </main>
    <main first="rtdsrv.458a5932996f485b8b1b8d7cbb3f77a6">
      <tp>
        <v>1</v>
        <stp/>
        <stp>c9414647-8536-4225-96f8-d08f592ac31f</stp>
        <tr r="FK9" s="132"/>
      </tp>
    </main>
    <main first="rtdsrv.458a5932996f485b8b1b8d7cbb3f77a6">
      <tp>
        <v>1</v>
        <stp/>
        <stp>b9260b66-51a8-40d1-ba03-96a190cc672b</stp>
        <tr r="AC37" s="130"/>
      </tp>
    </main>
    <main first="rtdsrv.458a5932996f485b8b1b8d7cbb3f77a6">
      <tp>
        <v>1</v>
        <stp/>
        <stp>c906c644-d586-40be-8c47-876267e80dc7</stp>
        <tr r="M41" s="130"/>
      </tp>
    </main>
    <main first="rtdsrv.458a5932996f485b8b1b8d7cbb3f77a6">
      <tp>
        <v>1</v>
        <stp/>
        <stp>82c1e80f-b18a-4c1f-8b7b-b09ef6922a77</stp>
        <tr r="EJ15" s="132"/>
      </tp>
    </main>
    <main first="rtdsrv.458a5932996f485b8b1b8d7cbb3f77a6">
      <tp>
        <v>1</v>
        <stp/>
        <stp>320c6177-d6b3-483d-9d82-c70456b49dfe</stp>
        <tr r="AN40" s="130"/>
      </tp>
    </main>
    <main first="rtdsrv.458a5932996f485b8b1b8d7cbb3f77a6">
      <tp>
        <v>1</v>
        <stp/>
        <stp>b6c8cdf9-1c27-4a82-b06f-9515c8e764c7</stp>
        <tr r="J14" s="132"/>
      </tp>
    </main>
    <main first="rtdsrv.458a5932996f485b8b1b8d7cbb3f77a6">
      <tp>
        <v>1</v>
        <stp/>
        <stp>de679ad6-cf89-48bc-ab8f-231f12bdac6a</stp>
        <tr r="D77" s="130"/>
      </tp>
    </main>
    <main first="rtdsrv.458a5932996f485b8b1b8d7cbb3f77a6">
      <tp>
        <v>1</v>
        <stp/>
        <stp>f1ddc5ab-4cda-46f6-9adf-57a302fc1907</stp>
        <tr r="FD16" s="132"/>
      </tp>
      <tp>
        <v>1</v>
        <stp/>
        <stp>3b16ce28-2872-4436-b948-524fb87ebc7e</stp>
        <tr r="W15" s="130"/>
      </tp>
    </main>
    <main first="rtdsrv.458a5932996f485b8b1b8d7cbb3f77a6">
      <tp>
        <v>1</v>
        <stp/>
        <stp>fc608cd6-fb22-43f6-8f63-cbf42cb23901</stp>
        <tr r="AR86" s="130"/>
      </tp>
      <tp>
        <v>1</v>
        <stp/>
        <stp>34d3b26b-e4ef-409d-a99c-a6a084706bc2</stp>
        <tr r="AH13" s="132"/>
      </tp>
    </main>
    <main first="rtdsrv.458a5932996f485b8b1b8d7cbb3f77a6">
      <tp>
        <v>1</v>
        <stp/>
        <stp>959e983d-f398-4878-bca0-720cbf01a89e</stp>
        <tr r="BS8" s="132"/>
      </tp>
    </main>
    <main first="rtdsrv.458a5932996f485b8b1b8d7cbb3f77a6">
      <tp>
        <v>1</v>
        <stp/>
        <stp>a24c6eb3-9ad8-4033-b956-ea1574065c07</stp>
        <tr r="DJ8" s="132"/>
      </tp>
    </main>
    <main first="rtdsrv.458a5932996f485b8b1b8d7cbb3f77a6">
      <tp>
        <v>1</v>
        <stp/>
        <stp>7903c019-a187-44b2-babc-d0828cc3f585</stp>
        <tr r="C68" s="130"/>
      </tp>
      <tp>
        <v>1</v>
        <stp/>
        <stp>2859e0f5-7fef-48b2-8647-8138d47beb6c</stp>
        <tr r="AQ80" s="130"/>
      </tp>
    </main>
    <main first="rtdsrv.458a5932996f485b8b1b8d7cbb3f77a6">
      <tp>
        <v>1</v>
        <stp/>
        <stp>2502549c-68d3-4b46-8f6e-23712bd12871</stp>
        <tr r="P74" s="130"/>
      </tp>
      <tp>
        <v>1</v>
        <stp/>
        <stp>f660cb10-3d20-417e-810b-f1bf9e0fd8ce</stp>
        <tr r="J42" s="130"/>
      </tp>
    </main>
    <main first="rtdsrv.458a5932996f485b8b1b8d7cbb3f77a6">
      <tp>
        <v>1</v>
        <stp/>
        <stp>9b6a94fe-b573-4d4c-a738-9870adc84f97</stp>
        <tr r="AZ15" s="130"/>
      </tp>
    </main>
    <main first="rtdsrv.458a5932996f485b8b1b8d7cbb3f77a6">
      <tp>
        <v>1</v>
        <stp/>
        <stp>41e96361-3fe5-4cc9-84f0-50a3651b35d1</stp>
        <tr r="N56" s="130"/>
      </tp>
      <tp>
        <v>1</v>
        <stp/>
        <stp>ea4b8953-cfd7-4d62-8ea4-0253cef57a19</stp>
        <tr r="BC93" s="130"/>
      </tp>
      <tp>
        <v>1</v>
        <stp/>
        <stp>051d6744-dd98-4c38-87b2-1fa92241767d</stp>
        <tr r="L73" s="130"/>
      </tp>
    </main>
    <main first="rtdsrv.458a5932996f485b8b1b8d7cbb3f77a6">
      <tp>
        <v>1</v>
        <stp/>
        <stp>5960125d-e11d-419a-a7fb-51e61c247e64</stp>
        <tr r="D81" s="130"/>
      </tp>
    </main>
    <main first="rtdsrv.458a5932996f485b8b1b8d7cbb3f77a6">
      <tp>
        <v>1</v>
        <stp/>
        <stp>8755cee5-2a5c-4051-bf45-95d639d0e75a</stp>
        <tr r="R34" s="130"/>
      </tp>
      <tp>
        <v>1</v>
        <stp/>
        <stp>d3acc9ae-67a0-48cc-894d-b064d61863ed</stp>
        <tr r="AL27" s="130"/>
      </tp>
    </main>
    <main first="rtdsrv.458a5932996f485b8b1b8d7cbb3f77a6">
      <tp>
        <v>1</v>
        <stp/>
        <stp>0923f7de-f078-43d6-88bf-af48f249761e</stp>
        <tr r="AO18" s="130"/>
      </tp>
    </main>
    <main first="rtdsrv.458a5932996f485b8b1b8d7cbb3f77a6">
      <tp>
        <v>1</v>
        <stp/>
        <stp>0ba9357d-9142-47f6-b41b-7de040c76c27</stp>
        <tr r="EZ16" s="132"/>
      </tp>
      <tp>
        <v>1</v>
        <stp/>
        <stp>c8e15332-dcbb-4a23-b81d-208a4aa8fb97</stp>
        <tr r="BH5" s="132"/>
      </tp>
    </main>
    <main first="rtdsrv.458a5932996f485b8b1b8d7cbb3f77a6">
      <tp>
        <v>1</v>
        <stp/>
        <stp>8c9603e2-b8ed-4482-a58a-672b45a83dd8</stp>
        <tr r="W12" s="130"/>
      </tp>
    </main>
    <main first="rtdsrv.458a5932996f485b8b1b8d7cbb3f77a6">
      <tp>
        <v>1</v>
        <stp/>
        <stp>e0fd372a-9d02-4567-abf0-fd730b329762</stp>
        <tr r="GK11" s="132"/>
      </tp>
    </main>
    <main first="rtdsrv.458a5932996f485b8b1b8d7cbb3f77a6">
      <tp>
        <v>1</v>
        <stp/>
        <stp>270210a3-db4b-469b-b19a-37d38ae950a6</stp>
        <tr r="AC36" s="130"/>
      </tp>
    </main>
    <main first="rtdsrv.458a5932996f485b8b1b8d7cbb3f77a6">
      <tp>
        <v>1</v>
        <stp/>
        <stp>262a1eb5-cb09-41ea-aab8-139f8f211838</stp>
        <tr r="BD81" s="130"/>
      </tp>
    </main>
    <main first="rtdsrv.458a5932996f485b8b1b8d7cbb3f77a6">
      <tp>
        <v>1</v>
        <stp/>
        <stp>c12033be-fcb7-4f43-897b-3876e4cba27e</stp>
        <tr r="S16" s="130"/>
      </tp>
    </main>
    <main first="rtdsrv.458a5932996f485b8b1b8d7cbb3f77a6">
      <tp>
        <v>1</v>
        <stp/>
        <stp>d58cae41-5ad4-4145-825a-c9954ac86cd6</stp>
        <tr r="BG22" s="130"/>
      </tp>
    </main>
    <main first="rtdsrv.458a5932996f485b8b1b8d7cbb3f77a6">
      <tp>
        <v>1</v>
        <stp/>
        <stp>f16fc174-3681-430b-b41a-7819bcf5ee35</stp>
        <tr r="D35" s="130"/>
      </tp>
    </main>
    <main first="rtdsrv.458a5932996f485b8b1b8d7cbb3f77a6">
      <tp>
        <v>1</v>
        <stp/>
        <stp>8f4b8fee-afe0-4bcf-af0e-b9e94aaa61d9</stp>
        <tr r="Y17" s="130"/>
      </tp>
      <tp>
        <v>1</v>
        <stp/>
        <stp>a8d2d61f-714d-4c92-9b40-5cac425d3023</stp>
        <tr r="N30" s="130"/>
      </tp>
    </main>
    <main first="rtdsrv.458a5932996f485b8b1b8d7cbb3f77a6">
      <tp>
        <v>1</v>
        <stp/>
        <stp>9f59246a-fbcc-49a1-81fc-cacd097deed1</stp>
        <tr r="AK82" s="130"/>
      </tp>
    </main>
    <main first="rtdsrv.458a5932996f485b8b1b8d7cbb3f77a6">
      <tp>
        <v>1</v>
        <stp/>
        <stp>7673c854-a5b2-4131-88e7-5f3603571059</stp>
        <tr r="AW12" s="130"/>
      </tp>
    </main>
    <main first="rtdsrv.458a5932996f485b8b1b8d7cbb3f77a6">
      <tp>
        <v>1</v>
        <stp/>
        <stp>562dd353-9e74-4e19-b8f2-ea507933cee5</stp>
        <tr r="AD80" s="130"/>
      </tp>
    </main>
    <main first="rtdsrv.458a5932996f485b8b1b8d7cbb3f77a6">
      <tp>
        <v>1</v>
        <stp/>
        <stp>feea1b1e-7c7e-470c-867c-b8b35167733f</stp>
        <tr r="AX78" s="130"/>
      </tp>
    </main>
    <main first="rtdsrv.458a5932996f485b8b1b8d7cbb3f77a6">
      <tp>
        <v>1</v>
        <stp/>
        <stp>82c2d410-7d30-4068-925b-45b1d30e9d50</stp>
        <tr r="AB96" s="130"/>
      </tp>
      <tp>
        <v>1</v>
        <stp/>
        <stp>c65062e3-560d-4c7f-b8a2-abb98246681e</stp>
        <tr r="AV55" s="130"/>
      </tp>
    </main>
    <main first="rtdsrv.458a5932996f485b8b1b8d7cbb3f77a6">
      <tp>
        <v>1</v>
        <stp/>
        <stp>c2e08235-4a0c-444a-b3a2-f28249779a9b</stp>
        <tr r="GJ9" s="132"/>
      </tp>
    </main>
    <main first="rtdsrv.458a5932996f485b8b1b8d7cbb3f77a6">
      <tp>
        <v>1</v>
        <stp/>
        <stp>cea84848-1389-40cf-91c6-107582cf457f</stp>
        <tr r="W9" s="132"/>
      </tp>
    </main>
    <main first="rtdsrv.458a5932996f485b8b1b8d7cbb3f77a6">
      <tp>
        <v>1</v>
        <stp/>
        <stp>e34e9622-960f-47ce-b4c8-533f141aec6b</stp>
        <tr r="AT15" s="130"/>
      </tp>
    </main>
    <main first="rtdsrv.458a5932996f485b8b1b8d7cbb3f77a6">
      <tp>
        <v>1</v>
        <stp/>
        <stp>c8fba33f-a8f1-4082-95be-20f1fcd89766</stp>
        <tr r="Q20" s="130"/>
      </tp>
    </main>
    <main first="rtdsrv.458a5932996f485b8b1b8d7cbb3f77a6">
      <tp>
        <v>1</v>
        <stp/>
        <stp>38dce2ca-40f6-4d76-b50b-ad86d132e3b9</stp>
        <tr r="EF13" s="132"/>
      </tp>
      <tp>
        <v>1</v>
        <stp/>
        <stp>8298d8e5-3c05-41d5-b934-676df04f4f52</stp>
        <tr r="CY14" s="132"/>
      </tp>
      <tp>
        <v>1</v>
        <stp/>
        <stp>5e5985f1-5552-4be3-a67b-4c9d3eecc9dd</stp>
        <tr r="FY14" s="132"/>
      </tp>
    </main>
    <main first="rtdsrv.458a5932996f485b8b1b8d7cbb3f77a6">
      <tp>
        <v>1</v>
        <stp/>
        <stp>328da200-8b64-4035-9ce3-9f797cb2930d</stp>
        <tr r="AR66" s="130"/>
      </tp>
    </main>
    <main first="rtdsrv.458a5932996f485b8b1b8d7cbb3f77a6">
      <tp>
        <v>1</v>
        <stp/>
        <stp>8208665d-9429-4da1-a0e9-050e95b467f0</stp>
        <tr r="ED15" s="132"/>
      </tp>
    </main>
    <main first="rtdsrv.458a5932996f485b8b1b8d7cbb3f77a6">
      <tp>
        <v>1</v>
        <stp/>
        <stp>4178132b-8309-4b91-8c98-de05a155286e</stp>
        <tr r="P24" s="130"/>
      </tp>
    </main>
    <main first="rtdsrv.458a5932996f485b8b1b8d7cbb3f77a6">
      <tp>
        <v>1</v>
        <stp/>
        <stp>c26452c4-b70f-42c8-bee1-75a7f082dd77</stp>
        <tr r="AF13" s="130"/>
      </tp>
    </main>
    <main first="rtdsrv.458a5932996f485b8b1b8d7cbb3f77a6">
      <tp>
        <v>1</v>
        <stp/>
        <stp>234103e0-6917-47d1-9796-7c5c957306a6</stp>
        <tr r="Z80" s="130"/>
      </tp>
    </main>
    <main first="rtdsrv.458a5932996f485b8b1b8d7cbb3f77a6">
      <tp>
        <v>1</v>
        <stp/>
        <stp>ac7e6d91-97a9-4805-a13f-c03023329ebb</stp>
        <tr r="K5" s="132"/>
      </tp>
    </main>
    <main first="rtdsrv.458a5932996f485b8b1b8d7cbb3f77a6">
      <tp>
        <v>1</v>
        <stp/>
        <stp>21d6eadb-50de-484d-8da7-a33034912908</stp>
        <tr r="BD5" s="130"/>
      </tp>
    </main>
    <main first="rtdsrv.458a5932996f485b8b1b8d7cbb3f77a6">
      <tp>
        <v>1</v>
        <stp/>
        <stp>df8e72b9-1514-4811-b0fb-6ced797446a1</stp>
        <tr r="AI28" s="130"/>
      </tp>
    </main>
    <main first="rtdsrv.458a5932996f485b8b1b8d7cbb3f77a6">
      <tp>
        <v>1</v>
        <stp/>
        <stp>23b78619-e62b-4c92-8cb6-4969aab0a691</stp>
        <tr r="N39" s="130"/>
      </tp>
      <tp>
        <v>1</v>
        <stp/>
        <stp>e180c4c8-f387-4591-9d51-e0d0793f6005</stp>
        <tr r="CK15" s="132"/>
      </tp>
      <tp>
        <v>1</v>
        <stp/>
        <stp>ce26a887-fcbe-4ec8-991a-09ea9677fcd7</stp>
        <tr r="AS10" s="130"/>
      </tp>
    </main>
    <main first="rtdsrv.458a5932996f485b8b1b8d7cbb3f77a6">
      <tp>
        <v>1</v>
        <stp/>
        <stp>0acc5d5f-a183-488f-a19c-403fb69b7c0e</stp>
        <tr r="BW13" s="132"/>
      </tp>
    </main>
    <main first="rtdsrv.458a5932996f485b8b1b8d7cbb3f77a6">
      <tp>
        <v>1</v>
        <stp/>
        <stp>119d3913-bc0c-4e22-a44d-e25f917b213f</stp>
        <tr r="AF33" s="130"/>
      </tp>
    </main>
    <main first="rtdsrv.458a5932996f485b8b1b8d7cbb3f77a6">
      <tp>
        <v>1</v>
        <stp/>
        <stp>adda7be0-f240-4925-bc5d-58b0c380e535</stp>
        <tr r="EW15" s="132"/>
      </tp>
    </main>
    <main first="rtdsrv.458a5932996f485b8b1b8d7cbb3f77a6">
      <tp>
        <v>1</v>
        <stp/>
        <stp>388041d2-a2da-4fb8-a864-4e4359dbbd49</stp>
        <tr r="T51" s="130"/>
        <tr r="T46" s="130"/>
      </tp>
      <tp>
        <v>1</v>
        <stp/>
        <stp>48032bdc-31de-41fe-86f6-a23aacf29e98</stp>
        <tr r="BE32" s="130"/>
      </tp>
    </main>
    <main first="rtdsrv.458a5932996f485b8b1b8d7cbb3f77a6">
      <tp>
        <v>1</v>
        <stp/>
        <stp>f4f97988-7e8a-488f-92a7-4ed93ee56c2f</stp>
        <tr r="GI5" s="132"/>
      </tp>
    </main>
    <main first="rtdsrv.458a5932996f485b8b1b8d7cbb3f77a6">
      <tp>
        <v>1</v>
        <stp/>
        <stp>ee08ad18-9151-4869-941a-7c9df4b6a957</stp>
        <tr r="AF8" s="132"/>
      </tp>
    </main>
    <main first="rtdsrv.458a5932996f485b8b1b8d7cbb3f77a6">
      <tp>
        <v>1</v>
        <stp/>
        <stp>f8734f08-1986-4cec-a9d6-5ba05da7207f</stp>
        <tr r="CW5" s="132"/>
      </tp>
    </main>
    <main first="rtdsrv.458a5932996f485b8b1b8d7cbb3f77a6">
      <tp>
        <v>1</v>
        <stp/>
        <stp>7d385d97-3c45-4e0f-a55b-eb0c68fb5db7</stp>
        <tr r="BI23" s="130"/>
      </tp>
    </main>
    <main first="rtdsrv.458a5932996f485b8b1b8d7cbb3f77a6">
      <tp>
        <v>1</v>
        <stp/>
        <stp>c40b2870-13ab-42b5-9ba3-5a96cb35c423</stp>
        <tr r="AK56" s="130"/>
      </tp>
      <tp>
        <v>1</v>
        <stp/>
        <stp>d0918af9-3f0c-437a-9227-14fc7cb8685a</stp>
        <tr r="AA98" s="130"/>
      </tp>
    </main>
    <main first="rtdsrv.458a5932996f485b8b1b8d7cbb3f77a6">
      <tp>
        <v>1</v>
        <stp/>
        <stp>19e34c2b-473f-4744-9662-8dbe039b3e10</stp>
        <tr r="GD13" s="132"/>
      </tp>
    </main>
    <main first="rtdsrv.458a5932996f485b8b1b8d7cbb3f77a6">
      <tp>
        <v>1</v>
        <stp/>
        <stp>0ed9c7af-097a-4a7f-bd53-2cf1a90215ad</stp>
        <tr r="CB8" s="132"/>
      </tp>
    </main>
    <main first="rtdsrv.458a5932996f485b8b1b8d7cbb3f77a6">
      <tp>
        <v>1</v>
        <stp/>
        <stp>bb5ea993-87a8-4492-900e-e8dba5bfa2aa</stp>
        <tr r="BF11" s="132"/>
      </tp>
    </main>
    <main first="rtdsrv.458a5932996f485b8b1b8d7cbb3f77a6">
      <tp>
        <v>1</v>
        <stp/>
        <stp>70971994-098e-426c-8f01-36c9114f23f0</stp>
        <tr r="V65" s="130"/>
      </tp>
    </main>
    <main first="rtdsrv.458a5932996f485b8b1b8d7cbb3f77a6">
      <tp>
        <v>1</v>
        <stp/>
        <stp>36b34da2-a9a4-4ceb-9f37-facced12e9f0</stp>
        <tr r="CF11" s="132"/>
      </tp>
    </main>
    <main first="rtdsrv.458a5932996f485b8b1b8d7cbb3f77a6">
      <tp>
        <v>1</v>
        <stp/>
        <stp>333bb299-676b-4de7-bed7-1ff75eb2797a</stp>
        <tr r="AQ57" s="130"/>
      </tp>
    </main>
    <main first="rtdsrv.458a5932996f485b8b1b8d7cbb3f77a6">
      <tp>
        <v>1</v>
        <stp/>
        <stp>90e33cae-4cd5-4698-ab4f-9e4aea87a149</stp>
        <tr r="Y89" s="130"/>
      </tp>
    </main>
    <main first="rtdsrv.458a5932996f485b8b1b8d7cbb3f77a6">
      <tp>
        <v>1</v>
        <stp/>
        <stp>bbdaf131-b683-4732-93fe-248ab634b95e</stp>
        <tr r="BG59" s="130"/>
      </tp>
    </main>
    <main first="rtdsrv.458a5932996f485b8b1b8d7cbb3f77a6">
      <tp>
        <v>1</v>
        <stp/>
        <stp>68d5767b-383b-4b7e-a7f2-be1effcb3c14</stp>
        <tr r="AS22" s="130"/>
      </tp>
    </main>
    <main first="rtdsrv.458a5932996f485b8b1b8d7cbb3f77a6">
      <tp>
        <v>1</v>
        <stp/>
        <stp>46c0e9b2-0cef-401a-b2a3-429aa510bfc7</stp>
        <tr r="K21" s="130"/>
      </tp>
    </main>
    <main first="rtdsrv.458a5932996f485b8b1b8d7cbb3f77a6">
      <tp>
        <v>1</v>
        <stp/>
        <stp>b70ccb8d-9e2e-45fa-9038-c5bf3c59d688</stp>
        <tr r="T95" s="130"/>
      </tp>
    </main>
    <main first="rtdsrv.458a5932996f485b8b1b8d7cbb3f77a6">
      <tp>
        <v>1</v>
        <stp/>
        <stp>2fd7dd9f-9768-44ee-8a3f-5b6264aceea1</stp>
        <tr r="EF7" s="132"/>
      </tp>
    </main>
    <main first="rtdsrv.458a5932996f485b8b1b8d7cbb3f77a6">
      <tp>
        <v>1</v>
        <stp/>
        <stp>124a4d96-8120-4b77-ac9f-29f72ba96ef8</stp>
        <tr r="M35" s="130"/>
      </tp>
    </main>
    <main first="rtdsrv.458a5932996f485b8b1b8d7cbb3f77a6">
      <tp>
        <v>1</v>
        <stp/>
        <stp>f5dd3b00-52f2-453c-988c-b78a23418c20</stp>
        <tr r="BC76" s="130"/>
      </tp>
    </main>
    <main first="rtdsrv.458a5932996f485b8b1b8d7cbb3f77a6">
      <tp>
        <v>1</v>
        <stp/>
        <stp>d94e8f49-dc20-4412-8363-d0965e4e04f3</stp>
        <tr r="T74" s="130"/>
      </tp>
    </main>
    <main first="rtdsrv.458a5932996f485b8b1b8d7cbb3f77a6">
      <tp>
        <v>1</v>
        <stp/>
        <stp>230d88f1-80a2-451d-9a23-a964029290a3</stp>
        <tr r="AX74" s="130"/>
      </tp>
    </main>
    <main first="rtdsrv.458a5932996f485b8b1b8d7cbb3f77a6">
      <tp>
        <v>1</v>
        <stp/>
        <stp>d8870dcd-0db5-437a-b5ec-5e973b85f195</stp>
        <tr r="AR89" s="130"/>
      </tp>
      <tp>
        <v>1</v>
        <stp/>
        <stp>b9d0e66e-e2d4-4edf-a053-d340817ebe45</stp>
        <tr r="AV56" s="130"/>
      </tp>
    </main>
    <main first="rtdsrv.458a5932996f485b8b1b8d7cbb3f77a6">
      <tp>
        <v>1</v>
        <stp/>
        <stp>80b62754-1449-42ac-b996-b6595a1d7e58</stp>
        <tr r="U59" s="130"/>
      </tp>
    </main>
    <main first="rtdsrv.458a5932996f485b8b1b8d7cbb3f77a6">
      <tp>
        <v>1</v>
        <stp/>
        <stp>9cdb40d8-2f9f-4738-96bf-aaf12b0f5f23</stp>
        <tr r="K71" s="130"/>
      </tp>
      <tp>
        <v>1</v>
        <stp/>
        <stp>d366f7ab-956f-4ee3-b130-0da92f67aaac</stp>
        <tr r="C63" s="130"/>
      </tp>
    </main>
    <main first="rtdsrv.458a5932996f485b8b1b8d7cbb3f77a6">
      <tp>
        <v>1</v>
        <stp/>
        <stp>da5602de-02bb-4ffb-9aa2-3a7a0f65f95b</stp>
        <tr r="BP7" s="132"/>
      </tp>
    </main>
    <main first="rtdsrv.458a5932996f485b8b1b8d7cbb3f77a6">
      <tp>
        <v>1</v>
        <stp/>
        <stp>ebf906cc-9aa9-4c64-9d67-4f2fd6fa6abd</stp>
        <tr r="E41" s="130"/>
      </tp>
    </main>
    <main first="rtdsrv.458a5932996f485b8b1b8d7cbb3f77a6">
      <tp>
        <v>1</v>
        <stp/>
        <stp>6da91cfa-351b-45b6-979a-65c50fde8614</stp>
        <tr r="BG76" s="130"/>
      </tp>
    </main>
    <main first="rtdsrv.458a5932996f485b8b1b8d7cbb3f77a6">
      <tp>
        <v>1</v>
        <stp/>
        <stp>c9153038-e2b5-4fa9-8b99-97a83f46dc93</stp>
        <tr r="BW11" s="132"/>
      </tp>
      <tp>
        <v>1</v>
        <stp/>
        <stp>6936b633-c20b-44a5-9cc5-92bc137aee71</stp>
        <tr r="BF44" s="130"/>
      </tp>
    </main>
    <main first="rtdsrv.458a5932996f485b8b1b8d7cbb3f77a6">
      <tp>
        <v>1</v>
        <stp/>
        <stp>23026949-cc33-400c-afaa-74ac02409360</stp>
        <tr r="O24" s="130"/>
      </tp>
      <tp>
        <v>1</v>
        <stp/>
        <stp>fc72190b-4a2a-4993-b6d6-65d78df59673</stp>
        <tr r="F55" s="130"/>
      </tp>
    </main>
    <main first="rtdsrv.458a5932996f485b8b1b8d7cbb3f77a6">
      <tp>
        <v>1</v>
        <stp/>
        <stp>61ec4e2f-cea9-4f3c-bb5c-78d3abb42e13</stp>
        <tr r="FL12" s="132"/>
      </tp>
    </main>
    <main first="rtdsrv.458a5932996f485b8b1b8d7cbb3f77a6">
      <tp>
        <v>1</v>
        <stp/>
        <stp>f24893e0-fcb9-4e86-90de-bdd6280fb7e9</stp>
        <tr r="AO70" s="130"/>
      </tp>
    </main>
    <main first="rtdsrv.458a5932996f485b8b1b8d7cbb3f77a6">
      <tp>
        <v>1</v>
        <stp/>
        <stp>8f9c2b09-f813-418e-b9c6-b6ce59c825ad</stp>
        <tr r="DO6" s="132"/>
      </tp>
    </main>
    <main first="rtdsrv.458a5932996f485b8b1b8d7cbb3f77a6">
      <tp>
        <v>1</v>
        <stp/>
        <stp>49760405-17b4-4af4-ab7e-31f776ec7f08</stp>
        <tr r="AB8" s="132"/>
      </tp>
    </main>
    <main first="rtdsrv.458a5932996f485b8b1b8d7cbb3f77a6">
      <tp>
        <v>1</v>
        <stp/>
        <stp>f8776cd6-da70-41eb-af55-d2a1203d242b</stp>
        <tr r="U8" s="130"/>
      </tp>
    </main>
    <main first="rtdsrv.458a5932996f485b8b1b8d7cbb3f77a6">
      <tp>
        <v>1</v>
        <stp/>
        <stp>205a04ef-7b65-46e1-89e0-b7ac8677b830</stp>
        <tr r="AX72" s="130"/>
      </tp>
    </main>
    <main first="rtdsrv.458a5932996f485b8b1b8d7cbb3f77a6">
      <tp>
        <v>1</v>
        <stp/>
        <stp>decb49a3-1bf8-45bf-94d6-b2b9c72814aa</stp>
        <tr r="BG62" s="130"/>
      </tp>
    </main>
    <main first="rtdsrv.458a5932996f485b8b1b8d7cbb3f77a6">
      <tp>
        <v>1</v>
        <stp/>
        <stp>6e17957d-90d9-43cf-a0db-714591cb95d4</stp>
        <tr r="FL6" s="132"/>
      </tp>
    </main>
    <main first="rtdsrv.458a5932996f485b8b1b8d7cbb3f77a6">
      <tp>
        <v>1</v>
        <stp/>
        <stp>8570a505-e210-4432-b1be-7edf686376e7</stp>
        <tr r="FN5" s="132"/>
      </tp>
    </main>
    <main first="rtdsrv.458a5932996f485b8b1b8d7cbb3f77a6">
      <tp>
        <v>1</v>
        <stp/>
        <stp>7b31badd-16d3-4c2c-917f-e2fdc3168975</stp>
        <tr r="FX15" s="132"/>
      </tp>
    </main>
    <main first="rtdsrv.458a5932996f485b8b1b8d7cbb3f77a6">
      <tp>
        <v>1</v>
        <stp/>
        <stp>d35ef7ce-a64e-4e85-8f0b-492fa04d97cb</stp>
        <tr r="CP13" s="132"/>
      </tp>
    </main>
    <main first="rtdsrv.458a5932996f485b8b1b8d7cbb3f77a6">
      <tp>
        <v>1</v>
        <stp/>
        <stp>9988eaab-e2cb-4ef9-9d97-d060258ecf58</stp>
        <tr r="EQ7" s="132"/>
      </tp>
    </main>
    <main first="rtdsrv.458a5932996f485b8b1b8d7cbb3f77a6">
      <tp>
        <v>1</v>
        <stp/>
        <stp>9f13d90e-aa5d-4acb-8126-d76bed929c95</stp>
        <tr r="AF66" s="130"/>
      </tp>
    </main>
    <main first="rtdsrv.458a5932996f485b8b1b8d7cbb3f77a6">
      <tp>
        <v>1</v>
        <stp/>
        <stp>677cb46e-bc70-4731-9511-59ea567170a6</stp>
        <tr r="GP12" s="132"/>
      </tp>
    </main>
    <main first="rtdsrv.458a5932996f485b8b1b8d7cbb3f77a6">
      <tp>
        <v>1</v>
        <stp/>
        <stp>eb816785-0cfc-4e5c-8a0e-f1cae8093a40</stp>
        <tr r="BQ15" s="132"/>
      </tp>
    </main>
    <main first="rtdsrv.458a5932996f485b8b1b8d7cbb3f77a6">
      <tp>
        <v>1</v>
        <stp/>
        <stp>546112a3-b170-49bc-a410-69e7dbaf633a</stp>
        <tr r="U27" s="130"/>
      </tp>
    </main>
    <main first="rtdsrv.458a5932996f485b8b1b8d7cbb3f77a6">
      <tp>
        <v>1</v>
        <stp/>
        <stp>d69fb9cb-619c-4945-8eea-d3b43587011f</stp>
        <tr r="BL14" s="132"/>
      </tp>
      <tp>
        <v>1</v>
        <stp/>
        <stp>3fdbc0f5-0c83-4e9d-9ed6-9e4b88f0fed9</stp>
        <tr r="AC41" s="130"/>
      </tp>
      <tp>
        <v>1</v>
        <stp/>
        <stp>7e7ded15-a361-4bf9-81bd-de28d8abb8ca</stp>
        <tr r="AK47" s="130"/>
        <tr r="AK52" s="130"/>
      </tp>
    </main>
    <main first="rtdsrv.458a5932996f485b8b1b8d7cbb3f77a6">
      <tp>
        <v>1</v>
        <stp/>
        <stp>f25d9828-13a9-4e5b-8f7a-74b9d3e8a73d</stp>
        <tr r="AC22" s="130"/>
      </tp>
    </main>
    <main first="rtdsrv.458a5932996f485b8b1b8d7cbb3f77a6">
      <tp>
        <v>1</v>
        <stp/>
        <stp>4bb51e42-a5bf-4827-84bb-b060dee5483a</stp>
        <tr r="AK14" s="132"/>
      </tp>
    </main>
    <main first="rtdsrv.458a5932996f485b8b1b8d7cbb3f77a6">
      <tp>
        <v>1</v>
        <stp/>
        <stp>5df82959-2941-4c51-977c-5bee8d5a718e</stp>
        <tr r="EB15" s="132"/>
      </tp>
    </main>
    <main first="rtdsrv.458a5932996f485b8b1b8d7cbb3f77a6">
      <tp>
        <v>1</v>
        <stp/>
        <stp>e402f3b4-8bb3-4ea1-b0f2-96b7ccfe3cdd</stp>
        <tr r="BE20" s="130"/>
      </tp>
    </main>
    <main first="rtdsrv.458a5932996f485b8b1b8d7cbb3f77a6">
      <tp>
        <v>1</v>
        <stp/>
        <stp>951d3d81-1f66-4de0-bd37-82e6f6f4d997</stp>
        <tr r="C12" s="130"/>
      </tp>
    </main>
    <main first="rtdsrv.458a5932996f485b8b1b8d7cbb3f77a6">
      <tp>
        <v>1</v>
        <stp/>
        <stp>b31051ef-7ce1-4932-8c5d-bad0f4d9591a</stp>
        <tr r="J97" s="130"/>
      </tp>
    </main>
    <main first="rtdsrv.458a5932996f485b8b1b8d7cbb3f77a6">
      <tp>
        <v>1</v>
        <stp/>
        <stp>ea99208f-411b-4a79-b163-9b084c77f5fb</stp>
        <tr r="AC89" s="130"/>
      </tp>
    </main>
    <main first="rtdsrv.458a5932996f485b8b1b8d7cbb3f77a6">
      <tp>
        <v>1</v>
        <stp/>
        <stp>5b2395fe-1e49-43b8-9831-a7e6835b9722</stp>
        <tr r="BK69" s="130"/>
      </tp>
      <tp>
        <v>1</v>
        <stp/>
        <stp>562952fa-7399-448d-9626-c3f6f0d3181d</stp>
        <tr r="K92" s="130"/>
      </tp>
    </main>
    <main first="rtdsrv.458a5932996f485b8b1b8d7cbb3f77a6">
      <tp>
        <v>1</v>
        <stp/>
        <stp>fd846943-ad87-48e5-b745-5888291a1b64</stp>
        <tr r="AV87" s="130"/>
      </tp>
    </main>
    <main first="rtdsrv.458a5932996f485b8b1b8d7cbb3f77a6">
      <tp>
        <v>1</v>
        <stp/>
        <stp>3c6cf6f9-8d8a-420a-aae8-00ac177ae09a</stp>
        <tr r="FQ12" s="132"/>
      </tp>
    </main>
    <main first="rtdsrv.458a5932996f485b8b1b8d7cbb3f77a6">
      <tp>
        <v>1</v>
        <stp/>
        <stp>efa17ae9-0da0-4e7f-8e7d-ce45b8c99e00</stp>
        <tr r="Y11" s="130"/>
      </tp>
    </main>
    <main first="rtdsrv.458a5932996f485b8b1b8d7cbb3f77a6">
      <tp>
        <v>1</v>
        <stp/>
        <stp>e98202f1-8a86-4355-9165-38dba3605e43</stp>
        <tr r="AN62" s="130"/>
      </tp>
      <tp>
        <v>1</v>
        <stp/>
        <stp>91aeee20-ff71-4ee3-8738-c9da6ea4c0d5</stp>
        <tr r="O28" s="130"/>
      </tp>
    </main>
    <main first="rtdsrv.458a5932996f485b8b1b8d7cbb3f77a6">
      <tp>
        <v>1</v>
        <stp/>
        <stp>3fc1a2e8-fa55-4048-a2a1-d388a308352c</stp>
        <tr r="EB14" s="132"/>
      </tp>
      <tp>
        <v>1</v>
        <stp/>
        <stp>19568542-d09e-41ae-bd19-70077675ddca</stp>
        <tr r="EX15" s="132"/>
      </tp>
    </main>
    <main first="rtdsrv.458a5932996f485b8b1b8d7cbb3f77a6">
      <tp>
        <v>1</v>
        <stp/>
        <stp>5b61616c-a7bd-4e75-ba85-53962b05e0fc</stp>
        <tr r="K10" s="130"/>
      </tp>
    </main>
    <main first="rtdsrv.458a5932996f485b8b1b8d7cbb3f77a6">
      <tp>
        <v>1</v>
        <stp/>
        <stp>9930b8c1-f1c2-42ca-9949-264b592f3c38</stp>
        <tr r="AJ33" s="130"/>
      </tp>
      <tp>
        <v>1</v>
        <stp/>
        <stp>ef48ca15-1e79-4dde-9940-b12350770886</stp>
        <tr r="R82" s="130"/>
      </tp>
    </main>
    <main first="rtdsrv.458a5932996f485b8b1b8d7cbb3f77a6">
      <tp>
        <v>1</v>
        <stp/>
        <stp>3a81dc00-5b08-48b7-814a-76eaeee3e9f7</stp>
        <tr r="N8" s="130"/>
      </tp>
      <tp>
        <v>1</v>
        <stp/>
        <stp>060039a3-1330-41bb-aec7-be76e78b037f</stp>
        <tr r="AV42" s="130"/>
      </tp>
    </main>
    <main first="rtdsrv.458a5932996f485b8b1b8d7cbb3f77a6">
      <tp>
        <v>1</v>
        <stp/>
        <stp>da674f0c-da2d-4d08-b900-ce8fe3fe0cd3</stp>
        <tr r="AT67" s="130"/>
      </tp>
    </main>
    <main first="rtdsrv.458a5932996f485b8b1b8d7cbb3f77a6">
      <tp>
        <v>1</v>
        <stp/>
        <stp>f6d64914-13b2-460f-8bc5-059541ce5ad1</stp>
        <tr r="BV6" s="132"/>
      </tp>
    </main>
    <main first="rtdsrv.458a5932996f485b8b1b8d7cbb3f77a6">
      <tp>
        <v>1</v>
        <stp/>
        <stp>bfe26b6b-ebd0-4827-ab44-549e6832e0af</stp>
        <tr r="W27" s="130"/>
      </tp>
    </main>
    <main first="rtdsrv.458a5932996f485b8b1b8d7cbb3f77a6">
      <tp>
        <v>1</v>
        <stp/>
        <stp>c6892f9f-453c-47a3-9399-80c3c8b6a8c9</stp>
        <tr r="U44" s="130"/>
      </tp>
    </main>
    <main first="rtdsrv.458a5932996f485b8b1b8d7cbb3f77a6">
      <tp>
        <v>1</v>
        <stp/>
        <stp>a70e4480-d455-4cb9-9412-87fdcbedcdbd</stp>
        <tr r="W71" s="130"/>
      </tp>
    </main>
    <main first="rtdsrv.458a5932996f485b8b1b8d7cbb3f77a6">
      <tp>
        <v>1</v>
        <stp/>
        <stp>f6c394af-fab5-4f49-a551-142cd7680596</stp>
        <tr r="BA18" s="130"/>
      </tp>
      <tp>
        <v>1</v>
        <stp/>
        <stp>3b728c25-d3a7-4400-9d58-a5c1a3d588f3</stp>
        <tr r="CB5" s="132"/>
      </tp>
    </main>
    <main first="rtdsrv.458a5932996f485b8b1b8d7cbb3f77a6">
      <tp>
        <v>1</v>
        <stp/>
        <stp>6a241b7e-6c6a-4ee6-aaf1-5b813a00c80d</stp>
        <tr r="AC15" s="132"/>
      </tp>
    </main>
    <main first="rtdsrv.458a5932996f485b8b1b8d7cbb3f77a6">
      <tp>
        <v>1</v>
        <stp/>
        <stp>984d291e-88ab-4ee7-96ff-8ed982ceca3e</stp>
        <tr r="AF87" s="130"/>
      </tp>
    </main>
    <main first="rtdsrv.458a5932996f485b8b1b8d7cbb3f77a6">
      <tp>
        <v>1</v>
        <stp/>
        <stp>deca22bd-29ef-4219-b3c6-a3c77dd506f0</stp>
        <tr r="F60" s="130"/>
      </tp>
    </main>
    <main first="rtdsrv.458a5932996f485b8b1b8d7cbb3f77a6">
      <tp>
        <v>1</v>
        <stp/>
        <stp>9da3d502-b3db-4662-8392-e7cc2fe26792</stp>
        <tr r="FM13" s="132"/>
      </tp>
      <tp>
        <v>1</v>
        <stp/>
        <stp>d6b9a9d9-13da-424e-bbe9-c47a07ba9c1c</stp>
        <tr r="AY7" s="130"/>
      </tp>
    </main>
    <main first="rtdsrv.458a5932996f485b8b1b8d7cbb3f77a6">
      <tp>
        <v>1</v>
        <stp/>
        <stp>1e2339fe-f3a2-43bd-92f9-c65d9ca733b8</stp>
        <tr r="AX98" s="130"/>
      </tp>
    </main>
    <main first="rtdsrv.458a5932996f485b8b1b8d7cbb3f77a6">
      <tp>
        <v>1</v>
        <stp/>
        <stp>e5177e02-58e6-42a3-af88-65265d9c5abb</stp>
        <tr r="AU18" s="130"/>
      </tp>
    </main>
    <main first="rtdsrv.458a5932996f485b8b1b8d7cbb3f77a6">
      <tp>
        <v>1</v>
        <stp/>
        <stp>0e1ef465-990b-4ae1-91ec-91c495f51f06</stp>
        <tr r="R94" s="130"/>
      </tp>
    </main>
    <main first="rtdsrv.458a5932996f485b8b1b8d7cbb3f77a6">
      <tp>
        <v>1</v>
        <stp/>
        <stp>704984ab-79ff-44ba-ba26-3957234d6437</stp>
        <tr r="AG11" s="132"/>
      </tp>
    </main>
    <main first="rtdsrv.458a5932996f485b8b1b8d7cbb3f77a6">
      <tp>
        <v>1</v>
        <stp/>
        <stp>08e1685b-9e60-4545-b876-7e607cd44c8a</stp>
        <tr r="X22" s="130"/>
      </tp>
    </main>
    <main first="rtdsrv.458a5932996f485b8b1b8d7cbb3f77a6">
      <tp>
        <v>1</v>
        <stp/>
        <stp>24ebdc15-07f9-470e-81a2-5a863e3ff931</stp>
        <tr r="AI31" s="130"/>
      </tp>
    </main>
    <main first="rtdsrv.458a5932996f485b8b1b8d7cbb3f77a6">
      <tp>
        <v>1</v>
        <stp/>
        <stp>35cb69fc-fef5-4b22-a209-cdf0d3e75a3d</stp>
        <tr r="GS5" s="132"/>
      </tp>
    </main>
    <main first="rtdsrv.458a5932996f485b8b1b8d7cbb3f77a6">
      <tp>
        <v>1</v>
        <stp/>
        <stp>dc69ff5f-3831-4de9-806d-d2765ef520dd</stp>
        <tr r="K12" s="132"/>
      </tp>
      <tp>
        <v>1</v>
        <stp/>
        <stp>76d28345-844a-44c6-ab78-3c3560368163</stp>
        <tr r="CC9" s="132"/>
      </tp>
    </main>
    <main first="rtdsrv.458a5932996f485b8b1b8d7cbb3f77a6">
      <tp>
        <v>1</v>
        <stp/>
        <stp>a2cd915f-e724-4cc8-b5a9-b20ee1f30bdd</stp>
        <tr r="AO85" s="130"/>
      </tp>
    </main>
    <main first="rtdsrv.458a5932996f485b8b1b8d7cbb3f77a6">
      <tp>
        <v>1</v>
        <stp/>
        <stp>5d16e491-63a6-4e25-8c24-f80eadbf0c71</stp>
        <tr r="AI13" s="130"/>
      </tp>
    </main>
    <main first="rtdsrv.458a5932996f485b8b1b8d7cbb3f77a6">
      <tp>
        <v>1</v>
        <stp/>
        <stp>09b264ac-2a3c-4935-84a8-23b3be269ca4</stp>
        <tr r="CZ13" s="132"/>
      </tp>
    </main>
    <main first="rtdsrv.458a5932996f485b8b1b8d7cbb3f77a6">
      <tp>
        <v>1</v>
        <stp/>
        <stp>56ca293e-f834-4c90-98e4-ee684d92cc8a</stp>
        <tr r="EI6" s="132"/>
      </tp>
    </main>
    <main first="rtdsrv.458a5932996f485b8b1b8d7cbb3f77a6">
      <tp>
        <v>1</v>
        <stp/>
        <stp>5c31fcc3-2b50-4838-8749-71b21b437364</stp>
        <tr r="AV84" s="130"/>
      </tp>
    </main>
    <main first="rtdsrv.458a5932996f485b8b1b8d7cbb3f77a6">
      <tp>
        <v>1</v>
        <stp/>
        <stp>5439e843-efa2-4e2e-836a-ddbfd9c02f57</stp>
        <tr r="R78" s="130"/>
      </tp>
    </main>
    <main first="rtdsrv.458a5932996f485b8b1b8d7cbb3f77a6">
      <tp>
        <v>1</v>
        <stp/>
        <stp>43bdd615-f6de-4413-b31c-cf33376b017d</stp>
        <tr r="X35" s="130"/>
      </tp>
    </main>
    <main first="rtdsrv.458a5932996f485b8b1b8d7cbb3f77a6">
      <tp>
        <v>1</v>
        <stp/>
        <stp>1a86b113-8944-4a18-a2b4-c27b89710804</stp>
        <tr r="AV77" s="130"/>
      </tp>
    </main>
    <main first="rtdsrv.458a5932996f485b8b1b8d7cbb3f77a6">
      <tp>
        <v>1</v>
        <stp/>
        <stp>000accf0-fb2c-4cde-a12f-6a016a726ca2</stp>
        <tr r="DI12" s="132"/>
      </tp>
    </main>
    <main first="rtdsrv.458a5932996f485b8b1b8d7cbb3f77a6">
      <tp>
        <v>1</v>
        <stp/>
        <stp>c157701f-f510-4aa9-a672-8c3b1878c33d</stp>
        <tr r="O13" s="132"/>
      </tp>
      <tp>
        <v>1</v>
        <stp/>
        <stp>60710660-72a1-4f2b-995e-53a567054c3a</stp>
        <tr r="Y35" s="130"/>
      </tp>
    </main>
    <main first="rtdsrv.458a5932996f485b8b1b8d7cbb3f77a6">
      <tp>
        <v>1</v>
        <stp/>
        <stp>014cb712-3eaa-4801-9aad-6048d157ce19</stp>
        <tr r="CQ14" s="132"/>
      </tp>
      <tp>
        <v>1</v>
        <stp/>
        <stp>ec3de118-4598-4a00-b504-a6ae7b0263f7</stp>
        <tr r="AJ82" s="130"/>
      </tp>
    </main>
    <main first="rtdsrv.458a5932996f485b8b1b8d7cbb3f77a6">
      <tp>
        <v>1</v>
        <stp/>
        <stp>0112d706-502d-4c46-8027-cffc5412ede6</stp>
        <tr r="U82" s="130"/>
      </tp>
    </main>
    <main first="rtdsrv.458a5932996f485b8b1b8d7cbb3f77a6">
      <tp>
        <v>1</v>
        <stp/>
        <stp>c43a5394-a0b4-4c50-8c77-d762cc8ec473</stp>
        <tr r="D11" s="130"/>
      </tp>
    </main>
    <main first="rtdsrv.458a5932996f485b8b1b8d7cbb3f77a6">
      <tp>
        <v>1</v>
        <stp/>
        <stp>52e98944-6e10-48d0-b8ac-12dacf41692a</stp>
        <tr r="U37" s="130"/>
      </tp>
    </main>
    <main first="rtdsrv.458a5932996f485b8b1b8d7cbb3f77a6">
      <tp>
        <v>1</v>
        <stp/>
        <stp>96476338-75cc-4b8a-8924-5a8bf3331285</stp>
        <tr r="CI13" s="132"/>
      </tp>
    </main>
    <main first="rtdsrv.458a5932996f485b8b1b8d7cbb3f77a6">
      <tp>
        <v>1</v>
        <stp/>
        <stp>19f08ac1-6679-4fe6-9dcb-a75df547a8ed</stp>
        <tr r="GQ6" s="132"/>
      </tp>
    </main>
    <main first="rtdsrv.458a5932996f485b8b1b8d7cbb3f77a6">
      <tp>
        <v>1</v>
        <stp/>
        <stp>ef1f6332-d3e9-4005-a80c-bdda73454b70</stp>
        <tr r="DT13" s="132"/>
      </tp>
    </main>
    <main first="rtdsrv.458a5932996f485b8b1b8d7cbb3f77a6">
      <tp>
        <v>1</v>
        <stp/>
        <stp>33dd35de-bcc6-4fa4-a726-9dab7cc57db2</stp>
        <tr r="EW9" s="132"/>
      </tp>
    </main>
    <main first="rtdsrv.458a5932996f485b8b1b8d7cbb3f77a6">
      <tp>
        <v>1</v>
        <stp/>
        <stp>77bd9758-7efa-4cbf-a16e-6233aa5085d3</stp>
        <tr r="D13" s="132"/>
      </tp>
    </main>
    <main first="rtdsrv.458a5932996f485b8b1b8d7cbb3f77a6">
      <tp>
        <v>1</v>
        <stp/>
        <stp>5199bdc8-cc13-441c-87c5-9551167b7489</stp>
        <tr r="BR9" s="132"/>
      </tp>
    </main>
    <main first="rtdsrv.458a5932996f485b8b1b8d7cbb3f77a6">
      <tp>
        <v>1</v>
        <stp/>
        <stp>93fa5c1e-19ae-4b54-a7a5-cedebf86661e</stp>
        <tr r="H16" s="130"/>
      </tp>
      <tp>
        <v>1</v>
        <stp/>
        <stp>bae13624-f0ab-49f0-8a6c-eb37d6012b13</stp>
        <tr r="AP10" s="130"/>
      </tp>
    </main>
    <main first="rtdsrv.458a5932996f485b8b1b8d7cbb3f77a6">
      <tp>
        <v>1</v>
        <stp/>
        <stp>2c22c2f8-b5d9-4f41-876c-93b821d4f72b</stp>
        <tr r="E77" s="130"/>
      </tp>
    </main>
    <main first="rtdsrv.458a5932996f485b8b1b8d7cbb3f77a6">
      <tp>
        <v>1</v>
        <stp/>
        <stp>7ef09ef4-7332-4d1a-ab53-6c9da58b2476</stp>
        <tr r="D7" s="132"/>
      </tp>
    </main>
    <main first="rtdsrv.458a5932996f485b8b1b8d7cbb3f77a6">
      <tp>
        <v>1</v>
        <stp/>
        <stp>f5a4a972-1197-4f37-960a-f8090f444e4b</stp>
        <tr r="AW29" s="130"/>
      </tp>
      <tp>
        <v>1</v>
        <stp/>
        <stp>95fecc28-009a-4560-8ad7-ca1e40eb0b1e</stp>
        <tr r="BG34" s="130"/>
      </tp>
    </main>
    <main first="rtdsrv.458a5932996f485b8b1b8d7cbb3f77a6">
      <tp>
        <v>1</v>
        <stp/>
        <stp>5e36d03e-5432-4bb0-9767-00e62f12d1a6</stp>
        <tr r="AJ15" s="130"/>
      </tp>
      <tp>
        <v>1</v>
        <stp/>
        <stp>6e0cfa4a-75ff-4814-acc6-6044fa38c468</stp>
        <tr r="AH12" s="132"/>
      </tp>
      <tp>
        <v>1</v>
        <stp/>
        <stp>b608eff3-34fb-410e-ac44-73e312211276</stp>
        <tr r="BP16" s="132"/>
      </tp>
      <tp>
        <v>1</v>
        <stp/>
        <stp>ab206f87-ac92-425c-aeda-6c8c23231345</stp>
        <tr r="AL82" s="130"/>
      </tp>
      <tp>
        <v>1</v>
        <stp/>
        <stp>e93b4611-8d87-4fc8-9104-1b61f9eb4e61</stp>
        <tr r="AB29" s="130"/>
      </tp>
      <tp>
        <v>1</v>
        <stp/>
        <stp>10861eb8-b986-497a-bff0-6c561bb69039</stp>
        <tr r="K62" s="130"/>
      </tp>
    </main>
    <main first="rtdsrv.458a5932996f485b8b1b8d7cbb3f77a6">
      <tp>
        <v>1</v>
        <stp/>
        <stp>785cabea-eaa9-4cc4-b69e-021a3144a0fe</stp>
        <tr r="C51" s="130"/>
        <tr r="C46" s="130"/>
      </tp>
    </main>
    <main first="rtdsrv.458a5932996f485b8b1b8d7cbb3f77a6">
      <tp>
        <v>1</v>
        <stp/>
        <stp>b56ddc7f-fb6c-416f-bb83-595ff7dc6a62</stp>
        <tr r="CA12" s="132"/>
      </tp>
    </main>
    <main first="rtdsrv.458a5932996f485b8b1b8d7cbb3f77a6">
      <tp>
        <v>1</v>
        <stp/>
        <stp>b0d4e73a-4a5a-48cd-9482-bb8888228495</stp>
        <tr r="BO15" s="132"/>
      </tp>
      <tp>
        <v>1</v>
        <stp/>
        <stp>d78d9321-9b04-4660-9589-9f0083759aa2</stp>
        <tr r="O15" s="132"/>
      </tp>
    </main>
    <main first="rtdsrv.458a5932996f485b8b1b8d7cbb3f77a6">
      <tp>
        <v>1</v>
        <stp/>
        <stp>4fcdffdd-fee5-4ceb-9e75-a12946b4c506</stp>
        <tr r="CB15" s="132"/>
      </tp>
    </main>
    <main first="rtdsrv.458a5932996f485b8b1b8d7cbb3f77a6">
      <tp>
        <v>1</v>
        <stp/>
        <stp>3fa6ea66-a160-4b84-add3-007aa17016bf</stp>
        <tr r="S40" s="130"/>
      </tp>
    </main>
    <main first="rtdsrv.458a5932996f485b8b1b8d7cbb3f77a6">
      <tp>
        <v>1</v>
        <stp/>
        <stp>aa590207-ff71-4bb4-9caa-72c8b6b59e4d</stp>
        <tr r="BD56" s="130"/>
      </tp>
    </main>
    <main first="rtdsrv.458a5932996f485b8b1b8d7cbb3f77a6">
      <tp>
        <v>1</v>
        <stp/>
        <stp>e0e52df8-135b-44a5-87c7-673a51a094e3</stp>
        <tr r="DN7" s="132"/>
      </tp>
      <tp>
        <v>1</v>
        <stp/>
        <stp>beabf4e8-5dfc-415b-9c6d-6b0a216afb2a</stp>
        <tr r="AS87" s="130"/>
      </tp>
    </main>
    <main first="rtdsrv.458a5932996f485b8b1b8d7cbb3f77a6">
      <tp>
        <v>1</v>
        <stp/>
        <stp>13375d55-0006-43e3-b261-5222d7c9eff6</stp>
        <tr r="BC79" s="130"/>
      </tp>
      <tp>
        <v>1</v>
        <stp/>
        <stp>49d9ff4e-e323-4526-9686-5cbcbd79720d</stp>
        <tr r="AP58" s="130"/>
      </tp>
    </main>
    <main first="rtdsrv.458a5932996f485b8b1b8d7cbb3f77a6">
      <tp>
        <v>1</v>
        <stp/>
        <stp>3c921b7a-4127-4760-bf80-31e8f4be5980</stp>
        <tr r="AI22" s="130"/>
      </tp>
      <tp>
        <v>1</v>
        <stp/>
        <stp>3f57129e-321f-47f0-a009-bc62ed113a00</stp>
        <tr r="AE64" s="130"/>
      </tp>
    </main>
    <main first="rtdsrv.458a5932996f485b8b1b8d7cbb3f77a6">
      <tp>
        <v>1</v>
        <stp/>
        <stp>5aee3ca3-246c-4214-ba11-252f98f159ec</stp>
        <tr r="FE6" s="132"/>
      </tp>
    </main>
    <main first="rtdsrv.458a5932996f485b8b1b8d7cbb3f77a6">
      <tp>
        <v>1</v>
        <stp/>
        <stp>01c33b75-0f39-4e37-ad11-7ef6f33d72fb</stp>
        <tr r="BK6" s="132"/>
      </tp>
    </main>
    <main first="rtdsrv.458a5932996f485b8b1b8d7cbb3f77a6">
      <tp>
        <v>1</v>
        <stp/>
        <stp>864ca21a-c5d2-4a37-911a-fcf332ba11eb</stp>
        <tr r="BB25" s="130"/>
      </tp>
      <tp>
        <v>1</v>
        <stp/>
        <stp>9a895bde-cd6a-4309-a0c8-bb2a38130a3d</stp>
        <tr r="HB14" s="132"/>
      </tp>
    </main>
    <main first="rtdsrv.458a5932996f485b8b1b8d7cbb3f77a6">
      <tp>
        <v>1</v>
        <stp/>
        <stp>81b37edb-53d6-4288-9f38-2c8b51d3d9ad</stp>
        <tr r="AS92" s="130"/>
      </tp>
    </main>
    <main first="rtdsrv.458a5932996f485b8b1b8d7cbb3f77a6">
      <tp>
        <v>1</v>
        <stp/>
        <stp>5d6a2a77-06ca-47b8-9e39-a81775635297</stp>
        <tr r="AA84" s="130"/>
      </tp>
    </main>
    <main first="rtdsrv.458a5932996f485b8b1b8d7cbb3f77a6">
      <tp>
        <v>1</v>
        <stp/>
        <stp>83dd666b-117a-4667-afa7-c5e313bbeeba</stp>
        <tr r="BC81" s="130"/>
      </tp>
      <tp>
        <v>1</v>
        <stp/>
        <stp>4e65c30d-6d99-4b76-9167-9ffea1f1c6d3</stp>
        <tr r="AJ31" s="130"/>
      </tp>
    </main>
    <main first="rtdsrv.458a5932996f485b8b1b8d7cbb3f77a6">
      <tp>
        <v>1</v>
        <stp/>
        <stp>ce6b2baa-2f2f-46af-a371-4206951b6b0b</stp>
        <tr r="Q96" s="130"/>
      </tp>
    </main>
    <main first="rtdsrv.458a5932996f485b8b1b8d7cbb3f77a6">
      <tp>
        <v>1</v>
        <stp/>
        <stp>caa68770-74bf-4554-9557-067a8b1b15b6</stp>
        <tr r="AR59" s="130"/>
      </tp>
      <tp>
        <v>1</v>
        <stp/>
        <stp>d2c52ca0-f319-4cc5-9265-327640213704</stp>
        <tr r="BC73" s="130"/>
      </tp>
    </main>
    <main first="rtdsrv.458a5932996f485b8b1b8d7cbb3f77a6">
      <tp>
        <v>1</v>
        <stp/>
        <stp>791cd1c5-9557-47e5-9cf6-fc26ab3a2baf</stp>
        <tr r="G73" s="130"/>
      </tp>
    </main>
    <main first="rtdsrv.458a5932996f485b8b1b8d7cbb3f77a6">
      <tp>
        <v>1</v>
        <stp/>
        <stp>10ba187c-4fde-4a44-8ce3-18c0ed3550ac</stp>
        <tr r="AI73" s="130"/>
      </tp>
    </main>
    <main first="rtdsrv.458a5932996f485b8b1b8d7cbb3f77a6">
      <tp>
        <v>1</v>
        <stp/>
        <stp>39af97e9-f5ec-4ea4-a393-76786f2db46e</stp>
        <tr r="DI16" s="132"/>
      </tp>
    </main>
    <main first="rtdsrv.458a5932996f485b8b1b8d7cbb3f77a6">
      <tp>
        <v>1</v>
        <stp/>
        <stp>b0ba69b9-1d8e-4f96-bcc4-3e61091160fa</stp>
        <tr r="BS5" s="132"/>
      </tp>
    </main>
    <main first="rtdsrv.458a5932996f485b8b1b8d7cbb3f77a6">
      <tp>
        <v>1</v>
        <stp/>
        <stp>23823a2b-3d29-49c0-87c3-4ff35a90d43e</stp>
        <tr r="D96" s="130"/>
      </tp>
    </main>
    <main first="rtdsrv.458a5932996f485b8b1b8d7cbb3f77a6">
      <tp>
        <v>1</v>
        <stp/>
        <stp>a9652524-7310-4c86-b4fb-26b27e072965</stp>
        <tr r="R7" s="130"/>
      </tp>
    </main>
    <main first="rtdsrv.458a5932996f485b8b1b8d7cbb3f77a6">
      <tp>
        <v>1</v>
        <stp/>
        <stp>d10f49a6-e7a3-48fe-9c70-5b6ded5738db</stp>
        <tr r="EP5" s="132"/>
      </tp>
    </main>
    <main first="rtdsrv.458a5932996f485b8b1b8d7cbb3f77a6">
      <tp>
        <v>1</v>
        <stp/>
        <stp>2ca2fbf3-2a3a-40d7-9bd1-7a7e084ee8e6</stp>
        <tr r="BC56" s="130"/>
      </tp>
      <tp>
        <v>1</v>
        <stp/>
        <stp>373a8ea1-19bf-413e-9439-9aad5aa714cd</stp>
        <tr r="AA61" s="130"/>
      </tp>
    </main>
    <main first="rtdsrv.458a5932996f485b8b1b8d7cbb3f77a6">
      <tp>
        <v>1</v>
        <stp/>
        <stp>8069575b-51fc-46bf-b64f-8e3f222af6dd</stp>
        <tr r="AE73" s="130"/>
      </tp>
      <tp>
        <v>1</v>
        <stp/>
        <stp>d5c016d5-096d-439c-ac31-815c96883e33</stp>
        <tr r="G45" s="130"/>
      </tp>
      <tp>
        <v>1</v>
        <stp/>
        <stp>032cdced-a2e4-4d83-91d4-92a58f5f034e</stp>
        <tr r="FW7" s="132"/>
      </tp>
    </main>
    <main first="rtdsrv.458a5932996f485b8b1b8d7cbb3f77a6">
      <tp>
        <v>1</v>
        <stp/>
        <stp>a9d8ee00-aa2b-4a84-b935-29b33a676ce5</stp>
        <tr r="FV13" s="132"/>
      </tp>
      <tp>
        <v>1</v>
        <stp/>
        <stp>7224a7e7-ea2a-4868-b24a-3fadf9600217</stp>
        <tr r="AW22" s="130"/>
      </tp>
      <tp>
        <v>1</v>
        <stp/>
        <stp>f75fad49-e9f5-4642-985d-e3c96f9c0e7d</stp>
        <tr r="Q19" s="130"/>
      </tp>
    </main>
    <main first="rtdsrv.458a5932996f485b8b1b8d7cbb3f77a6">
      <tp>
        <v>1</v>
        <stp/>
        <stp>6695207b-f9e1-4abd-87e3-81adcdac5569</stp>
        <tr r="FV14" s="132"/>
      </tp>
    </main>
    <main first="rtdsrv.458a5932996f485b8b1b8d7cbb3f77a6">
      <tp>
        <v>1</v>
        <stp/>
        <stp>04436f6d-2355-4480-943c-cac41700e438</stp>
        <tr r="FZ11" s="132"/>
      </tp>
      <tp>
        <v>1</v>
        <stp/>
        <stp>42ee824d-33b8-4d47-8821-2fce1cc962a1</stp>
        <tr r="FF7" s="132"/>
      </tp>
      <tp>
        <v>1</v>
        <stp/>
        <stp>9f34b3cc-cf89-4d0a-9d0b-e1e80da913bb</stp>
        <tr r="C22" s="130"/>
      </tp>
      <tp>
        <v>1</v>
        <stp/>
        <stp>2f06c05f-da33-4000-91f1-90299e7db0bf</stp>
        <tr r="J24" s="130"/>
      </tp>
      <tp>
        <v>1</v>
        <stp/>
        <stp>401dfd14-3dc6-412b-9926-b86f767478a8</stp>
        <tr r="HE7" s="132"/>
      </tp>
    </main>
    <main first="rtdsrv.458a5932996f485b8b1b8d7cbb3f77a6">
      <tp>
        <v>1</v>
        <stp/>
        <stp>9a221857-84d2-4f2c-8086-2ab46b4b48a2</stp>
        <tr r="G22" s="130"/>
      </tp>
    </main>
    <main first="rtdsrv.458a5932996f485b8b1b8d7cbb3f77a6">
      <tp>
        <v>1</v>
        <stp/>
        <stp>9c84d670-0ac6-412e-819e-e98a4020e138</stp>
        <tr r="AI32" s="130"/>
      </tp>
    </main>
    <main first="rtdsrv.458a5932996f485b8b1b8d7cbb3f77a6">
      <tp>
        <v>1</v>
        <stp/>
        <stp>aeafb21a-86c7-445e-bd87-fa24e3fc3a7f</stp>
        <tr r="GO13" s="132"/>
      </tp>
    </main>
    <main first="rtdsrv.458a5932996f485b8b1b8d7cbb3f77a6">
      <tp>
        <v>1</v>
        <stp/>
        <stp>27047cfc-ee13-46cc-a4bf-4cb243188a45</stp>
        <tr r="Q27" s="130"/>
      </tp>
    </main>
    <main first="rtdsrv.458a5932996f485b8b1b8d7cbb3f77a6">
      <tp>
        <v>1</v>
        <stp/>
        <stp>ef7f3638-6b90-43d2-ae6f-2cd7dfa66f79</stp>
        <tr r="BK20" s="130"/>
      </tp>
    </main>
    <main first="rtdsrv.458a5932996f485b8b1b8d7cbb3f77a6">
      <tp>
        <v>1</v>
        <stp/>
        <stp>3c3ed505-c758-4154-8d03-6fdfb3a10e01</stp>
        <tr r="AR23" s="130"/>
      </tp>
    </main>
    <main first="rtdsrv.458a5932996f485b8b1b8d7cbb3f77a6">
      <tp>
        <v>1</v>
        <stp/>
        <stp>e7b91426-a688-4648-947d-41a6ee5be8e0</stp>
        <tr r="C90" s="130"/>
      </tp>
    </main>
    <main first="rtdsrv.458a5932996f485b8b1b8d7cbb3f77a6">
      <tp>
        <v>1</v>
        <stp/>
        <stp>4caccfba-ff49-416f-b72f-f7755bfc8ca0</stp>
        <tr r="AV64" s="130"/>
      </tp>
      <tp>
        <v>1</v>
        <stp/>
        <stp>8dc553e0-0dc7-40e2-8a3d-410932157d4a</stp>
        <tr r="BF57" s="130"/>
      </tp>
    </main>
    <main first="rtdsrv.458a5932996f485b8b1b8d7cbb3f77a6">
      <tp>
        <v>1</v>
        <stp/>
        <stp>72ecec6d-ec00-4e01-810c-b029b1a0853b</stp>
        <tr r="L37" s="130"/>
      </tp>
    </main>
    <main first="rtdsrv.458a5932996f485b8b1b8d7cbb3f77a6">
      <tp>
        <v>1</v>
        <stp/>
        <stp>f8591804-4289-4b0c-ac5a-0bb8a7bcc6eb</stp>
        <tr r="HG12" s="132"/>
      </tp>
      <tp>
        <v>1</v>
        <stp/>
        <stp>2acca7da-c12f-474f-a737-225e8c79e004</stp>
        <tr r="FS6" s="132"/>
      </tp>
    </main>
    <main first="rtdsrv.458a5932996f485b8b1b8d7cbb3f77a6">
      <tp>
        <v>1</v>
        <stp/>
        <stp>df15c545-e8ec-4938-b428-d71c22fe38a3</stp>
        <tr r="AF38" s="130"/>
      </tp>
    </main>
    <main first="rtdsrv.458a5932996f485b8b1b8d7cbb3f77a6">
      <tp>
        <v>1</v>
        <stp/>
        <stp>891d2ddd-98b3-4f1d-ba8b-2812b52fe40b</stp>
        <tr r="BM16" s="132"/>
      </tp>
    </main>
    <main first="rtdsrv.458a5932996f485b8b1b8d7cbb3f77a6">
      <tp>
        <v>1</v>
        <stp/>
        <stp>409886ff-32f7-4fe6-b130-3e40d7ca5c66</stp>
        <tr r="AO8" s="130"/>
      </tp>
    </main>
    <main first="rtdsrv.458a5932996f485b8b1b8d7cbb3f77a6">
      <tp>
        <v>1</v>
        <stp/>
        <stp>fe641696-b30e-4712-80c9-b1ed9a9421ec</stp>
        <tr r="GT11" s="132"/>
      </tp>
    </main>
    <main first="rtdsrv.458a5932996f485b8b1b8d7cbb3f77a6">
      <tp>
        <v>1</v>
        <stp/>
        <stp>cad57207-1bff-49e6-ac05-26f526895ea9</stp>
        <tr r="X86" s="130"/>
      </tp>
    </main>
    <main first="rtdsrv.458a5932996f485b8b1b8d7cbb3f77a6">
      <tp>
        <v>1</v>
        <stp/>
        <stp>4c69711b-1bb3-47fa-8638-d270b13183da</stp>
        <tr r="X9" s="132"/>
      </tp>
    </main>
    <main first="rtdsrv.458a5932996f485b8b1b8d7cbb3f77a6">
      <tp>
        <v>1</v>
        <stp/>
        <stp>c661e7bc-457d-4501-bac7-0b252eae0a82</stp>
        <tr r="N88" s="130"/>
      </tp>
      <tp>
        <v>1</v>
        <stp/>
        <stp>ce94193a-ec0a-4096-8483-673698d4c900</stp>
        <tr r="AR78" s="130"/>
      </tp>
    </main>
    <main first="rtdsrv.458a5932996f485b8b1b8d7cbb3f77a6">
      <tp>
        <v>1</v>
        <stp/>
        <stp>a45b4fd3-b49c-4941-962a-8c8370beaac0</stp>
        <tr r="BG39" s="130"/>
      </tp>
    </main>
    <main first="rtdsrv.458a5932996f485b8b1b8d7cbb3f77a6">
      <tp>
        <v>1</v>
        <stp/>
        <stp>33db002f-c268-40da-8b56-b3bf6e97ac4b</stp>
        <tr r="AS69" s="130"/>
      </tp>
      <tp>
        <v>1</v>
        <stp/>
        <stp>63623edb-b69d-4e84-a145-be9d621f1bdf</stp>
        <tr r="BG82" s="130"/>
      </tp>
      <tp>
        <v>1</v>
        <stp/>
        <stp>a0102207-5bbe-44b3-a265-f601839d76a3</stp>
        <tr r="J45" s="130"/>
      </tp>
      <tp>
        <v>1</v>
        <stp/>
        <stp>b3c34252-9fa8-4c0a-b788-2d6deb84cf8d</stp>
        <tr r="X44" s="130"/>
      </tp>
    </main>
    <main first="rtdsrv.458a5932996f485b8b1b8d7cbb3f77a6">
      <tp>
        <v>1</v>
        <stp/>
        <stp>acfba28e-fa05-4133-b8a6-57619b09e118</stp>
        <tr r="GU11" s="132"/>
      </tp>
      <tp>
        <v>1</v>
        <stp/>
        <stp>5e55315d-cf7e-4bcb-b729-feea51fdb2b0</stp>
        <tr r="AC24" s="130"/>
      </tp>
    </main>
    <main first="rtdsrv.458a5932996f485b8b1b8d7cbb3f77a6">
      <tp>
        <v>1</v>
        <stp/>
        <stp>fa84aa71-0172-4da4-b22b-ce3c5fbf543c</stp>
        <tr r="BF71" s="130"/>
      </tp>
    </main>
    <main first="rtdsrv.458a5932996f485b8b1b8d7cbb3f77a6">
      <tp>
        <v>1</v>
        <stp/>
        <stp>f857aa0a-b3c1-49b2-9a19-43e0f2e9881c</stp>
        <tr r="G12" s="132"/>
      </tp>
    </main>
    <main first="rtdsrv.458a5932996f485b8b1b8d7cbb3f77a6">
      <tp>
        <v>1</v>
        <stp/>
        <stp>a04973b0-6e76-4c36-9378-8e82118b9a56</stp>
        <tr r="AI15" s="130"/>
      </tp>
      <tp>
        <v>1</v>
        <stp/>
        <stp>8e139559-1de1-4933-98a0-25bbf494b358</stp>
        <tr r="FQ7" s="132"/>
      </tp>
    </main>
    <main first="rtdsrv.458a5932996f485b8b1b8d7cbb3f77a6">
      <tp>
        <v>1</v>
        <stp/>
        <stp>95fe8a50-1b63-4cef-a925-5aaf93b32b98</stp>
        <tr r="CF14" s="132"/>
      </tp>
    </main>
    <main first="rtdsrv.458a5932996f485b8b1b8d7cbb3f77a6">
      <tp>
        <v>1</v>
        <stp/>
        <stp>17941850-6fca-4d06-8980-2ac7efda01ce</stp>
        <tr r="FO14" s="132"/>
      </tp>
    </main>
    <main first="rtdsrv.458a5932996f485b8b1b8d7cbb3f77a6">
      <tp>
        <v>1</v>
        <stp/>
        <stp>0a117edf-d9ed-48a7-854d-db85e690166f</stp>
        <tr r="HA12" s="132"/>
      </tp>
    </main>
    <main first="rtdsrv.458a5932996f485b8b1b8d7cbb3f77a6">
      <tp>
        <v>1</v>
        <stp/>
        <stp>8c41f13c-649c-4cdf-a9ff-eba5bd9aec2c</stp>
        <tr r="FI6" s="132"/>
      </tp>
      <tp>
        <v>1</v>
        <stp/>
        <stp>63787c14-a425-44e7-93c6-33f8649cdcd4</stp>
        <tr r="EY6" s="132"/>
      </tp>
    </main>
    <main first="rtdsrv.458a5932996f485b8b1b8d7cbb3f77a6">
      <tp>
        <v>1</v>
        <stp/>
        <stp>01d05c52-8a01-44d8-81f9-d35cc55b336f</stp>
        <tr r="AO62" s="130"/>
      </tp>
    </main>
    <main first="rtdsrv.458a5932996f485b8b1b8d7cbb3f77a6">
      <tp>
        <v>1</v>
        <stp/>
        <stp>9a49f99c-88fd-42b6-b381-15554c193982</stp>
        <tr r="BE12" s="130"/>
      </tp>
    </main>
    <main first="rtdsrv.458a5932996f485b8b1b8d7cbb3f77a6">
      <tp>
        <v>1</v>
        <stp/>
        <stp>651322e2-7c67-4461-a007-6097e408641b</stp>
        <tr r="AV59" s="130"/>
      </tp>
    </main>
    <main first="rtdsrv.458a5932996f485b8b1b8d7cbb3f77a6">
      <tp>
        <v>1</v>
        <stp/>
        <stp>e0a3cf58-487e-470e-b71a-a7186877f827</stp>
        <tr r="T8" s="130"/>
      </tp>
    </main>
    <main first="rtdsrv.458a5932996f485b8b1b8d7cbb3f77a6">
      <tp>
        <v>1</v>
        <stp/>
        <stp>92567670-6152-4214-8554-d35d6636b786</stp>
        <tr r="X56" s="130"/>
      </tp>
    </main>
    <main first="rtdsrv.458a5932996f485b8b1b8d7cbb3f77a6">
      <tp>
        <v>1</v>
        <stp/>
        <stp>187043d4-3da8-46a7-bcb8-28e43a54e5f4</stp>
        <tr r="AV34" s="130"/>
      </tp>
    </main>
    <main first="rtdsrv.458a5932996f485b8b1b8d7cbb3f77a6">
      <tp>
        <v>1</v>
        <stp/>
        <stp>1062be9d-adbd-4ad6-afbf-5593118ede5a</stp>
        <tr r="AS23" s="130"/>
      </tp>
    </main>
    <main first="rtdsrv.458a5932996f485b8b1b8d7cbb3f77a6">
      <tp>
        <v>1</v>
        <stp/>
        <stp>7402dd80-5c4f-4b01-bbba-1d490b32c140</stp>
        <tr r="GR16" s="132"/>
      </tp>
    </main>
    <main first="rtdsrv.458a5932996f485b8b1b8d7cbb3f77a6">
      <tp>
        <v>1</v>
        <stp/>
        <stp>71194a71-00f2-47e1-911c-ad75149541a2</stp>
        <tr r="GX9" s="132"/>
      </tp>
      <tp>
        <v>1</v>
        <stp/>
        <stp>5001e9c2-95fe-43c7-a601-bd8f00146bd7</stp>
        <tr r="G39" s="130"/>
      </tp>
    </main>
    <main first="rtdsrv.458a5932996f485b8b1b8d7cbb3f77a6">
      <tp>
        <v>1</v>
        <stp/>
        <stp>5172a349-67ef-4fc8-b8a5-9b92f9cbe7aa</stp>
        <tr r="AD82" s="130"/>
      </tp>
      <tp>
        <v>1</v>
        <stp/>
        <stp>af720ab7-04f7-4360-a209-765a5362d3a9</stp>
        <tr r="K76" s="130"/>
      </tp>
    </main>
    <main first="rtdsrv.458a5932996f485b8b1b8d7cbb3f77a6">
      <tp>
        <v>1</v>
        <stp/>
        <stp>3907667c-b86b-45e5-90ed-e265d7dc093a</stp>
        <tr r="EK8" s="132"/>
      </tp>
    </main>
    <main first="rtdsrv.458a5932996f485b8b1b8d7cbb3f77a6">
      <tp>
        <v>1</v>
        <stp/>
        <stp>456750cd-8baf-4f49-a53e-429f3f5f3bd7</stp>
        <tr r="AR57" s="130"/>
      </tp>
      <tp>
        <v>1</v>
        <stp/>
        <stp>b97db9f9-4ebd-41d5-8542-468b6a37dc7b</stp>
        <tr r="E56" s="130"/>
      </tp>
    </main>
    <main first="rtdsrv.458a5932996f485b8b1b8d7cbb3f77a6">
      <tp>
        <v>1</v>
        <stp/>
        <stp>cc525073-0b41-4b26-8199-39969dc0309b</stp>
        <tr r="K82" s="130"/>
      </tp>
      <tp>
        <v>1</v>
        <stp/>
        <stp>b9e7cd93-fb91-432f-bbce-db5f2824fef6</stp>
        <tr r="AQ63" s="130"/>
      </tp>
      <tp>
        <v>1</v>
        <stp/>
        <stp>ad5335ba-8e10-4982-a671-3f18939d7800</stp>
        <tr r="W17" s="130"/>
      </tp>
      <tp>
        <v>1</v>
        <stp/>
        <stp>3003a78b-6c18-4910-8207-014239e71863</stp>
        <tr r="AG32" s="130"/>
      </tp>
    </main>
    <main first="rtdsrv.458a5932996f485b8b1b8d7cbb3f77a6">
      <tp>
        <v>1</v>
        <stp/>
        <stp>52bcdee2-3589-47d6-ab6c-a8a82d96192f</stp>
        <tr r="AA88" s="130"/>
      </tp>
      <tp>
        <v>1</v>
        <stp/>
        <stp>18284588-5d14-4c19-8995-8ee269f6eec8</stp>
        <tr r="AO44" s="130"/>
      </tp>
      <tp>
        <v>1</v>
        <stp/>
        <stp>2900b93c-00f2-4415-b339-e5325dcddfac</stp>
        <tr r="GU12" s="132"/>
      </tp>
    </main>
    <main first="rtdsrv.458a5932996f485b8b1b8d7cbb3f77a6">
      <tp>
        <v>1</v>
        <stp/>
        <stp>fd912488-2880-4db4-be04-702c36626a27</stp>
        <tr r="GN9" s="132"/>
      </tp>
    </main>
    <main first="rtdsrv.458a5932996f485b8b1b8d7cbb3f77a6">
      <tp>
        <v>1</v>
        <stp/>
        <stp>61b616f5-59a3-45cf-bc18-cd19a085807e</stp>
        <tr r="N57" s="130"/>
      </tp>
      <tp>
        <v>1</v>
        <stp/>
        <stp>e4fe91bc-8964-42b7-869f-727ac43284d0</stp>
        <tr r="CH8" s="132"/>
      </tp>
    </main>
    <main first="rtdsrv.458a5932996f485b8b1b8d7cbb3f77a6">
      <tp>
        <v>1</v>
        <stp/>
        <stp>a57f5bd1-5e16-4b96-a2e3-72a00a90dcff</stp>
        <tr r="BF78" s="130"/>
      </tp>
    </main>
    <main first="rtdsrv.458a5932996f485b8b1b8d7cbb3f77a6">
      <tp>
        <v>1</v>
        <stp/>
        <stp>7d2a8e29-aa6d-4659-8c6e-189a3a6b470b</stp>
        <tr r="BZ16" s="132"/>
      </tp>
    </main>
    <main first="rtdsrv.458a5932996f485b8b1b8d7cbb3f77a6">
      <tp>
        <v>1</v>
        <stp/>
        <stp>a1943052-a2b5-4593-9546-f2cd0a17b5a6</stp>
        <tr r="AR12" s="130"/>
      </tp>
    </main>
    <main first="rtdsrv.458a5932996f485b8b1b8d7cbb3f77a6">
      <tp>
        <v>1</v>
        <stp/>
        <stp>1646d621-d8f5-4d7b-947b-1de5aa713554</stp>
        <tr r="EI13" s="132"/>
      </tp>
    </main>
    <main first="rtdsrv.458a5932996f485b8b1b8d7cbb3f77a6">
      <tp>
        <v>1</v>
        <stp/>
        <stp>23810cfa-b382-45d3-8dd5-72784ae0471e</stp>
        <tr r="AH35" s="130"/>
      </tp>
      <tp>
        <v>1</v>
        <stp/>
        <stp>3f313784-f089-484d-87ee-cfc1dc061262</stp>
        <tr r="J40" s="130"/>
      </tp>
      <tp>
        <v>1</v>
        <stp/>
        <stp>cfff3cc5-c3c0-44ee-b65f-ec43f05f1d5f</stp>
        <tr r="AD27" s="130"/>
      </tp>
      <tp>
        <v>1</v>
        <stp/>
        <stp>05403a60-f8ef-42b7-a7a8-4ed5535bc375</stp>
        <tr r="DE14" s="132"/>
      </tp>
    </main>
    <main first="rtdsrv.458a5932996f485b8b1b8d7cbb3f77a6">
      <tp>
        <v>1</v>
        <stp/>
        <stp>3d6ec44f-fc35-4833-a453-1c26ebf880b6</stp>
        <tr r="Z14" s="130"/>
        <tr r="Z26" s="130"/>
      </tp>
      <tp>
        <v>1</v>
        <stp/>
        <stp>16a83bd5-c1d7-4323-94a0-1c1544abd30d</stp>
        <tr r="BX6" s="132"/>
      </tp>
      <tp>
        <v>1</v>
        <stp/>
        <stp>e02a7c5c-7691-4cc3-8ac1-63830390d5e3</stp>
        <tr r="L56" s="130"/>
      </tp>
      <tp>
        <v>1</v>
        <stp/>
        <stp>21726169-949c-40ca-8c87-3ff13a0a4f04</stp>
        <tr r="T24" s="130"/>
      </tp>
      <tp>
        <v>1</v>
        <stp/>
        <stp>a54b3681-59a8-4b8f-b0cd-d02eccc17ad8</stp>
        <tr r="AA13" s="130"/>
      </tp>
    </main>
    <main first="rtdsrv.458a5932996f485b8b1b8d7cbb3f77a6">
      <tp>
        <v>1</v>
        <stp/>
        <stp>f9fb27a5-cfbb-404b-b223-9c800999df74</stp>
        <tr r="DF13" s="132"/>
      </tp>
      <tp>
        <v>1</v>
        <stp/>
        <stp>931a045a-eaa9-46d3-8228-c03d2d2c4681</stp>
        <tr r="HC5" s="132"/>
      </tp>
    </main>
    <main first="rtdsrv.458a5932996f485b8b1b8d7cbb3f77a6">
      <tp>
        <v>1</v>
        <stp/>
        <stp>48ea3112-92bd-4eeb-98f7-b71a0a0c0c47</stp>
        <tr r="BB72" s="130"/>
      </tp>
    </main>
    <main first="rtdsrv.458a5932996f485b8b1b8d7cbb3f77a6">
      <tp>
        <v>1</v>
        <stp/>
        <stp>cbb2adc7-0bb0-4afc-816e-f6a11eb191a9</stp>
        <tr r="J23" s="130"/>
      </tp>
      <tp>
        <v>1</v>
        <stp/>
        <stp>99517c7a-6cc6-4382-816b-dfde0918562c</stp>
        <tr r="X14" s="130"/>
        <tr r="X26" s="130"/>
      </tp>
    </main>
    <main first="rtdsrv.458a5932996f485b8b1b8d7cbb3f77a6">
      <tp>
        <v>1</v>
        <stp/>
        <stp>51890284-ee8a-4ac0-b6e9-a5ec63da7490</stp>
        <tr r="AD12" s="132"/>
      </tp>
    </main>
    <main first="rtdsrv.458a5932996f485b8b1b8d7cbb3f77a6">
      <tp>
        <v>1</v>
        <stp/>
        <stp>69a1c0c7-f739-4eb0-a080-f624dc1553b1</stp>
        <tr r="AV98" s="130"/>
      </tp>
    </main>
    <main first="rtdsrv.458a5932996f485b8b1b8d7cbb3f77a6">
      <tp>
        <v>1</v>
        <stp/>
        <stp>ff8616fb-9f0e-4c92-b88b-3b967d3ced5e</stp>
        <tr r="AE55" s="130"/>
      </tp>
    </main>
    <main first="rtdsrv.458a5932996f485b8b1b8d7cbb3f77a6">
      <tp>
        <v>1</v>
        <stp/>
        <stp>9b59f3db-d852-4264-8a79-54a532fd812a</stp>
        <tr r="AU99" s="130"/>
      </tp>
    </main>
    <main first="rtdsrv.458a5932996f485b8b1b8d7cbb3f77a6">
      <tp>
        <v>1</v>
        <stp/>
        <stp>7a491f4c-0281-4e9d-adff-c3c8756432d9</stp>
        <tr r="X66" s="130"/>
      </tp>
    </main>
    <main first="rtdsrv.458a5932996f485b8b1b8d7cbb3f77a6">
      <tp>
        <v>1</v>
        <stp/>
        <stp>d0e074bd-d244-4f1e-a8d6-9d2611be456e</stp>
        <tr r="I32" s="130"/>
      </tp>
    </main>
    <main first="rtdsrv.458a5932996f485b8b1b8d7cbb3f77a6">
      <tp>
        <v>1</v>
        <stp/>
        <stp>69f172f8-80f0-4431-881a-49ed28b9c33d</stp>
        <tr r="BB67" s="130"/>
      </tp>
      <tp>
        <v>1</v>
        <stp/>
        <stp>615ae208-a2f8-492e-8b27-0307f2d4651e</stp>
        <tr r="Z57" s="130"/>
      </tp>
    </main>
    <main first="rtdsrv.458a5932996f485b8b1b8d7cbb3f77a6">
      <tp>
        <v>1</v>
        <stp/>
        <stp>02d7806f-a519-4f05-8b62-2d69601bc57f</stp>
        <tr r="AN15" s="132"/>
      </tp>
    </main>
    <main first="rtdsrv.458a5932996f485b8b1b8d7cbb3f77a6">
      <tp>
        <v>1</v>
        <stp/>
        <stp>9608439d-ad30-4d32-bbf2-f71adc909e27</stp>
        <tr r="AQ78" s="130"/>
      </tp>
    </main>
    <main first="rtdsrv.458a5932996f485b8b1b8d7cbb3f77a6">
      <tp>
        <v>1</v>
        <stp/>
        <stp>73320f6c-01ac-4f75-91a0-27667dbe6c51</stp>
        <tr r="AX9" s="130"/>
      </tp>
    </main>
    <main first="rtdsrv.458a5932996f485b8b1b8d7cbb3f77a6">
      <tp>
        <v>1</v>
        <stp/>
        <stp>73c31068-8d41-471a-b2d0-e0c4396f2614</stp>
        <tr r="AU55" s="130"/>
      </tp>
    </main>
    <main first="rtdsrv.458a5932996f485b8b1b8d7cbb3f77a6">
      <tp>
        <v>1</v>
        <stp/>
        <stp>e32bc3a4-a2fd-4bb6-bbae-4134654423f9</stp>
        <tr r="AG16" s="130"/>
      </tp>
    </main>
    <main first="rtdsrv.458a5932996f485b8b1b8d7cbb3f77a6">
      <tp>
        <v>1</v>
        <stp/>
        <stp>3a736956-4fda-42d0-92b5-7a1c58550f04</stp>
        <tr r="DU16" s="132"/>
      </tp>
    </main>
    <main first="rtdsrv.458a5932996f485b8b1b8d7cbb3f77a6">
      <tp>
        <v>1</v>
        <stp/>
        <stp>e9a330c5-ca2b-4007-842b-cc79b81e45a5</stp>
        <tr r="K40" s="130"/>
      </tp>
    </main>
    <main first="rtdsrv.458a5932996f485b8b1b8d7cbb3f77a6">
      <tp>
        <v>1</v>
        <stp/>
        <stp>b6072e4e-1110-4f9e-98de-896578f82cfb</stp>
        <tr r="BC24" s="130"/>
      </tp>
    </main>
    <main first="rtdsrv.458a5932996f485b8b1b8d7cbb3f77a6">
      <tp>
        <v>1</v>
        <stp/>
        <stp>2e2ff7ea-f367-4754-b26d-36f35e2c6d2d</stp>
        <tr r="CA11" s="132"/>
      </tp>
    </main>
    <main first="rtdsrv.458a5932996f485b8b1b8d7cbb3f77a6">
      <tp>
        <v>1</v>
        <stp/>
        <stp>73f991a3-a2ee-4a94-ac3e-eca70c325ed5</stp>
        <tr r="EI12" s="132"/>
      </tp>
    </main>
    <main first="rtdsrv.458a5932996f485b8b1b8d7cbb3f77a6">
      <tp>
        <v>1</v>
        <stp/>
        <stp>40aaa358-b7f6-4806-90d9-689a03c509f6</stp>
        <tr r="R25" s="130"/>
      </tp>
    </main>
    <main first="rtdsrv.458a5932996f485b8b1b8d7cbb3f77a6">
      <tp>
        <v>1</v>
        <stp/>
        <stp>08441037-443d-4a02-b775-711078c8612c</stp>
        <tr r="K18" s="130"/>
      </tp>
    </main>
    <main first="rtdsrv.458a5932996f485b8b1b8d7cbb3f77a6">
      <tp>
        <v>1</v>
        <stp/>
        <stp>86c06c75-e219-40c0-b7aa-83dcc5d8cfa9</stp>
        <tr r="T25" s="130"/>
      </tp>
    </main>
    <main first="rtdsrv.458a5932996f485b8b1b8d7cbb3f77a6">
      <tp>
        <v>1</v>
        <stp/>
        <stp>e0352490-2884-4d7f-81fc-3d105b3a8153</stp>
        <tr r="R68" s="130"/>
      </tp>
    </main>
    <main first="rtdsrv.458a5932996f485b8b1b8d7cbb3f77a6">
      <tp>
        <v>1</v>
        <stp/>
        <stp>0630c766-e51c-4b47-beb7-a53c363c63a6</stp>
        <tr r="AF14" s="132"/>
      </tp>
    </main>
    <main first="rtdsrv.458a5932996f485b8b1b8d7cbb3f77a6">
      <tp>
        <v>1</v>
        <stp/>
        <stp>dca02660-231f-4887-8037-b8569bc2d8c5</stp>
        <tr r="G81" s="130"/>
      </tp>
    </main>
    <main first="rtdsrv.458a5932996f485b8b1b8d7cbb3f77a6">
      <tp>
        <v>1</v>
        <stp/>
        <stp>2a3ea4fa-b846-4e35-9c5c-c7b1a23b4396</stp>
        <tr r="EP13" s="132"/>
      </tp>
    </main>
    <main first="rtdsrv.458a5932996f485b8b1b8d7cbb3f77a6">
      <tp>
        <v>1</v>
        <stp/>
        <stp>7c73e35e-08b5-4a94-8865-9f59648a11ea</stp>
        <tr r="P70" s="130"/>
      </tp>
    </main>
    <main first="rtdsrv.458a5932996f485b8b1b8d7cbb3f77a6">
      <tp>
        <v>1</v>
        <stp/>
        <stp>34775d7f-402b-463b-ae81-545af90e92cb</stp>
        <tr r="Q45" s="130"/>
      </tp>
    </main>
    <main first="rtdsrv.458a5932996f485b8b1b8d7cbb3f77a6">
      <tp>
        <v>1</v>
        <stp/>
        <stp>361e4dbc-f49f-4689-9a5e-081cec5febad</stp>
        <tr r="CS9" s="132"/>
      </tp>
    </main>
    <main first="rtdsrv.458a5932996f485b8b1b8d7cbb3f77a6">
      <tp>
        <v>1</v>
        <stp/>
        <stp>d6f2c517-6204-4e55-b958-bfea0c9491f7</stp>
        <tr r="GD15" s="132"/>
      </tp>
    </main>
    <main first="rtdsrv.458a5932996f485b8b1b8d7cbb3f77a6">
      <tp>
        <v>1</v>
        <stp/>
        <stp>764e7ae2-b64d-4458-a88c-aee1ca09c06b</stp>
        <tr r="AP87" s="130"/>
      </tp>
    </main>
    <main first="rtdsrv.458a5932996f485b8b1b8d7cbb3f77a6">
      <tp>
        <v>1</v>
        <stp/>
        <stp>1f796ed0-0314-4bc4-933a-ffbf7f18a55d</stp>
        <tr r="EF9" s="132"/>
      </tp>
    </main>
    <main first="rtdsrv.458a5932996f485b8b1b8d7cbb3f77a6">
      <tp>
        <v>1</v>
        <stp/>
        <stp>da38811f-01d5-4d06-8244-5c1bf24572e6</stp>
        <tr r="H33" s="130"/>
      </tp>
      <tp>
        <v>1</v>
        <stp/>
        <stp>f4134ced-f70a-4aff-ba8d-45c338e42cfe</stp>
        <tr r="L29" s="130"/>
      </tp>
    </main>
    <main first="rtdsrv.458a5932996f485b8b1b8d7cbb3f77a6">
      <tp>
        <v>1</v>
        <stp/>
        <stp>00e00f43-fd84-448b-acb2-57ae31782760</stp>
        <tr r="BI26" s="130"/>
        <tr r="BI14" s="130"/>
      </tp>
    </main>
    <main first="rtdsrv.458a5932996f485b8b1b8d7cbb3f77a6">
      <tp>
        <v>1</v>
        <stp/>
        <stp>f66da203-ec70-4d1d-ac72-7500e76c2168</stp>
        <tr r="BB42" s="130"/>
      </tp>
    </main>
    <main first="rtdsrv.458a5932996f485b8b1b8d7cbb3f77a6">
      <tp>
        <v>1</v>
        <stp/>
        <stp>3ad2130d-dda8-430e-a27a-4b1c20f927a4</stp>
        <tr r="R21" s="130"/>
      </tp>
    </main>
    <main first="rtdsrv.458a5932996f485b8b1b8d7cbb3f77a6">
      <tp>
        <v>1</v>
        <stp/>
        <stp>c4eff2a9-04d6-436b-baab-d02be1424532</stp>
        <tr r="HG8" s="132"/>
      </tp>
    </main>
    <main first="rtdsrv.458a5932996f485b8b1b8d7cbb3f77a6">
      <tp>
        <v>1</v>
        <stp/>
        <stp>81c40b82-5122-4a34-95cd-c6f8b3966514</stp>
        <tr r="DT14" s="132"/>
      </tp>
      <tp>
        <v>1</v>
        <stp/>
        <stp>cd091cfc-0e19-4c2c-9d97-79229d56f1cf</stp>
        <tr r="BB38" s="130"/>
      </tp>
      <tp>
        <v>1</v>
        <stp/>
        <stp>239442fc-c8f1-41f2-b382-29fa4d2304ac</stp>
        <tr r="BK72" s="130"/>
      </tp>
    </main>
    <main first="rtdsrv.458a5932996f485b8b1b8d7cbb3f77a6">
      <tp>
        <v>1</v>
        <stp/>
        <stp>95d9ccb0-9bb6-4c51-a1fc-884e93ed6265</stp>
        <tr r="J15" s="132"/>
      </tp>
    </main>
    <main first="rtdsrv.458a5932996f485b8b1b8d7cbb3f77a6">
      <tp>
        <v>1</v>
        <stp/>
        <stp>cfceb11d-78ee-49e2-90f7-f2851403335f</stp>
        <tr r="DK16" s="132"/>
      </tp>
    </main>
    <main first="rtdsrv.458a5932996f485b8b1b8d7cbb3f77a6">
      <tp>
        <v>1</v>
        <stp/>
        <stp>5c7bd257-f1cc-422f-b8e2-14c59c487b6f</stp>
        <tr r="AI95" s="130"/>
      </tp>
    </main>
    <main first="rtdsrv.458a5932996f485b8b1b8d7cbb3f77a6">
      <tp>
        <v>1</v>
        <stp/>
        <stp>0b127b5c-98b6-4807-a0b7-29dd778f9c7c</stp>
        <tr r="AB64" s="130"/>
      </tp>
      <tp>
        <v>1</v>
        <stp/>
        <stp>211695de-bee3-4233-92a7-4b5a6fc0c11e</stp>
        <tr r="HG15" s="132"/>
      </tp>
    </main>
    <main first="rtdsrv.458a5932996f485b8b1b8d7cbb3f77a6">
      <tp>
        <v>1</v>
        <stp/>
        <stp>e5b53e61-c47b-459d-8213-3e2d7753c54a</stp>
        <tr r="AT81" s="130"/>
      </tp>
    </main>
    <main first="rtdsrv.458a5932996f485b8b1b8d7cbb3f77a6">
      <tp>
        <v>1</v>
        <stp/>
        <stp>0a1a8fc9-6a32-4f04-98b6-dfdca912d913</stp>
        <tr r="DV7" s="132"/>
      </tp>
    </main>
    <main first="rtdsrv.458a5932996f485b8b1b8d7cbb3f77a6">
      <tp>
        <v>1</v>
        <stp/>
        <stp>e43affdd-7078-471f-bc75-4bdb02e22e2d</stp>
        <tr r="AH55" s="130"/>
      </tp>
    </main>
    <main first="rtdsrv.458a5932996f485b8b1b8d7cbb3f77a6">
      <tp>
        <v>1</v>
        <stp/>
        <stp>00ac12f1-a739-4ad2-95af-aee276777beb</stp>
        <tr r="AE86" s="130"/>
      </tp>
      <tp>
        <v>1</v>
        <stp/>
        <stp>0ed23874-62e2-4b5b-9770-eefcdb07c8f0</stp>
        <tr r="BH87" s="130"/>
      </tp>
    </main>
    <main first="rtdsrv.458a5932996f485b8b1b8d7cbb3f77a6">
      <tp>
        <v>1</v>
        <stp/>
        <stp>563ef8b5-e559-4e7f-8527-49178e2e1b11</stp>
        <tr r="X81" s="130"/>
      </tp>
      <tp>
        <v>1</v>
        <stp/>
        <stp>b0420f73-bcda-4e08-832f-ce7c384dabdf</stp>
        <tr r="AA60" s="130"/>
      </tp>
    </main>
    <main first="rtdsrv.458a5932996f485b8b1b8d7cbb3f77a6">
      <tp>
        <v>1</v>
        <stp/>
        <stp>577128a3-9305-47cf-aada-7901841f78d7</stp>
        <tr r="GK15" s="132"/>
      </tp>
    </main>
    <main first="rtdsrv.458a5932996f485b8b1b8d7cbb3f77a6">
      <tp>
        <v>1</v>
        <stp/>
        <stp>66fdc8d6-6b2e-4890-9a17-4c43fc5ad872</stp>
        <tr r="D58" s="130"/>
      </tp>
      <tp>
        <v>1</v>
        <stp/>
        <stp>673be04a-b5c9-4004-93fe-b62349bbb9f7</stp>
        <tr r="BG24" s="130"/>
      </tp>
    </main>
    <main first="rtdsrv.458a5932996f485b8b1b8d7cbb3f77a6">
      <tp>
        <v>1</v>
        <stp/>
        <stp>2da3ce59-3b6d-48d5-8805-b2cee06b3473</stp>
        <tr r="L70" s="130"/>
      </tp>
    </main>
    <main first="rtdsrv.458a5932996f485b8b1b8d7cbb3f77a6">
      <tp>
        <v>1</v>
        <stp/>
        <stp>4ec98f4c-ebf6-4fad-ae24-0024b5a8a40d</stp>
        <tr r="AX16" s="130"/>
      </tp>
    </main>
    <main first="rtdsrv.458a5932996f485b8b1b8d7cbb3f77a6">
      <tp>
        <v>1</v>
        <stp/>
        <stp>cf581be4-7659-420e-85a3-c24d23fce7ee</stp>
        <tr r="FA14" s="132"/>
      </tp>
      <tp>
        <v>1</v>
        <stp/>
        <stp>9c62aec8-f46e-4b35-86ab-5d686f36f7d7</stp>
        <tr r="AP36" s="130"/>
      </tp>
    </main>
    <main first="rtdsrv.458a5932996f485b8b1b8d7cbb3f77a6">
      <tp>
        <v>1</v>
        <stp/>
        <stp>2599ddc6-376e-43a4-9b4d-9f9ec6d9d362</stp>
        <tr r="EJ8" s="132"/>
      </tp>
      <tp>
        <v>1</v>
        <stp/>
        <stp>fca377c5-73ca-4284-8535-ecbe8be2adad</stp>
        <tr r="AB38" s="130"/>
      </tp>
      <tp>
        <v>1</v>
        <stp/>
        <stp>5e1f3b31-a714-4ab6-bb9a-270669c11fe9</stp>
        <tr r="AR77" s="130"/>
      </tp>
    </main>
    <main first="rtdsrv.458a5932996f485b8b1b8d7cbb3f77a6">
      <tp>
        <v>1</v>
        <stp/>
        <stp>6c0a0e77-6ddd-48ca-b1ad-600493ab724d</stp>
        <tr r="E34" s="130"/>
      </tp>
    </main>
    <main first="rtdsrv.458a5932996f485b8b1b8d7cbb3f77a6">
      <tp>
        <v>1</v>
        <stp/>
        <stp>8c198198-e821-4b44-bb80-81ea83fa18a4</stp>
        <tr r="DQ15" s="132"/>
      </tp>
    </main>
    <main first="rtdsrv.458a5932996f485b8b1b8d7cbb3f77a6">
      <tp>
        <v>1</v>
        <stp/>
        <stp>af9665aa-6ae3-44a4-a5c2-db42778f7fe3</stp>
        <tr r="W32" s="130"/>
      </tp>
      <tp>
        <v>1</v>
        <stp/>
        <stp>37293fd3-c96c-4f99-83b8-5c1a0905f246</stp>
        <tr r="AL76" s="130"/>
      </tp>
    </main>
    <main first="rtdsrv.458a5932996f485b8b1b8d7cbb3f77a6">
      <tp>
        <v>1</v>
        <stp/>
        <stp>050ab57a-151f-40b5-85df-152cbf0ef244</stp>
        <tr r="R44" s="130"/>
      </tp>
      <tp>
        <v>1</v>
        <stp/>
        <stp>4a0b8b31-dd80-4370-875a-dd0bb7f8f022</stp>
        <tr r="AC17" s="130"/>
      </tp>
    </main>
    <main first="rtdsrv.458a5932996f485b8b1b8d7cbb3f77a6">
      <tp>
        <v>1</v>
        <stp/>
        <stp>f4e04db0-24f1-4a87-8141-6d28c3c3270c</stp>
        <tr r="D87" s="130"/>
      </tp>
    </main>
    <main first="rtdsrv.458a5932996f485b8b1b8d7cbb3f77a6">
      <tp>
        <v>1</v>
        <stp/>
        <stp>6cc491c9-1779-4964-a27a-d24b1fee95d1</stp>
        <tr r="CD9" s="132"/>
      </tp>
    </main>
    <main first="rtdsrv.458a5932996f485b8b1b8d7cbb3f77a6">
      <tp>
        <v>1</v>
        <stp/>
        <stp>f3ff3bef-ee4c-4cbf-9db7-b10686114636</stp>
        <tr r="BD69" s="130"/>
      </tp>
    </main>
    <main first="rtdsrv.458a5932996f485b8b1b8d7cbb3f77a6">
      <tp>
        <v>1</v>
        <stp/>
        <stp>4400f7c4-a493-4eab-94d1-d272547b1c56</stp>
        <tr r="DC9" s="132"/>
      </tp>
    </main>
    <main first="rtdsrv.458a5932996f485b8b1b8d7cbb3f77a6">
      <tp>
        <v>1</v>
        <stp/>
        <stp>540bf13a-2989-49ef-be9c-689823a2fbbe</stp>
        <tr r="I35" s="130"/>
      </tp>
    </main>
    <main first="rtdsrv.458a5932996f485b8b1b8d7cbb3f77a6">
      <tp>
        <v>1</v>
        <stp/>
        <stp>369c92b3-a4cf-4f8c-8818-76b4a3dd9320</stp>
        <tr r="D34" s="130"/>
      </tp>
    </main>
    <main first="rtdsrv.458a5932996f485b8b1b8d7cbb3f77a6">
      <tp>
        <v>1</v>
        <stp/>
        <stp>8c60bc00-cd58-4000-beea-b5456ca95a5a</stp>
        <tr r="AS11" s="132"/>
      </tp>
    </main>
    <main first="rtdsrv.458a5932996f485b8b1b8d7cbb3f77a6">
      <tp>
        <v>1</v>
        <stp/>
        <stp>0e8d1a55-72bb-4dc3-a5fd-4fd0a22693aa</stp>
        <tr r="HE11" s="132"/>
      </tp>
      <tp>
        <v>1</v>
        <stp/>
        <stp>58978954-3af6-4f37-9fcf-bbb48431416a</stp>
        <tr r="AM23" s="130"/>
      </tp>
    </main>
    <main first="rtdsrv.458a5932996f485b8b1b8d7cbb3f77a6">
      <tp>
        <v>1</v>
        <stp/>
        <stp>fe99ce5e-bea2-4ef9-9c05-98fd7af9130d</stp>
        <tr r="AP44" s="130"/>
      </tp>
    </main>
    <main first="rtdsrv.458a5932996f485b8b1b8d7cbb3f77a6">
      <tp>
        <v>1</v>
        <stp/>
        <stp>683b08e8-2e23-44cf-9758-4ac084e625ae</stp>
        <tr r="X12" s="132"/>
      </tp>
    </main>
    <main first="rtdsrv.458a5932996f485b8b1b8d7cbb3f77a6">
      <tp>
        <v>1</v>
        <stp/>
        <stp>8f9516b6-8714-43e5-a2ef-2bf9fc7b7875</stp>
        <tr r="J41" s="130"/>
      </tp>
    </main>
    <main first="rtdsrv.458a5932996f485b8b1b8d7cbb3f77a6">
      <tp>
        <v>1</v>
        <stp/>
        <stp>73ee91c9-a0fc-40db-a970-c494616742ea</stp>
        <tr r="AA29" s="130"/>
      </tp>
    </main>
    <main first="rtdsrv.458a5932996f485b8b1b8d7cbb3f77a6">
      <tp>
        <v>1</v>
        <stp/>
        <stp>b5d8deae-70a1-44d8-abd8-9454a9fe1721</stp>
        <tr r="AD91" s="130"/>
      </tp>
      <tp>
        <v>1</v>
        <stp/>
        <stp>2f41e6f5-3a42-4063-886c-0dfc729621ce</stp>
        <tr r="C11" s="130"/>
      </tp>
      <tp>
        <v>1</v>
        <stp/>
        <stp>bbbe3b5a-fab8-4927-b8ee-c38b26bc90e4</stp>
        <tr r="GQ12" s="132"/>
      </tp>
      <tp>
        <v>1</v>
        <stp/>
        <stp>97cee384-0df3-4aa2-ac9f-21daf94b86da</stp>
        <tr r="BE19" s="130"/>
      </tp>
    </main>
    <main first="rtdsrv.458a5932996f485b8b1b8d7cbb3f77a6">
      <tp>
        <v>1</v>
        <stp/>
        <stp>b572ed92-9ed6-46ad-a596-c2e0aefbcc32</stp>
        <tr r="S18" s="130"/>
      </tp>
    </main>
    <main first="rtdsrv.458a5932996f485b8b1b8d7cbb3f77a6">
      <tp>
        <v>1</v>
        <stp/>
        <stp>aeaa9e77-578e-4dee-82d9-c6997589d64b</stp>
        <tr r="I42" s="130"/>
      </tp>
    </main>
    <main first="rtdsrv.458a5932996f485b8b1b8d7cbb3f77a6">
      <tp>
        <v>1</v>
        <stp/>
        <stp>942eb676-8e92-4f89-92d5-f6578455cd84</stp>
        <tr r="U79" s="130"/>
      </tp>
      <tp>
        <v>1</v>
        <stp/>
        <stp>2e885616-6cf5-4c7b-8fd3-424a96acafa0</stp>
        <tr r="F94" s="130"/>
      </tp>
    </main>
    <main first="rtdsrv.458a5932996f485b8b1b8d7cbb3f77a6">
      <tp>
        <v>1</v>
        <stp/>
        <stp>767f9eeb-1184-40e6-abc2-bb8492f36fba</stp>
        <tr r="AR20" s="130"/>
      </tp>
    </main>
    <main first="rtdsrv.458a5932996f485b8b1b8d7cbb3f77a6">
      <tp>
        <v>1</v>
        <stp/>
        <stp>1cdb2a9e-e103-46ea-9da6-2260a1428e51</stp>
        <tr r="AK65" s="130"/>
      </tp>
    </main>
    <main first="rtdsrv.458a5932996f485b8b1b8d7cbb3f77a6">
      <tp>
        <v>1</v>
        <stp/>
        <stp>97ebd1d4-5696-413c-b3de-4a1f9c978749</stp>
        <tr r="AW68" s="130"/>
      </tp>
    </main>
    <main first="rtdsrv.458a5932996f485b8b1b8d7cbb3f77a6">
      <tp>
        <v>1</v>
        <stp/>
        <stp>6aaa0292-f77d-4f30-aac1-0fa43746b6e1</stp>
        <tr r="BC42" s="130"/>
      </tp>
      <tp>
        <v>1</v>
        <stp/>
        <stp>f68b5c2c-37be-49f6-82dc-260ad101e20b</stp>
        <tr r="HA14" s="132"/>
      </tp>
      <tp>
        <v>1</v>
        <stp/>
        <stp>09b29743-7930-430e-892b-35f6f8c53bfe</stp>
        <tr r="R96" s="130"/>
      </tp>
    </main>
    <main first="rtdsrv.458a5932996f485b8b1b8d7cbb3f77a6">
      <tp>
        <v>1</v>
        <stp/>
        <stp>8b70a4a5-e696-45b7-a4f0-bcdc2e8b3eb3</stp>
        <tr r="H31" s="130"/>
      </tp>
      <tp>
        <v>1</v>
        <stp/>
        <stp>2105804e-2982-468f-a02f-cd6f5152b361</stp>
        <tr r="BB40" s="130"/>
      </tp>
    </main>
    <main first="rtdsrv.458a5932996f485b8b1b8d7cbb3f77a6">
      <tp>
        <v>1</v>
        <stp/>
        <stp>8c117330-570b-4e49-9819-19f437e90bab</stp>
        <tr r="FR9" s="132"/>
      </tp>
    </main>
    <main first="rtdsrv.458a5932996f485b8b1b8d7cbb3f77a6">
      <tp>
        <v>1</v>
        <stp/>
        <stp>f030ed20-458b-49fa-a023-32ceca351a91</stp>
        <tr r="BR8" s="132"/>
      </tp>
    </main>
    <main first="rtdsrv.458a5932996f485b8b1b8d7cbb3f77a6">
      <tp>
        <v>1</v>
        <stp/>
        <stp>5de49d92-de46-4045-8d78-54ede62c2e83</stp>
        <tr r="BB30" s="130"/>
      </tp>
    </main>
    <main first="rtdsrv.458a5932996f485b8b1b8d7cbb3f77a6">
      <tp>
        <v>1</v>
        <stp/>
        <stp>1491041b-9c9c-49ec-b4a3-416833efe8ee</stp>
        <tr r="K9" s="132"/>
      </tp>
    </main>
    <main first="rtdsrv.458a5932996f485b8b1b8d7cbb3f77a6">
      <tp>
        <v>1</v>
        <stp/>
        <stp>bfcc68ee-89b4-47f9-b13b-c97d9c48f70e</stp>
        <tr r="AU77" s="130"/>
      </tp>
    </main>
    <main first="rtdsrv.458a5932996f485b8b1b8d7cbb3f77a6">
      <tp>
        <v>1</v>
        <stp/>
        <stp>30fbbcae-18b5-4b3f-ae68-bd8e45a42b1a</stp>
        <tr r="BH37" s="130"/>
      </tp>
      <tp>
        <v>1</v>
        <stp/>
        <stp>23711cce-eff8-4832-b229-0ce5add833e0</stp>
        <tr r="BF8" s="130"/>
      </tp>
      <tp>
        <v>1</v>
        <stp/>
        <stp>ecad35a0-3566-4130-9823-bc1992a6f796</stp>
        <tr r="BH32" s="130"/>
      </tp>
      <tp>
        <v>1</v>
        <stp/>
        <stp>cf9e31bf-3b0d-49e2-935e-c12182cbeab2</stp>
        <tr r="GC12" s="132"/>
      </tp>
    </main>
    <main first="rtdsrv.458a5932996f485b8b1b8d7cbb3f77a6">
      <tp>
        <v>1</v>
        <stp/>
        <stp>c780c918-e0c3-46bd-b8be-e69ff890bb38</stp>
        <tr r="Q85" s="130"/>
      </tp>
      <tp>
        <v>1</v>
        <stp/>
        <stp>8d0d810e-eadb-4c7c-adf0-fcb44e94f2e7</stp>
        <tr r="AF11" s="130"/>
      </tp>
      <tp>
        <v>1</v>
        <stp/>
        <stp>4c9ca22f-346e-489e-bba7-40ceacf1a4bd</stp>
        <tr r="O89" s="130"/>
      </tp>
    </main>
    <main first="rtdsrv.458a5932996f485b8b1b8d7cbb3f77a6">
      <tp>
        <v>1</v>
        <stp/>
        <stp>3b780fc8-fa43-4427-ac5c-239900588b5c</stp>
        <tr r="AY17" s="130"/>
      </tp>
    </main>
    <main first="rtdsrv.458a5932996f485b8b1b8d7cbb3f77a6">
      <tp>
        <v>1</v>
        <stp/>
        <stp>af8d2700-7b5b-411c-b6b4-51cdf21c7ec9</stp>
        <tr r="BJ73" s="130"/>
      </tp>
    </main>
    <main first="rtdsrv.458a5932996f485b8b1b8d7cbb3f77a6">
      <tp>
        <v>1</v>
        <stp/>
        <stp>42ec662a-d95f-498a-976f-73fbe33ad65b</stp>
        <tr r="BA19" s="130"/>
      </tp>
      <tp>
        <v>1</v>
        <stp/>
        <stp>5db1d83f-ec5a-47d5-bfe8-39d695b18ddf</stp>
        <tr r="DU15" s="132"/>
      </tp>
    </main>
    <main first="rtdsrv.458a5932996f485b8b1b8d7cbb3f77a6">
      <tp>
        <v>1</v>
        <stp/>
        <stp>f4ac5de2-68a7-4167-8481-793d2fa25771</stp>
        <tr r="AJ20" s="130"/>
      </tp>
    </main>
    <main first="rtdsrv.458a5932996f485b8b1b8d7cbb3f77a6">
      <tp>
        <v>1</v>
        <stp/>
        <stp>0f36f655-7842-4493-9303-23f4d5752c42</stp>
        <tr r="M38" s="130"/>
      </tp>
    </main>
    <main first="rtdsrv.458a5932996f485b8b1b8d7cbb3f77a6">
      <tp>
        <v>1</v>
        <stp/>
        <stp>ed1acb67-a93a-4e4a-acae-ed32e51d670a</stp>
        <tr r="DQ5" s="132"/>
      </tp>
    </main>
    <main first="rtdsrv.458a5932996f485b8b1b8d7cbb3f77a6">
      <tp>
        <v>1</v>
        <stp/>
        <stp>f9f8d79c-9222-4490-82f3-7e52345ca17e</stp>
        <tr r="G11" s="132"/>
      </tp>
    </main>
    <main first="rtdsrv.458a5932996f485b8b1b8d7cbb3f77a6">
      <tp>
        <v>1</v>
        <stp/>
        <stp>21c2a897-ed11-45c5-855b-5a4a79d615e7</stp>
        <tr r="AW62" s="130"/>
      </tp>
    </main>
    <main first="rtdsrv.458a5932996f485b8b1b8d7cbb3f77a6">
      <tp>
        <v>1</v>
        <stp/>
        <stp>1700d8ad-7eae-41e6-a168-387a45cec41e</stp>
        <tr r="AO11" s="132"/>
      </tp>
      <tp>
        <v>1</v>
        <stp/>
        <stp>428262ba-ea2f-4b97-9f11-6cd547224659</stp>
        <tr r="AD36" s="130"/>
      </tp>
      <tp>
        <v>1</v>
        <stp/>
        <stp>067e3b84-2912-43ee-857b-9d98b0a33aea</stp>
        <tr r="EP16" s="132"/>
      </tp>
      <tp>
        <v>1</v>
        <stp/>
        <stp>dd99c2b8-fa8e-4c96-91a6-63c964184a7b</stp>
        <tr r="F34" s="130"/>
      </tp>
      <tp>
        <v>1</v>
        <stp/>
        <stp>92c744b6-f634-4607-b0c1-44f03b9b2c04</stp>
        <tr r="BI93" s="130"/>
      </tp>
    </main>
    <main first="rtdsrv.458a5932996f485b8b1b8d7cbb3f77a6">
      <tp>
        <v>1</v>
        <stp/>
        <stp>bbe0641b-e2d2-4615-9577-c04767987759</stp>
        <tr r="R32" s="130"/>
      </tp>
    </main>
    <main first="rtdsrv.458a5932996f485b8b1b8d7cbb3f77a6">
      <tp>
        <v>1</v>
        <stp/>
        <stp>a44f5f12-fac1-46e4-b8b7-c14813948a7c</stp>
        <tr r="H88" s="130"/>
      </tp>
    </main>
    <main first="rtdsrv.458a5932996f485b8b1b8d7cbb3f77a6">
      <tp>
        <v>1</v>
        <stp/>
        <stp>4b67aa49-5690-472a-acd9-96385a676ead</stp>
        <tr r="GS6" s="132"/>
      </tp>
    </main>
    <main first="rtdsrv.458a5932996f485b8b1b8d7cbb3f77a6">
      <tp>
        <v>1</v>
        <stp/>
        <stp>024dd440-f486-475c-a3a8-026a8ec7a435</stp>
        <tr r="HB6" s="132"/>
      </tp>
    </main>
    <main first="rtdsrv.458a5932996f485b8b1b8d7cbb3f77a6">
      <tp>
        <v>1</v>
        <stp/>
        <stp>9e90fb2c-efb6-4e3a-bdb0-22c123a3da50</stp>
        <tr r="AX85" s="130"/>
      </tp>
    </main>
    <main first="rtdsrv.458a5932996f485b8b1b8d7cbb3f77a6">
      <tp>
        <v>1</v>
        <stp/>
        <stp>eed7490e-69d0-43b4-9857-b8e414ea0f0f</stp>
        <tr r="AE9" s="130"/>
      </tp>
      <tp>
        <v>1</v>
        <stp/>
        <stp>a58e6351-ccaf-4f60-9db6-dbd5af2722de</stp>
        <tr r="BD34" s="130"/>
      </tp>
      <tp>
        <v>1</v>
        <stp/>
        <stp>9f3929b3-cb77-46bd-b432-781a3e84b7b0</stp>
        <tr r="FI7" s="132"/>
      </tp>
    </main>
    <main first="rtdsrv.458a5932996f485b8b1b8d7cbb3f77a6">
      <tp>
        <v>1</v>
        <stp/>
        <stp>173317a5-19c0-4cce-bba1-ba18eb7e7760</stp>
        <tr r="Z37" s="130"/>
      </tp>
    </main>
    <main first="rtdsrv.458a5932996f485b8b1b8d7cbb3f77a6">
      <tp>
        <v>1</v>
        <stp/>
        <stp>cb9eae0b-86e3-4770-b7d6-27e0093e6d41</stp>
        <tr r="AO31" s="130"/>
      </tp>
    </main>
    <main first="rtdsrv.458a5932996f485b8b1b8d7cbb3f77a6">
      <tp>
        <v>1</v>
        <stp/>
        <stp>3b51c3e6-cf44-4776-bc71-8eba83863d6a</stp>
        <tr r="AY59" s="130"/>
      </tp>
    </main>
    <main first="rtdsrv.458a5932996f485b8b1b8d7cbb3f77a6">
      <tp>
        <v>1</v>
        <stp/>
        <stp>5eb38bd8-6122-4441-9712-b6bc5b43cd89</stp>
        <tr r="DK13" s="132"/>
      </tp>
    </main>
    <main first="rtdsrv.458a5932996f485b8b1b8d7cbb3f77a6">
      <tp>
        <v>1</v>
        <stp/>
        <stp>42b926a6-b3ff-4b37-beef-af9b47613d2b</stp>
        <tr r="AG63" s="130"/>
      </tp>
    </main>
    <main first="rtdsrv.458a5932996f485b8b1b8d7cbb3f77a6">
      <tp>
        <v>1</v>
        <stp/>
        <stp>a551bf59-338d-466e-ac7d-9782a40da043</stp>
        <tr r="BD47" s="130"/>
        <tr r="BD52" s="130"/>
      </tp>
    </main>
    <main first="rtdsrv.458a5932996f485b8b1b8d7cbb3f77a6">
      <tp>
        <v>1</v>
        <stp/>
        <stp>36bfa2a3-ae4e-473c-86e4-2d9242ce24c7</stp>
        <tr r="AC74" s="130"/>
      </tp>
    </main>
    <main first="rtdsrv.458a5932996f485b8b1b8d7cbb3f77a6">
      <tp>
        <v>1</v>
        <stp/>
        <stp>a68e0719-0942-4321-b218-3616668f0156</stp>
        <tr r="G61" s="130"/>
      </tp>
      <tp>
        <v>1</v>
        <stp/>
        <stp>6d1c66db-e998-4377-a13e-32e5909a21aa</stp>
        <tr r="DX15" s="132"/>
      </tp>
    </main>
    <main first="rtdsrv.458a5932996f485b8b1b8d7cbb3f77a6">
      <tp>
        <v>1</v>
        <stp/>
        <stp>8f253983-5417-4f59-87db-c2e24d9a8a4d</stp>
        <tr r="AZ27" s="130"/>
      </tp>
    </main>
    <main first="rtdsrv.458a5932996f485b8b1b8d7cbb3f77a6">
      <tp>
        <v>1</v>
        <stp/>
        <stp>88205d04-e5b1-441f-b480-fc4dba41ae38</stp>
        <tr r="P23" s="130"/>
      </tp>
    </main>
    <main first="rtdsrv.458a5932996f485b8b1b8d7cbb3f77a6">
      <tp>
        <v>1</v>
        <stp/>
        <stp>9f1be35a-2003-4fb2-835b-92b3d1302c35</stp>
        <tr r="W36" s="130"/>
      </tp>
    </main>
    <main first="rtdsrv.458a5932996f485b8b1b8d7cbb3f77a6">
      <tp>
        <v>1</v>
        <stp/>
        <stp>30e2ffa2-b499-43f6-830e-eb0c1df2447d</stp>
        <tr r="AT64" s="130"/>
      </tp>
    </main>
    <main first="rtdsrv.458a5932996f485b8b1b8d7cbb3f77a6">
      <tp>
        <v>1</v>
        <stp/>
        <stp>8e67726b-66db-49ea-9808-0088f514f539</stp>
        <tr r="AS5" s="132"/>
      </tp>
      <tp>
        <v>1</v>
        <stp/>
        <stp>4044d0b0-6725-4d73-8f2f-61cc1eb2ac29</stp>
        <tr r="AE65" s="130"/>
      </tp>
    </main>
    <main first="rtdsrv.458a5932996f485b8b1b8d7cbb3f77a6">
      <tp>
        <v>1</v>
        <stp/>
        <stp>fd4b5132-09f5-446c-9168-5907f8592178</stp>
        <tr r="AL30" s="130"/>
      </tp>
    </main>
    <main first="rtdsrv.458a5932996f485b8b1b8d7cbb3f77a6">
      <tp>
        <v>1</v>
        <stp/>
        <stp>369202d7-3e36-4333-8c39-de27ea048377</stp>
        <tr r="AK73" s="130"/>
      </tp>
    </main>
    <main first="rtdsrv.458a5932996f485b8b1b8d7cbb3f77a6">
      <tp>
        <v>1</v>
        <stp/>
        <stp>b65f9f12-6183-4636-89a1-9e6f7bb1a6eb</stp>
        <tr r="BK16" s="130"/>
      </tp>
    </main>
    <main first="rtdsrv.458a5932996f485b8b1b8d7cbb3f77a6">
      <tp>
        <v>1</v>
        <stp/>
        <stp>be58c416-7909-492a-8f69-ed46203dfe62</stp>
        <tr r="FO12" s="132"/>
      </tp>
    </main>
    <main first="rtdsrv.458a5932996f485b8b1b8d7cbb3f77a6">
      <tp>
        <v>1</v>
        <stp/>
        <stp>2823813a-54f3-4e21-b2d0-26deef5839a4</stp>
        <tr r="DA15" s="132"/>
      </tp>
    </main>
    <main first="rtdsrv.458a5932996f485b8b1b8d7cbb3f77a6">
      <tp>
        <v>1</v>
        <stp/>
        <stp>099e294d-d43c-4d0a-aec9-138e67421b98</stp>
        <tr r="BJ64" s="130"/>
      </tp>
    </main>
    <main first="rtdsrv.458a5932996f485b8b1b8d7cbb3f77a6">
      <tp>
        <v>1</v>
        <stp/>
        <stp>b25970dd-4aaa-413a-a167-abbec01803a5</stp>
        <tr r="Z87" s="130"/>
      </tp>
    </main>
    <main first="rtdsrv.458a5932996f485b8b1b8d7cbb3f77a6">
      <tp>
        <v>1</v>
        <stp/>
        <stp>4afd5f03-b58e-4c13-82fe-fc5c5a7ed210</stp>
        <tr r="AP77" s="130"/>
      </tp>
    </main>
    <main first="rtdsrv.458a5932996f485b8b1b8d7cbb3f77a6">
      <tp>
        <v>1</v>
        <stp/>
        <stp>57b90092-0154-42d2-8949-81df75fe35d8</stp>
        <tr r="AD66" s="130"/>
      </tp>
    </main>
    <main first="rtdsrv.458a5932996f485b8b1b8d7cbb3f77a6">
      <tp>
        <v>1</v>
        <stp/>
        <stp>76f73cf9-318f-4037-aef6-d59f2138b387</stp>
        <tr r="FP6" s="132"/>
      </tp>
      <tp>
        <v>1</v>
        <stp/>
        <stp>cdd8bc5b-efc7-4832-b67b-09b0482e3f08</stp>
        <tr r="H21" s="130"/>
      </tp>
    </main>
    <main first="rtdsrv.458a5932996f485b8b1b8d7cbb3f77a6">
      <tp>
        <v>1</v>
        <stp/>
        <stp>ff80d116-9bce-4c2c-ad98-853869d94821</stp>
        <tr r="FH15" s="132"/>
      </tp>
    </main>
    <main first="rtdsrv.458a5932996f485b8b1b8d7cbb3f77a6">
      <tp>
        <v>1</v>
        <stp/>
        <stp>0e705091-898a-40c7-a247-38faacd7e54b</stp>
        <tr r="Q77" s="130"/>
      </tp>
    </main>
    <main first="rtdsrv.458a5932996f485b8b1b8d7cbb3f77a6">
      <tp>
        <v>1</v>
        <stp/>
        <stp>c5407a28-e666-4731-9774-c55f8c0d8a74</stp>
        <tr r="BH11" s="130"/>
      </tp>
      <tp>
        <v>1</v>
        <stp/>
        <stp>4005cb7a-91ac-4831-a208-11789c9a6863</stp>
        <tr r="H14" s="130"/>
        <tr r="H26" s="130"/>
      </tp>
      <tp>
        <v>1</v>
        <stp/>
        <stp>8770d5c0-7162-4d73-bd9e-23afd553e9bc</stp>
        <tr r="CS13" s="132"/>
      </tp>
    </main>
    <main first="rtdsrv.458a5932996f485b8b1b8d7cbb3f77a6">
      <tp>
        <v>1</v>
        <stp/>
        <stp>8d5e6e92-4999-4a3a-97ed-1576721576a0</stp>
        <tr r="DT9" s="132"/>
      </tp>
      <tp>
        <v>1</v>
        <stp/>
        <stp>bf6a3e03-ed47-4779-a3a6-41c7f7167804</stp>
        <tr r="HC7" s="132"/>
      </tp>
    </main>
    <main first="rtdsrv.458a5932996f485b8b1b8d7cbb3f77a6">
      <tp>
        <v>1</v>
        <stp/>
        <stp>400fc71a-025f-46b4-954e-805fda69ffcb</stp>
        <tr r="G80" s="130"/>
      </tp>
    </main>
    <main first="rtdsrv.458a5932996f485b8b1b8d7cbb3f77a6">
      <tp>
        <v>1</v>
        <stp/>
        <stp>a0f56238-60c3-4500-b663-82b5f75bd768</stp>
        <tr r="AH5" s="130"/>
      </tp>
    </main>
    <main first="rtdsrv.458a5932996f485b8b1b8d7cbb3f77a6">
      <tp>
        <v>1</v>
        <stp/>
        <stp>c7267c2a-cbc8-4ea6-a3c7-bb0c9b044bb2</stp>
        <tr r="FJ16" s="132"/>
      </tp>
      <tp>
        <v>1</v>
        <stp/>
        <stp>93a95033-4707-4abf-8c0f-d3b79d3916e8</stp>
        <tr r="T43" s="130"/>
      </tp>
    </main>
    <main first="rtdsrv.458a5932996f485b8b1b8d7cbb3f77a6">
      <tp>
        <v>1</v>
        <stp/>
        <stp>5a4bd412-3fde-451d-9f2f-30cf777eb7fe</stp>
        <tr r="AW75" s="130"/>
      </tp>
    </main>
    <main first="rtdsrv.458a5932996f485b8b1b8d7cbb3f77a6">
      <tp>
        <v>1</v>
        <stp/>
        <stp>d84d93e8-6768-4163-ac9b-07677b447b1d</stp>
        <tr r="R70" s="130"/>
      </tp>
    </main>
    <main first="rtdsrv.458a5932996f485b8b1b8d7cbb3f77a6">
      <tp>
        <v>1</v>
        <stp/>
        <stp>55b223d3-5a82-49d0-9222-b1fd1904b941</stp>
        <tr r="AC23" s="130"/>
      </tp>
    </main>
    <main first="rtdsrv.458a5932996f485b8b1b8d7cbb3f77a6">
      <tp>
        <v>1</v>
        <stp/>
        <stp>c2265bd9-d95f-4514-851d-05866a342e76</stp>
        <tr r="BV15" s="132"/>
      </tp>
      <tp>
        <v>1</v>
        <stp/>
        <stp>a368067b-3692-42e2-95cb-4c0963ccc713</stp>
        <tr r="AE66" s="130"/>
      </tp>
    </main>
    <main first="rtdsrv.458a5932996f485b8b1b8d7cbb3f77a6">
      <tp>
        <v>1</v>
        <stp/>
        <stp>3d11fc5a-9f50-4c89-9b65-9457857620b1</stp>
        <tr r="Z73" s="130"/>
      </tp>
      <tp>
        <v>1</v>
        <stp/>
        <stp>3238e36f-7f56-4188-ba8b-02125f1beb6f</stp>
        <tr r="FR6" s="132"/>
      </tp>
    </main>
    <main first="rtdsrv.458a5932996f485b8b1b8d7cbb3f77a6">
      <tp>
        <v>1</v>
        <stp/>
        <stp>f73b78d8-ea50-49f8-941c-2eedf5c803d9</stp>
        <tr r="P27" s="130"/>
      </tp>
      <tp>
        <v>1</v>
        <stp/>
        <stp>147af75c-3edc-4113-96fa-cc9c9c023e85</stp>
        <tr r="N61" s="130"/>
      </tp>
    </main>
    <main first="rtdsrv.458a5932996f485b8b1b8d7cbb3f77a6">
      <tp>
        <v>1</v>
        <stp/>
        <stp>6edf4db3-d601-4dcc-89eb-20dac61f4e07</stp>
        <tr r="AK16" s="130"/>
      </tp>
    </main>
    <main first="rtdsrv.458a5932996f485b8b1b8d7cbb3f77a6">
      <tp>
        <v>1</v>
        <stp/>
        <stp>f1a63f43-6c15-491d-99e6-3aabf240c3e0</stp>
        <tr r="FH16" s="132"/>
      </tp>
      <tp>
        <v>1</v>
        <stp/>
        <stp>a75e21a8-5ab0-4f0b-93ba-1c647ab70106</stp>
        <tr r="AP95" s="130"/>
      </tp>
    </main>
    <main first="rtdsrv.458a5932996f485b8b1b8d7cbb3f77a6">
      <tp>
        <v>1</v>
        <stp/>
        <stp>ae60f40a-2381-453c-89f7-f54172e45acd</stp>
        <tr r="AM64" s="130"/>
      </tp>
    </main>
    <main first="rtdsrv.458a5932996f485b8b1b8d7cbb3f77a6">
      <tp>
        <v>1</v>
        <stp/>
        <stp>fcc65104-1e76-496d-bbb4-b37fffc800f4</stp>
        <tr r="BK57" s="130"/>
      </tp>
    </main>
    <main first="rtdsrv.458a5932996f485b8b1b8d7cbb3f77a6">
      <tp>
        <v>1</v>
        <stp/>
        <stp>ee9ed385-f223-4dc3-af7c-61f13777921b</stp>
        <tr r="Z19" s="130"/>
      </tp>
    </main>
    <main first="rtdsrv.458a5932996f485b8b1b8d7cbb3f77a6">
      <tp>
        <v>1</v>
        <stp/>
        <stp>23244f01-cd69-4d64-a9b3-8ee2617df47a</stp>
        <tr r="CC8" s="132"/>
      </tp>
      <tp>
        <v>1</v>
        <stp/>
        <stp>612c870c-dcd4-4331-a772-4ee292411325</stp>
        <tr r="M76" s="130"/>
      </tp>
    </main>
    <main first="rtdsrv.458a5932996f485b8b1b8d7cbb3f77a6">
      <tp>
        <v>1</v>
        <stp/>
        <stp>38bb695a-30d1-46db-97f2-03f45373e64a</stp>
        <tr r="AG23" s="130"/>
      </tp>
    </main>
    <main first="rtdsrv.458a5932996f485b8b1b8d7cbb3f77a6">
      <tp>
        <v>1</v>
        <stp/>
        <stp>b5714cb8-3c9b-4a08-a587-767681e91bc5</stp>
        <tr r="EF8" s="132"/>
      </tp>
      <tp>
        <v>1</v>
        <stp/>
        <stp>8c05cfff-4419-4c9f-ae08-638346acdb39</stp>
        <tr r="AX23" s="130"/>
      </tp>
      <tp>
        <v>1</v>
        <stp/>
        <stp>a8824df2-0f1c-4a60-b84e-458ed8c91e79</stp>
        <tr r="AQ31" s="130"/>
      </tp>
    </main>
    <main first="rtdsrv.458a5932996f485b8b1b8d7cbb3f77a6">
      <tp>
        <v>1</v>
        <stp/>
        <stp>ecf8d975-a5cf-4ca8-8f0d-d3004177c16d</stp>
        <tr r="K79" s="130"/>
      </tp>
    </main>
    <main first="rtdsrv.458a5932996f485b8b1b8d7cbb3f77a6">
      <tp>
        <v>1</v>
        <stp/>
        <stp>5043f5fb-8386-46e6-969d-52a335f3f533</stp>
        <tr r="BK99" s="130"/>
      </tp>
    </main>
    <main first="rtdsrv.458a5932996f485b8b1b8d7cbb3f77a6">
      <tp>
        <v>1</v>
        <stp/>
        <stp>e0dbe25c-73a7-4be5-910c-3ec26e5cd0f8</stp>
        <tr r="AP32" s="130"/>
      </tp>
    </main>
    <main first="rtdsrv.458a5932996f485b8b1b8d7cbb3f77a6">
      <tp>
        <v>1</v>
        <stp/>
        <stp>9e5cfac7-e144-4692-9ce2-85f5de1c9f3f</stp>
        <tr r="AA57" s="130"/>
      </tp>
    </main>
    <main first="rtdsrv.458a5932996f485b8b1b8d7cbb3f77a6">
      <tp>
        <v>1</v>
        <stp/>
        <stp>41efbe75-231f-4393-b1b2-be513c1941f8</stp>
        <tr r="AB77" s="130"/>
      </tp>
    </main>
    <main first="rtdsrv.458a5932996f485b8b1b8d7cbb3f77a6">
      <tp>
        <v>1</v>
        <stp/>
        <stp>5f968d09-05e1-451d-ad82-d83c9c57f59e</stp>
        <tr r="AD72" s="130"/>
      </tp>
    </main>
    <main first="rtdsrv.458a5932996f485b8b1b8d7cbb3f77a6">
      <tp>
        <v>1</v>
        <stp/>
        <stp>9e46f748-de25-43c7-a412-57caaf7eaa2a</stp>
        <tr r="AN69" s="130"/>
      </tp>
    </main>
    <main first="rtdsrv.458a5932996f485b8b1b8d7cbb3f77a6">
      <tp>
        <v>1</v>
        <stp/>
        <stp>08d92b4b-51ff-444f-b1bb-69e23cbb5152</stp>
        <tr r="AI13" s="132"/>
      </tp>
    </main>
    <main first="rtdsrv.458a5932996f485b8b1b8d7cbb3f77a6">
      <tp>
        <v>1</v>
        <stp/>
        <stp>40f2ee3a-a89b-41ec-8a4f-1c6cfe606e9f</stp>
        <tr r="K61" s="130"/>
      </tp>
    </main>
    <main first="rtdsrv.458a5932996f485b8b1b8d7cbb3f77a6">
      <tp>
        <v>1</v>
        <stp/>
        <stp>9a79cbd0-3c0f-458b-bc3b-5aef72ac92d8</stp>
        <tr r="AC88" s="130"/>
      </tp>
      <tp>
        <v>1</v>
        <stp/>
        <stp>656dbd60-cd77-4e5f-afb3-d58453db409c</stp>
        <tr r="AD28" s="130"/>
      </tp>
    </main>
    <main first="rtdsrv.458a5932996f485b8b1b8d7cbb3f77a6">
      <tp>
        <v>1</v>
        <stp/>
        <stp>48e5bad1-4ac4-48ed-9e87-a1a20d4f2d00</stp>
        <tr r="AO63" s="130"/>
      </tp>
    </main>
    <main first="rtdsrv.458a5932996f485b8b1b8d7cbb3f77a6">
      <tp>
        <v>1</v>
        <stp/>
        <stp>50fa8474-0fc7-4db8-b191-12075d6e2c2b</stp>
        <tr r="BU14" s="132"/>
      </tp>
      <tp>
        <v>1</v>
        <stp/>
        <stp>68317393-6822-4bd7-aa86-b63050d594a9</stp>
        <tr r="Y30" s="130"/>
      </tp>
    </main>
    <main first="rtdsrv.458a5932996f485b8b1b8d7cbb3f77a6">
      <tp>
        <v>1</v>
        <stp/>
        <stp>6556858a-cd52-4aba-a6e4-8d9381ec622d</stp>
        <tr r="BL11" s="132"/>
      </tp>
      <tp>
        <v>1</v>
        <stp/>
        <stp>f1911069-a3a6-469c-9d38-ac6a4d4d5755</stp>
        <tr r="W80" s="130"/>
      </tp>
    </main>
    <main first="rtdsrv.458a5932996f485b8b1b8d7cbb3f77a6">
      <tp>
        <v>1</v>
        <stp/>
        <stp>a7850250-f9a1-49dd-8701-cec8e7edee0e</stp>
        <tr r="BH52" s="130"/>
        <tr r="BH47" s="130"/>
      </tp>
      <tp>
        <v>1</v>
        <stp/>
        <stp>e0a6d48a-b9b9-425f-b547-a24fd62870ba</stp>
        <tr r="G13" s="132"/>
      </tp>
    </main>
    <main first="rtdsrv.458a5932996f485b8b1b8d7cbb3f77a6">
      <tp>
        <v>1</v>
        <stp/>
        <stp>8927dd60-75bd-4524-9d91-8fdd245675bc</stp>
        <tr r="BI76" s="130"/>
      </tp>
    </main>
    <main first="rtdsrv.458a5932996f485b8b1b8d7cbb3f77a6">
      <tp>
        <v>1</v>
        <stp/>
        <stp>474bfd75-0026-4052-bdd4-ead4afdb824f</stp>
        <tr r="Y78" s="130"/>
      </tp>
      <tp>
        <v>1</v>
        <stp/>
        <stp>4e4a9cd8-2701-47ea-a2cd-fa79bd426332</stp>
        <tr r="C9" s="132"/>
      </tp>
    </main>
    <main first="rtdsrv.458a5932996f485b8b1b8d7cbb3f77a6">
      <tp>
        <v>1</v>
        <stp/>
        <stp>077bcc57-73ea-4f5b-b1e2-97fbdfa7157c</stp>
        <tr r="CM15" s="132"/>
      </tp>
      <tp>
        <v>1</v>
        <stp/>
        <stp>a35bb4e2-c6b6-4653-b402-7c7774a5c01e</stp>
        <tr r="BH58" s="130"/>
      </tp>
    </main>
    <main first="rtdsrv.458a5932996f485b8b1b8d7cbb3f77a6">
      <tp>
        <v>1</v>
        <stp/>
        <stp>7abda0ba-7146-41d6-a42a-88ed69055c60</stp>
        <tr r="Z66" s="130"/>
      </tp>
    </main>
    <main first="rtdsrv.458a5932996f485b8b1b8d7cbb3f77a6">
      <tp>
        <v>1</v>
        <stp/>
        <stp>637fc1d4-6d0a-4d88-be4a-7ecdd91c5d87</stp>
        <tr r="AN45" s="130"/>
      </tp>
    </main>
    <main first="rtdsrv.458a5932996f485b8b1b8d7cbb3f77a6">
      <tp>
        <v>1</v>
        <stp/>
        <stp>e6459c61-d95b-4618-9842-4ff67b1e89bf</stp>
        <tr r="M39" s="130"/>
      </tp>
    </main>
    <main first="rtdsrv.458a5932996f485b8b1b8d7cbb3f77a6">
      <tp>
        <v>1</v>
        <stp/>
        <stp>7cb0d52f-154b-42fc-a794-deda8a8ee90b</stp>
        <tr r="GH11" s="132"/>
      </tp>
    </main>
    <main first="rtdsrv.458a5932996f485b8b1b8d7cbb3f77a6">
      <tp>
        <v>1</v>
        <stp/>
        <stp>5758020d-42e5-401d-a640-f007443d2e9e</stp>
        <tr r="AW38" s="130"/>
      </tp>
    </main>
    <main first="rtdsrv.458a5932996f485b8b1b8d7cbb3f77a6">
      <tp>
        <v>1</v>
        <stp/>
        <stp>cc5bb00f-3a77-43de-99fd-cf1b8f971c50</stp>
        <tr r="K59" s="130"/>
      </tp>
      <tp>
        <v>1</v>
        <stp/>
        <stp>5bd3abec-ca00-4ff0-9f29-53c14bed40b1</stp>
        <tr r="H39" s="130"/>
      </tp>
    </main>
    <main first="rtdsrv.458a5932996f485b8b1b8d7cbb3f77a6">
      <tp>
        <v>1</v>
        <stp/>
        <stp>dd756106-ad84-4cc3-93d7-4649ab8217e3</stp>
        <tr r="AM9" s="132"/>
      </tp>
    </main>
    <main first="rtdsrv.458a5932996f485b8b1b8d7cbb3f77a6">
      <tp>
        <v>1</v>
        <stp/>
        <stp>b35ad6a1-19fc-4ea1-ba20-b1c401418772</stp>
        <tr r="EE16" s="132"/>
      </tp>
    </main>
    <main first="rtdsrv.458a5932996f485b8b1b8d7cbb3f77a6">
      <tp>
        <v>1</v>
        <stp/>
        <stp>05c0d3b4-6e16-4a86-9de3-879e371a8cbc</stp>
        <tr r="HF16" s="132"/>
      </tp>
    </main>
    <main first="rtdsrv.458a5932996f485b8b1b8d7cbb3f77a6">
      <tp>
        <v>1</v>
        <stp/>
        <stp>ece1b835-59c0-4d58-91af-9ccbbcc83770</stp>
        <tr r="K55" s="130"/>
      </tp>
    </main>
    <main first="rtdsrv.458a5932996f485b8b1b8d7cbb3f77a6">
      <tp>
        <v>1</v>
        <stp/>
        <stp>35d6122c-28da-4380-8f55-1a76f36ebbd5</stp>
        <tr r="FY6" s="132"/>
      </tp>
    </main>
    <main first="rtdsrv.458a5932996f485b8b1b8d7cbb3f77a6">
      <tp>
        <v>1</v>
        <stp/>
        <stp>aea9ecf5-054b-4f90-bde3-cdaac38de4f8</stp>
        <tr r="E35" s="130"/>
      </tp>
      <tp>
        <v>1</v>
        <stp/>
        <stp>83be83b3-3c99-4485-9a68-8b19ebd8000b</stp>
        <tr r="BZ9" s="132"/>
      </tp>
      <tp>
        <v>1</v>
        <stp/>
        <stp>7d221e1e-f91d-41da-bad3-24706f201025</stp>
        <tr r="BC95" s="130"/>
      </tp>
    </main>
    <main first="rtdsrv.458a5932996f485b8b1b8d7cbb3f77a6">
      <tp>
        <v>1</v>
        <stp/>
        <stp>ec17aa91-ad78-414d-8e5b-dcca27fc4f54</stp>
        <tr r="BQ5" s="132"/>
      </tp>
    </main>
    <main first="rtdsrv.458a5932996f485b8b1b8d7cbb3f77a6">
      <tp>
        <v>1</v>
        <stp/>
        <stp>89999490-601c-4700-babf-540e88a05e92</stp>
        <tr r="AE83" s="130"/>
      </tp>
    </main>
    <main first="rtdsrv.458a5932996f485b8b1b8d7cbb3f77a6">
      <tp>
        <v>1</v>
        <stp/>
        <stp>1222d75f-19b5-4fd4-a11c-2af3fb4d8205</stp>
        <tr r="BU7" s="132"/>
      </tp>
      <tp>
        <v>1</v>
        <stp/>
        <stp>96c59556-2cfe-43ad-92ec-7689db0b5daf</stp>
        <tr r="AX31" s="130"/>
      </tp>
    </main>
    <main first="rtdsrv.458a5932996f485b8b1b8d7cbb3f77a6">
      <tp>
        <v>1</v>
        <stp/>
        <stp>5c750475-b83b-4d74-8376-c22ac337c70f</stp>
        <tr r="N59" s="130"/>
      </tp>
    </main>
    <main first="rtdsrv.458a5932996f485b8b1b8d7cbb3f77a6">
      <tp>
        <v>1</v>
        <stp/>
        <stp>70924aa0-5cfa-46bf-a6ac-5fce51590416</stp>
        <tr r="AP76" s="130"/>
      </tp>
      <tp>
        <v>1</v>
        <stp/>
        <stp>2c47e3a2-b036-496d-91fa-f2d6a19243f4</stp>
        <tr r="CG16" s="132"/>
      </tp>
    </main>
    <main first="rtdsrv.458a5932996f485b8b1b8d7cbb3f77a6">
      <tp>
        <v>1</v>
        <stp/>
        <stp>9878bc6b-4640-47a8-a121-03f69efaa39b</stp>
        <tr r="DG15" s="132"/>
      </tp>
    </main>
    <main first="rtdsrv.458a5932996f485b8b1b8d7cbb3f77a6">
      <tp>
        <v>1</v>
        <stp/>
        <stp>5b9755b2-75af-447c-98b1-4adf99e5a9a1</stp>
        <tr r="AZ30" s="130"/>
      </tp>
    </main>
    <main first="rtdsrv.458a5932996f485b8b1b8d7cbb3f77a6">
      <tp>
        <v>1</v>
        <stp/>
        <stp>cae26cc6-2d18-4332-ba3d-0d6bc7192b9b</stp>
        <tr r="EY9" s="132"/>
      </tp>
      <tp>
        <v>1</v>
        <stp/>
        <stp>c9135b6b-0e6e-4a45-8598-850fc4b5bf00</stp>
        <tr r="D19" s="130"/>
      </tp>
      <tp>
        <v>1</v>
        <stp/>
        <stp>01317a33-3e83-46fa-8f21-919a4ca98b40</stp>
        <tr r="GZ16" s="132"/>
      </tp>
    </main>
    <main first="rtdsrv.458a5932996f485b8b1b8d7cbb3f77a6">
      <tp>
        <v>1</v>
        <stp/>
        <stp>bdebe580-5059-4702-a4ec-0fc513b29f71</stp>
        <tr r="AY40" s="130"/>
      </tp>
      <tp>
        <v>1</v>
        <stp/>
        <stp>78642803-c122-44f8-b22b-9407ae8048ec</stp>
        <tr r="AK88" s="130"/>
      </tp>
    </main>
    <main first="rtdsrv.458a5932996f485b8b1b8d7cbb3f77a6">
      <tp>
        <v>1</v>
        <stp/>
        <stp>e23a8545-b713-44f5-993a-cd5d5e980be0</stp>
        <tr r="FL5" s="132"/>
      </tp>
    </main>
    <main first="rtdsrv.458a5932996f485b8b1b8d7cbb3f77a6">
      <tp>
        <v>1</v>
        <stp/>
        <stp>62f2a4f3-19d7-4e2d-82cd-1cd9cd997783</stp>
        <tr r="D60" s="130"/>
      </tp>
    </main>
    <main first="rtdsrv.458a5932996f485b8b1b8d7cbb3f77a6">
      <tp>
        <v>1</v>
        <stp/>
        <stp>ca849d28-1a82-4a82-aa76-ffcc2e569225</stp>
        <tr r="BF73" s="130"/>
      </tp>
    </main>
    <main first="rtdsrv.458a5932996f485b8b1b8d7cbb3f77a6">
      <tp>
        <v>1</v>
        <stp/>
        <stp>1b778243-55a3-4834-8076-056d217f3b88</stp>
        <tr r="AN93" s="130"/>
      </tp>
    </main>
    <main first="rtdsrv.458a5932996f485b8b1b8d7cbb3f77a6">
      <tp>
        <v>1</v>
        <stp/>
        <stp>cd775179-04b0-4d3f-b6f3-5984f976ce14</stp>
        <tr r="O27" s="130"/>
      </tp>
    </main>
    <main first="rtdsrv.458a5932996f485b8b1b8d7cbb3f77a6">
      <tp>
        <v>1</v>
        <stp/>
        <stp>2cd097bf-3009-4348-958b-ed8c70cb936a</stp>
        <tr r="J35" s="130"/>
      </tp>
    </main>
    <main first="rtdsrv.458a5932996f485b8b1b8d7cbb3f77a6">
      <tp>
        <v>1</v>
        <stp/>
        <stp>ee451f9d-392a-486e-a219-0d5f5357a34a</stp>
        <tr r="BC15" s="132"/>
      </tp>
      <tp>
        <v>1</v>
        <stp/>
        <stp>d3e64aa0-f91c-4900-a81f-de40130cecf5</stp>
        <tr r="AV16" s="132"/>
      </tp>
    </main>
    <main first="rtdsrv.458a5932996f485b8b1b8d7cbb3f77a6">
      <tp>
        <v>1</v>
        <stp/>
        <stp>277a0a80-63e6-4952-95b6-f7bef575a2e7</stp>
        <tr r="BK18" s="130"/>
      </tp>
    </main>
    <main first="rtdsrv.458a5932996f485b8b1b8d7cbb3f77a6">
      <tp>
        <v>1</v>
        <stp/>
        <stp>29ba74c3-f902-47f5-a2c6-2fe6bc7d88fa</stp>
        <tr r="BE60" s="130"/>
      </tp>
    </main>
    <main first="rtdsrv.458a5932996f485b8b1b8d7cbb3f77a6">
      <tp>
        <v>1</v>
        <stp/>
        <stp>adefac68-5324-4c7a-a1eb-558ebb26da29</stp>
        <tr r="M20" s="130"/>
      </tp>
      <tp>
        <v>1</v>
        <stp/>
        <stp>ed63e55d-e007-41ac-b348-0d05e3556440</stp>
        <tr r="BJ86" s="130"/>
      </tp>
    </main>
    <main first="rtdsrv.458a5932996f485b8b1b8d7cbb3f77a6">
      <tp>
        <v>1</v>
        <stp/>
        <stp>400395ee-5dbc-4212-b5f4-808a37e63cb1</stp>
        <tr r="FF16" s="132"/>
      </tp>
    </main>
    <main first="rtdsrv.458a5932996f485b8b1b8d7cbb3f77a6">
      <tp>
        <v>1</v>
        <stp/>
        <stp>aae47005-c87c-4d13-9004-d153d45234ce</stp>
        <tr r="X32" s="130"/>
      </tp>
    </main>
    <main first="rtdsrv.458a5932996f485b8b1b8d7cbb3f77a6">
      <tp>
        <v>1</v>
        <stp/>
        <stp>758c9f37-31e0-4274-963e-84f36eaba6ba</stp>
        <tr r="EQ6" s="132"/>
      </tp>
    </main>
    <main first="rtdsrv.458a5932996f485b8b1b8d7cbb3f77a6">
      <tp>
        <v>1</v>
        <stp/>
        <stp>79765f1b-21f3-4357-92ef-8dd599866b73</stp>
        <tr r="U20" s="130"/>
      </tp>
    </main>
    <main first="rtdsrv.458a5932996f485b8b1b8d7cbb3f77a6">
      <tp>
        <v>1</v>
        <stp/>
        <stp>28875b4f-35b5-4d39-9a6d-2122232f8dfd</stp>
        <tr r="N85" s="130"/>
      </tp>
    </main>
    <main first="rtdsrv.458a5932996f485b8b1b8d7cbb3f77a6">
      <tp>
        <v>1</v>
        <stp/>
        <stp>a6e089a1-23f6-4de0-ae1b-42ce388c465b</stp>
        <tr r="AT13" s="132"/>
      </tp>
    </main>
    <main first="rtdsrv.458a5932996f485b8b1b8d7cbb3f77a6">
      <tp>
        <v>1</v>
        <stp/>
        <stp>aa963ae5-b7b3-4fd3-b200-8fdead345c78</stp>
        <tr r="BL6" s="132"/>
      </tp>
    </main>
    <main first="rtdsrv.458a5932996f485b8b1b8d7cbb3f77a6">
      <tp>
        <v>1</v>
        <stp/>
        <stp>9ca3ab95-e9ff-41f3-b2ab-f7514e90ad49</stp>
        <tr r="BD87" s="130"/>
      </tp>
    </main>
    <main first="rtdsrv.458a5932996f485b8b1b8d7cbb3f77a6">
      <tp>
        <v>1</v>
        <stp/>
        <stp>f9d8b343-d3ed-407d-a2c3-f88a3b06e3cb</stp>
        <tr r="S84" s="130"/>
      </tp>
    </main>
    <main first="rtdsrv.458a5932996f485b8b1b8d7cbb3f77a6">
      <tp>
        <v>1</v>
        <stp/>
        <stp>07ce9af5-d7ad-4d3a-87ca-53cc4ffc5e29</stp>
        <tr r="AI43" s="130"/>
      </tp>
    </main>
    <main first="rtdsrv.458a5932996f485b8b1b8d7cbb3f77a6">
      <tp>
        <v>1</v>
        <stp/>
        <stp>f1aa6ed4-eac0-45fc-b676-91a74cccf74f</stp>
        <tr r="M43" s="130"/>
      </tp>
    </main>
    <main first="rtdsrv.458a5932996f485b8b1b8d7cbb3f77a6">
      <tp>
        <v>1</v>
        <stp/>
        <stp>47c18f2d-4b0d-4475-9d63-222e9f71e2af</stp>
        <tr r="X87" s="130"/>
      </tp>
    </main>
    <main first="rtdsrv.458a5932996f485b8b1b8d7cbb3f77a6">
      <tp>
        <v>1</v>
        <stp/>
        <stp>54594a24-a419-405f-8e59-515acbbdf497</stp>
        <tr r="AU5" s="130"/>
      </tp>
      <tp>
        <v>1</v>
        <stp/>
        <stp>42a96026-f5d5-457e-9805-e324813e2363</stp>
        <tr r="AD83" s="130"/>
      </tp>
    </main>
    <main first="rtdsrv.458a5932996f485b8b1b8d7cbb3f77a6">
      <tp>
        <v>1</v>
        <stp/>
        <stp>68b999ff-13c8-416f-901c-ca7b56c360da</stp>
        <tr r="I67" s="130"/>
      </tp>
    </main>
    <main first="rtdsrv.458a5932996f485b8b1b8d7cbb3f77a6">
      <tp>
        <v>1</v>
        <stp/>
        <stp>e7cb3551-ce76-4e36-a343-131abf4926a7</stp>
        <tr r="E85" s="130"/>
      </tp>
      <tp>
        <v>1</v>
        <stp/>
        <stp>0e6176ad-b389-466b-8b25-577e8c60b549</stp>
        <tr r="AN90" s="130"/>
      </tp>
      <tp>
        <v>1</v>
        <stp/>
        <stp>4b92739c-083e-4bea-94bb-0f1d0f723b8a</stp>
        <tr r="AS61" s="130"/>
      </tp>
      <tp>
        <v>1</v>
        <stp/>
        <stp>28651f9f-8a64-4a31-928a-9b39549809a2</stp>
        <tr r="GQ9" s="132"/>
      </tp>
    </main>
    <main first="rtdsrv.458a5932996f485b8b1b8d7cbb3f77a6">
      <tp>
        <v>1</v>
        <stp/>
        <stp>de671ba5-5eec-4671-98b0-155decca070e</stp>
        <tr r="G32" s="130"/>
      </tp>
      <tp>
        <v>1</v>
        <stp/>
        <stp>1f8c2eac-71af-4a38-b420-c472e2205887</stp>
        <tr r="AC55" s="130"/>
      </tp>
    </main>
    <main first="rtdsrv.458a5932996f485b8b1b8d7cbb3f77a6">
      <tp>
        <v>1</v>
        <stp/>
        <stp>8eed9f74-ca72-4568-b2fa-a5f589f3d27f</stp>
        <tr r="T15" s="130"/>
      </tp>
      <tp>
        <v>1</v>
        <stp/>
        <stp>fd442f5b-d368-415f-92d1-e7da1b1b7134</stp>
        <tr r="BC89" s="130"/>
      </tp>
    </main>
    <main first="rtdsrv.458a5932996f485b8b1b8d7cbb3f77a6">
      <tp>
        <v>1</v>
        <stp/>
        <stp>e4ebccee-125e-4e2d-952c-d2404f469d44</stp>
        <tr r="FH11" s="132"/>
      </tp>
    </main>
    <main first="rtdsrv.458a5932996f485b8b1b8d7cbb3f77a6">
      <tp>
        <v>1</v>
        <stp/>
        <stp>8dd2548f-5830-42b7-804f-90a0a3ebdece</stp>
        <tr r="AM61" s="130"/>
      </tp>
    </main>
    <main first="rtdsrv.458a5932996f485b8b1b8d7cbb3f77a6">
      <tp>
        <v>1</v>
        <stp/>
        <stp>3f27be2c-e97f-4106-b061-210d15dbdb95</stp>
        <tr r="AL75" s="130"/>
      </tp>
      <tp>
        <v>1</v>
        <stp/>
        <stp>c531407f-5770-4c59-8c91-0668edd42b54</stp>
        <tr r="N7" s="130"/>
      </tp>
    </main>
    <main first="rtdsrv.458a5932996f485b8b1b8d7cbb3f77a6">
      <tp>
        <v>1</v>
        <stp/>
        <stp>37db5b45-ae48-4efa-97dc-e6b35b0b9eaf</stp>
        <tr r="AL92" s="130"/>
      </tp>
    </main>
    <main first="rtdsrv.458a5932996f485b8b1b8d7cbb3f77a6">
      <tp>
        <v>1</v>
        <stp/>
        <stp>61086001-6298-4647-b822-303194e4e603</stp>
        <tr r="BY6" s="132"/>
      </tp>
    </main>
    <main first="rtdsrv.458a5932996f485b8b1b8d7cbb3f77a6">
      <tp>
        <v>1</v>
        <stp/>
        <stp>d63f1349-0111-49ec-a330-4a39cefa6a50</stp>
        <tr r="AM40" s="130"/>
      </tp>
    </main>
    <main first="rtdsrv.458a5932996f485b8b1b8d7cbb3f77a6">
      <tp>
        <v>1</v>
        <stp/>
        <stp>f1ee7bae-1518-4cac-8460-4463644c47ea</stp>
        <tr r="AG72" s="130"/>
      </tp>
    </main>
    <main first="rtdsrv.458a5932996f485b8b1b8d7cbb3f77a6">
      <tp>
        <v>1</v>
        <stp/>
        <stp>fa300259-58a0-478b-8ba8-65efa413ed44</stp>
        <tr r="CY8" s="132"/>
      </tp>
    </main>
    <main first="rtdsrv.458a5932996f485b8b1b8d7cbb3f77a6">
      <tp>
        <v>1</v>
        <stp/>
        <stp>265c7bc6-4ba4-4c3a-886a-40f40ab3af7f</stp>
        <tr r="AA16" s="130"/>
      </tp>
    </main>
    <main first="rtdsrv.458a5932996f485b8b1b8d7cbb3f77a6">
      <tp>
        <v>1</v>
        <stp/>
        <stp>434cdb29-5f7e-4ac4-84bb-c57a3312f4c4</stp>
        <tr r="FN8" s="132"/>
      </tp>
      <tp>
        <v>1</v>
        <stp/>
        <stp>1b973cc2-e84b-431e-afe4-0410845d1d5d</stp>
        <tr r="CS8" s="132"/>
      </tp>
      <tp>
        <v>1</v>
        <stp/>
        <stp>1c8282d2-4392-4463-961e-8ab9378fa179</stp>
        <tr r="AQ13" s="132"/>
      </tp>
      <tp>
        <v>1</v>
        <stp/>
        <stp>25408056-2130-433d-be2a-4cf754b28620</stp>
        <tr r="Q65" s="130"/>
      </tp>
      <tp>
        <v>1</v>
        <stp/>
        <stp>3341c3b2-921b-4788-ab9f-5dadbef0e9ba</stp>
        <tr r="L9" s="132"/>
      </tp>
    </main>
    <main first="rtdsrv.458a5932996f485b8b1b8d7cbb3f77a6">
      <tp>
        <v>1</v>
        <stp/>
        <stp>f2bd1c89-6aae-4cb5-bfdf-91ca3fab9a8d</stp>
        <tr r="U33" s="130"/>
      </tp>
    </main>
    <main first="rtdsrv.458a5932996f485b8b1b8d7cbb3f77a6">
      <tp>
        <v>1</v>
        <stp/>
        <stp>15cb9e02-a1ca-4aa9-adda-6bdd2687b88e</stp>
        <tr r="V36" s="130"/>
      </tp>
    </main>
    <main first="rtdsrv.458a5932996f485b8b1b8d7cbb3f77a6">
      <tp>
        <v>1</v>
        <stp/>
        <stp>eb68fe28-ca07-422b-a776-511a53a603d5</stp>
        <tr r="BD99" s="130"/>
      </tp>
    </main>
    <main first="rtdsrv.458a5932996f485b8b1b8d7cbb3f77a6">
      <tp>
        <v>1</v>
        <stp/>
        <stp>1dc22b82-b218-4192-a2f9-3a968282ac6e</stp>
        <tr r="AS72" s="130"/>
      </tp>
    </main>
    <main first="rtdsrv.458a5932996f485b8b1b8d7cbb3f77a6">
      <tp>
        <v>1</v>
        <stp/>
        <stp>2cf41a90-60e7-4886-b419-fe6195fe5caf</stp>
        <tr r="AH44" s="130"/>
      </tp>
    </main>
    <main first="rtdsrv.458a5932996f485b8b1b8d7cbb3f77a6">
      <tp>
        <v>1</v>
        <stp/>
        <stp>911e31c4-c17b-4fd9-a525-3936fed4a4a4</stp>
        <tr r="AP13" s="132"/>
      </tp>
    </main>
    <main first="rtdsrv.458a5932996f485b8b1b8d7cbb3f77a6">
      <tp>
        <v>1</v>
        <stp/>
        <stp>868dbc44-3e5c-4306-8b88-48291f643657</stp>
        <tr r="AA15" s="130"/>
      </tp>
    </main>
    <main first="rtdsrv.458a5932996f485b8b1b8d7cbb3f77a6">
      <tp>
        <v>1</v>
        <stp/>
        <stp>665e1e0b-a434-4e27-ab04-ea1765ffba28</stp>
        <tr r="BI84" s="130"/>
      </tp>
    </main>
    <main first="rtdsrv.458a5932996f485b8b1b8d7cbb3f77a6">
      <tp>
        <v>1</v>
        <stp/>
        <stp>4bc1c532-345b-4667-9633-1a32103c117b</stp>
        <tr r="GY7" s="132"/>
      </tp>
    </main>
    <main first="rtdsrv.458a5932996f485b8b1b8d7cbb3f77a6">
      <tp>
        <v>1</v>
        <stp/>
        <stp>dda992e6-c1ec-400f-babe-a4fc84b1714c</stp>
        <tr r="AC30" s="130"/>
      </tp>
    </main>
    <main first="rtdsrv.458a5932996f485b8b1b8d7cbb3f77a6">
      <tp>
        <v>1</v>
        <stp/>
        <stp>968a2541-33c5-4f7f-bd47-61a6521d1a93</stp>
        <tr r="M79" s="130"/>
      </tp>
      <tp>
        <v>1</v>
        <stp/>
        <stp>0fdea2b4-3475-43f6-86e3-87afc61fc508</stp>
        <tr r="GY14" s="132"/>
      </tp>
    </main>
    <main first="rtdsrv.458a5932996f485b8b1b8d7cbb3f77a6">
      <tp>
        <v>1</v>
        <stp/>
        <stp>e608405f-824f-42a0-9f2b-e94ed2d507de</stp>
        <tr r="FV7" s="132"/>
      </tp>
    </main>
    <main first="rtdsrv.458a5932996f485b8b1b8d7cbb3f77a6">
      <tp>
        <v>1</v>
        <stp/>
        <stp>b2b08e98-09ac-4b70-bb8e-68a91bce25df</stp>
        <tr r="AE13" s="132"/>
      </tp>
      <tp>
        <v>1</v>
        <stp/>
        <stp>97486cce-5a34-4414-845a-0b5b3d0bef30</stp>
        <tr r="AF98" s="130"/>
      </tp>
    </main>
    <main first="rtdsrv.458a5932996f485b8b1b8d7cbb3f77a6">
      <tp>
        <v>1</v>
        <stp/>
        <stp>6b0a762a-5547-49bc-81fd-155cc5f38da7</stp>
        <tr r="AW98" s="130"/>
      </tp>
    </main>
    <main first="rtdsrv.458a5932996f485b8b1b8d7cbb3f77a6">
      <tp>
        <v>1</v>
        <stp/>
        <stp>a1676be2-8ab9-497c-878d-01c6cba50c59</stp>
        <tr r="AJ13" s="130"/>
      </tp>
    </main>
    <main first="rtdsrv.458a5932996f485b8b1b8d7cbb3f77a6">
      <tp>
        <v>1</v>
        <stp/>
        <stp>317fcd3b-31c9-4c57-9004-e7937a86d7ab</stp>
        <tr r="ES13" s="132"/>
      </tp>
      <tp>
        <v>1</v>
        <stp/>
        <stp>b800d3eb-ed00-41ee-9cfb-782476b30cb7</stp>
        <tr r="J73" s="130"/>
      </tp>
    </main>
    <main first="rtdsrv.458a5932996f485b8b1b8d7cbb3f77a6">
      <tp>
        <v>1</v>
        <stp/>
        <stp>5fa78976-b0b1-49b2-b48f-0bf4fefd10a0</stp>
        <tr r="BJ67" s="130"/>
      </tp>
      <tp>
        <v>1</v>
        <stp/>
        <stp>ff807f9d-9c66-46c5-a861-5fb8b9392ec3</stp>
        <tr r="AH70" s="130"/>
      </tp>
    </main>
    <main first="rtdsrv.458a5932996f485b8b1b8d7cbb3f77a6">
      <tp>
        <v>1</v>
        <stp/>
        <stp>40f70f63-c55f-46d5-aa56-e215af034a3d</stp>
        <tr r="S29" s="130"/>
      </tp>
    </main>
    <main first="rtdsrv.458a5932996f485b8b1b8d7cbb3f77a6">
      <tp>
        <v>1</v>
        <stp/>
        <stp>acfc31c2-3dd5-40fc-b1b1-47bda174bfd3</stp>
        <tr r="AL78" s="130"/>
      </tp>
    </main>
    <main first="rtdsrv.458a5932996f485b8b1b8d7cbb3f77a6">
      <tp>
        <v>1</v>
        <stp/>
        <stp>5713465b-6eaf-4d31-864a-dc5d5e27f4f0</stp>
        <tr r="BH84" s="130"/>
      </tp>
    </main>
    <main first="rtdsrv.458a5932996f485b8b1b8d7cbb3f77a6">
      <tp>
        <v>1</v>
        <stp/>
        <stp>ab082069-05cc-49f5-bf6a-ee3d5a6e0e63</stp>
        <tr r="BH51" s="130"/>
        <tr r="BH46" s="130"/>
      </tp>
    </main>
    <main first="rtdsrv.458a5932996f485b8b1b8d7cbb3f77a6">
      <tp>
        <v>1</v>
        <stp/>
        <stp>9e7f1b71-470f-47df-b12e-066c5408be5a</stp>
        <tr r="AT13" s="130"/>
      </tp>
      <tp>
        <v>1</v>
        <stp/>
        <stp>b28ffc44-d2c9-4c97-a8b8-81d345099d31</stp>
        <tr r="CQ11" s="132"/>
      </tp>
    </main>
    <main first="rtdsrv.458a5932996f485b8b1b8d7cbb3f77a6">
      <tp>
        <v>1</v>
        <stp/>
        <stp>2e021a7b-9fe0-4041-a3b1-39228c6fb46f</stp>
        <tr r="AV16" s="130"/>
      </tp>
      <tp>
        <v>1</v>
        <stp/>
        <stp>709aacf7-3dff-4346-b224-d3809f07a1e3</stp>
        <tr r="U7" s="132"/>
      </tp>
    </main>
    <main first="rtdsrv.458a5932996f485b8b1b8d7cbb3f77a6">
      <tp>
        <v>1</v>
        <stp/>
        <stp>c61a503e-0059-43cf-941a-3f65b4de03c8</stp>
        <tr r="GU6" s="132"/>
      </tp>
      <tp>
        <v>1</v>
        <stp/>
        <stp>350365ed-3093-44f6-a604-7872c86c0529</stp>
        <tr r="ER15" s="132"/>
      </tp>
    </main>
    <main first="rtdsrv.458a5932996f485b8b1b8d7cbb3f77a6">
      <tp>
        <v>1</v>
        <stp/>
        <stp>a7ba421f-608c-491a-b704-46091f16b245</stp>
        <tr r="AP12" s="130"/>
      </tp>
      <tp>
        <v>1</v>
        <stp/>
        <stp>df6bea29-8865-42bc-aee9-0f20cf7e19b7</stp>
        <tr r="AS66" s="130"/>
      </tp>
      <tp>
        <v>1</v>
        <stp/>
        <stp>9fc4a006-5486-4d33-842a-84d91afb97fa</stp>
        <tr r="AC62" s="130"/>
      </tp>
    </main>
    <main first="rtdsrv.458a5932996f485b8b1b8d7cbb3f77a6">
      <tp>
        <v>1</v>
        <stp/>
        <stp>0b9c76cc-59fb-4508-8df5-19cbf0ca8641</stp>
        <tr r="ED12" s="132"/>
      </tp>
    </main>
    <main first="rtdsrv.458a5932996f485b8b1b8d7cbb3f77a6">
      <tp>
        <v>1</v>
        <stp/>
        <stp>a6f49d13-d3bf-4f91-a92e-4e1ba2b4eb02</stp>
        <tr r="D83" s="130"/>
      </tp>
    </main>
    <main first="rtdsrv.458a5932996f485b8b1b8d7cbb3f77a6">
      <tp>
        <v>1</v>
        <stp/>
        <stp>dc7717c7-5549-4aac-a874-010114dc70cf</stp>
        <tr r="AE82" s="130"/>
      </tp>
    </main>
    <main first="rtdsrv.458a5932996f485b8b1b8d7cbb3f77a6">
      <tp>
        <v>1</v>
        <stp/>
        <stp>e78168cb-b820-427d-b26e-092ac513b3f6</stp>
        <tr r="R42" s="130"/>
      </tp>
    </main>
    <main first="rtdsrv.458a5932996f485b8b1b8d7cbb3f77a6">
      <tp>
        <v>1</v>
        <stp/>
        <stp>490e9c46-3c76-4a73-a44d-9fe6e058c803</stp>
        <tr r="BH79" s="130"/>
      </tp>
    </main>
    <main first="rtdsrv.458a5932996f485b8b1b8d7cbb3f77a6">
      <tp>
        <v>1</v>
        <stp/>
        <stp>82279bc2-9401-45ac-a48c-c085d79695de</stp>
        <tr r="Q91" s="130"/>
      </tp>
    </main>
    <main first="rtdsrv.458a5932996f485b8b1b8d7cbb3f77a6">
      <tp>
        <v>1</v>
        <stp/>
        <stp>c27115af-3dd7-4e88-b401-3973414b74cf</stp>
        <tr r="AD38" s="130"/>
      </tp>
      <tp>
        <v>1</v>
        <stp/>
        <stp>82fab9aa-fee0-4d8a-8d11-5969daecaeca</stp>
        <tr r="Q7" s="130"/>
      </tp>
    </main>
    <main first="rtdsrv.458a5932996f485b8b1b8d7cbb3f77a6">
      <tp>
        <v>1</v>
        <stp/>
        <stp>95cb78d0-c0d1-46ba-a95b-40aee958b3b3</stp>
        <tr r="G67" s="130"/>
      </tp>
      <tp>
        <v>1</v>
        <stp/>
        <stp>c41311af-3bcb-4cc3-845f-fcd49ec3f60e</stp>
        <tr r="S25" s="130"/>
      </tp>
    </main>
    <main first="rtdsrv.458a5932996f485b8b1b8d7cbb3f77a6">
      <tp>
        <v>1</v>
        <stp/>
        <stp>74567a37-af37-49df-bbdf-4a65d2735edd</stp>
        <tr r="I12" s="130"/>
      </tp>
    </main>
    <main first="rtdsrv.458a5932996f485b8b1b8d7cbb3f77a6">
      <tp>
        <v>1</v>
        <stp/>
        <stp>fab368a1-73b5-486d-bd46-48ee937f1573</stp>
        <tr r="BB45" s="130"/>
      </tp>
      <tp>
        <v>1</v>
        <stp/>
        <stp>bccbc8eb-1d87-4830-9b84-6d909743b183</stp>
        <tr r="AR69" s="130"/>
      </tp>
    </main>
    <main first="rtdsrv.458a5932996f485b8b1b8d7cbb3f77a6">
      <tp>
        <v>1</v>
        <stp/>
        <stp>d6c2951c-2b14-43ca-a427-6d0b30b54697</stp>
        <tr r="W14" s="132"/>
      </tp>
      <tp>
        <v>1</v>
        <stp/>
        <stp>7078550c-d7c0-46d3-b208-e0e09c674179</stp>
        <tr r="BF37" s="130"/>
      </tp>
    </main>
    <main first="rtdsrv.458a5932996f485b8b1b8d7cbb3f77a6">
      <tp>
        <v>1</v>
        <stp/>
        <stp>6de59f66-e0ff-40db-bc19-96a210b7825c</stp>
        <tr r="Y82" s="130"/>
      </tp>
      <tp>
        <v>1</v>
        <stp/>
        <stp>513158d1-34d6-44be-bc59-0ae6d2b0a91d</stp>
        <tr r="DS16" s="132"/>
      </tp>
      <tp>
        <v>1</v>
        <stp/>
        <stp>77652097-12f1-482c-9eed-7c449a05e214</stp>
        <tr r="AF99" s="130"/>
      </tp>
    </main>
    <main first="rtdsrv.458a5932996f485b8b1b8d7cbb3f77a6">
      <tp>
        <v>1</v>
        <stp/>
        <stp>bf9d47f5-09b3-496d-8bf9-bc36d20c020c</stp>
        <tr r="GV8" s="132"/>
      </tp>
    </main>
    <main first="rtdsrv.458a5932996f485b8b1b8d7cbb3f77a6">
      <tp>
        <v>1</v>
        <stp/>
        <stp>c3b68e68-187d-47f5-855a-6f76142835d2</stp>
        <tr r="HH5" s="132"/>
      </tp>
    </main>
    <main first="rtdsrv.458a5932996f485b8b1b8d7cbb3f77a6">
      <tp>
        <v>1</v>
        <stp/>
        <stp>f4bf55cb-9fcf-427d-a892-cc8a83353532</stp>
        <tr r="BD17" s="130"/>
      </tp>
    </main>
    <main first="rtdsrv.458a5932996f485b8b1b8d7cbb3f77a6">
      <tp>
        <v>1</v>
        <stp/>
        <stp>d7d366d3-d71d-4082-8c0a-78420f9f7961</stp>
        <tr r="F13" s="132"/>
      </tp>
    </main>
    <main first="rtdsrv.458a5932996f485b8b1b8d7cbb3f77a6">
      <tp>
        <v>1</v>
        <stp/>
        <stp>bf090098-5fba-4cd2-b35d-9a765776f2f8</stp>
        <tr r="L20" s="130"/>
      </tp>
      <tp>
        <v>1</v>
        <stp/>
        <stp>d6543043-7b62-4154-adf0-771dfe9e4169</stp>
        <tr r="BD61" s="130"/>
      </tp>
    </main>
    <main first="rtdsrv.458a5932996f485b8b1b8d7cbb3f77a6">
      <tp>
        <v>1</v>
        <stp/>
        <stp>45ba1e40-fb5c-4b06-ad8c-c8b2b29412af</stp>
        <tr r="AC7" s="130"/>
      </tp>
    </main>
    <main first="rtdsrv.458a5932996f485b8b1b8d7cbb3f77a6">
      <tp>
        <v>1</v>
        <stp/>
        <stp>f438311e-ac38-4610-9c1a-6d262b8f8cdf</stp>
        <tr r="X25" s="130"/>
      </tp>
    </main>
    <main first="rtdsrv.458a5932996f485b8b1b8d7cbb3f77a6">
      <tp>
        <v>1</v>
        <stp/>
        <stp>b124216d-f219-4e9d-b2aa-aa95a537b739</stp>
        <tr r="AF23" s="130"/>
      </tp>
      <tp>
        <v>1</v>
        <stp/>
        <stp>2e2afa67-1b07-457b-9822-bba1adc7ec81</stp>
        <tr r="AS89" s="130"/>
      </tp>
      <tp>
        <v>1</v>
        <stp/>
        <stp>4b0ce212-e044-4890-876a-2e3975889c58</stp>
        <tr r="DK8" s="132"/>
      </tp>
    </main>
    <main first="rtdsrv.458a5932996f485b8b1b8d7cbb3f77a6">
      <tp>
        <v>1</v>
        <stp/>
        <stp>e27337b5-4807-4abd-a641-b277a10e3b5e</stp>
        <tr r="GO7" s="132"/>
      </tp>
    </main>
    <main first="rtdsrv.458a5932996f485b8b1b8d7cbb3f77a6">
      <tp>
        <v>1</v>
        <stp/>
        <stp>dbeeb4fa-8268-4177-a021-308bcbc6d945</stp>
        <tr r="BH9" s="130"/>
      </tp>
    </main>
    <main first="rtdsrv.458a5932996f485b8b1b8d7cbb3f77a6">
      <tp>
        <v>1</v>
        <stp/>
        <stp>844431b7-5998-4137-901a-35d1434f601e</stp>
        <tr r="EH6" s="132"/>
      </tp>
    </main>
    <main first="rtdsrv.458a5932996f485b8b1b8d7cbb3f77a6">
      <tp>
        <v>1</v>
        <stp/>
        <stp>8fe0a50e-dbe1-4c80-aa35-cf7f44ee0f8f</stp>
        <tr r="Z79" s="130"/>
      </tp>
    </main>
    <main first="rtdsrv.458a5932996f485b8b1b8d7cbb3f77a6">
      <tp>
        <v>1</v>
        <stp/>
        <stp>9b246571-d235-44b3-956e-710c412ef68b</stp>
        <tr r="AI59" s="130"/>
      </tp>
      <tp>
        <v>1</v>
        <stp/>
        <stp>9efa6788-b9db-459c-a270-605911960e38</stp>
        <tr r="AM85" s="130"/>
      </tp>
      <tp>
        <v>1</v>
        <stp/>
        <stp>445ad865-69f9-4512-930d-79b4b56b84b4</stp>
        <tr r="AO23" s="130"/>
      </tp>
      <tp>
        <v>1</v>
        <stp/>
        <stp>8ed4457c-2306-45dc-9657-b8b1e5e85989</stp>
        <tr r="Q37" s="130"/>
      </tp>
    </main>
    <main first="rtdsrv.458a5932996f485b8b1b8d7cbb3f77a6">
      <tp>
        <v>1</v>
        <stp/>
        <stp>8d9796d0-b694-4cf5-a451-5923e9ca70c6</stp>
        <tr r="GN14" s="132"/>
      </tp>
    </main>
    <main first="rtdsrv.458a5932996f485b8b1b8d7cbb3f77a6">
      <tp>
        <v>1</v>
        <stp/>
        <stp>2ab6af92-433e-4ed4-b599-3197b7782874</stp>
        <tr r="AR26" s="130"/>
        <tr r="AR14" s="130"/>
      </tp>
    </main>
    <main first="rtdsrv.458a5932996f485b8b1b8d7cbb3f77a6">
      <tp>
        <v>1</v>
        <stp/>
        <stp>0fd95317-1825-4222-a1f3-4587cf836c77</stp>
        <tr r="BA5" s="130"/>
      </tp>
      <tp>
        <v>1</v>
        <stp/>
        <stp>138e03f3-85f3-4001-a20e-496769c53928</stp>
        <tr r="DH9" s="132"/>
      </tp>
    </main>
    <main first="rtdsrv.458a5932996f485b8b1b8d7cbb3f77a6">
      <tp>
        <v>1</v>
        <stp/>
        <stp>cec6bf7f-0b37-42a3-93a7-0a392ebece93</stp>
        <tr r="AY70" s="130"/>
      </tp>
    </main>
    <main first="rtdsrv.458a5932996f485b8b1b8d7cbb3f77a6">
      <tp>
        <v>1</v>
        <stp/>
        <stp>5484a985-4f39-4cf0-8a18-b0e1694331ff</stp>
        <tr r="T45" s="130"/>
      </tp>
    </main>
    <main first="rtdsrv.458a5932996f485b8b1b8d7cbb3f77a6">
      <tp>
        <v>1</v>
        <stp/>
        <stp>9fb7e60b-2a0c-408d-9e25-903e4ad58e87</stp>
        <tr r="AY78" s="130"/>
      </tp>
    </main>
    <main first="rtdsrv.458a5932996f485b8b1b8d7cbb3f77a6">
      <tp>
        <v>1</v>
        <stp/>
        <stp>20850639-665a-4ba6-b17d-4a0a8c4b4341</stp>
        <tr r="AJ40" s="130"/>
      </tp>
    </main>
    <main first="rtdsrv.458a5932996f485b8b1b8d7cbb3f77a6">
      <tp>
        <v>1</v>
        <stp/>
        <stp>35d4df83-d0ac-45ca-9f47-21f32fcdf575</stp>
        <tr r="DT5" s="132"/>
      </tp>
    </main>
    <main first="rtdsrv.458a5932996f485b8b1b8d7cbb3f77a6">
      <tp>
        <v>1</v>
        <stp/>
        <stp>5cf716d5-a820-47a2-be67-91b29ef07dc0</stp>
        <tr r="AE30" s="130"/>
      </tp>
    </main>
    <main first="rtdsrv.458a5932996f485b8b1b8d7cbb3f77a6">
      <tp>
        <v>1</v>
        <stp/>
        <stp>c55d0358-e728-467c-b538-510790d9e21a</stp>
        <tr r="FJ14" s="132"/>
      </tp>
    </main>
    <main first="rtdsrv.458a5932996f485b8b1b8d7cbb3f77a6">
      <tp>
        <v>1</v>
        <stp/>
        <stp>6b5944b0-2621-417a-8ef8-531834007d2a</stp>
        <tr r="H94" s="130"/>
      </tp>
    </main>
    <main first="rtdsrv.458a5932996f485b8b1b8d7cbb3f77a6">
      <tp>
        <v>1</v>
        <stp/>
        <stp>a09f075b-f893-46d4-8329-0f18be22bddb</stp>
        <tr r="AW88" s="130"/>
      </tp>
      <tp>
        <v>1</v>
        <stp/>
        <stp>46ab619d-ba91-4c80-b740-7cdbcd04af73</stp>
        <tr r="C24" s="130"/>
      </tp>
      <tp>
        <v>1</v>
        <stp/>
        <stp>8f045f16-cba3-49a1-b228-01e540127aee</stp>
        <tr r="DA16" s="132"/>
      </tp>
      <tp>
        <v>1</v>
        <stp/>
        <stp>ec32a8fb-6d9e-4787-b797-459875eecc08</stp>
        <tr r="AK64" s="130"/>
      </tp>
      <tp>
        <v>1</v>
        <stp/>
        <stp>3ebd4375-a8c9-4b66-a644-3020535df64b</stp>
        <tr r="L31" s="130"/>
      </tp>
      <tp>
        <v>1</v>
        <stp/>
        <stp>27134c00-36f4-4e98-a8f5-c8d75c8f2b46</stp>
        <tr r="W92" s="130"/>
      </tp>
    </main>
    <main first="rtdsrv.458a5932996f485b8b1b8d7cbb3f77a6">
      <tp>
        <v>1</v>
        <stp/>
        <stp>b9f6996e-bdf7-4b4c-a32a-c5b62e909cd4</stp>
        <tr r="BF92" s="130"/>
      </tp>
    </main>
    <main first="rtdsrv.458a5932996f485b8b1b8d7cbb3f77a6">
      <tp>
        <v>1</v>
        <stp/>
        <stp>6898290e-cb34-494e-ac0b-54717fd5ae1d</stp>
        <tr r="AI23" s="130"/>
      </tp>
    </main>
    <main first="rtdsrv.458a5932996f485b8b1b8d7cbb3f77a6">
      <tp>
        <v>1</v>
        <stp/>
        <stp>343be030-795e-41db-a4ea-4b28af88b09f</stp>
        <tr r="AX13" s="132"/>
      </tp>
    </main>
    <main first="rtdsrv.458a5932996f485b8b1b8d7cbb3f77a6">
      <tp>
        <v>1</v>
        <stp/>
        <stp>5f1dfdf0-94f9-4e21-8789-900bbc1baa05</stp>
        <tr r="M77" s="130"/>
      </tp>
    </main>
    <main first="rtdsrv.458a5932996f485b8b1b8d7cbb3f77a6">
      <tp>
        <v>1</v>
        <stp/>
        <stp>a2ada5e4-c6b2-4b3d-ac0c-d0aa129cd2b4</stp>
        <tr r="AC90" s="130"/>
      </tp>
    </main>
    <main first="rtdsrv.458a5932996f485b8b1b8d7cbb3f77a6">
      <tp>
        <v>1</v>
        <stp/>
        <stp>701380be-afe2-4114-ae6e-5b73b78d2642</stp>
        <tr r="AO66" s="130"/>
      </tp>
    </main>
    <main first="rtdsrv.458a5932996f485b8b1b8d7cbb3f77a6">
      <tp>
        <v>1</v>
        <stp/>
        <stp>ce7035fc-b84d-4253-b140-1591ca235a94</stp>
        <tr r="N22" s="130"/>
      </tp>
    </main>
    <main first="rtdsrv.458a5932996f485b8b1b8d7cbb3f77a6">
      <tp>
        <v>1</v>
        <stp/>
        <stp>5819a058-a6ae-4a96-be1c-6d261211e89d</stp>
        <tr r="GR5" s="132"/>
      </tp>
    </main>
    <main first="rtdsrv.458a5932996f485b8b1b8d7cbb3f77a6">
      <tp>
        <v>1</v>
        <stp/>
        <stp>3268bd2d-93f9-4557-9d50-831c88a06ec3</stp>
        <tr r="AM78" s="130"/>
      </tp>
    </main>
    <main first="rtdsrv.458a5932996f485b8b1b8d7cbb3f77a6">
      <tp>
        <v>1</v>
        <stp/>
        <stp>613dab7b-4231-40f2-abe8-66900f4b4c7b</stp>
        <tr r="W8" s="130"/>
      </tp>
    </main>
    <main first="rtdsrv.458a5932996f485b8b1b8d7cbb3f77a6">
      <tp>
        <v>1</v>
        <stp/>
        <stp>2275dd42-5bcd-4305-837e-aa628e29af44</stp>
        <tr r="E69" s="130"/>
      </tp>
      <tp>
        <v>1</v>
        <stp/>
        <stp>b06619a2-ace8-44af-8481-761cb08e6386</stp>
        <tr r="AI67" s="130"/>
      </tp>
    </main>
    <main first="rtdsrv.458a5932996f485b8b1b8d7cbb3f77a6">
      <tp>
        <v>1</v>
        <stp/>
        <stp>5dbf0a48-d623-4165-b5e2-5e2a9ce9f41f</stp>
        <tr r="N46" s="130"/>
        <tr r="N51" s="130"/>
      </tp>
    </main>
    <main first="rtdsrv.458a5932996f485b8b1b8d7cbb3f77a6">
      <tp>
        <v>1</v>
        <stp/>
        <stp>a5cf20d9-f5bb-4370-a1a6-337c162b145c</stp>
        <tr r="AI12" s="130"/>
      </tp>
    </main>
    <main first="rtdsrv.458a5932996f485b8b1b8d7cbb3f77a6">
      <tp>
        <v>1</v>
        <stp/>
        <stp>e7815ffd-0b67-4ac2-88ff-e73bcced9b86</stp>
        <tr r="I40" s="130"/>
      </tp>
    </main>
    <main first="rtdsrv.458a5932996f485b8b1b8d7cbb3f77a6">
      <tp>
        <v>1</v>
        <stp/>
        <stp>3efd0bb5-541c-4c82-8442-a62cb46f5526</stp>
        <tr r="H55" s="130"/>
      </tp>
    </main>
    <main first="rtdsrv.458a5932996f485b8b1b8d7cbb3f77a6">
      <tp>
        <v>1</v>
        <stp/>
        <stp>9b8b92ba-d4d8-4089-917d-2c88dc4f493c</stp>
        <tr r="FG8" s="132"/>
      </tp>
    </main>
    <main first="rtdsrv.458a5932996f485b8b1b8d7cbb3f77a6">
      <tp>
        <v>1</v>
        <stp/>
        <stp>11ce362e-d6b3-4354-b7ba-fa30323bce32</stp>
        <tr r="FW14" s="132"/>
      </tp>
    </main>
    <main first="rtdsrv.458a5932996f485b8b1b8d7cbb3f77a6">
      <tp>
        <v>1</v>
        <stp/>
        <stp>787d844e-849d-48ac-a242-f326e1559b79</stp>
        <tr r="AP25" s="130"/>
      </tp>
    </main>
    <main first="rtdsrv.458a5932996f485b8b1b8d7cbb3f77a6">
      <tp>
        <v>1</v>
        <stp/>
        <stp>7438ff30-c28e-47d8-9d9d-b609a30776c3</stp>
        <tr r="BI42" s="130"/>
      </tp>
    </main>
    <main first="rtdsrv.458a5932996f485b8b1b8d7cbb3f77a6">
      <tp>
        <v>1</v>
        <stp/>
        <stp>107a83b0-1e99-44d4-b9af-75610ef13433</stp>
        <tr r="P15" s="130"/>
      </tp>
    </main>
    <main first="rtdsrv.458a5932996f485b8b1b8d7cbb3f77a6">
      <tp>
        <v>1</v>
        <stp/>
        <stp>5243cb18-4141-48db-995f-0fc5fe721331</stp>
        <tr r="BT8" s="132"/>
      </tp>
    </main>
    <main first="rtdsrv.458a5932996f485b8b1b8d7cbb3f77a6">
      <tp>
        <v>1</v>
        <stp/>
        <stp>eff032fa-43bb-4f8a-97f4-706fad05507a</stp>
        <tr r="C58" s="130"/>
      </tp>
      <tp>
        <v>1</v>
        <stp/>
        <stp>7d1e54dc-d7eb-4f21-a974-7c7a0f49e4ca</stp>
        <tr r="AY9" s="130"/>
      </tp>
      <tp>
        <v>1</v>
        <stp/>
        <stp>cd21fe26-28ff-4c98-a562-c586b868a321</stp>
        <tr r="EP14" s="132"/>
      </tp>
      <tp>
        <v>1</v>
        <stp/>
        <stp>c2886147-db42-45ba-b319-9682cf8bedae</stp>
        <tr r="V33" s="130"/>
      </tp>
      <tp>
        <v>1</v>
        <stp/>
        <stp>7ac5bf24-6804-42ce-ae1e-22852d14d03e</stp>
        <tr r="EM8" s="132"/>
      </tp>
    </main>
    <main first="rtdsrv.458a5932996f485b8b1b8d7cbb3f77a6">
      <tp>
        <v>1</v>
        <stp/>
        <stp>0cff6957-2210-444d-bf09-23cff847449e</stp>
        <tr r="AU75" s="130"/>
      </tp>
      <tp>
        <v>1</v>
        <stp/>
        <stp>30ef1542-37bc-4a51-b8ef-6511501dfd6a</stp>
        <tr r="AX58" s="130"/>
      </tp>
    </main>
    <main first="rtdsrv.458a5932996f485b8b1b8d7cbb3f77a6">
      <tp>
        <v>1</v>
        <stp/>
        <stp>783317b3-6ed9-4302-9387-14dfc4c05025</stp>
        <tr r="BG74" s="130"/>
      </tp>
      <tp>
        <v>1</v>
        <stp/>
        <stp>400d66ca-93cc-4531-9d74-882c8db75f23</stp>
        <tr r="AD15" s="130"/>
      </tp>
      <tp>
        <v>1</v>
        <stp/>
        <stp>f4dc3d4e-f47b-4c3c-95ef-c3572722a73e</stp>
        <tr r="AJ13" s="132"/>
      </tp>
    </main>
    <main first="rtdsrv.458a5932996f485b8b1b8d7cbb3f77a6">
      <tp>
        <v>1</v>
        <stp/>
        <stp>1164d18e-064a-442b-baaf-41d192594393</stp>
        <tr r="BB78" s="130"/>
      </tp>
      <tp>
        <v>1</v>
        <stp/>
        <stp>61db5166-f22d-413d-8255-2bc99fd8e0df</stp>
        <tr r="AO58" s="130"/>
      </tp>
    </main>
    <main first="rtdsrv.458a5932996f485b8b1b8d7cbb3f77a6">
      <tp>
        <v>1</v>
        <stp/>
        <stp>4eca97ad-e89f-499b-baa3-948e9e219f4d</stp>
        <tr r="BH64" s="130"/>
      </tp>
    </main>
    <main first="rtdsrv.458a5932996f485b8b1b8d7cbb3f77a6">
      <tp>
        <v>1</v>
        <stp/>
        <stp>d29e729d-6f7a-4ae6-b6c7-ba16eb637cae</stp>
        <tr r="AE80" s="130"/>
      </tp>
    </main>
    <main first="rtdsrv.458a5932996f485b8b1b8d7cbb3f77a6">
      <tp>
        <v>1</v>
        <stp/>
        <stp>1580cc19-cdcf-405d-986d-46ec84bd8f90</stp>
        <tr r="BM6" s="132"/>
      </tp>
      <tp>
        <v>1</v>
        <stp/>
        <stp>333eca78-8dc5-4b49-8cde-87c2e054b3d6</stp>
        <tr r="AM44" s="130"/>
      </tp>
      <tp>
        <v>1</v>
        <stp/>
        <stp>f994dfee-838c-4e5c-b5ae-f39de6f92cba</stp>
        <tr r="J94" s="130"/>
      </tp>
    </main>
    <main first="rtdsrv.458a5932996f485b8b1b8d7cbb3f77a6">
      <tp>
        <v>1</v>
        <stp/>
        <stp>b26e0496-28a9-42f1-8fb5-1b68c647307f</stp>
        <tr r="AU31" s="130"/>
      </tp>
    </main>
    <main first="rtdsrv.458a5932996f485b8b1b8d7cbb3f77a6">
      <tp>
        <v>1</v>
        <stp/>
        <stp>33f4e3a0-fc3f-48ab-a4ec-5716e44e2a5a</stp>
        <tr r="BC87" s="130"/>
      </tp>
      <tp>
        <v>1</v>
        <stp/>
        <stp>2f0904a8-de33-4425-8f64-dac2cf12a1ee</stp>
        <tr r="T17" s="130"/>
      </tp>
    </main>
    <main first="rtdsrv.458a5932996f485b8b1b8d7cbb3f77a6">
      <tp>
        <v>1</v>
        <stp/>
        <stp>41dfa5ea-d6dd-4ea3-89eb-d00bb04be5ff</stp>
        <tr r="CM8" s="132"/>
      </tp>
    </main>
    <main first="rtdsrv.458a5932996f485b8b1b8d7cbb3f77a6">
      <tp>
        <v>1</v>
        <stp/>
        <stp>f569df5a-44c0-4509-882a-b5329cd31964</stp>
        <tr r="T11" s="130"/>
      </tp>
    </main>
    <main first="rtdsrv.458a5932996f485b8b1b8d7cbb3f77a6">
      <tp>
        <v>1</v>
        <stp/>
        <stp>4b5c830c-593d-4f51-92ee-5198f2e7a02b</stp>
        <tr r="I64" s="130"/>
      </tp>
      <tp>
        <v>1</v>
        <stp/>
        <stp>0806bf7e-be87-4f6f-a881-75ba3b513633</stp>
        <tr r="BF31" s="130"/>
      </tp>
    </main>
    <main first="rtdsrv.458a5932996f485b8b1b8d7cbb3f77a6">
      <tp>
        <v>1</v>
        <stp/>
        <stp>a1792fc3-5414-4381-acff-06d7f74e27a1</stp>
        <tr r="EX12" s="132"/>
      </tp>
    </main>
    <main first="rtdsrv.458a5932996f485b8b1b8d7cbb3f77a6">
      <tp>
        <v>1</v>
        <stp/>
        <stp>743b4276-fcd7-4453-9a10-78c71a42c872</stp>
        <tr r="DH15" s="132"/>
      </tp>
    </main>
    <main first="rtdsrv.458a5932996f485b8b1b8d7cbb3f77a6">
      <tp>
        <v>1</v>
        <stp/>
        <stp>0d45be0a-cbcf-4a72-a530-a6067d7e92a7</stp>
        <tr r="BI65" s="130"/>
      </tp>
    </main>
    <main first="rtdsrv.458a5932996f485b8b1b8d7cbb3f77a6">
      <tp>
        <v>1</v>
        <stp/>
        <stp>20e19459-0bb0-4740-9258-d717e73f628d</stp>
        <tr r="V85" s="130"/>
      </tp>
    </main>
    <main first="rtdsrv.458a5932996f485b8b1b8d7cbb3f77a6">
      <tp>
        <v>1</v>
        <stp/>
        <stp>54092262-2b72-4831-9e01-b3a61457511f</stp>
        <tr r="E16" s="132"/>
      </tp>
    </main>
    <main first="rtdsrv.458a5932996f485b8b1b8d7cbb3f77a6">
      <tp>
        <v>1</v>
        <stp/>
        <stp>913fc845-1600-48c2-88ba-b38ec9a7aa96</stp>
        <tr r="N25" s="130"/>
      </tp>
    </main>
    <main first="rtdsrv.458a5932996f485b8b1b8d7cbb3f77a6">
      <tp>
        <v>1</v>
        <stp/>
        <stp>7a5367a2-6b90-4703-b4d6-47dcc477b7c4</stp>
        <tr r="FB7" s="132"/>
      </tp>
    </main>
    <main first="rtdsrv.458a5932996f485b8b1b8d7cbb3f77a6">
      <tp>
        <v>1</v>
        <stp/>
        <stp>44708ff6-1cc8-427e-bc7e-3219094539b0</stp>
        <tr r="AB33" s="130"/>
      </tp>
    </main>
    <main first="rtdsrv.458a5932996f485b8b1b8d7cbb3f77a6">
      <tp>
        <v>1</v>
        <stp/>
        <stp>5482a8ae-7a4d-45c6-bf72-a8ee8bf17c87</stp>
        <tr r="CB13" s="132"/>
      </tp>
      <tp>
        <v>1</v>
        <stp/>
        <stp>736ff156-7f00-4f6d-b845-fac174f143d2</stp>
        <tr r="BJ82" s="130"/>
      </tp>
    </main>
    <main first="rtdsrv.458a5932996f485b8b1b8d7cbb3f77a6">
      <tp>
        <v>1</v>
        <stp/>
        <stp>32d73033-a1c7-49c8-a58a-03e5bf6875ef</stp>
        <tr r="W8" s="132"/>
      </tp>
      <tp>
        <v>1</v>
        <stp/>
        <stp>4a538376-dc98-4339-9cc0-ee3a82c33807</stp>
        <tr r="BD30" s="130"/>
      </tp>
    </main>
    <main first="rtdsrv.458a5932996f485b8b1b8d7cbb3f77a6">
      <tp>
        <v>1</v>
        <stp/>
        <stp>99fff403-da2e-472b-ad00-d236585da201</stp>
        <tr r="AJ38" s="130"/>
      </tp>
      <tp>
        <v>1</v>
        <stp/>
        <stp>7f1f4e4c-134e-46bf-96bd-e53879bfb922</stp>
        <tr r="P26" s="130"/>
        <tr r="P14" s="130"/>
      </tp>
    </main>
    <main first="rtdsrv.458a5932996f485b8b1b8d7cbb3f77a6">
      <tp>
        <v>1</v>
        <stp/>
        <stp>d8868259-9088-40e2-b628-61f8801a81cd</stp>
        <tr r="DG14" s="132"/>
      </tp>
    </main>
    <main first="rtdsrv.458a5932996f485b8b1b8d7cbb3f77a6">
      <tp>
        <v>1</v>
        <stp/>
        <stp>8a8fc274-1109-4978-98c8-ab26397fba1e</stp>
        <tr r="AR36" s="130"/>
      </tp>
    </main>
    <main first="rtdsrv.458a5932996f485b8b1b8d7cbb3f77a6">
      <tp>
        <v>1</v>
        <stp/>
        <stp>049a24fa-58fe-46b1-bb1b-3a2e740b2c5a</stp>
        <tr r="V91" s="130"/>
      </tp>
    </main>
    <main first="rtdsrv.458a5932996f485b8b1b8d7cbb3f77a6">
      <tp>
        <v>1</v>
        <stp/>
        <stp>425d18b4-23ad-43d1-ae32-42d68877d378</stp>
        <tr r="U12" s="132"/>
      </tp>
    </main>
    <main first="rtdsrv.458a5932996f485b8b1b8d7cbb3f77a6">
      <tp>
        <v>1</v>
        <stp/>
        <stp>465d5adb-57ba-4c12-b9ee-19b379edc665</stp>
        <tr r="S7" s="130"/>
      </tp>
    </main>
    <main first="rtdsrv.458a5932996f485b8b1b8d7cbb3f77a6">
      <tp>
        <v>1</v>
        <stp/>
        <stp>bc0e2d7c-6475-4620-9d4b-3a06c4e8bc60</stp>
        <tr r="AF12" s="130"/>
      </tp>
    </main>
    <main first="rtdsrv.458a5932996f485b8b1b8d7cbb3f77a6">
      <tp>
        <v>1</v>
        <stp/>
        <stp>243c2ebe-fa50-407c-83fe-4a3d945e4da7</stp>
        <tr r="C82" s="130"/>
      </tp>
    </main>
    <main first="rtdsrv.458a5932996f485b8b1b8d7cbb3f77a6">
      <tp>
        <v>1</v>
        <stp/>
        <stp>1f465503-f8de-4942-96cd-ee8f57e9c574</stp>
        <tr r="AC65" s="130"/>
      </tp>
    </main>
    <main first="rtdsrv.458a5932996f485b8b1b8d7cbb3f77a6">
      <tp>
        <v>1</v>
        <stp/>
        <stp>ce2fb545-fa3c-4cd5-8c93-c9a05400946c</stp>
        <tr r="G76" s="130"/>
      </tp>
      <tp>
        <v>1</v>
        <stp/>
        <stp>7309044f-b0ac-4214-9247-bd02ed0f5f0f</stp>
        <tr r="Y22" s="130"/>
      </tp>
    </main>
    <main first="rtdsrv.458a5932996f485b8b1b8d7cbb3f77a6">
      <tp>
        <v>1</v>
        <stp/>
        <stp>42b9d91e-1a95-461d-8e9c-777ef76d9dca</stp>
        <tr r="AF59" s="130"/>
      </tp>
      <tp>
        <v>1</v>
        <stp/>
        <stp>76f8177a-9669-49e4-822e-18b272c0870f</stp>
        <tr r="BI11" s="132"/>
      </tp>
    </main>
    <main first="rtdsrv.458a5932996f485b8b1b8d7cbb3f77a6">
      <tp>
        <v>1</v>
        <stp/>
        <stp>40e84b33-9ff9-45d5-b09e-0c096402b3f9</stp>
        <tr r="AO71" s="130"/>
      </tp>
    </main>
    <main first="rtdsrv.458a5932996f485b8b1b8d7cbb3f77a6">
      <tp>
        <v>1</v>
        <stp/>
        <stp>153da4b3-ab4e-4aee-ac09-57a56b2c3ceb</stp>
        <tr r="BR12" s="132"/>
      </tp>
    </main>
    <main first="rtdsrv.458a5932996f485b8b1b8d7cbb3f77a6">
      <tp>
        <v>1</v>
        <stp/>
        <stp>c8a2266c-66f2-4f49-86f4-34946aa98111</stp>
        <tr r="AK19" s="130"/>
      </tp>
    </main>
    <main first="rtdsrv.458a5932996f485b8b1b8d7cbb3f77a6">
      <tp>
        <v>1</v>
        <stp/>
        <stp>ca464c1e-dc89-48e6-a0cc-1679d68d8062</stp>
        <tr r="AC5" s="132"/>
      </tp>
      <tp>
        <v>1</v>
        <stp/>
        <stp>2a841adc-a1d5-4db3-9471-5131bf5251f7</stp>
        <tr r="W16" s="132"/>
      </tp>
    </main>
    <main first="rtdsrv.458a5932996f485b8b1b8d7cbb3f77a6">
      <tp>
        <v>1</v>
        <stp/>
        <stp>67e32282-ec68-4bdf-ac57-ee625b643754</stp>
        <tr r="HF12" s="132"/>
      </tp>
      <tp>
        <v>1</v>
        <stp/>
        <stp>c0e63a01-f72a-4bd3-b545-e332b2ac929b</stp>
        <tr r="O65" s="130"/>
      </tp>
    </main>
    <main first="rtdsrv.458a5932996f485b8b1b8d7cbb3f77a6">
      <tp>
        <v>1</v>
        <stp/>
        <stp>e3310add-93fe-4df0-b948-9b4636cf987f</stp>
        <tr r="FU8" s="132"/>
      </tp>
    </main>
    <main first="rtdsrv.458a5932996f485b8b1b8d7cbb3f77a6">
      <tp>
        <v>1</v>
        <stp/>
        <stp>e94ad780-c1ac-47ea-b276-9adfeae85860</stp>
        <tr r="EU16" s="132"/>
      </tp>
    </main>
    <main first="rtdsrv.458a5932996f485b8b1b8d7cbb3f77a6">
      <tp>
        <v>1</v>
        <stp/>
        <stp>1547c792-30e3-43ca-83e4-946fd363c14a</stp>
        <tr r="EJ13" s="132"/>
      </tp>
      <tp>
        <v>1</v>
        <stp/>
        <stp>d49cb01d-452d-462b-8d4c-be631b7e3bb3</stp>
        <tr r="BA44" s="130"/>
      </tp>
    </main>
    <main first="rtdsrv.458a5932996f485b8b1b8d7cbb3f77a6">
      <tp>
        <v>1</v>
        <stp/>
        <stp>ae6c4187-7f1b-4560-a0e1-2464ae7fcdef</stp>
        <tr r="W70" s="130"/>
      </tp>
    </main>
    <main first="rtdsrv.458a5932996f485b8b1b8d7cbb3f77a6">
      <tp>
        <v>1</v>
        <stp/>
        <stp>a657138b-910b-4d5f-ae8c-08efc823da58</stp>
        <tr r="AU81" s="130"/>
      </tp>
    </main>
    <main first="rtdsrv.458a5932996f485b8b1b8d7cbb3f77a6">
      <tp>
        <v>1</v>
        <stp/>
        <stp>62ce4773-4ee1-493f-aabf-0bac80247d95</stp>
        <tr r="L9" s="130"/>
      </tp>
    </main>
    <main first="rtdsrv.458a5932996f485b8b1b8d7cbb3f77a6">
      <tp>
        <v>1</v>
        <stp/>
        <stp>e6a6f657-743b-4faf-ab6c-8fb6fa9aacf7</stp>
        <tr r="T5" s="130"/>
      </tp>
    </main>
    <main first="rtdsrv.458a5932996f485b8b1b8d7cbb3f77a6">
      <tp>
        <v>1</v>
        <stp/>
        <stp>0c7d184d-cd87-466b-ba56-d829ea91d5d7</stp>
        <tr r="AC78" s="130"/>
      </tp>
    </main>
    <main first="rtdsrv.458a5932996f485b8b1b8d7cbb3f77a6">
      <tp>
        <v>1</v>
        <stp/>
        <stp>7546c211-df29-4a9d-93c2-69fa1f8bc811</stp>
        <tr r="L6" s="132"/>
      </tp>
    </main>
    <main first="rtdsrv.458a5932996f485b8b1b8d7cbb3f77a6">
      <tp>
        <v>1</v>
        <stp/>
        <stp>e59f932c-2ddd-4a49-b66e-d26332a3d8c8</stp>
        <tr r="FW12" s="132"/>
      </tp>
    </main>
    <main first="rtdsrv.458a5932996f485b8b1b8d7cbb3f77a6">
      <tp>
        <v>1</v>
        <stp/>
        <stp>740dcc0b-b904-4181-a5a7-fe7aff7a2e0a</stp>
        <tr r="FD14" s="132"/>
      </tp>
      <tp>
        <v>1</v>
        <stp/>
        <stp>f78a3186-e51d-4e59-a3cc-ba80e8613cfd</stp>
        <tr r="K90" s="130"/>
      </tp>
      <tp>
        <v>1</v>
        <stp/>
        <stp>3419bb05-423e-4187-95a7-e1b4f495d2a3</stp>
        <tr r="FW15" s="132"/>
      </tp>
    </main>
    <main first="rtdsrv.458a5932996f485b8b1b8d7cbb3f77a6">
      <tp>
        <v>1</v>
        <stp/>
        <stp>06855e65-4a5d-4f5d-970b-a0e0224a92b8</stp>
        <tr r="AB75" s="130"/>
      </tp>
    </main>
    <main first="rtdsrv.458a5932996f485b8b1b8d7cbb3f77a6">
      <tp>
        <v>1</v>
        <stp/>
        <stp>b7330c3f-42da-4bb5-8ae1-ee8464377b77</stp>
        <tr r="BD59" s="130"/>
      </tp>
    </main>
    <main first="rtdsrv.458a5932996f485b8b1b8d7cbb3f77a6">
      <tp>
        <v>1</v>
        <stp/>
        <stp>6f579f8d-ee07-4483-82cb-27e4885029e7</stp>
        <tr r="BI82" s="130"/>
      </tp>
    </main>
    <main first="rtdsrv.458a5932996f485b8b1b8d7cbb3f77a6">
      <tp>
        <v>1</v>
        <stp/>
        <stp>d1ded7c0-582a-465f-900d-22e375e0dad0</stp>
        <tr r="AP46" s="130"/>
        <tr r="AP51" s="130"/>
      </tp>
      <tp>
        <v>1</v>
        <stp/>
        <stp>4b52f2ca-97f7-4779-a4f3-3f990b1131e1</stp>
        <tr r="AS27" s="130"/>
      </tp>
      <tp>
        <v>1</v>
        <stp/>
        <stp>0e01f26e-c216-4c57-986a-118001fc4646</stp>
        <tr r="BK75" s="130"/>
      </tp>
      <tp>
        <v>1</v>
        <stp/>
        <stp>7ed3ef67-098d-4d33-ae50-dab5b56bfb07</stp>
        <tr r="AU9" s="130"/>
      </tp>
    </main>
    <main first="rtdsrv.458a5932996f485b8b1b8d7cbb3f77a6">
      <tp>
        <v>1</v>
        <stp/>
        <stp>93817b01-6e31-45d2-a1b0-234db40513f3</stp>
        <tr r="E70" s="130"/>
      </tp>
      <tp>
        <v>1</v>
        <stp/>
        <stp>633bd186-f160-4101-a934-702ab32a3f17</stp>
        <tr r="AS17" s="130"/>
      </tp>
    </main>
    <main first="rtdsrv.458a5932996f485b8b1b8d7cbb3f77a6">
      <tp>
        <v>1</v>
        <stp/>
        <stp>0735d816-ecce-4182-8ab6-890776abb693</stp>
        <tr r="EL7" s="132"/>
      </tp>
    </main>
    <main first="rtdsrv.458a5932996f485b8b1b8d7cbb3f77a6">
      <tp>
        <v>1</v>
        <stp/>
        <stp>6ba3fbb4-9a19-4b15-8859-d86d264034f3</stp>
        <tr r="FZ8" s="132"/>
      </tp>
      <tp>
        <v>1</v>
        <stp/>
        <stp>9fdb6276-1b09-490b-b9d7-ccd00b834ae6</stp>
        <tr r="AD96" s="130"/>
      </tp>
      <tp>
        <v>1</v>
        <stp/>
        <stp>27e92626-4e32-48e3-aa51-0cb43d89d7fa</stp>
        <tr r="AK18" s="130"/>
      </tp>
      <tp>
        <v>1</v>
        <stp/>
        <stp>861b3625-c435-46a9-bfe3-c298d71df93e</stp>
        <tr r="DQ9" s="132"/>
      </tp>
    </main>
    <main first="rtdsrv.458a5932996f485b8b1b8d7cbb3f77a6">
      <tp>
        <v>1</v>
        <stp/>
        <stp>1022754d-2937-4bae-b6f6-f1aaf2aa1413</stp>
        <tr r="BF56" s="130"/>
      </tp>
    </main>
    <main first="rtdsrv.458a5932996f485b8b1b8d7cbb3f77a6">
      <tp>
        <v>1</v>
        <stp/>
        <stp>418f74ab-436c-4fa3-a26c-2efce656adb1</stp>
        <tr r="BB84" s="130"/>
      </tp>
      <tp>
        <v>1</v>
        <stp/>
        <stp>ee3ccfe3-7e37-4a7d-a7c8-95dd6151e4bf</stp>
        <tr r="BH78" s="130"/>
      </tp>
    </main>
    <main first="rtdsrv.458a5932996f485b8b1b8d7cbb3f77a6">
      <tp>
        <v>1</v>
        <stp/>
        <stp>b8a31148-b25d-43f9-bae1-93e70332d485</stp>
        <tr r="EH5" s="132"/>
      </tp>
    </main>
    <main first="rtdsrv.458a5932996f485b8b1b8d7cbb3f77a6">
      <tp>
        <v>1</v>
        <stp/>
        <stp>790d9dbf-dee8-4060-935d-e791e86f20dc</stp>
        <tr r="EV12" s="132"/>
      </tp>
    </main>
    <main first="rtdsrv.458a5932996f485b8b1b8d7cbb3f77a6">
      <tp>
        <v>1</v>
        <stp/>
        <stp>5b084c59-2da7-4ce6-b4e8-56a6d06bae66</stp>
        <tr r="P88" s="130"/>
      </tp>
    </main>
    <main first="rtdsrv.458a5932996f485b8b1b8d7cbb3f77a6">
      <tp>
        <v>1</v>
        <stp/>
        <stp>2e9c3e97-39a7-45f2-8bbc-5ad133ec32ca</stp>
        <tr r="AO65" s="130"/>
      </tp>
    </main>
    <main first="rtdsrv.458a5932996f485b8b1b8d7cbb3f77a6">
      <tp>
        <v>1</v>
        <stp/>
        <stp>a3ce9d54-d882-4b0d-8d54-c8fdcac5c8f7</stp>
        <tr r="L64" s="130"/>
      </tp>
      <tp>
        <v>1</v>
        <stp/>
        <stp>0fcb017a-354a-412b-b7b9-1c5d37e7631d</stp>
        <tr r="AL83" s="130"/>
      </tp>
    </main>
    <main first="rtdsrv.458a5932996f485b8b1b8d7cbb3f77a6">
      <tp>
        <v>1</v>
        <stp/>
        <stp>5a876acd-6cec-438d-a8c3-434356089762</stp>
        <tr r="Q18" s="130"/>
      </tp>
    </main>
    <main first="rtdsrv.458a5932996f485b8b1b8d7cbb3f77a6">
      <tp>
        <v>1</v>
        <stp/>
        <stp>3a5723de-1958-450a-ae4f-90f7f2a55702</stp>
        <tr r="EJ11" s="132"/>
      </tp>
      <tp>
        <v>1</v>
        <stp/>
        <stp>b84b952b-70d0-4cff-b08a-cd8384c1175e</stp>
        <tr r="BI70" s="130"/>
      </tp>
    </main>
    <main first="rtdsrv.458a5932996f485b8b1b8d7cbb3f77a6">
      <tp>
        <v>1</v>
        <stp/>
        <stp>4f398ba0-f4d7-4b4b-ae20-692139ed0184</stp>
        <tr r="AM28" s="130"/>
      </tp>
    </main>
    <main first="rtdsrv.458a5932996f485b8b1b8d7cbb3f77a6">
      <tp>
        <v>1</v>
        <stp/>
        <stp>55b86399-d386-4afd-b161-ad5bc5b7ab7c</stp>
        <tr r="GE9" s="132"/>
      </tp>
    </main>
    <main first="rtdsrv.458a5932996f485b8b1b8d7cbb3f77a6">
      <tp>
        <v>1</v>
        <stp/>
        <stp>6c4af0b4-ce56-4cb3-882c-0b9c65f31e58</stp>
        <tr r="AE72" s="130"/>
      </tp>
    </main>
    <main first="rtdsrv.458a5932996f485b8b1b8d7cbb3f77a6">
      <tp>
        <v>1</v>
        <stp/>
        <stp>aae06def-233e-4b75-8994-73aae89933e6</stp>
        <tr r="CF8" s="132"/>
      </tp>
      <tp>
        <v>1</v>
        <stp/>
        <stp>ec36ae0c-c957-4c01-a679-2666db742480</stp>
        <tr r="O35" s="130"/>
      </tp>
    </main>
    <main first="rtdsrv.458a5932996f485b8b1b8d7cbb3f77a6">
      <tp>
        <v>1</v>
        <stp/>
        <stp>000c1b37-538e-4822-84be-57f5f7107482</stp>
        <tr r="N89" s="130"/>
      </tp>
    </main>
    <main first="rtdsrv.458a5932996f485b8b1b8d7cbb3f77a6">
      <tp>
        <v>1</v>
        <stp/>
        <stp>3d69237a-0d18-4241-a26b-b3822625ef7e</stp>
        <tr r="H24" s="130"/>
      </tp>
    </main>
    <main first="rtdsrv.458a5932996f485b8b1b8d7cbb3f77a6">
      <tp>
        <v>1</v>
        <stp/>
        <stp>72593d71-6087-4a47-a331-7492fadc02de</stp>
        <tr r="F65" s="130"/>
      </tp>
    </main>
    <main first="rtdsrv.458a5932996f485b8b1b8d7cbb3f77a6">
      <tp>
        <v>1</v>
        <stp/>
        <stp>58b54ac0-3133-4d58-9717-cbc7078e85f6</stp>
        <tr r="BJ61" s="130"/>
      </tp>
    </main>
    <main first="rtdsrv.458a5932996f485b8b1b8d7cbb3f77a6">
      <tp>
        <v>1</v>
        <stp/>
        <stp>a70bc7a9-28b6-4585-bf43-3fdb9d6b622c</stp>
        <tr r="Y90" s="130"/>
      </tp>
    </main>
    <main first="rtdsrv.458a5932996f485b8b1b8d7cbb3f77a6">
      <tp>
        <v>1</v>
        <stp/>
        <stp>d3a29314-880c-4968-827d-47bc146957bf</stp>
        <tr r="AO74" s="130"/>
      </tp>
    </main>
    <main first="rtdsrv.458a5932996f485b8b1b8d7cbb3f77a6">
      <tp>
        <v>1</v>
        <stp/>
        <stp>b99e86e7-a659-4195-81bd-fa0c49fbbbbf</stp>
        <tr r="BO5" s="132"/>
      </tp>
      <tp>
        <v>1</v>
        <stp/>
        <stp>dfdb0544-365f-4114-9159-f2c222e4bbcd</stp>
        <tr r="BK79" s="130"/>
      </tp>
    </main>
    <main first="rtdsrv.458a5932996f485b8b1b8d7cbb3f77a6">
      <tp>
        <v>1</v>
        <stp/>
        <stp>3c83b273-4331-47f2-be97-78a55e4410e0</stp>
        <tr r="AK89" s="130"/>
      </tp>
      <tp>
        <v>1</v>
        <stp/>
        <stp>e4b798f4-23af-4025-b899-c4285aa9bdff</stp>
        <tr r="H78" s="130"/>
      </tp>
    </main>
    <main first="rtdsrv.458a5932996f485b8b1b8d7cbb3f77a6">
      <tp>
        <v>1</v>
        <stp/>
        <stp>f913b91a-8f97-4476-99f1-0c79b0b47897</stp>
        <tr r="AN42" s="130"/>
      </tp>
      <tp>
        <v>1</v>
        <stp/>
        <stp>7daaf07a-5542-4835-8503-531321c81e9e</stp>
        <tr r="BF84" s="130"/>
      </tp>
    </main>
    <main first="rtdsrv.458a5932996f485b8b1b8d7cbb3f77a6">
      <tp>
        <v>1</v>
        <stp/>
        <stp>db04df67-f923-44bf-a9f6-43345022eb3c</stp>
        <tr r="AK41" s="130"/>
      </tp>
    </main>
    <main first="rtdsrv.458a5932996f485b8b1b8d7cbb3f77a6">
      <tp>
        <v>1</v>
        <stp/>
        <stp>234e94a1-a85d-42ad-8b1d-f0dd1e44feb1</stp>
        <tr r="AJ60" s="130"/>
      </tp>
      <tp>
        <v>1</v>
        <stp/>
        <stp>3d9c201f-31cc-4edc-baa6-f771aebcc4a9</stp>
        <tr r="AX32" s="130"/>
      </tp>
    </main>
    <main first="rtdsrv.458a5932996f485b8b1b8d7cbb3f77a6">
      <tp>
        <v>1</v>
        <stp/>
        <stp>96dd7050-a15f-43d5-8ff8-ccd79bf336af</stp>
        <tr r="U35" s="130"/>
      </tp>
    </main>
    <main first="rtdsrv.458a5932996f485b8b1b8d7cbb3f77a6">
      <tp>
        <v>1</v>
        <stp/>
        <stp>d419538a-a9f7-47a6-9dc5-60a62fce0fc1</stp>
        <tr r="F9" s="130"/>
      </tp>
    </main>
    <main first="rtdsrv.458a5932996f485b8b1b8d7cbb3f77a6">
      <tp>
        <v>1</v>
        <stp/>
        <stp>3022586d-7c02-4328-811c-3a435d5cd0ac</stp>
        <tr r="F75" s="130"/>
      </tp>
      <tp>
        <v>1</v>
        <stp/>
        <stp>2a2851d5-672e-4555-adbe-e35d53bc8272</stp>
        <tr r="N95" s="130"/>
      </tp>
    </main>
    <main first="rtdsrv.458a5932996f485b8b1b8d7cbb3f77a6">
      <tp>
        <v>1</v>
        <stp/>
        <stp>ca142bcb-d712-463f-9e09-8136de911f26</stp>
        <tr r="E30" s="130"/>
      </tp>
    </main>
    <main first="rtdsrv.458a5932996f485b8b1b8d7cbb3f77a6">
      <tp>
        <v>1</v>
        <stp/>
        <stp>65a48f58-6709-4b2f-9ea4-0c0a0762f551</stp>
        <tr r="BF25" s="130"/>
      </tp>
    </main>
    <main first="rtdsrv.458a5932996f485b8b1b8d7cbb3f77a6">
      <tp>
        <v>1</v>
        <stp/>
        <stp>2c91496e-c903-4480-ac94-c4b10bf54eb7</stp>
        <tr r="FA11" s="132"/>
      </tp>
    </main>
    <main first="rtdsrv.458a5932996f485b8b1b8d7cbb3f77a6">
      <tp>
        <v>1</v>
        <stp/>
        <stp>59191406-cb82-4000-9663-291a0faad4d7</stp>
        <tr r="AL96" s="130"/>
      </tp>
    </main>
    <main first="rtdsrv.458a5932996f485b8b1b8d7cbb3f77a6">
      <tp>
        <v>1</v>
        <stp/>
        <stp>23b60e7d-dc0b-4115-b707-acb17412fc7a</stp>
        <tr r="AK84" s="130"/>
      </tp>
      <tp>
        <v>1</v>
        <stp/>
        <stp>53fe8040-73fc-4c67-a67d-72507f4d0ca6</stp>
        <tr r="BB74" s="130"/>
      </tp>
    </main>
    <main first="rtdsrv.458a5932996f485b8b1b8d7cbb3f77a6">
      <tp>
        <v>1</v>
        <stp/>
        <stp>234ef5d6-0171-43d9-a959-c826bc996b6f</stp>
        <tr r="BE42" s="130"/>
      </tp>
      <tp>
        <v>1</v>
        <stp/>
        <stp>a190eeee-460b-4163-b978-9ee500ee3278</stp>
        <tr r="AG25" s="130"/>
      </tp>
    </main>
    <main first="rtdsrv.458a5932996f485b8b1b8d7cbb3f77a6">
      <tp>
        <v>1</v>
        <stp/>
        <stp>9a099570-410e-46ce-a537-813f765612b9</stp>
        <tr r="AM22" s="130"/>
      </tp>
    </main>
    <main first="rtdsrv.458a5932996f485b8b1b8d7cbb3f77a6">
      <tp>
        <v>1</v>
        <stp/>
        <stp>8321afb1-8b7b-4ee5-99dd-456b73d4b9a5</stp>
        <tr r="AG92" s="130"/>
      </tp>
    </main>
    <main first="rtdsrv.458a5932996f485b8b1b8d7cbb3f77a6">
      <tp>
        <v>1</v>
        <stp/>
        <stp>312e88db-bc0c-4f78-99da-442769420946</stp>
        <tr r="J11" s="132"/>
      </tp>
      <tp>
        <v>1</v>
        <stp/>
        <stp>a30d6db0-5bba-4299-95cb-b1c7734479ce</stp>
        <tr r="AJ17" s="130"/>
      </tp>
    </main>
    <main first="rtdsrv.458a5932996f485b8b1b8d7cbb3f77a6">
      <tp>
        <v>1</v>
        <stp/>
        <stp>e6335ec2-d7ef-4c45-98fd-d35d42da3f48</stp>
        <tr r="AE34" s="130"/>
      </tp>
      <tp>
        <v>1</v>
        <stp/>
        <stp>fbcbdaf2-12c8-4417-bd7d-2c1384441f0c</stp>
        <tr r="AI57" s="130"/>
      </tp>
    </main>
    <main first="rtdsrv.458a5932996f485b8b1b8d7cbb3f77a6">
      <tp>
        <v>1</v>
        <stp/>
        <stp>f2d5eaa7-b7e9-4867-85b6-c3dc7ac285e9</stp>
        <tr r="BI89" s="130"/>
      </tp>
    </main>
    <main first="rtdsrv.458a5932996f485b8b1b8d7cbb3f77a6">
      <tp>
        <v>1</v>
        <stp/>
        <stp>5f89d44c-36a1-4f36-b6eb-ca906b7af20d</stp>
        <tr r="BD13" s="130"/>
      </tp>
    </main>
    <main first="rtdsrv.458a5932996f485b8b1b8d7cbb3f77a6">
      <tp>
        <v>1</v>
        <stp/>
        <stp>75cbadb8-0bbd-4710-b5a1-95ac25c2237b</stp>
        <tr r="Y66" s="130"/>
      </tp>
    </main>
    <main first="rtdsrv.458a5932996f485b8b1b8d7cbb3f77a6">
      <tp>
        <v>1</v>
        <stp/>
        <stp>01544238-e3f8-4885-8dce-0c23443f7d6d</stp>
        <tr r="HC9" s="132"/>
      </tp>
    </main>
    <main first="rtdsrv.458a5932996f485b8b1b8d7cbb3f77a6">
      <tp>
        <v>1</v>
        <stp/>
        <stp>40c95d17-d4c8-4485-bd63-ef7f62a3ddd7</stp>
        <tr r="AE88" s="130"/>
      </tp>
    </main>
    <main first="rtdsrv.458a5932996f485b8b1b8d7cbb3f77a6">
      <tp>
        <v>1</v>
        <stp/>
        <stp>358304b9-a2a0-406c-98b2-ea13048b6740</stp>
        <tr r="DM9" s="132"/>
      </tp>
      <tp>
        <v>1</v>
        <stp/>
        <stp>c79f0bcc-a30b-42dc-8fc0-6b722d18c187</stp>
        <tr r="DP15" s="132"/>
      </tp>
    </main>
    <main first="rtdsrv.458a5932996f485b8b1b8d7cbb3f77a6">
      <tp>
        <v>1</v>
        <stp/>
        <stp>f553f56c-cc93-4cff-b33e-23c2cd6afb74</stp>
        <tr r="AI99" s="130"/>
      </tp>
      <tp>
        <v>1</v>
        <stp/>
        <stp>f13f0109-7565-4280-8e9f-9a3068280d6d</stp>
        <tr r="AQ14" s="132"/>
      </tp>
      <tp>
        <v>1</v>
        <stp/>
        <stp>72a51055-a516-42df-9ebf-ebf4bb4bcd2b</stp>
        <tr r="AF17" s="130"/>
      </tp>
    </main>
    <main first="rtdsrv.458a5932996f485b8b1b8d7cbb3f77a6">
      <tp>
        <v>1</v>
        <stp/>
        <stp>ca4b1e6c-150e-4436-84b3-5abe2760447d</stp>
        <tr r="AT73" s="130"/>
      </tp>
      <tp>
        <v>1</v>
        <stp/>
        <stp>d47fcbde-1260-4de7-8b63-3ede867906f9</stp>
        <tr r="AD85" s="130"/>
      </tp>
    </main>
    <main first="rtdsrv.458a5932996f485b8b1b8d7cbb3f77a6">
      <tp>
        <v>1</v>
        <stp/>
        <stp>dea9f64f-6444-4aca-aed0-fde1bf5bdaf1</stp>
        <tr r="BJ14" s="132"/>
      </tp>
    </main>
    <main first="rtdsrv.458a5932996f485b8b1b8d7cbb3f77a6">
      <tp>
        <v>1</v>
        <stp/>
        <stp>9aa133a7-ae6c-430a-9084-68e38cdc527b</stp>
        <tr r="AA68" s="130"/>
      </tp>
    </main>
    <main first="rtdsrv.458a5932996f485b8b1b8d7cbb3f77a6">
      <tp>
        <v>1</v>
        <stp/>
        <stp>3af1c3b8-e1d1-47bd-9617-41c8cee9f5d7</stp>
        <tr r="J18" s="130"/>
      </tp>
    </main>
    <main first="rtdsrv.458a5932996f485b8b1b8d7cbb3f77a6">
      <tp>
        <v>1</v>
        <stp/>
        <stp>dcfe4975-834b-4b63-891d-8f080fdbfc2b</stp>
        <tr r="D28" s="130"/>
      </tp>
      <tp>
        <v>1</v>
        <stp/>
        <stp>03fc3952-8fd6-4acd-a5b1-dca71cd0f7a4</stp>
        <tr r="AF61" s="130"/>
      </tp>
    </main>
    <main first="rtdsrv.458a5932996f485b8b1b8d7cbb3f77a6">
      <tp>
        <v>1</v>
        <stp/>
        <stp>df18f2b5-28ff-46ec-a30c-0a9944391cb8</stp>
        <tr r="FW9" s="132"/>
      </tp>
      <tp>
        <v>1</v>
        <stp/>
        <stp>467c1612-9079-4f15-b8fe-e2ddeb2419e6</stp>
        <tr r="AE91" s="130"/>
      </tp>
    </main>
    <main first="rtdsrv.458a5932996f485b8b1b8d7cbb3f77a6">
      <tp>
        <v>1</v>
        <stp/>
        <stp>47478256-8085-408a-8fdc-84730973d621</stp>
        <tr r="D46" s="130"/>
        <tr r="D51" s="130"/>
      </tp>
    </main>
    <main first="rtdsrv.458a5932996f485b8b1b8d7cbb3f77a6">
      <tp>
        <v>1</v>
        <stp/>
        <stp>c2c56a7c-c496-4e33-b47c-f7e45c61cc0b</stp>
        <tr r="BX11" s="132"/>
      </tp>
    </main>
    <main first="rtdsrv.458a5932996f485b8b1b8d7cbb3f77a6">
      <tp>
        <v>1</v>
        <stp/>
        <stp>7a678b41-30e1-41e0-91de-1cab42b6d641</stp>
        <tr r="AV13" s="132"/>
      </tp>
    </main>
    <main first="rtdsrv.458a5932996f485b8b1b8d7cbb3f77a6">
      <tp>
        <v>1</v>
        <stp/>
        <stp>e332282a-d027-46cb-b9e3-f90bc67ebde9</stp>
        <tr r="R77" s="130"/>
      </tp>
    </main>
    <main first="rtdsrv.458a5932996f485b8b1b8d7cbb3f77a6">
      <tp>
        <v>1</v>
        <stp/>
        <stp>dc9dd308-24b7-4232-90c2-e1a38c679b9d</stp>
        <tr r="AI71" s="130"/>
      </tp>
    </main>
    <main first="rtdsrv.458a5932996f485b8b1b8d7cbb3f77a6">
      <tp>
        <v>1</v>
        <stp/>
        <stp>b7f578c0-be78-4e03-9d6e-2db2565ed93f</stp>
        <tr r="BB62" s="130"/>
      </tp>
    </main>
    <main first="rtdsrv.458a5932996f485b8b1b8d7cbb3f77a6">
      <tp>
        <v>1</v>
        <stp/>
        <stp>ca11c9a7-9b1e-4c25-9870-1dd66a78ce08</stp>
        <tr r="AZ52" s="130"/>
        <tr r="AZ47" s="130"/>
      </tp>
    </main>
    <main first="rtdsrv.458a5932996f485b8b1b8d7cbb3f77a6">
      <tp>
        <v>1</v>
        <stp/>
        <stp>9c4b548e-188d-482a-bb32-edc24caf40e6</stp>
        <tr r="AK55" s="130"/>
      </tp>
    </main>
    <main first="rtdsrv.458a5932996f485b8b1b8d7cbb3f77a6">
      <tp>
        <v>1</v>
        <stp/>
        <stp>272c977e-7e83-438a-8b2b-9d5162a25172</stp>
        <tr r="GK7" s="132"/>
      </tp>
    </main>
    <main first="rtdsrv.458a5932996f485b8b1b8d7cbb3f77a6">
      <tp>
        <v>1</v>
        <stp/>
        <stp>12be1654-d3a7-443c-a8c2-7671e0b68ebc</stp>
        <tr r="ET9" s="132"/>
      </tp>
    </main>
    <main first="rtdsrv.458a5932996f485b8b1b8d7cbb3f77a6">
      <tp>
        <v>1</v>
        <stp/>
        <stp>a7b85542-e7e8-49b5-b4bd-e426062441d8</stp>
        <tr r="M18" s="130"/>
      </tp>
      <tp>
        <v>1</v>
        <stp/>
        <stp>6c6bc0a4-002c-4b3d-9b26-820ea1cdb5c0</stp>
        <tr r="CL7" s="132"/>
      </tp>
      <tp>
        <v>1</v>
        <stp/>
        <stp>30967009-a277-4842-961e-7145e23bbb8e</stp>
        <tr r="AH31" s="130"/>
      </tp>
      <tp>
        <v>1</v>
        <stp/>
        <stp>ff9b2401-6837-436f-924f-2e060e3ea552</stp>
        <tr r="DH5" s="132"/>
      </tp>
    </main>
    <main first="rtdsrv.458a5932996f485b8b1b8d7cbb3f77a6">
      <tp>
        <v>1</v>
        <stp/>
        <stp>a04691f4-6f75-41bd-b534-6c307e252ec7</stp>
        <tr r="AT5" s="130"/>
      </tp>
    </main>
    <main first="rtdsrv.458a5932996f485b8b1b8d7cbb3f77a6">
      <tp>
        <v>1</v>
        <stp/>
        <stp>bebdd596-d802-45c3-8816-747024d8d5d4</stp>
        <tr r="EH12" s="132"/>
      </tp>
    </main>
    <main first="rtdsrv.458a5932996f485b8b1b8d7cbb3f77a6">
      <tp>
        <v>1</v>
        <stp/>
        <stp>a54d6f72-0137-422d-8eb9-5add9b598e8c</stp>
        <tr r="R88" s="130"/>
      </tp>
    </main>
    <main first="rtdsrv.458a5932996f485b8b1b8d7cbb3f77a6">
      <tp>
        <v>1</v>
        <stp/>
        <stp>4b8f5b7d-5b79-4247-9f99-49a3bc5c1bb3</stp>
        <tr r="AJ86" s="130"/>
      </tp>
    </main>
    <main first="rtdsrv.458a5932996f485b8b1b8d7cbb3f77a6">
      <tp>
        <v>1</v>
        <stp/>
        <stp>d167d644-c5c4-4477-8071-1bc445016073</stp>
        <tr r="Z75" s="130"/>
      </tp>
    </main>
    <main first="rtdsrv.458a5932996f485b8b1b8d7cbb3f77a6">
      <tp>
        <v>1</v>
        <stp/>
        <stp>544362e0-b07f-4c1b-a61b-dc634f6c41aa</stp>
        <tr r="I18" s="130"/>
      </tp>
    </main>
    <main first="rtdsrv.458a5932996f485b8b1b8d7cbb3f77a6">
      <tp>
        <v>1</v>
        <stp/>
        <stp>a6adb760-f4f7-4828-842a-00dbffa658ee</stp>
        <tr r="G16" s="130"/>
      </tp>
    </main>
    <main first="rtdsrv.458a5932996f485b8b1b8d7cbb3f77a6">
      <tp>
        <v>1</v>
        <stp/>
        <stp>bb334032-4363-474b-bb38-f93d58c1b599</stp>
        <tr r="AY9" s="132"/>
      </tp>
    </main>
    <main first="rtdsrv.458a5932996f485b8b1b8d7cbb3f77a6">
      <tp>
        <v>1</v>
        <stp/>
        <stp>c56785d7-3144-4a11-8aec-ec3baea68b02</stp>
        <tr r="EC11" s="132"/>
      </tp>
    </main>
    <main first="rtdsrv.458a5932996f485b8b1b8d7cbb3f77a6">
      <tp>
        <v>1</v>
        <stp/>
        <stp>a40ffda9-2aa7-4eeb-9146-524d26ddd354</stp>
        <tr r="AM31" s="130"/>
      </tp>
      <tp>
        <v>1</v>
        <stp/>
        <stp>7f3f3f3b-bb54-4660-b676-4c4740e735f1</stp>
        <tr r="BB64" s="130"/>
      </tp>
    </main>
    <main first="rtdsrv.458a5932996f485b8b1b8d7cbb3f77a6">
      <tp>
        <v>1</v>
        <stp/>
        <stp>8c6e4fa5-8abe-43d2-af2e-36da38e3b01c</stp>
        <tr r="E45" s="130"/>
      </tp>
    </main>
    <main first="rtdsrv.458a5932996f485b8b1b8d7cbb3f77a6">
      <tp>
        <v>1</v>
        <stp/>
        <stp>f3768e83-b406-48aa-b12c-2f86ffeb7dfd</stp>
        <tr r="BI16" s="132"/>
      </tp>
      <tp>
        <v>1</v>
        <stp/>
        <stp>674f70c5-4f4e-41ab-960f-a82c085eab36</stp>
        <tr r="AU8" s="132"/>
      </tp>
      <tp>
        <v>1</v>
        <stp/>
        <stp>759592cc-5c21-49bb-b078-a7ec1b201152</stp>
        <tr r="BN12" s="132"/>
      </tp>
      <tp>
        <v>1</v>
        <stp/>
        <stp>a57722bf-0ccc-4070-b81f-92083aaa7fbd</stp>
        <tr r="HA9" s="132"/>
      </tp>
    </main>
    <main first="rtdsrv.458a5932996f485b8b1b8d7cbb3f77a6">
      <tp>
        <v>1</v>
        <stp/>
        <stp>b0417c7c-4e3e-4d76-a3cd-baf7f311fc6a</stp>
        <tr r="BI66" s="130"/>
      </tp>
      <tp>
        <v>1</v>
        <stp/>
        <stp>9928ec28-5aea-4198-b0d3-435246725535</stp>
        <tr r="T87" s="130"/>
      </tp>
    </main>
    <main first="rtdsrv.458a5932996f485b8b1b8d7cbb3f77a6">
      <tp>
        <v>1</v>
        <stp/>
        <stp>69a8374f-8967-4f47-a4ed-fc843e587afc</stp>
        <tr r="BJ18" s="130"/>
      </tp>
      <tp>
        <v>1</v>
        <stp/>
        <stp>f46247c8-0d1b-494e-ace9-f3f54354508b</stp>
        <tr r="BH72" s="130"/>
      </tp>
    </main>
    <main first="rtdsrv.458a5932996f485b8b1b8d7cbb3f77a6">
      <tp>
        <v>1</v>
        <stp/>
        <stp>63bcbed7-3565-4d0e-8a65-ca3f41403ebc</stp>
        <tr r="X89" s="130"/>
      </tp>
    </main>
    <main first="rtdsrv.458a5932996f485b8b1b8d7cbb3f77a6">
      <tp>
        <v>1</v>
        <stp/>
        <stp>e2f81547-7176-4c53-b4e7-cbecaf858ae8</stp>
        <tr r="AF15" s="132"/>
      </tp>
      <tp>
        <v>1</v>
        <stp/>
        <stp>a488c8b9-dfc3-4ce8-a0eb-cd8db6263d8d</stp>
        <tr r="BC66" s="130"/>
      </tp>
    </main>
    <main first="rtdsrv.458a5932996f485b8b1b8d7cbb3f77a6">
      <tp>
        <v>1</v>
        <stp/>
        <stp>68587ae8-8c76-4c47-9211-d27dadadd288</stp>
        <tr r="AT88" s="130"/>
      </tp>
    </main>
    <main first="rtdsrv.458a5932996f485b8b1b8d7cbb3f77a6">
      <tp>
        <v>1</v>
        <stp/>
        <stp>b6d36e6a-4c85-425c-9867-6b86d0d9cc65</stp>
        <tr r="GF11" s="132"/>
      </tp>
    </main>
    <main first="rtdsrv.458a5932996f485b8b1b8d7cbb3f77a6">
      <tp>
        <v>1</v>
        <stp/>
        <stp>e5d34409-e3fa-4a90-adce-e37a57ae6080</stp>
        <tr r="AW40" s="130"/>
      </tp>
    </main>
    <main first="rtdsrv.458a5932996f485b8b1b8d7cbb3f77a6">
      <tp>
        <v>1</v>
        <stp/>
        <stp>38d61e93-058f-42c4-b5b1-f8679529851b</stp>
        <tr r="AA70" s="130"/>
      </tp>
    </main>
    <main first="rtdsrv.458a5932996f485b8b1b8d7cbb3f77a6">
      <tp>
        <v>1</v>
        <stp/>
        <stp>ee120b5a-4aab-45da-9fa8-7bbc6fda3477</stp>
        <tr r="BC32" s="130"/>
      </tp>
    </main>
    <main first="rtdsrv.458a5932996f485b8b1b8d7cbb3f77a6">
      <tp>
        <v>1</v>
        <stp/>
        <stp>86de88c7-c8cd-4087-afc4-591e911f32f1</stp>
        <tr r="AY92" s="130"/>
      </tp>
    </main>
    <main first="rtdsrv.458a5932996f485b8b1b8d7cbb3f77a6">
      <tp>
        <v>1</v>
        <stp/>
        <stp>6a0be65f-328f-442f-8dc3-c1c366393e9b</stp>
        <tr r="GM14" s="132"/>
      </tp>
      <tp>
        <v>1</v>
        <stp/>
        <stp>41dbf2db-1fd5-4e50-b42e-2f823ddd3120</stp>
        <tr r="BH36" s="130"/>
      </tp>
    </main>
    <main first="rtdsrv.458a5932996f485b8b1b8d7cbb3f77a6">
      <tp>
        <v>1</v>
        <stp/>
        <stp>1cb43754-58f8-4a22-a061-990a6f7ee94c</stp>
        <tr r="N34" s="130"/>
      </tp>
      <tp>
        <v>1</v>
        <stp/>
        <stp>2cca2994-25aa-4d16-aa10-79cc27ed8b49</stp>
        <tr r="FS5" s="132"/>
      </tp>
    </main>
    <main first="rtdsrv.458a5932996f485b8b1b8d7cbb3f77a6">
      <tp>
        <v>1</v>
        <stp/>
        <stp>a39050a1-fb50-4702-be65-8bc91b2c9b36</stp>
        <tr r="AT44" s="130"/>
      </tp>
    </main>
    <main first="rtdsrv.458a5932996f485b8b1b8d7cbb3f77a6">
      <tp>
        <v>1</v>
        <stp/>
        <stp>3acbb6db-9a40-4cf1-b0f8-2759a5628805</stp>
        <tr r="DI14" s="132"/>
      </tp>
    </main>
    <main first="rtdsrv.458a5932996f485b8b1b8d7cbb3f77a6">
      <tp>
        <v>1</v>
        <stp/>
        <stp>c673bda6-cb77-494f-8058-621d7723cda1</stp>
        <tr r="FJ15" s="132"/>
      </tp>
    </main>
    <main first="rtdsrv.458a5932996f485b8b1b8d7cbb3f77a6">
      <tp>
        <v>1</v>
        <stp/>
        <stp>ce555c0f-81e4-4e2e-9f48-19d8f0258e48</stp>
        <tr r="AF75" s="130"/>
      </tp>
      <tp>
        <v>1</v>
        <stp/>
        <stp>0b3afe92-afa8-4b66-a504-76ccb7397bf4</stp>
        <tr r="W5" s="132"/>
      </tp>
    </main>
    <main first="rtdsrv.458a5932996f485b8b1b8d7cbb3f77a6">
      <tp>
        <v>1</v>
        <stp/>
        <stp>1cb5779f-8424-43d0-81ac-06cbc0b0c8ce</stp>
        <tr r="CS15" s="132"/>
      </tp>
    </main>
    <main first="rtdsrv.458a5932996f485b8b1b8d7cbb3f77a6">
      <tp>
        <v>1</v>
        <stp/>
        <stp>61832c1e-a734-460c-817a-1c93c391f411</stp>
        <tr r="BS13" s="132"/>
      </tp>
      <tp>
        <v>1</v>
        <stp/>
        <stp>ca31ba96-8030-46b4-ab85-5242701f65d0</stp>
        <tr r="AA56" s="130"/>
      </tp>
    </main>
    <main first="rtdsrv.458a5932996f485b8b1b8d7cbb3f77a6">
      <tp>
        <v>1</v>
        <stp/>
        <stp>dafadce4-7dfa-4bbe-8998-3f0044dbd8e4</stp>
        <tr r="O16" s="130"/>
      </tp>
      <tp>
        <v>1</v>
        <stp/>
        <stp>c020ae91-3334-49e2-a3fd-6de6d4d06a3c</stp>
        <tr r="AB15" s="132"/>
      </tp>
    </main>
    <main first="rtdsrv.458a5932996f485b8b1b8d7cbb3f77a6">
      <tp>
        <v>1</v>
        <stp/>
        <stp>bd3bda1c-f155-45c8-902a-471b5e92384e</stp>
        <tr r="AW23" s="130"/>
      </tp>
    </main>
    <main first="rtdsrv.458a5932996f485b8b1b8d7cbb3f77a6">
      <tp>
        <v>1</v>
        <stp/>
        <stp>9c09efb1-7fda-4cae-b6a8-eb6d73007dd3</stp>
        <tr r="AD20" s="130"/>
      </tp>
    </main>
    <main first="rtdsrv.458a5932996f485b8b1b8d7cbb3f77a6">
      <tp>
        <v>1</v>
        <stp/>
        <stp>224619f7-9e42-4a5a-b890-3fdbb646b984</stp>
        <tr r="AX71" s="130"/>
      </tp>
    </main>
    <main first="rtdsrv.458a5932996f485b8b1b8d7cbb3f77a6">
      <tp>
        <v>1</v>
        <stp/>
        <stp>12a53dfb-762a-4211-bf91-01929c0108fe</stp>
        <tr r="U91" s="130"/>
      </tp>
    </main>
    <main first="rtdsrv.458a5932996f485b8b1b8d7cbb3f77a6">
      <tp>
        <v>1</v>
        <stp/>
        <stp>8ecc22e0-766b-41f9-99d9-9ef53b152913</stp>
        <tr r="BD44" s="130"/>
      </tp>
    </main>
    <main first="rtdsrv.458a5932996f485b8b1b8d7cbb3f77a6">
      <tp>
        <v>1</v>
        <stp/>
        <stp>e8556a23-8b76-4054-8f5c-3ba4b31c2294</stp>
        <tr r="AK39" s="130"/>
      </tp>
    </main>
    <main first="rtdsrv.458a5932996f485b8b1b8d7cbb3f77a6">
      <tp>
        <v>1</v>
        <stp/>
        <stp>e5051be7-61e6-44a4-bdc2-6595571d871c</stp>
        <tr r="AX62" s="130"/>
      </tp>
      <tp>
        <v>1</v>
        <stp/>
        <stp>97aad68b-9fb3-49de-8b8f-94cdcf01e4e4</stp>
        <tr r="GD9" s="132"/>
      </tp>
    </main>
    <main first="rtdsrv.458a5932996f485b8b1b8d7cbb3f77a6">
      <tp>
        <v>1</v>
        <stp/>
        <stp>6b8201bf-d246-4a26-b81b-82234cae0b65</stp>
        <tr r="P22" s="130"/>
      </tp>
    </main>
    <main first="rtdsrv.458a5932996f485b8b1b8d7cbb3f77a6">
      <tp>
        <v>1</v>
        <stp/>
        <stp>65ceca2e-dde7-4030-b457-46823d796db1</stp>
        <tr r="BI44" s="130"/>
      </tp>
    </main>
    <main first="rtdsrv.458a5932996f485b8b1b8d7cbb3f77a6">
      <tp>
        <v>1</v>
        <stp/>
        <stp>41463379-40b8-409b-9ab0-0b926bbd350c</stp>
        <tr r="AJ62" s="130"/>
      </tp>
    </main>
    <main first="rtdsrv.458a5932996f485b8b1b8d7cbb3f77a6">
      <tp>
        <v>1</v>
        <stp/>
        <stp>c37022af-3eba-4342-9b34-1ff3540ebb96</stp>
        <tr r="AY45" s="130"/>
      </tp>
    </main>
    <main first="rtdsrv.458a5932996f485b8b1b8d7cbb3f77a6">
      <tp>
        <v>1</v>
        <stp/>
        <stp>7a152062-b0d8-4afb-87ad-568fe0f185e4</stp>
        <tr r="AI78" s="130"/>
      </tp>
    </main>
    <main first="rtdsrv.458a5932996f485b8b1b8d7cbb3f77a6">
      <tp>
        <v>1</v>
        <stp/>
        <stp>a6d917e7-6661-4a01-9cf9-bdb255796227</stp>
        <tr r="N76" s="130"/>
      </tp>
    </main>
    <main first="rtdsrv.458a5932996f485b8b1b8d7cbb3f77a6">
      <tp>
        <v>1</v>
        <stp/>
        <stp>d619430c-375f-44a2-889e-ad02eb2f6880</stp>
        <tr r="BE67" s="130"/>
      </tp>
    </main>
    <main first="rtdsrv.458a5932996f485b8b1b8d7cbb3f77a6">
      <tp>
        <v>1</v>
        <stp/>
        <stp>9684b5db-b20b-464d-9a1b-25b1cc6e7a14</stp>
        <tr r="AZ78" s="130"/>
      </tp>
    </main>
    <main first="rtdsrv.458a5932996f485b8b1b8d7cbb3f77a6">
      <tp>
        <v>1</v>
        <stp/>
        <stp>4f491fa2-fa08-4d3e-8b4c-1df501855ac0</stp>
        <tr r="AK59" s="130"/>
      </tp>
      <tp>
        <v>1</v>
        <stp/>
        <stp>f4146a9b-ca3c-4cc6-95ac-4272ab6962ac</stp>
        <tr r="AN11" s="130"/>
      </tp>
    </main>
    <main first="rtdsrv.458a5932996f485b8b1b8d7cbb3f77a6">
      <tp>
        <v>1</v>
        <stp/>
        <stp>4842c88f-75bc-473b-b96a-fae2413160d6</stp>
        <tr r="DH14" s="132"/>
      </tp>
    </main>
    <main first="rtdsrv.458a5932996f485b8b1b8d7cbb3f77a6">
      <tp>
        <v>1</v>
        <stp/>
        <stp>0a65fcfb-d143-40f1-951f-e480c2eb6c0d</stp>
        <tr r="S24" s="130"/>
      </tp>
    </main>
    <main first="rtdsrv.458a5932996f485b8b1b8d7cbb3f77a6">
      <tp>
        <v>1</v>
        <stp/>
        <stp>a8d17b96-de40-4aa2-8273-01bc397f3045</stp>
        <tr r="BJ55" s="130"/>
      </tp>
    </main>
    <main first="rtdsrv.458a5932996f485b8b1b8d7cbb3f77a6">
      <tp>
        <v>1</v>
        <stp/>
        <stp>fcd79f33-de53-49fa-988d-d4d526a40997</stp>
        <tr r="W64" s="130"/>
      </tp>
    </main>
    <main first="rtdsrv.458a5932996f485b8b1b8d7cbb3f77a6">
      <tp>
        <v>1</v>
        <stp/>
        <stp>366bd8b3-c3b3-4fe1-a287-ee32860f1486</stp>
        <tr r="AT40" s="130"/>
      </tp>
    </main>
    <main first="rtdsrv.458a5932996f485b8b1b8d7cbb3f77a6">
      <tp>
        <v>1</v>
        <stp/>
        <stp>d3033400-90f6-4b51-a8cf-f845e588ab14</stp>
        <tr r="Y19" s="130"/>
      </tp>
    </main>
    <main first="rtdsrv.458a5932996f485b8b1b8d7cbb3f77a6">
      <tp>
        <v>1</v>
        <stp/>
        <stp>67ddec1c-f95a-41eb-ba27-f49bf7139b87</stp>
        <tr r="AZ26" s="130"/>
        <tr r="AZ14" s="130"/>
      </tp>
    </main>
    <main first="rtdsrv.458a5932996f485b8b1b8d7cbb3f77a6">
      <tp>
        <v>1</v>
        <stp/>
        <stp>7145f993-3401-435b-83ac-d374701fc87e</stp>
        <tr r="AJ58" s="130"/>
      </tp>
    </main>
    <main first="rtdsrv.458a5932996f485b8b1b8d7cbb3f77a6">
      <tp>
        <v>1</v>
        <stp/>
        <stp>8df9ff61-869d-4cfa-a56f-2af1b74cd9f6</stp>
        <tr r="AV80" s="130"/>
      </tp>
    </main>
    <main first="rtdsrv.458a5932996f485b8b1b8d7cbb3f77a6">
      <tp>
        <v>1</v>
        <stp/>
        <stp>579d0d2b-50fb-4ed7-bc54-92950c1dd73c</stp>
        <tr r="AW5" s="130"/>
      </tp>
    </main>
    <main first="rtdsrv.458a5932996f485b8b1b8d7cbb3f77a6">
      <tp>
        <v>1</v>
        <stp/>
        <stp>cd9d146e-7700-46d4-9c13-e404e57a0a85</stp>
        <tr r="AH86" s="130"/>
      </tp>
    </main>
    <main first="rtdsrv.458a5932996f485b8b1b8d7cbb3f77a6">
      <tp>
        <v>1</v>
        <stp/>
        <stp>a1019143-2574-4fd7-bfda-fa01c7a9f55d</stp>
        <tr r="AV70" s="130"/>
      </tp>
    </main>
    <main first="rtdsrv.458a5932996f485b8b1b8d7cbb3f77a6">
      <tp>
        <v>1</v>
        <stp/>
        <stp>d1dcfdf9-1705-48dc-9b34-e3f6b0f07557</stp>
        <tr r="BE24" s="130"/>
      </tp>
    </main>
    <main first="rtdsrv.458a5932996f485b8b1b8d7cbb3f77a6">
      <tp>
        <v>1</v>
        <stp/>
        <stp>5b02dcf9-82a5-4994-b3e4-6d3b761068fd</stp>
        <tr r="BG60" s="130"/>
      </tp>
    </main>
    <main first="rtdsrv.458a5932996f485b8b1b8d7cbb3f77a6">
      <tp>
        <v>1</v>
        <stp/>
        <stp>0fda68f8-9301-4d69-a5f3-b91856f6d5ad</stp>
        <tr r="GB16" s="132"/>
      </tp>
      <tp>
        <v>1</v>
        <stp/>
        <stp>f20a9f41-afcc-4236-a732-d662e0d5e46b</stp>
        <tr r="EK16" s="132"/>
      </tp>
      <tp>
        <v>1</v>
        <stp/>
        <stp>68bc2234-12ff-49c2-96ea-a9ad4612aafb</stp>
        <tr r="O72" s="130"/>
      </tp>
    </main>
    <main first="rtdsrv.458a5932996f485b8b1b8d7cbb3f77a6">
      <tp>
        <v>1</v>
        <stp/>
        <stp>cbced7e9-4bf4-42cc-82ad-b363b3f98ad8</stp>
        <tr r="EE11" s="132"/>
      </tp>
    </main>
    <main first="rtdsrv.458a5932996f485b8b1b8d7cbb3f77a6">
      <tp>
        <v>1</v>
        <stp/>
        <stp>a8d4b1b1-70cc-4b9d-9fc6-f71f38c2e4fb</stp>
        <tr r="G66" s="130"/>
      </tp>
    </main>
    <main first="rtdsrv.458a5932996f485b8b1b8d7cbb3f77a6">
      <tp>
        <v>1</v>
        <stp/>
        <stp>ef798b27-6789-4cea-a8e5-fb3dd5280c2b</stp>
        <tr r="BD21" s="130"/>
      </tp>
      <tp>
        <v>1</v>
        <stp/>
        <stp>7a62ff6b-cc75-4e5e-8964-39c3652fa939</stp>
        <tr r="HC14" s="132"/>
      </tp>
    </main>
    <main first="rtdsrv.458a5932996f485b8b1b8d7cbb3f77a6">
      <tp>
        <v>1</v>
        <stp/>
        <stp>76c2a407-28d0-42b3-95de-f56862897b58</stp>
        <tr r="AB90" s="130"/>
      </tp>
    </main>
    <main first="rtdsrv.458a5932996f485b8b1b8d7cbb3f77a6">
      <tp>
        <v>1</v>
        <stp/>
        <stp>3b9cb686-f71a-4ac7-801f-3ff485f3deed</stp>
        <tr r="AW65" s="130"/>
      </tp>
      <tp>
        <v>1</v>
        <stp/>
        <stp>9ee3450b-b09a-475c-85d3-c2d54f57ec28</stp>
        <tr r="AM27" s="130"/>
      </tp>
    </main>
    <main first="rtdsrv.458a5932996f485b8b1b8d7cbb3f77a6">
      <tp>
        <v>1</v>
        <stp/>
        <stp>d828cf4e-90bc-48ed-a003-e438610a543d</stp>
        <tr r="F82" s="130"/>
      </tp>
    </main>
    <main first="rtdsrv.458a5932996f485b8b1b8d7cbb3f77a6">
      <tp>
        <v>1</v>
        <stp/>
        <stp>e7001a93-d26d-4e73-8b78-50f0603e24c9</stp>
        <tr r="O75" s="130"/>
      </tp>
    </main>
    <main first="rtdsrv.458a5932996f485b8b1b8d7cbb3f77a6">
      <tp>
        <v>1</v>
        <stp/>
        <stp>3b88582a-48dd-4c47-b3c3-f9ba355d24c4</stp>
        <tr r="AJ27" s="130"/>
      </tp>
      <tp>
        <v>1</v>
        <stp/>
        <stp>dbd396ca-6b0e-4f03-94e2-4d2d17471ede</stp>
        <tr r="BF72" s="130"/>
      </tp>
    </main>
    <main first="rtdsrv.458a5932996f485b8b1b8d7cbb3f77a6">
      <tp>
        <v>1</v>
        <stp/>
        <stp>c8b8f5df-05bb-4406-b495-972e1e541b42</stp>
        <tr r="AU89" s="130"/>
      </tp>
    </main>
    <main first="rtdsrv.458a5932996f485b8b1b8d7cbb3f77a6">
      <tp>
        <v>1</v>
        <stp/>
        <stp>e1de6a05-a202-4917-827e-7dfa8629faaf</stp>
        <tr r="G44" s="130"/>
      </tp>
    </main>
    <main first="rtdsrv.458a5932996f485b8b1b8d7cbb3f77a6">
      <tp>
        <v>1</v>
        <stp/>
        <stp>627136e1-1218-4935-a6b6-b06ec6c63f5a</stp>
        <tr r="GC7" s="132"/>
      </tp>
    </main>
    <main first="rtdsrv.458a5932996f485b8b1b8d7cbb3f77a6">
      <tp>
        <v>1</v>
        <stp/>
        <stp>a5666dd4-1303-4796-9f44-8e06aabf5d1c</stp>
        <tr r="X13" s="130"/>
      </tp>
    </main>
    <main first="rtdsrv.458a5932996f485b8b1b8d7cbb3f77a6">
      <tp>
        <v>1</v>
        <stp/>
        <stp>bc28b0e5-6e24-43ae-b9ce-7434d433daac</stp>
        <tr r="AQ8" s="130"/>
      </tp>
    </main>
    <main first="rtdsrv.458a5932996f485b8b1b8d7cbb3f77a6">
      <tp>
        <v>1</v>
        <stp/>
        <stp>ce3f8745-3082-406f-b84d-e2972685a5d3</stp>
        <tr r="GY16" s="132"/>
      </tp>
    </main>
    <main first="rtdsrv.458a5932996f485b8b1b8d7cbb3f77a6">
      <tp>
        <v>1</v>
        <stp/>
        <stp>c8a30554-77a5-4358-9f33-f6a53fd76cb1</stp>
        <tr r="AD52" s="130"/>
        <tr r="AD47" s="130"/>
      </tp>
    </main>
    <main first="rtdsrv.458a5932996f485b8b1b8d7cbb3f77a6">
      <tp>
        <v>1</v>
        <stp/>
        <stp>51629da2-6b46-4f3a-a9ec-c230d1e0bf75</stp>
        <tr r="BQ9" s="132"/>
      </tp>
    </main>
    <main first="rtdsrv.458a5932996f485b8b1b8d7cbb3f77a6">
      <tp>
        <v>1</v>
        <stp/>
        <stp>c641f82d-0cf0-4372-ab23-f8d07642321b</stp>
        <tr r="AA6" s="132"/>
      </tp>
    </main>
    <main first="rtdsrv.458a5932996f485b8b1b8d7cbb3f77a6">
      <tp>
        <v>1</v>
        <stp/>
        <stp>673586cd-25fa-4a05-923d-43607641c24b</stp>
        <tr r="O21" s="130"/>
      </tp>
    </main>
    <main first="rtdsrv.458a5932996f485b8b1b8d7cbb3f77a6">
      <tp>
        <v>1</v>
        <stp/>
        <stp>b67c6617-7f60-49b2-92a6-cb2c412285fe</stp>
        <tr r="AW61" s="130"/>
      </tp>
      <tp>
        <v>1</v>
        <stp/>
        <stp>5b2d9000-575a-4775-bf63-b54416cc1ea5</stp>
        <tr r="EN9" s="132"/>
      </tp>
    </main>
    <main first="rtdsrv.458a5932996f485b8b1b8d7cbb3f77a6">
      <tp>
        <v>1</v>
        <stp/>
        <stp>1cb67037-3ec3-4dfd-b85c-cb1d4acf5059</stp>
        <tr r="AK7" s="130"/>
      </tp>
    </main>
    <main first="rtdsrv.458a5932996f485b8b1b8d7cbb3f77a6">
      <tp>
        <v>1</v>
        <stp/>
        <stp>8d5d9756-ae5f-4fb0-937b-bca98c5d97c9</stp>
        <tr r="AS8" s="130"/>
      </tp>
      <tp>
        <v>1</v>
        <stp/>
        <stp>41ec62cd-15a0-4c8b-89ba-912c5b5faced</stp>
        <tr r="T8" s="132"/>
      </tp>
    </main>
    <main first="rtdsrv.458a5932996f485b8b1b8d7cbb3f77a6">
      <tp>
        <v>1</v>
        <stp/>
        <stp>f3bf0ab5-efa1-4ac3-97d0-723145793ebe</stp>
        <tr r="AU20" s="130"/>
      </tp>
    </main>
    <main first="rtdsrv.458a5932996f485b8b1b8d7cbb3f77a6">
      <tp>
        <v>1</v>
        <stp/>
        <stp>ad18393e-c224-4eb8-b6c8-1d98377d9462</stp>
        <tr r="DM5" s="132"/>
      </tp>
    </main>
    <main first="rtdsrv.458a5932996f485b8b1b8d7cbb3f77a6">
      <tp>
        <v>1</v>
        <stp/>
        <stp>1627eb59-6b02-47ab-9bfd-c61bd36b0a61</stp>
        <tr r="X73" s="130"/>
      </tp>
      <tp>
        <v>1</v>
        <stp/>
        <stp>67105205-2678-4026-a170-90e2764b52f2</stp>
        <tr r="J57" s="130"/>
      </tp>
      <tp>
        <v>1</v>
        <stp/>
        <stp>f2eab19f-2924-4918-8321-4ed4cea569a5</stp>
        <tr r="AI25" s="130"/>
      </tp>
    </main>
    <main first="rtdsrv.458a5932996f485b8b1b8d7cbb3f77a6">
      <tp>
        <v>1</v>
        <stp/>
        <stp>b9c5edf2-7c32-433c-9ee6-241c893c5cb6</stp>
        <tr r="C75" s="130"/>
      </tp>
    </main>
    <main first="rtdsrv.458a5932996f485b8b1b8d7cbb3f77a6">
      <tp>
        <v>1</v>
        <stp/>
        <stp>98beafe6-9871-44fc-9aca-5e8b8eeefe29</stp>
        <tr r="Q69" s="130"/>
      </tp>
    </main>
    <main first="rtdsrv.458a5932996f485b8b1b8d7cbb3f77a6">
      <tp>
        <v>1</v>
        <stp/>
        <stp>1a19013c-b69b-44ef-a336-b3639e12834d</stp>
        <tr r="BE76" s="130"/>
      </tp>
    </main>
    <main first="rtdsrv.458a5932996f485b8b1b8d7cbb3f77a6">
      <tp>
        <v>1</v>
        <stp/>
        <stp>b7d0aaef-687c-44b7-aca2-c2d2aefa5c88</stp>
        <tr r="BI34" s="130"/>
      </tp>
    </main>
    <main first="rtdsrv.458a5932996f485b8b1b8d7cbb3f77a6">
      <tp>
        <v>1</v>
        <stp/>
        <stp>9ea0fe56-760e-40d7-9351-6a073af9b747</stp>
        <tr r="BG47" s="130"/>
        <tr r="BG52" s="130"/>
      </tp>
    </main>
    <main first="rtdsrv.458a5932996f485b8b1b8d7cbb3f77a6">
      <tp>
        <v>1</v>
        <stp/>
        <stp>965f182f-39bf-47d4-abc7-df13389f160d</stp>
        <tr r="K57" s="130"/>
      </tp>
    </main>
    <main first="rtdsrv.458a5932996f485b8b1b8d7cbb3f77a6">
      <tp>
        <v>1</v>
        <stp/>
        <stp>c31cd911-eaa9-4abe-b398-9d0d5a9f54a0</stp>
        <tr r="CA7" s="132"/>
      </tp>
    </main>
    <main first="rtdsrv.458a5932996f485b8b1b8d7cbb3f77a6">
      <tp>
        <v>1</v>
        <stp/>
        <stp>5db9684f-1102-4393-a2f4-9f75dd17e8d1</stp>
        <tr r="R11" s="130"/>
      </tp>
    </main>
    <main first="rtdsrv.458a5932996f485b8b1b8d7cbb3f77a6">
      <tp>
        <v>1</v>
        <stp/>
        <stp>32aaf598-5884-467a-8c91-58d72c13035c</stp>
        <tr r="AM14" s="130"/>
        <tr r="AM26" s="130"/>
      </tp>
    </main>
    <main first="rtdsrv.458a5932996f485b8b1b8d7cbb3f77a6">
      <tp>
        <v>1</v>
        <stp/>
        <stp>c8b64852-d32b-42ad-935c-3c2b3bed56be</stp>
        <tr r="F58" s="130"/>
      </tp>
      <tp>
        <v>1</v>
        <stp/>
        <stp>8821fc5b-5894-402d-abf8-1954a67c1a75</stp>
        <tr r="DX6" s="132"/>
      </tp>
    </main>
    <main first="rtdsrv.458a5932996f485b8b1b8d7cbb3f77a6">
      <tp>
        <v>1</v>
        <stp/>
        <stp>1f9f0e5f-d89a-432a-be7c-03d0d1e701da</stp>
        <tr r="GJ13" s="132"/>
      </tp>
    </main>
    <main first="rtdsrv.458a5932996f485b8b1b8d7cbb3f77a6">
      <tp>
        <v>1</v>
        <stp/>
        <stp>775e0b12-5a19-4dd2-a735-7f55dcfb9f18</stp>
        <tr r="AO7" s="130"/>
      </tp>
    </main>
    <main first="rtdsrv.458a5932996f485b8b1b8d7cbb3f77a6">
      <tp>
        <v>1</v>
        <stp/>
        <stp>5d2e35a0-2050-4d8e-bb02-46a502ad20bb</stp>
        <tr r="G25" s="130"/>
      </tp>
    </main>
    <main first="rtdsrv.458a5932996f485b8b1b8d7cbb3f77a6">
      <tp>
        <v>1</v>
        <stp/>
        <stp>d56f108a-6030-4c1b-9c26-a58a86ec2bf9</stp>
        <tr r="AE14" s="132"/>
      </tp>
    </main>
    <main first="rtdsrv.458a5932996f485b8b1b8d7cbb3f77a6">
      <tp>
        <v>1</v>
        <stp/>
        <stp>5715d7dc-574c-4ec8-96bc-407d9950cd06</stp>
        <tr r="BT14" s="132"/>
      </tp>
    </main>
    <main first="rtdsrv.458a5932996f485b8b1b8d7cbb3f77a6">
      <tp>
        <v>1</v>
        <stp/>
        <stp>1167b530-355c-430f-a42d-015d75bfee0e</stp>
        <tr r="EU7" s="132"/>
      </tp>
    </main>
    <main first="rtdsrv.458a5932996f485b8b1b8d7cbb3f77a6">
      <tp>
        <v>1</v>
        <stp/>
        <stp>3b1d3b37-7f7b-43e7-bb04-0c432bd26335</stp>
        <tr r="BE61" s="130"/>
      </tp>
    </main>
    <main first="rtdsrv.458a5932996f485b8b1b8d7cbb3f77a6">
      <tp>
        <v>1</v>
        <stp/>
        <stp>2f69d715-1ab2-409f-a42b-94260561c737</stp>
        <tr r="AE17" s="130"/>
      </tp>
      <tp>
        <v>1</v>
        <stp/>
        <stp>c2473d5a-a743-4e1a-9369-ec5cc982e81a</stp>
        <tr r="BH56" s="130"/>
      </tp>
    </main>
    <main first="rtdsrv.458a5932996f485b8b1b8d7cbb3f77a6">
      <tp>
        <v>1</v>
        <stp/>
        <stp>aabec5d2-8f00-4c40-8adc-391df272416a</stp>
        <tr r="M9" s="130"/>
      </tp>
    </main>
    <main first="rtdsrv.458a5932996f485b8b1b8d7cbb3f77a6">
      <tp>
        <v>1</v>
        <stp/>
        <stp>fd295d1f-82ef-4495-870c-3a2edfdc188d</stp>
        <tr r="AP52" s="130"/>
        <tr r="AP47" s="130"/>
      </tp>
    </main>
    <main first="rtdsrv.458a5932996f485b8b1b8d7cbb3f77a6">
      <tp>
        <v>1</v>
        <stp/>
        <stp>85c08041-b0ef-42b0-b832-645381851cdb</stp>
        <tr r="FS12" s="132"/>
      </tp>
    </main>
    <main first="rtdsrv.458a5932996f485b8b1b8d7cbb3f77a6">
      <tp>
        <v>1</v>
        <stp/>
        <stp>d57686c1-eed1-4e00-88f8-e5463a63ef7a</stp>
        <tr r="CN11" s="132"/>
      </tp>
    </main>
    <main first="rtdsrv.458a5932996f485b8b1b8d7cbb3f77a6">
      <tp>
        <v>1</v>
        <stp/>
        <stp>8f218b90-21cf-444b-aa13-242cadc9a7d7</stp>
        <tr r="Q57" s="130"/>
      </tp>
    </main>
    <main first="rtdsrv.458a5932996f485b8b1b8d7cbb3f77a6">
      <tp>
        <v>1</v>
        <stp/>
        <stp>588dd4c0-f596-4e6c-9cfc-3806afd643e5</stp>
        <tr r="AO73" s="130"/>
      </tp>
    </main>
    <main first="rtdsrv.458a5932996f485b8b1b8d7cbb3f77a6">
      <tp>
        <v>1</v>
        <stp/>
        <stp>02de0688-d1b2-4188-8390-e2a0537c3b7f</stp>
        <tr r="AX33" s="130"/>
      </tp>
    </main>
    <main first="rtdsrv.458a5932996f485b8b1b8d7cbb3f77a6">
      <tp>
        <v>1</v>
        <stp/>
        <stp>8a93ee7e-6bd0-4db7-89b9-cf224f87eecc</stp>
        <tr r="R20" s="130"/>
      </tp>
    </main>
    <main first="rtdsrv.458a5932996f485b8b1b8d7cbb3f77a6">
      <tp>
        <v>1</v>
        <stp/>
        <stp>c8229990-5a6a-4913-abb4-baabeedcccf1</stp>
        <tr r="BC17" s="130"/>
      </tp>
    </main>
    <main first="rtdsrv.458a5932996f485b8b1b8d7cbb3f77a6">
      <tp>
        <v>1</v>
        <stp/>
        <stp>015aa582-5df9-4a35-82cb-7f32762fc57a</stp>
        <tr r="GH6" s="132"/>
      </tp>
    </main>
    <main first="rtdsrv.458a5932996f485b8b1b8d7cbb3f77a6">
      <tp>
        <v>1</v>
        <stp/>
        <stp>55d9c988-f5ec-4542-93e0-1279d5e4186e</stp>
        <tr r="AQ11" s="132"/>
      </tp>
      <tp>
        <v>1</v>
        <stp/>
        <stp>996e91e5-b991-4a2a-b6cc-c84d7b11a010</stp>
        <tr r="AF85" s="130"/>
      </tp>
    </main>
    <main first="rtdsrv.458a5932996f485b8b1b8d7cbb3f77a6">
      <tp>
        <v>1</v>
        <stp/>
        <stp>d685461c-448f-49d5-8a4c-a39b849360c5</stp>
        <tr r="DV12" s="132"/>
      </tp>
    </main>
    <main first="rtdsrv.458a5932996f485b8b1b8d7cbb3f77a6">
      <tp>
        <v>1</v>
        <stp/>
        <stp>b9f9b89a-7d43-4c44-a544-c656af0cfd4f</stp>
        <tr r="D13" s="130"/>
      </tp>
    </main>
    <main first="rtdsrv.458a5932996f485b8b1b8d7cbb3f77a6">
      <tp>
        <v>1</v>
        <stp/>
        <stp>aa455d7d-e5f0-42aa-9f55-8814299bb756</stp>
        <tr r="V45" s="130"/>
      </tp>
    </main>
    <main first="rtdsrv.458a5932996f485b8b1b8d7cbb3f77a6">
      <tp>
        <v>1</v>
        <stp/>
        <stp>dabf5ef1-3e51-4b20-b8dc-ff89ebaedeed</stp>
        <tr r="EB6" s="132"/>
      </tp>
    </main>
    <main first="rtdsrv.458a5932996f485b8b1b8d7cbb3f77a6">
      <tp>
        <v>1</v>
        <stp/>
        <stp>ea196b0f-d73e-4a5d-9c1a-fb4cf7d44e9a</stp>
        <tr r="AA8" s="132"/>
      </tp>
    </main>
    <main first="rtdsrv.458a5932996f485b8b1b8d7cbb3f77a6">
      <tp>
        <v>1</v>
        <stp/>
        <stp>c879a6db-627b-4ef5-bc88-0f2ee7e5af02</stp>
        <tr r="HC12" s="132"/>
      </tp>
    </main>
    <main first="rtdsrv.458a5932996f485b8b1b8d7cbb3f77a6">
      <tp>
        <v>1</v>
        <stp/>
        <stp>7766e22c-31dd-430b-a882-ec17659e280f</stp>
        <tr r="U78" s="130"/>
      </tp>
    </main>
    <main first="rtdsrv.458a5932996f485b8b1b8d7cbb3f77a6">
      <tp>
        <v>1</v>
        <stp/>
        <stp>029c9ab3-78c3-4d84-ace4-db9d44b43a39</stp>
        <tr r="AI46" s="130"/>
        <tr r="AI51" s="130"/>
      </tp>
    </main>
    <main first="rtdsrv.458a5932996f485b8b1b8d7cbb3f77a6">
      <tp>
        <v>1</v>
        <stp/>
        <stp>a384c7dc-ec8c-4683-b3a1-4d4b7c2be67f</stp>
        <tr r="FM5" s="132"/>
      </tp>
      <tp>
        <v>1</v>
        <stp/>
        <stp>0c9d4415-02e5-48e6-adf0-f09a7d4d2a84</stp>
        <tr r="BD43" s="130"/>
      </tp>
    </main>
    <main first="rtdsrv.458a5932996f485b8b1b8d7cbb3f77a6">
      <tp>
        <v>1</v>
        <stp/>
        <stp>1c317544-c77e-4077-9658-b606eecbffd4</stp>
        <tr r="U77" s="130"/>
      </tp>
    </main>
    <main first="rtdsrv.458a5932996f485b8b1b8d7cbb3f77a6">
      <tp>
        <v>1</v>
        <stp/>
        <stp>2fe61381-b5d9-4425-8132-6359532783bd</stp>
        <tr r="CC6" s="132"/>
      </tp>
      <tp>
        <v>1</v>
        <stp/>
        <stp>09941572-0406-4b03-b22a-22c1880d957f</stp>
        <tr r="BB96" s="130"/>
      </tp>
    </main>
    <main first="rtdsrv.458a5932996f485b8b1b8d7cbb3f77a6">
      <tp>
        <v>1</v>
        <stp/>
        <stp>807fa880-f370-4217-a227-584804e31ee9</stp>
        <tr r="M72" s="130"/>
      </tp>
      <tp>
        <v>1</v>
        <stp/>
        <stp>bf5c9aa3-288d-4bf4-b1a3-0dc0833e8503</stp>
        <tr r="BD74" s="130"/>
      </tp>
    </main>
    <main first="rtdsrv.458a5932996f485b8b1b8d7cbb3f77a6">
      <tp>
        <v>1</v>
        <stp/>
        <stp>56da7d3f-5497-4f53-873d-9ce4059033c2</stp>
        <tr r="T64" s="130"/>
      </tp>
    </main>
    <main first="rtdsrv.458a5932996f485b8b1b8d7cbb3f77a6">
      <tp>
        <v>1</v>
        <stp/>
        <stp>bf87c137-efee-44cc-93fa-907651e564f9</stp>
        <tr r="AT55" s="130"/>
      </tp>
    </main>
    <main first="rtdsrv.458a5932996f485b8b1b8d7cbb3f77a6">
      <tp>
        <v>1</v>
        <stp/>
        <stp>381278c0-b9aa-42ba-bdd1-e609366cfed9</stp>
        <tr r="AL41" s="130"/>
      </tp>
    </main>
    <main first="rtdsrv.458a5932996f485b8b1b8d7cbb3f77a6">
      <tp>
        <v>1</v>
        <stp/>
        <stp>6d6a4bd7-8270-4dc7-be60-1f8709decb48</stp>
        <tr r="AJ71" s="130"/>
      </tp>
    </main>
    <main first="rtdsrv.458a5932996f485b8b1b8d7cbb3f77a6">
      <tp>
        <v>1</v>
        <stp/>
        <stp>4b780c28-489f-404e-90e9-5389dee57aa1</stp>
        <tr r="Q36" s="130"/>
      </tp>
    </main>
    <main first="rtdsrv.458a5932996f485b8b1b8d7cbb3f77a6">
      <tp>
        <v>1</v>
        <stp/>
        <stp>b4f554c6-0f64-4e0a-8c1a-1087dba560ca</stp>
        <tr r="AJ85" s="130"/>
      </tp>
    </main>
    <main first="rtdsrv.458a5932996f485b8b1b8d7cbb3f77a6">
      <tp>
        <v>1</v>
        <stp/>
        <stp>2f40207c-12cc-4990-8ff7-5fc4dfdb2385</stp>
        <tr r="AE18" s="130"/>
      </tp>
    </main>
    <main first="rtdsrv.458a5932996f485b8b1b8d7cbb3f77a6">
      <tp>
        <v>1</v>
        <stp/>
        <stp>9e59ee1a-bf32-4fcc-ab14-f4876ce27e25</stp>
        <tr r="AZ83" s="130"/>
      </tp>
      <tp>
        <v>1</v>
        <stp/>
        <stp>71bb2194-6f60-4c8a-89b4-7413866c0570</stp>
        <tr r="AX41" s="130"/>
      </tp>
      <tp>
        <v>1</v>
        <stp/>
        <stp>557b8f3a-45cc-44aa-b04e-6a892b0ea3e2</stp>
        <tr r="G6" s="132"/>
      </tp>
    </main>
    <main first="rtdsrv.458a5932996f485b8b1b8d7cbb3f77a6">
      <tp>
        <v>1</v>
        <stp/>
        <stp>7c967175-17d2-471d-a5f7-3dd003f35457</stp>
        <tr r="BH45" s="130"/>
      </tp>
    </main>
    <main first="rtdsrv.458a5932996f485b8b1b8d7cbb3f77a6">
      <tp>
        <v>1</v>
        <stp/>
        <stp>f749359d-8167-4069-bff3-b24da151fd7b</stp>
        <tr r="AC45" s="130"/>
      </tp>
      <tp>
        <v>1</v>
        <stp/>
        <stp>071c8610-7a84-4f15-a649-c7a667ba65b7</stp>
        <tr r="FT5" s="132"/>
      </tp>
    </main>
    <main first="rtdsrv.458a5932996f485b8b1b8d7cbb3f77a6">
      <tp>
        <v>1</v>
        <stp/>
        <stp>0172fa9b-1b00-49f7-9cc7-267354ad557a</stp>
        <tr r="R75" s="130"/>
      </tp>
    </main>
    <main first="rtdsrv.458a5932996f485b8b1b8d7cbb3f77a6">
      <tp>
        <v>1</v>
        <stp/>
        <stp>e62227af-76f4-403d-bc02-bdd096115281</stp>
        <tr r="EW14" s="132"/>
      </tp>
      <tp>
        <v>1</v>
        <stp/>
        <stp>988cb9ec-343d-445c-bade-ea3584c67bf6</stp>
        <tr r="AD7" s="132"/>
      </tp>
      <tp>
        <v>1</v>
        <stp/>
        <stp>9976abe3-adba-4bb0-bb69-55ce397912ad</stp>
        <tr r="AY13" s="130"/>
      </tp>
    </main>
    <main first="rtdsrv.458a5932996f485b8b1b8d7cbb3f77a6">
      <tp>
        <v>1</v>
        <stp/>
        <stp>9e992fd7-1041-4899-9aeb-97141c15d858</stp>
        <tr r="K47" s="130"/>
        <tr r="K52" s="130"/>
      </tp>
    </main>
    <main first="rtdsrv.458a5932996f485b8b1b8d7cbb3f77a6">
      <tp>
        <v>1</v>
        <stp/>
        <stp>b4e5f81c-388e-4a48-8c0a-641610bf51e9</stp>
        <tr r="AP7" s="130"/>
      </tp>
    </main>
    <main first="rtdsrv.458a5932996f485b8b1b8d7cbb3f77a6">
      <tp>
        <v>1</v>
        <stp/>
        <stp>2ccc190b-333c-4bd2-ab99-ea63a050f1a6</stp>
        <tr r="BD83" s="130"/>
      </tp>
    </main>
    <main first="rtdsrv.458a5932996f485b8b1b8d7cbb3f77a6">
      <tp>
        <v>1</v>
        <stp/>
        <stp>988ecd99-3983-44d4-812e-677dad3b58bb</stp>
        <tr r="I23" s="130"/>
      </tp>
    </main>
    <main first="rtdsrv.458a5932996f485b8b1b8d7cbb3f77a6">
      <tp>
        <v>1</v>
        <stp/>
        <stp>fde2312d-6530-4c0a-bad0-b143ee708050</stp>
        <tr r="O86" s="130"/>
      </tp>
    </main>
    <main first="rtdsrv.458a5932996f485b8b1b8d7cbb3f77a6">
      <tp>
        <v>1</v>
        <stp/>
        <stp>bedf3f0c-6d01-4f60-bf5b-55c95deabc06</stp>
        <tr r="AN96" s="130"/>
      </tp>
    </main>
    <main first="rtdsrv.458a5932996f485b8b1b8d7cbb3f77a6">
      <tp>
        <v>1</v>
        <stp/>
        <stp>fb255b9a-fc46-4a6c-b839-3146f1834499</stp>
        <tr r="BI88" s="130"/>
      </tp>
      <tp>
        <v>1</v>
        <stp/>
        <stp>8777e169-33c4-4d60-a86e-ae57db51e630</stp>
        <tr r="Y68" s="130"/>
      </tp>
    </main>
    <main first="rtdsrv.458a5932996f485b8b1b8d7cbb3f77a6">
      <tp>
        <v>1</v>
        <stp/>
        <stp>4c3d363c-707e-4491-b90a-15ad80f43d25</stp>
        <tr r="M82" s="130"/>
      </tp>
    </main>
    <main first="rtdsrv.458a5932996f485b8b1b8d7cbb3f77a6">
      <tp>
        <v>1</v>
        <stp/>
        <stp>af263cd2-a8b9-4827-91a6-53472f84ce0e</stp>
        <tr r="AM77" s="130"/>
      </tp>
    </main>
    <main first="rtdsrv.458a5932996f485b8b1b8d7cbb3f77a6">
      <tp>
        <v>1</v>
        <stp/>
        <stp>6dba2016-f16c-4462-acb3-bbcd10a8327f</stp>
        <tr r="BG31" s="130"/>
      </tp>
    </main>
    <main first="rtdsrv.458a5932996f485b8b1b8d7cbb3f77a6">
      <tp>
        <v>1</v>
        <stp/>
        <stp>292f9921-6d15-46d7-a6a1-9c23fc411b79</stp>
        <tr r="ET16" s="132"/>
      </tp>
    </main>
    <main first="rtdsrv.458a5932996f485b8b1b8d7cbb3f77a6">
      <tp>
        <v>1</v>
        <stp/>
        <stp>5e355cbe-025f-4bf5-8065-ee3980b03bbf</stp>
        <tr r="GE7" s="132"/>
      </tp>
    </main>
    <main first="rtdsrv.458a5932996f485b8b1b8d7cbb3f77a6">
      <tp>
        <v>1</v>
        <stp/>
        <stp>78cc09ae-4148-4c8e-bc6f-2e18a066717d</stp>
        <tr r="R74" s="130"/>
      </tp>
    </main>
    <main first="rtdsrv.458a5932996f485b8b1b8d7cbb3f77a6">
      <tp>
        <v>1</v>
        <stp/>
        <stp>784e2829-2033-4c9d-9865-351371382fd8</stp>
        <tr r="W13" s="130"/>
      </tp>
    </main>
    <main first="rtdsrv.458a5932996f485b8b1b8d7cbb3f77a6">
      <tp>
        <v>1</v>
        <stp/>
        <stp>8dec4651-d465-4433-b35a-3231802cf0aa</stp>
        <tr r="DT15" s="132"/>
      </tp>
      <tp>
        <v>1</v>
        <stp/>
        <stp>268752f0-a312-4bf7-8224-b93f2c73f889</stp>
        <tr r="K30" s="130"/>
      </tp>
    </main>
    <main first="rtdsrv.458a5932996f485b8b1b8d7cbb3f77a6">
      <tp>
        <v>1</v>
        <stp/>
        <stp>568f07da-6181-4cf0-ac7f-218fe4c2775f</stp>
        <tr r="AN71" s="130"/>
      </tp>
    </main>
    <main first="rtdsrv.458a5932996f485b8b1b8d7cbb3f77a6">
      <tp>
        <v>1</v>
        <stp/>
        <stp>bfebfefe-7a8b-4a9c-bc41-51bf0dcc6477</stp>
        <tr r="BC82" s="130"/>
      </tp>
    </main>
    <main first="rtdsrv.458a5932996f485b8b1b8d7cbb3f77a6">
      <tp>
        <v>1</v>
        <stp/>
        <stp>1ff64ceb-aea0-4dc3-ac80-0ba7f7b1583e</stp>
        <tr r="W41" s="130"/>
      </tp>
    </main>
    <main first="rtdsrv.458a5932996f485b8b1b8d7cbb3f77a6">
      <tp>
        <v>1</v>
        <stp/>
        <stp>8e17e438-fc4e-47a9-a994-cb098b374502</stp>
        <tr r="AI52" s="130"/>
        <tr r="AI47" s="130"/>
      </tp>
      <tp>
        <v>1</v>
        <stp/>
        <stp>1408a2b1-474b-4dd4-90f5-ef6a7a6a8e61</stp>
        <tr r="U45" s="130"/>
      </tp>
    </main>
    <main first="rtdsrv.458a5932996f485b8b1b8d7cbb3f77a6">
      <tp>
        <v>1</v>
        <stp/>
        <stp>8ac1c62e-4baf-417e-a390-0e43bac33929</stp>
        <tr r="AN98" s="130"/>
      </tp>
    </main>
    <main first="rtdsrv.458a5932996f485b8b1b8d7cbb3f77a6">
      <tp>
        <v>1</v>
        <stp/>
        <stp>793bc957-7e3c-4844-a44b-21d72a54fe6e</stp>
        <tr r="AN31" s="130"/>
      </tp>
      <tp>
        <v>1</v>
        <stp/>
        <stp>02b315a2-0b3d-4c6b-abaa-75d11155b273</stp>
        <tr r="EH15" s="132"/>
      </tp>
    </main>
    <main first="rtdsrv.458a5932996f485b8b1b8d7cbb3f77a6">
      <tp>
        <v>1</v>
        <stp/>
        <stp>78ca05cc-00c8-450c-ba32-59c30503fc77</stp>
        <tr r="BE38" s="130"/>
      </tp>
    </main>
    <main first="rtdsrv.458a5932996f485b8b1b8d7cbb3f77a6">
      <tp>
        <v>1</v>
        <stp/>
        <stp>3701bc18-4b95-4c54-9dcf-327e6b150ee7</stp>
        <tr r="AR34" s="130"/>
      </tp>
    </main>
    <main first="rtdsrv.458a5932996f485b8b1b8d7cbb3f77a6">
      <tp>
        <v>1</v>
        <stp/>
        <stp>06af9379-7938-4bf7-9d93-721e5988f53a</stp>
        <tr r="AN20" s="130"/>
      </tp>
    </main>
    <main first="rtdsrv.458a5932996f485b8b1b8d7cbb3f77a6">
      <tp>
        <v>1</v>
        <stp/>
        <stp>aadfbca9-f40b-4ac1-a0bb-d64e147d2779</stp>
        <tr r="BE31" s="130"/>
      </tp>
    </main>
    <main first="rtdsrv.458a5932996f485b8b1b8d7cbb3f77a6">
      <tp>
        <v>1</v>
        <stp/>
        <stp>11b041c4-25c6-4b6a-956b-765b13193b51</stp>
        <tr r="AF57" s="130"/>
      </tp>
    </main>
    <main first="rtdsrv.458a5932996f485b8b1b8d7cbb3f77a6">
      <tp>
        <v>1</v>
        <stp/>
        <stp>f18bc38a-a582-4cde-b056-ca5ce358ecd2</stp>
        <tr r="BE9" s="132"/>
      </tp>
    </main>
    <main first="rtdsrv.458a5932996f485b8b1b8d7cbb3f77a6">
      <tp>
        <v>1</v>
        <stp/>
        <stp>e1fd9ba5-6433-406b-98c2-ac001f30fce4</stp>
        <tr r="E79" s="130"/>
      </tp>
    </main>
    <main first="rtdsrv.458a5932996f485b8b1b8d7cbb3f77a6">
      <tp>
        <v>1</v>
        <stp/>
        <stp>7eb1da40-d01c-4742-b7ee-e7e361384323</stp>
        <tr r="N13" s="132"/>
      </tp>
    </main>
    <main first="rtdsrv.458a5932996f485b8b1b8d7cbb3f77a6">
      <tp>
        <v>1</v>
        <stp/>
        <stp>195ca879-b036-4e17-bfd9-9fe7de1dd18d</stp>
        <tr r="W12" s="132"/>
      </tp>
    </main>
    <main first="rtdsrv.458a5932996f485b8b1b8d7cbb3f77a6">
      <tp>
        <v>1</v>
        <stp/>
        <stp>098bf7d3-79f8-4c1e-8775-2d18b565880b</stp>
        <tr r="AB12" s="132"/>
      </tp>
    </main>
    <main first="rtdsrv.458a5932996f485b8b1b8d7cbb3f77a6">
      <tp>
        <v>1</v>
        <stp/>
        <stp>d0188058-1abe-417a-960a-20154a7603ed</stp>
        <tr r="DW8" s="132"/>
      </tp>
    </main>
    <main first="rtdsrv.458a5932996f485b8b1b8d7cbb3f77a6">
      <tp>
        <v>1</v>
        <stp/>
        <stp>6c06eec8-6a3b-48a5-ada7-906a4c74b5de</stp>
        <tr r="EY8" s="132"/>
      </tp>
    </main>
    <main first="rtdsrv.458a5932996f485b8b1b8d7cbb3f77a6">
      <tp>
        <v>1</v>
        <stp/>
        <stp>003ce7c6-4a6a-4562-acc9-f4269191eec7</stp>
        <tr r="BD57" s="130"/>
      </tp>
    </main>
    <main first="rtdsrv.458a5932996f485b8b1b8d7cbb3f77a6">
      <tp>
        <v>1</v>
        <stp/>
        <stp>715f3e28-4b54-480d-b55a-05c61daefbff</stp>
        <tr r="AO45" s="130"/>
      </tp>
    </main>
    <main first="rtdsrv.458a5932996f485b8b1b8d7cbb3f77a6">
      <tp>
        <v>1</v>
        <stp/>
        <stp>923c1fee-2146-4d27-a120-d4caa6572cab</stp>
        <tr r="E8" s="130"/>
      </tp>
    </main>
    <main first="rtdsrv.458a5932996f485b8b1b8d7cbb3f77a6">
      <tp>
        <v>1</v>
        <stp/>
        <stp>fbe26d62-4fcb-4f10-bb2b-34214d71cb2e</stp>
        <tr r="DF11" s="132"/>
      </tp>
    </main>
    <main first="rtdsrv.458a5932996f485b8b1b8d7cbb3f77a6">
      <tp>
        <v>1</v>
        <stp/>
        <stp>af6eca68-ed64-4fbb-b1fd-4c2d1740a0f2</stp>
        <tr r="BH5" s="130"/>
      </tp>
      <tp>
        <v>1</v>
        <stp/>
        <stp>d30a6e24-c42f-46d2-a4a4-e2f84e042344</stp>
        <tr r="BK32" s="130"/>
      </tp>
    </main>
    <main first="rtdsrv.458a5932996f485b8b1b8d7cbb3f77a6">
      <tp>
        <v>1</v>
        <stp/>
        <stp>01bbf719-2df3-4701-a969-fbfeca8dc219</stp>
        <tr r="GG5" s="132"/>
      </tp>
    </main>
    <main first="rtdsrv.458a5932996f485b8b1b8d7cbb3f77a6">
      <tp>
        <v>1</v>
        <stp/>
        <stp>2f79820f-b074-4c71-a7b2-d2a087a6cbd3</stp>
        <tr r="DL6" s="132"/>
      </tp>
    </main>
    <main first="rtdsrv.458a5932996f485b8b1b8d7cbb3f77a6">
      <tp>
        <v>1</v>
        <stp/>
        <stp>694736b5-925d-4d8c-93b0-928064507384</stp>
        <tr r="FG9" s="132"/>
      </tp>
    </main>
    <main first="rtdsrv.458a5932996f485b8b1b8d7cbb3f77a6">
      <tp>
        <v>1</v>
        <stp/>
        <stp>fbfe784b-d2bf-48f0-9bc3-5d7319273279</stp>
        <tr r="BB57" s="130"/>
      </tp>
    </main>
    <main first="rtdsrv.458a5932996f485b8b1b8d7cbb3f77a6">
      <tp>
        <v>1</v>
        <stp/>
        <stp>40baf8a4-5457-43ed-82ae-c6c7e53349c7</stp>
        <tr r="AY13" s="132"/>
      </tp>
    </main>
    <main first="rtdsrv.458a5932996f485b8b1b8d7cbb3f77a6">
      <tp>
        <v>1</v>
        <stp/>
        <stp>90a307f9-695c-4313-8c29-320b92d1522b</stp>
        <tr r="O30" s="130"/>
      </tp>
    </main>
    <main first="rtdsrv.458a5932996f485b8b1b8d7cbb3f77a6">
      <tp>
        <v>1</v>
        <stp/>
        <stp>db988e0f-04e2-4e6a-829f-6911a627eb9c</stp>
        <tr r="AU16" s="132"/>
      </tp>
    </main>
    <main first="rtdsrv.458a5932996f485b8b1b8d7cbb3f77a6">
      <tp>
        <v>1</v>
        <stp/>
        <stp>db6aebd3-c596-49c6-a5c0-ebd1fbd87463</stp>
        <tr r="GH8" s="132"/>
      </tp>
    </main>
    <main first="rtdsrv.458a5932996f485b8b1b8d7cbb3f77a6">
      <tp>
        <v>1</v>
        <stp/>
        <stp>2acb2efb-86a0-4d52-8e07-9c0d49517fc8</stp>
        <tr r="BJ58" s="130"/>
      </tp>
      <tp>
        <v>1</v>
        <stp/>
        <stp>445636b5-96c3-4b33-9a86-4d0137f74acb</stp>
        <tr r="T27" s="130"/>
      </tp>
    </main>
    <main first="rtdsrv.458a5932996f485b8b1b8d7cbb3f77a6">
      <tp>
        <v>1</v>
        <stp/>
        <stp>fce0401f-4a9b-4d95-a66d-163eac13231e</stp>
        <tr r="HG14" s="132"/>
      </tp>
    </main>
    <main first="rtdsrv.458a5932996f485b8b1b8d7cbb3f77a6">
      <tp>
        <v>1</v>
        <stp/>
        <stp>bc448ce9-dce7-4603-9b02-a85dd9a5dd63</stp>
        <tr r="E17" s="130"/>
      </tp>
      <tp>
        <v>1</v>
        <stp/>
        <stp>3c741c35-1d29-4d74-b33c-aa62bbfa771c</stp>
        <tr r="BU11" s="132"/>
      </tp>
    </main>
    <main first="rtdsrv.458a5932996f485b8b1b8d7cbb3f77a6">
      <tp>
        <v>1</v>
        <stp/>
        <stp>b980789d-d27f-41f6-adb3-a4ecb726d05e</stp>
        <tr r="DT7" s="132"/>
      </tp>
    </main>
    <main first="rtdsrv.458a5932996f485b8b1b8d7cbb3f77a6">
      <tp>
        <v>1</v>
        <stp/>
        <stp>d9704705-6ded-43d9-a4cc-88956a9a49bd</stp>
        <tr r="F24" s="130"/>
      </tp>
    </main>
    <main first="rtdsrv.458a5932996f485b8b1b8d7cbb3f77a6">
      <tp>
        <v>1</v>
        <stp/>
        <stp>db8fac19-2d9e-4abb-8bd9-67d2f3de536c</stp>
        <tr r="BJ45" s="130"/>
      </tp>
    </main>
    <main first="rtdsrv.458a5932996f485b8b1b8d7cbb3f77a6">
      <tp>
        <v>1</v>
        <stp/>
        <stp>f36cb4b9-b529-448a-b9c6-1d596e840d9d</stp>
        <tr r="AX56" s="130"/>
      </tp>
    </main>
    <main first="rtdsrv.458a5932996f485b8b1b8d7cbb3f77a6">
      <tp>
        <v>1</v>
        <stp/>
        <stp>785cbe82-e026-4f37-93fb-b1b659881cff</stp>
        <tr r="GT14" s="132"/>
      </tp>
    </main>
    <main first="rtdsrv.458a5932996f485b8b1b8d7cbb3f77a6">
      <tp>
        <v>1</v>
        <stp/>
        <stp>7e1eed1d-2c2a-4b94-af74-2d5f02072d13</stp>
        <tr r="J89" s="130"/>
      </tp>
    </main>
    <main first="rtdsrv.458a5932996f485b8b1b8d7cbb3f77a6">
      <tp>
        <v>1</v>
        <stp/>
        <stp>49bf8d11-eaed-4740-ba6f-20a7597b05a7</stp>
        <tr r="BJ6" s="132"/>
      </tp>
    </main>
    <main first="rtdsrv.458a5932996f485b8b1b8d7cbb3f77a6">
      <tp>
        <v>1</v>
        <stp/>
        <stp>57e2b5d9-dea5-4abb-a7c6-4c6ee2e774b8</stp>
        <tr r="AP88" s="130"/>
      </tp>
    </main>
    <main first="rtdsrv.458a5932996f485b8b1b8d7cbb3f77a6">
      <tp>
        <v>1</v>
        <stp/>
        <stp>70f81de3-a427-40a6-a243-3456dc0e7bb3</stp>
        <tr r="AO90" s="130"/>
      </tp>
    </main>
    <main first="rtdsrv.458a5932996f485b8b1b8d7cbb3f77a6">
      <tp>
        <v>1</v>
        <stp/>
        <stp>93e839e4-2bf0-4e89-b2ec-3cfa8788023d</stp>
        <tr r="AW8" s="130"/>
      </tp>
    </main>
    <main first="rtdsrv.458a5932996f485b8b1b8d7cbb3f77a6">
      <tp>
        <v>1</v>
        <stp/>
        <stp>08d67e88-ba9a-4bc5-b0b0-9dccc9a907c6</stp>
        <tr r="T94" s="130"/>
      </tp>
    </main>
    <main first="rtdsrv.458a5932996f485b8b1b8d7cbb3f77a6">
      <tp>
        <v>1</v>
        <stp/>
        <stp>f4486a95-d3cf-4e15-aa5a-196e99140348</stp>
        <tr r="DL11" s="132"/>
      </tp>
    </main>
    <main first="rtdsrv.458a5932996f485b8b1b8d7cbb3f77a6">
      <tp>
        <v>1</v>
        <stp/>
        <stp>1b214eb8-b9cd-4099-a387-a2b0a13adeb5</stp>
        <tr r="GS8" s="132"/>
      </tp>
      <tp>
        <v>1</v>
        <stp/>
        <stp>1a0e4bd2-0884-4967-b420-d1a7bce88f5d</stp>
        <tr r="AA71" s="130"/>
      </tp>
      <tp>
        <v>1</v>
        <stp/>
        <stp>df9b0c23-6ec7-468b-871f-43935e8ea4d4</stp>
        <tr r="AO14" s="130"/>
        <tr r="AO26" s="130"/>
      </tp>
    </main>
    <main first="rtdsrv.458a5932996f485b8b1b8d7cbb3f77a6">
      <tp>
        <v>1</v>
        <stp/>
        <stp>fd8c525c-64b0-4e32-a99a-ab5af809a309</stp>
        <tr r="AX19" s="130"/>
      </tp>
    </main>
    <main first="rtdsrv.458a5932996f485b8b1b8d7cbb3f77a6">
      <tp>
        <v>1</v>
        <stp/>
        <stp>3d1e01b0-f2a3-4e47-8729-325da0b056b2</stp>
        <tr r="AL61" s="130"/>
      </tp>
    </main>
    <main first="rtdsrv.458a5932996f485b8b1b8d7cbb3f77a6">
      <tp>
        <v>1</v>
        <stp/>
        <stp>0c965f8e-a5cd-4c0f-8c72-d78bdfba2f1c</stp>
        <tr r="D7" s="130"/>
      </tp>
    </main>
    <main first="rtdsrv.458a5932996f485b8b1b8d7cbb3f77a6">
      <tp>
        <v>1</v>
        <stp/>
        <stp>4888897b-8935-41f8-9605-440b97e7208b</stp>
        <tr r="DY12" s="132"/>
      </tp>
    </main>
    <main first="rtdsrv.458a5932996f485b8b1b8d7cbb3f77a6">
      <tp>
        <v>1</v>
        <stp/>
        <stp>7c01848a-2e53-4973-a979-8398364d3f72</stp>
        <tr r="AN19" s="130"/>
      </tp>
    </main>
    <main first="rtdsrv.458a5932996f485b8b1b8d7cbb3f77a6">
      <tp>
        <v>1</v>
        <stp/>
        <stp>49c50a7a-e52d-4dd1-ab25-4dc02a8f59ad</stp>
        <tr r="E86" s="130"/>
      </tp>
    </main>
    <main first="rtdsrv.458a5932996f485b8b1b8d7cbb3f77a6">
      <tp>
        <v>1</v>
        <stp/>
        <stp>2cb0d424-acd6-49f6-8df6-fd85460056c4</stp>
        <tr r="D10" s="130"/>
      </tp>
      <tp>
        <v>1</v>
        <stp/>
        <stp>274db8d6-a99c-4425-8e6b-33339dc1b855</stp>
        <tr r="FZ6" s="132"/>
      </tp>
    </main>
    <main first="rtdsrv.458a5932996f485b8b1b8d7cbb3f77a6">
      <tp>
        <v>1</v>
        <stp/>
        <stp>68cc05cd-e838-4178-9e25-1223c0ad7b02</stp>
        <tr r="AM37" s="130"/>
      </tp>
      <tp>
        <v>1</v>
        <stp/>
        <stp>4e3cc094-c4e1-48e4-a54c-a6f754a21646</stp>
        <tr r="J20" s="130"/>
      </tp>
    </main>
    <main first="rtdsrv.458a5932996f485b8b1b8d7cbb3f77a6">
      <tp>
        <v>1</v>
        <stp/>
        <stp>8e1f54c5-a508-4c52-8df8-bfe3e1e3c116</stp>
        <tr r="BI29" s="130"/>
      </tp>
    </main>
    <main first="rtdsrv.458a5932996f485b8b1b8d7cbb3f77a6">
      <tp>
        <v>1</v>
        <stp/>
        <stp>42529596-5693-49dd-9ec6-74b75e460f44</stp>
        <tr r="J72" s="130"/>
      </tp>
    </main>
    <main first="rtdsrv.458a5932996f485b8b1b8d7cbb3f77a6">
      <tp>
        <v>1</v>
        <stp/>
        <stp>5198f14c-507d-46c1-bd95-d31455d2692a</stp>
        <tr r="BF94" s="130"/>
      </tp>
      <tp>
        <v>1</v>
        <stp/>
        <stp>337dfbae-bc30-4566-a6c1-3ddc717b9188</stp>
        <tr r="Q30" s="130"/>
      </tp>
      <tp>
        <v>1</v>
        <stp/>
        <stp>1dc36deb-2390-4b2e-a1a8-83bf5647714e</stp>
        <tr r="DR12" s="132"/>
      </tp>
    </main>
    <main first="rtdsrv.458a5932996f485b8b1b8d7cbb3f77a6">
      <tp>
        <v>1</v>
        <stp/>
        <stp>b79321f9-7e85-45bb-b856-d2bbe26aad78</stp>
        <tr r="BI71" s="130"/>
      </tp>
    </main>
    <main first="rtdsrv.458a5932996f485b8b1b8d7cbb3f77a6">
      <tp>
        <v>1</v>
        <stp/>
        <stp>edb7140f-0985-479b-8a51-562d94262752</stp>
        <tr r="AH15" s="132"/>
      </tp>
    </main>
    <main first="rtdsrv.458a5932996f485b8b1b8d7cbb3f77a6">
      <tp>
        <v>1</v>
        <stp/>
        <stp>65952906-ace7-4cbc-b196-b3894780113b</stp>
        <tr r="AY73" s="130"/>
      </tp>
    </main>
    <main first="rtdsrv.458a5932996f485b8b1b8d7cbb3f77a6">
      <tp>
        <v>1</v>
        <stp/>
        <stp>c19bb545-7251-4102-a0fd-90d204b65a5c</stp>
        <tr r="BB18" s="130"/>
      </tp>
    </main>
    <main first="rtdsrv.458a5932996f485b8b1b8d7cbb3f77a6">
      <tp>
        <v>1</v>
        <stp/>
        <stp>ba04eedf-0bd4-40a2-8c51-fd2356e23c8b</stp>
        <tr r="AE75" s="130"/>
      </tp>
    </main>
    <main first="rtdsrv.458a5932996f485b8b1b8d7cbb3f77a6">
      <tp>
        <v>1</v>
        <stp/>
        <stp>c4a607d8-7825-427c-aa77-12674dc3d47e</stp>
        <tr r="AA82" s="130"/>
      </tp>
    </main>
    <main first="rtdsrv.458a5932996f485b8b1b8d7cbb3f77a6">
      <tp>
        <v>1</v>
        <stp/>
        <stp>19baaafe-a99d-48ce-8e90-00c3831d9d7f</stp>
        <tr r="EV15" s="132"/>
      </tp>
    </main>
    <main first="rtdsrv.458a5932996f485b8b1b8d7cbb3f77a6">
      <tp>
        <v>1</v>
        <stp/>
        <stp>868c4b21-fea5-4bc5-8535-231d94e701f3</stp>
        <tr r="AK36" s="130"/>
      </tp>
    </main>
    <main first="rtdsrv.458a5932996f485b8b1b8d7cbb3f77a6">
      <tp>
        <v>1</v>
        <stp/>
        <stp>8e5e994e-2e9b-4668-ad72-6fd96fbc7c9a</stp>
        <tr r="AZ94" s="130"/>
      </tp>
    </main>
    <main first="rtdsrv.458a5932996f485b8b1b8d7cbb3f77a6">
      <tp>
        <v>1</v>
        <stp/>
        <stp>8e7b08ce-2ea8-41c9-8975-7f4bfaaecd87</stp>
        <tr r="AK11" s="130"/>
      </tp>
    </main>
    <main first="rtdsrv.458a5932996f485b8b1b8d7cbb3f77a6">
      <tp>
        <v>1</v>
        <stp/>
        <stp>e3e8b788-c847-4d35-84d3-1bbb23e05e8f</stp>
        <tr r="AG5" s="130"/>
      </tp>
    </main>
    <main first="rtdsrv.458a5932996f485b8b1b8d7cbb3f77a6">
      <tp>
        <v>1</v>
        <stp/>
        <stp>0f34f581-ea91-4cc9-8334-48a6325b24c8</stp>
        <tr r="AM59" s="130"/>
      </tp>
    </main>
    <main first="rtdsrv.458a5932996f485b8b1b8d7cbb3f77a6">
      <tp>
        <v>1</v>
        <stp/>
        <stp>e5bc064a-c2de-4591-8e9d-1c8678ee8140</stp>
        <tr r="E8" s="132"/>
      </tp>
    </main>
    <main first="rtdsrv.458a5932996f485b8b1b8d7cbb3f77a6">
      <tp>
        <v>1</v>
        <stp/>
        <stp>fb07a75e-84a9-4a49-a519-66cf238ccb9b</stp>
        <tr r="K12" s="130"/>
      </tp>
      <tp>
        <v>1</v>
        <stp/>
        <stp>e63501aa-160e-4ff3-a1d9-12317550ed16</stp>
        <tr r="R61" s="130"/>
      </tp>
      <tp>
        <v>1</v>
        <stp/>
        <stp>072a5258-9f12-4d00-9d02-698bff9cba8f</stp>
        <tr r="BD97" s="130"/>
      </tp>
    </main>
    <main first="rtdsrv.458a5932996f485b8b1b8d7cbb3f77a6">
      <tp>
        <v>1</v>
        <stp/>
        <stp>bb49d22d-8264-442f-a159-796df10511a2</stp>
        <tr r="AL15" s="130"/>
      </tp>
    </main>
    <main first="rtdsrv.458a5932996f485b8b1b8d7cbb3f77a6">
      <tp>
        <v>1</v>
        <stp/>
        <stp>29e7a917-6ab1-4cad-86c7-0c8dbf20d6b1</stp>
        <tr r="AO11" s="130"/>
      </tp>
    </main>
    <main first="rtdsrv.458a5932996f485b8b1b8d7cbb3f77a6">
      <tp>
        <v>1</v>
        <stp/>
        <stp>a4b306d7-442b-4b54-b6b9-65c65da2d3c4</stp>
        <tr r="E32" s="130"/>
      </tp>
    </main>
    <main first="rtdsrv.458a5932996f485b8b1b8d7cbb3f77a6">
      <tp>
        <v>1</v>
        <stp/>
        <stp>51f6cc1f-e9a6-4f33-b5e5-0bd085aba44b</stp>
        <tr r="FU13" s="132"/>
      </tp>
    </main>
    <main first="rtdsrv.458a5932996f485b8b1b8d7cbb3f77a6">
      <tp>
        <v>1</v>
        <stp/>
        <stp>e42eba63-bb6c-46f3-bad7-f2350a16a196</stp>
        <tr r="Q24" s="130"/>
      </tp>
      <tp>
        <v>1</v>
        <stp/>
        <stp>098f5251-d3dd-4a37-b89a-0734cd54f031</stp>
        <tr r="AW28" s="130"/>
      </tp>
    </main>
    <main first="rtdsrv.458a5932996f485b8b1b8d7cbb3f77a6">
      <tp>
        <v>1</v>
        <stp/>
        <stp>2954820a-e5ef-4519-ac06-9618bee3f68b</stp>
        <tr r="AZ71" s="130"/>
      </tp>
    </main>
    <main first="rtdsrv.458a5932996f485b8b1b8d7cbb3f77a6">
      <tp>
        <v>1</v>
        <stp/>
        <stp>d84ada83-0f2d-436a-bc3e-a3f17802522e</stp>
        <tr r="AH45" s="130"/>
      </tp>
    </main>
    <main first="rtdsrv.458a5932996f485b8b1b8d7cbb3f77a6">
      <tp>
        <v>1</v>
        <stp/>
        <stp>8cd84da0-3018-41b8-9716-018b46fb086d</stp>
        <tr r="L24" s="130"/>
      </tp>
      <tp>
        <v>1</v>
        <stp/>
        <stp>badbfacc-f440-4f93-8bc7-d3804e21bbe9</stp>
        <tr r="W81" s="130"/>
      </tp>
    </main>
    <main first="rtdsrv.458a5932996f485b8b1b8d7cbb3f77a6">
      <tp>
        <v>1</v>
        <stp/>
        <stp>bd6e6954-796a-43e3-9695-9cde311fa011</stp>
        <tr r="O95" s="130"/>
      </tp>
    </main>
    <main first="rtdsrv.458a5932996f485b8b1b8d7cbb3f77a6">
      <tp>
        <v>1</v>
        <stp/>
        <stp>e22d4ab5-4719-4582-9f6c-4dab0c845f6f</stp>
        <tr r="O61" s="130"/>
      </tp>
    </main>
    <main first="rtdsrv.458a5932996f485b8b1b8d7cbb3f77a6">
      <tp>
        <v>1</v>
        <stp/>
        <stp>6c76418d-7c02-44b0-a711-8c17b0045573</stp>
        <tr r="AR6" s="132"/>
      </tp>
    </main>
    <main first="rtdsrv.458a5932996f485b8b1b8d7cbb3f77a6">
      <tp>
        <v>1</v>
        <stp/>
        <stp>affa8f26-8927-4ce6-b0b7-e8d29dc6326c</stp>
        <tr r="DP7" s="132"/>
      </tp>
    </main>
    <main first="rtdsrv.458a5932996f485b8b1b8d7cbb3f77a6">
      <tp>
        <v>1</v>
        <stp/>
        <stp>d2edb59d-7c4d-4c0f-a935-9fbec2f123eb</stp>
        <tr r="O29" s="130"/>
      </tp>
    </main>
    <main first="rtdsrv.458a5932996f485b8b1b8d7cbb3f77a6">
      <tp>
        <v>1</v>
        <stp/>
        <stp>bca787da-7eca-401e-9e32-8c250b3f768a</stp>
        <tr r="T16" s="130"/>
      </tp>
    </main>
    <main first="rtdsrv.458a5932996f485b8b1b8d7cbb3f77a6">
      <tp>
        <v>1</v>
        <stp/>
        <stp>77697193-11d0-41cf-bb0e-f703ff347237</stp>
        <tr r="AQ47" s="130"/>
        <tr r="AQ52" s="130"/>
      </tp>
    </main>
    <main first="rtdsrv.458a5932996f485b8b1b8d7cbb3f77a6">
      <tp>
        <v>1</v>
        <stp/>
        <stp>111a7415-7233-482b-9071-dee7e04ba098</stp>
        <tr r="ET7" s="132"/>
      </tp>
    </main>
    <main first="rtdsrv.458a5932996f485b8b1b8d7cbb3f77a6">
      <tp>
        <v>1</v>
        <stp/>
        <stp>0d516eeb-d988-4f09-920c-1d1763a89912</stp>
        <tr r="AD34" s="130"/>
      </tp>
    </main>
    <main first="rtdsrv.458a5932996f485b8b1b8d7cbb3f77a6">
      <tp>
        <v>1</v>
        <stp/>
        <stp>91bec737-0726-4f1a-acbe-f5f8346ab687</stp>
        <tr r="AV90" s="130"/>
      </tp>
    </main>
    <main first="rtdsrv.458a5932996f485b8b1b8d7cbb3f77a6">
      <tp>
        <v>1</v>
        <stp/>
        <stp>f4aa7117-9c45-47a2-96c4-67396ff919f6</stp>
        <tr r="AD9" s="130"/>
      </tp>
    </main>
    <main first="rtdsrv.458a5932996f485b8b1b8d7cbb3f77a6">
      <tp>
        <v>1</v>
        <stp/>
        <stp>3ec91d54-521f-4bfe-8fe3-1e3fce1691a3</stp>
        <tr r="H79" s="130"/>
      </tp>
      <tp>
        <v>1</v>
        <stp/>
        <stp>fd05998b-61ab-48f1-843a-05a3989b2a4c</stp>
        <tr r="T9" s="132"/>
      </tp>
    </main>
    <main first="rtdsrv.458a5932996f485b8b1b8d7cbb3f77a6">
      <tp>
        <v>1</v>
        <stp/>
        <stp>a6863bd9-4c8c-4ba3-94c7-31b853fbf788</stp>
        <tr r="FI15" s="132"/>
      </tp>
    </main>
    <main first="rtdsrv.458a5932996f485b8b1b8d7cbb3f77a6">
      <tp>
        <v>1</v>
        <stp/>
        <stp>ebac494e-ab02-4390-b267-4f615f39e91c</stp>
        <tr r="FE14" s="132"/>
      </tp>
      <tp>
        <v>1</v>
        <stp/>
        <stp>b1dc981e-f3c9-4cc9-bb71-280518ecbd69</stp>
        <tr r="AG45" s="130"/>
      </tp>
      <tp>
        <v>1</v>
        <stp/>
        <stp>a4e94a70-d504-41be-a5c4-6bbaebfc32cb</stp>
        <tr r="BG77" s="130"/>
      </tp>
    </main>
    <main first="rtdsrv.458a5932996f485b8b1b8d7cbb3f77a6">
      <tp>
        <v>1</v>
        <stp/>
        <stp>56f46c79-8795-49fa-990a-88992b97ac32</stp>
        <tr r="S47" s="130"/>
        <tr r="S52" s="130"/>
      </tp>
    </main>
    <main first="rtdsrv.458a5932996f485b8b1b8d7cbb3f77a6">
      <tp>
        <v>1</v>
        <stp/>
        <stp>09737f18-15a3-4ce8-bf4b-0ae2d19db78a</stp>
        <tr r="P15" s="132"/>
      </tp>
      <tp>
        <v>1</v>
        <stp/>
        <stp>0e2a26c8-a128-413e-b156-2bcbedb69ab7</stp>
        <tr r="BJ35" s="130"/>
      </tp>
      <tp>
        <v>1</v>
        <stp/>
        <stp>8513c5a7-4b76-4314-8d1e-8f103aef4365</stp>
        <tr r="DH7" s="132"/>
      </tp>
      <tp>
        <v>1</v>
        <stp/>
        <stp>8fd85f08-b20c-4247-80cc-0d75e41b2c64</stp>
        <tr r="AQ43" s="130"/>
      </tp>
    </main>
    <main first="rtdsrv.458a5932996f485b8b1b8d7cbb3f77a6">
      <tp>
        <v>1</v>
        <stp/>
        <stp>d255c6c5-f6cc-42ad-8e13-0e40ea1706cd</stp>
        <tr r="AQ35" s="130"/>
      </tp>
    </main>
    <main first="rtdsrv.458a5932996f485b8b1b8d7cbb3f77a6">
      <tp>
        <v>1</v>
        <stp/>
        <stp>3034e009-669f-4852-aa1b-2026b3b6c32d</stp>
        <tr r="X42" s="130"/>
      </tp>
      <tp>
        <v>1</v>
        <stp/>
        <stp>2612f09b-eeac-48d6-8bbb-c65c6e6cca98</stp>
        <tr r="T47" s="130"/>
        <tr r="T52" s="130"/>
      </tp>
      <tp>
        <v>1</v>
        <stp/>
        <stp>882765a0-c8f9-47af-b416-7902a197f4a9</stp>
        <tr r="BC39" s="130"/>
      </tp>
    </main>
    <main first="rtdsrv.458a5932996f485b8b1b8d7cbb3f77a6">
      <tp>
        <v>1</v>
        <stp/>
        <stp>8f7797f2-0af9-4cfd-a324-6a1e8746cd7f</stp>
        <tr r="CH14" s="132"/>
      </tp>
    </main>
    <main first="rtdsrv.458a5932996f485b8b1b8d7cbb3f77a6">
      <tp>
        <v>1</v>
        <stp/>
        <stp>61520e8c-b7fc-4f37-bfbf-75de96750e97</stp>
        <tr r="T32" s="130"/>
      </tp>
    </main>
    <main first="rtdsrv.458a5932996f485b8b1b8d7cbb3f77a6">
      <tp>
        <v>1</v>
        <stp/>
        <stp>8a2454d4-b1a5-4056-a2c8-7420a2b3fa9a</stp>
        <tr r="AG38" s="130"/>
      </tp>
    </main>
    <main first="rtdsrv.458a5932996f485b8b1b8d7cbb3f77a6">
      <tp>
        <v>1</v>
        <stp/>
        <stp>212baf0d-c7be-43df-8cf0-3b016c176025</stp>
        <tr r="AH68" s="130"/>
      </tp>
    </main>
    <main first="rtdsrv.458a5932996f485b8b1b8d7cbb3f77a6">
      <tp>
        <v>1</v>
        <stp/>
        <stp>b719f3d7-28d4-46f6-9517-3fa9748eaf54</stp>
        <tr r="AG84" s="130"/>
      </tp>
      <tp>
        <v>1</v>
        <stp/>
        <stp>5661e3d5-bd8d-4e26-bd1a-abf781751604</stp>
        <tr r="BC34" s="130"/>
      </tp>
      <tp>
        <v>1</v>
        <stp/>
        <stp>dd6c2737-4eac-4c4b-994d-89cd65bfd83a</stp>
        <tr r="P35" s="130"/>
      </tp>
    </main>
    <main first="rtdsrv.458a5932996f485b8b1b8d7cbb3f77a6">
      <tp>
        <v>1</v>
        <stp/>
        <stp>7e539180-7073-4c49-a0f1-99eac49f94f9</stp>
        <tr r="CK14" s="132"/>
      </tp>
      <tp>
        <v>1</v>
        <stp/>
        <stp>303dcab6-6479-45e3-ab64-6e667736a5cf</stp>
        <tr r="AR7" s="130"/>
      </tp>
    </main>
    <main first="rtdsrv.458a5932996f485b8b1b8d7cbb3f77a6">
      <tp>
        <v>1</v>
        <stp/>
        <stp>631453f2-32dd-4837-b78e-c11860de18b1</stp>
        <tr r="X15" s="130"/>
      </tp>
      <tp>
        <v>1</v>
        <stp/>
        <stp>7d64c44f-79f8-472f-bf79-aaa763ddba0f</stp>
        <tr r="AT42" s="130"/>
      </tp>
    </main>
    <main first="rtdsrv.458a5932996f485b8b1b8d7cbb3f77a6">
      <tp>
        <v>1</v>
        <stp/>
        <stp>949d799e-010c-439e-a1ca-c9be7d52ac0e</stp>
        <tr r="BG96" s="130"/>
      </tp>
    </main>
    <main first="rtdsrv.458a5932996f485b8b1b8d7cbb3f77a6">
      <tp>
        <v>1</v>
        <stp/>
        <stp>4efbffc0-eec8-44e0-a063-6eb180b2a0d7</stp>
        <tr r="G57" s="130"/>
      </tp>
    </main>
    <main first="rtdsrv.458a5932996f485b8b1b8d7cbb3f77a6">
      <tp>
        <v>1</v>
        <stp/>
        <stp>990e6254-5708-4e28-98c6-2ee531e3a43d</stp>
        <tr r="W82" s="130"/>
      </tp>
    </main>
    <main first="rtdsrv.458a5932996f485b8b1b8d7cbb3f77a6">
      <tp>
        <v>1</v>
        <stp/>
        <stp>749b3ae1-6c51-4792-b5a9-027abc3bdd56</stp>
        <tr r="K39" s="130"/>
      </tp>
    </main>
    <main first="rtdsrv.458a5932996f485b8b1b8d7cbb3f77a6">
      <tp>
        <v>1</v>
        <stp/>
        <stp>6e3a82be-f0a2-4e11-b15d-b1ad1201a3c8</stp>
        <tr r="GX12" s="132"/>
      </tp>
    </main>
    <main first="rtdsrv.458a5932996f485b8b1b8d7cbb3f77a6">
      <tp>
        <v>1</v>
        <stp/>
        <stp>19563e02-9aaa-4295-89d1-53eb4fc9adca</stp>
        <tr r="AG36" s="130"/>
      </tp>
    </main>
    <main first="rtdsrv.458a5932996f485b8b1b8d7cbb3f77a6">
      <tp>
        <v>1</v>
        <stp/>
        <stp>00d01171-3305-4130-b224-9f8112dc5a8b</stp>
        <tr r="DJ9" s="132"/>
      </tp>
    </main>
    <main first="rtdsrv.458a5932996f485b8b1b8d7cbb3f77a6">
      <tp>
        <v>1</v>
        <stp/>
        <stp>2a73d231-e535-4847-be12-7631fb23fa21</stp>
        <tr r="P82" s="130"/>
      </tp>
    </main>
    <main first="rtdsrv.458a5932996f485b8b1b8d7cbb3f77a6">
      <tp>
        <v>1</v>
        <stp/>
        <stp>db6afe36-2a5c-4bfe-b760-ab8ff5d7d486</stp>
        <tr r="BF62" s="130"/>
      </tp>
    </main>
    <main first="rtdsrv.458a5932996f485b8b1b8d7cbb3f77a6">
      <tp>
        <v>1</v>
        <stp/>
        <stp>f6a6fe91-c26d-4ab5-a3bc-8a27b18ef221</stp>
        <tr r="DV8" s="132"/>
      </tp>
    </main>
    <main first="rtdsrv.458a5932996f485b8b1b8d7cbb3f77a6">
      <tp>
        <v>1</v>
        <stp/>
        <stp>ee3ae053-502e-46f3-bbc7-f46ca6373750</stp>
        <tr r="BI43" s="130"/>
      </tp>
    </main>
    <main first="rtdsrv.458a5932996f485b8b1b8d7cbb3f77a6">
      <tp>
        <v>1</v>
        <stp/>
        <stp>d4640727-a4be-4cda-81b0-8ace2009a5b6</stp>
        <tr r="AS63" s="130"/>
      </tp>
      <tp>
        <v>1</v>
        <stp/>
        <stp>ba5326e4-9f2f-4a48-a4bb-852db05954b7</stp>
        <tr r="H77" s="130"/>
      </tp>
    </main>
    <main first="rtdsrv.458a5932996f485b8b1b8d7cbb3f77a6">
      <tp>
        <v>1</v>
        <stp/>
        <stp>fdb17968-9a6e-4e3d-92d2-740a0bcb57ee</stp>
        <tr r="BZ5" s="132"/>
      </tp>
      <tp>
        <v>1</v>
        <stp/>
        <stp>de7a1335-d6c6-49e8-8eb1-95952a308987</stp>
        <tr r="DO8" s="132"/>
      </tp>
    </main>
    <main first="rtdsrv.458a5932996f485b8b1b8d7cbb3f77a6">
      <tp>
        <v>1</v>
        <stp/>
        <stp>29cee5b1-9dbb-498e-811e-3aabd14c14d4</stp>
        <tr r="Q8" s="132"/>
      </tp>
    </main>
    <main first="rtdsrv.458a5932996f485b8b1b8d7cbb3f77a6">
      <tp>
        <v>1</v>
        <stp/>
        <stp>ce380061-9641-474a-831d-18e8c900f837</stp>
        <tr r="K13" s="132"/>
      </tp>
    </main>
    <main first="rtdsrv.458a5932996f485b8b1b8d7cbb3f77a6">
      <tp>
        <v>1</v>
        <stp/>
        <stp>65188b78-8962-4ba1-ab57-1209191aae8a</stp>
        <tr r="H44" s="130"/>
      </tp>
      <tp>
        <v>1</v>
        <stp/>
        <stp>6ec0a245-af3f-45ae-aca3-0c4e71b88ee5</stp>
        <tr r="U62" s="130"/>
      </tp>
    </main>
    <main first="rtdsrv.458a5932996f485b8b1b8d7cbb3f77a6">
      <tp>
        <v>1</v>
        <stp/>
        <stp>92f5211e-a214-4f74-b6e8-bc075f97d3f1</stp>
        <tr r="AW70" s="130"/>
      </tp>
      <tp>
        <v>1</v>
        <stp/>
        <stp>bd514e0e-3f80-4601-a4e7-6df28f092a0c</stp>
        <tr r="G20" s="130"/>
      </tp>
    </main>
    <main first="rtdsrv.458a5932996f485b8b1b8d7cbb3f77a6">
      <tp>
        <v>1</v>
        <stp/>
        <stp>1d11ca22-2d56-491e-aa83-d9c88a7e772a</stp>
        <tr r="BA61" s="130"/>
      </tp>
    </main>
    <main first="rtdsrv.458a5932996f485b8b1b8d7cbb3f77a6">
      <tp>
        <v>1</v>
        <stp/>
        <stp>991bba6a-a21d-4a68-930e-5a6a03bc0f68</stp>
        <tr r="S13" s="132"/>
      </tp>
    </main>
    <main first="rtdsrv.458a5932996f485b8b1b8d7cbb3f77a6">
      <tp>
        <v>1</v>
        <stp/>
        <stp>dab9fed6-39d8-4e72-9948-5a28da32944f</stp>
        <tr r="J7" s="130"/>
      </tp>
      <tp>
        <v>1</v>
        <stp/>
        <stp>3ad0eff3-b6cc-47ac-a6fd-8cd9f0bb46d7</stp>
        <tr r="O82" s="130"/>
      </tp>
    </main>
    <main first="rtdsrv.458a5932996f485b8b1b8d7cbb3f77a6">
      <tp>
        <v>1</v>
        <stp/>
        <stp>d57a9df6-766b-495a-953b-de1350bf2dd1</stp>
        <tr r="J67" s="130"/>
      </tp>
    </main>
    <main first="rtdsrv.458a5932996f485b8b1b8d7cbb3f77a6">
      <tp>
        <v>1</v>
        <stp/>
        <stp>d2ad2418-24ca-493b-a6b7-a7e69665a02d</stp>
        <tr r="Z97" s="130"/>
      </tp>
    </main>
    <main first="rtdsrv.458a5932996f485b8b1b8d7cbb3f77a6">
      <tp>
        <v>1</v>
        <stp/>
        <stp>4019b602-8412-41b2-b9a3-7296d94d2c95</stp>
        <tr r="P80" s="130"/>
      </tp>
      <tp>
        <v>1</v>
        <stp/>
        <stp>a7340b5a-2f1a-42ed-8b8f-a95335ec32d3</stp>
        <tr r="BO16" s="132"/>
      </tp>
    </main>
    <main first="rtdsrv.458a5932996f485b8b1b8d7cbb3f77a6">
      <tp>
        <v>1</v>
        <stp/>
        <stp>62606354-1a2d-4395-8262-cec91c3d2034</stp>
        <tr r="AQ25" s="130"/>
      </tp>
    </main>
    <main first="rtdsrv.458a5932996f485b8b1b8d7cbb3f77a6">
      <tp>
        <v>1</v>
        <stp/>
        <stp>7ac1c887-b8e1-46c8-931f-f5212d556f15</stp>
        <tr r="M70" s="130"/>
      </tp>
      <tp>
        <v>1</v>
        <stp/>
        <stp>2674e442-859d-4078-beb0-2e3db4e074cb</stp>
        <tr r="EB9" s="132"/>
      </tp>
      <tp>
        <v>1</v>
        <stp/>
        <stp>693df091-b9ec-4113-8c32-022e7dbc68bf</stp>
        <tr r="AJ68" s="130"/>
      </tp>
    </main>
    <main first="rtdsrv.458a5932996f485b8b1b8d7cbb3f77a6">
      <tp>
        <v>1</v>
        <stp/>
        <stp>097a09a9-02f9-419b-ade0-57df72e7f7f9</stp>
        <tr r="AO13" s="130"/>
      </tp>
      <tp>
        <v>1</v>
        <stp/>
        <stp>66d92cfe-211a-4516-826d-15581fa9210c</stp>
        <tr r="Y85" s="130"/>
      </tp>
      <tp>
        <v>1</v>
        <stp/>
        <stp>7e574fd8-748d-4f33-a39e-98aefb620ade</stp>
        <tr r="M55" s="130"/>
      </tp>
    </main>
    <main first="rtdsrv.458a5932996f485b8b1b8d7cbb3f77a6">
      <tp>
        <v>1</v>
        <stp/>
        <stp>76829a80-ebd6-452f-bfb7-bf2390f64e24</stp>
        <tr r="AO17" s="130"/>
      </tp>
    </main>
    <main first="rtdsrv.458a5932996f485b8b1b8d7cbb3f77a6">
      <tp>
        <v>1</v>
        <stp/>
        <stp>f32b3f02-2295-4972-bed5-f97939d6a4e4</stp>
        <tr r="AB60" s="130"/>
      </tp>
      <tp>
        <v>1</v>
        <stp/>
        <stp>5b0f40e2-7fd6-47fc-bb3d-760a709636be</stp>
        <tr r="E36" s="130"/>
      </tp>
    </main>
    <main first="rtdsrv.458a5932996f485b8b1b8d7cbb3f77a6">
      <tp>
        <v>1</v>
        <stp/>
        <stp>10f43ee7-1f63-4943-947c-f6da3df3f782</stp>
        <tr r="BG29" s="130"/>
      </tp>
      <tp>
        <v>1</v>
        <stp/>
        <stp>dc9c4b7e-4a49-4446-b0b7-8f6b8cb77a0e</stp>
        <tr r="O34" s="130"/>
      </tp>
    </main>
    <main first="rtdsrv.458a5932996f485b8b1b8d7cbb3f77a6">
      <tp>
        <v>1</v>
        <stp/>
        <stp>de3a4d7e-c15b-474e-b32f-8031838f23da</stp>
        <tr r="I36" s="130"/>
      </tp>
    </main>
    <main first="rtdsrv.458a5932996f485b8b1b8d7cbb3f77a6">
      <tp>
        <v>1</v>
        <stp/>
        <stp>670b0e6e-0bc4-4ca3-b39c-8e6a3142999f</stp>
        <tr r="J36" s="130"/>
      </tp>
    </main>
    <main first="rtdsrv.458a5932996f485b8b1b8d7cbb3f77a6">
      <tp>
        <v>1</v>
        <stp/>
        <stp>5afa8404-0682-492e-9f7e-51021e83ef13</stp>
        <tr r="BD19" s="130"/>
      </tp>
      <tp>
        <v>1</v>
        <stp/>
        <stp>0b3a2581-696d-4f93-8de9-055b941b533d</stp>
        <tr r="Z38" s="130"/>
      </tp>
    </main>
    <main first="rtdsrv.458a5932996f485b8b1b8d7cbb3f77a6">
      <tp>
        <v>1</v>
        <stp/>
        <stp>6966f279-5869-4573-a4e4-3c34d8d996fe</stp>
        <tr r="C19" s="130"/>
      </tp>
    </main>
    <main first="rtdsrv.458a5932996f485b8b1b8d7cbb3f77a6">
      <tp>
        <v>1</v>
        <stp/>
        <stp>7357e130-1f33-4c88-863e-76cc12b9d986</stp>
        <tr r="R66" s="130"/>
      </tp>
      <tp>
        <v>1</v>
        <stp/>
        <stp>c2d2b09d-cd7d-4c2e-b73c-f30d894388b8</stp>
        <tr r="AH80" s="130"/>
      </tp>
    </main>
    <main first="rtdsrv.458a5932996f485b8b1b8d7cbb3f77a6">
      <tp>
        <v>1</v>
        <stp/>
        <stp>e7556a06-3b8f-4a61-b5f0-328a150f10c6</stp>
        <tr r="AO39" s="130"/>
      </tp>
    </main>
    <main first="rtdsrv.458a5932996f485b8b1b8d7cbb3f77a6">
      <tp>
        <v>1</v>
        <stp/>
        <stp>d017a753-b272-4f23-aede-67d8f380632a</stp>
        <tr r="AL42" s="130"/>
      </tp>
    </main>
    <main first="rtdsrv.458a5932996f485b8b1b8d7cbb3f77a6">
      <tp>
        <v>1</v>
        <stp/>
        <stp>d4001bd1-a8dd-47aa-84d9-6e10c78e0ea9</stp>
        <tr r="AG31" s="130"/>
      </tp>
    </main>
    <main first="rtdsrv.458a5932996f485b8b1b8d7cbb3f77a6">
      <tp>
        <v>1</v>
        <stp/>
        <stp>d005f621-ca09-459f-bbe8-a43f561c2ade</stp>
        <tr r="CE9" s="132"/>
      </tp>
    </main>
    <main first="rtdsrv.458a5932996f485b8b1b8d7cbb3f77a6">
      <tp>
        <v>1</v>
        <stp/>
        <stp>4b690b53-49c8-4b63-a53f-eb69cc6260b7</stp>
        <tr r="AU14" s="130"/>
        <tr r="AU26" s="130"/>
      </tp>
    </main>
    <main first="rtdsrv.458a5932996f485b8b1b8d7cbb3f77a6">
      <tp>
        <v>1</v>
        <stp/>
        <stp>c02b9dcc-8431-4d68-b0a9-a0db12326259</stp>
        <tr r="GE15" s="132"/>
      </tp>
    </main>
    <main first="rtdsrv.458a5932996f485b8b1b8d7cbb3f77a6">
      <tp>
        <v>1</v>
        <stp/>
        <stp>9de9b7e3-19ef-4081-95d1-db3ba12a2a7c</stp>
        <tr r="AT22" s="130"/>
      </tp>
      <tp>
        <v>1</v>
        <stp/>
        <stp>18ad9792-a2bf-4b2b-af51-552d90f4b91b</stp>
        <tr r="EL16" s="132"/>
      </tp>
    </main>
    <main first="rtdsrv.458a5932996f485b8b1b8d7cbb3f77a6">
      <tp>
        <v>1</v>
        <stp/>
        <stp>ef7d407e-16a2-482f-8585-5f804c124954</stp>
        <tr r="L12" s="132"/>
      </tp>
      <tp>
        <v>1</v>
        <stp/>
        <stp>440f3b1d-6905-4902-99f0-0cec7aab733e</stp>
        <tr r="AP97" s="130"/>
      </tp>
    </main>
    <main first="rtdsrv.458a5932996f485b8b1b8d7cbb3f77a6">
      <tp>
        <v>1</v>
        <stp/>
        <stp>1a92a3ff-df2a-4668-801f-fd27d8770fe8</stp>
        <tr r="U29" s="130"/>
      </tp>
      <tp>
        <v>1</v>
        <stp/>
        <stp>0782fdc8-37e2-46f6-85ac-dd7c8fa6d0fd</stp>
        <tr r="BC97" s="130"/>
      </tp>
    </main>
    <main first="rtdsrv.458a5932996f485b8b1b8d7cbb3f77a6">
      <tp>
        <v>1</v>
        <stp/>
        <stp>f197ecba-c6fc-4f5b-9827-442b0aca0147</stp>
        <tr r="EY11" s="132"/>
      </tp>
    </main>
    <main first="rtdsrv.458a5932996f485b8b1b8d7cbb3f77a6">
      <tp>
        <v>1</v>
        <stp/>
        <stp>9bad2f8a-fed9-4a02-8137-9f4486ab96a6</stp>
        <tr r="M84" s="130"/>
      </tp>
      <tp>
        <v>1</v>
        <stp/>
        <stp>ac838051-47ee-4e34-95ad-1ce5cff4f2bb</stp>
        <tr r="EI16" s="132"/>
      </tp>
    </main>
    <main first="rtdsrv.458a5932996f485b8b1b8d7cbb3f77a6">
      <tp>
        <v>1</v>
        <stp/>
        <stp>d0491e63-7b22-4474-854f-ac03d3942706</stp>
        <tr r="BQ16" s="132"/>
      </tp>
    </main>
    <main first="rtdsrv.458a5932996f485b8b1b8d7cbb3f77a6">
      <tp>
        <v>1</v>
        <stp/>
        <stp>a76f509a-7656-4e9f-ad00-e4b7f6f08a28</stp>
        <tr r="V58" s="130"/>
      </tp>
    </main>
    <main first="rtdsrv.458a5932996f485b8b1b8d7cbb3f77a6">
      <tp>
        <v>1</v>
        <stp/>
        <stp>d35126b7-0983-4f1f-8adc-0dfcc46b8be7</stp>
        <tr r="AJ84" s="130"/>
      </tp>
    </main>
    <main first="rtdsrv.458a5932996f485b8b1b8d7cbb3f77a6">
      <tp>
        <v>1</v>
        <stp/>
        <stp>bc54662c-f826-4dd9-8f1f-c53449d9126a</stp>
        <tr r="Y9" s="130"/>
      </tp>
    </main>
    <main first="rtdsrv.458a5932996f485b8b1b8d7cbb3f77a6">
      <tp>
        <v>1</v>
        <stp/>
        <stp>0b4f3d2a-ae88-4f9b-afc7-ed139bd01e9d</stp>
        <tr r="Z58" s="130"/>
      </tp>
    </main>
    <main first="rtdsrv.458a5932996f485b8b1b8d7cbb3f77a6">
      <tp>
        <v>1</v>
        <stp/>
        <stp>cad00a56-76b2-4afc-8a0d-cd927620230c</stp>
        <tr r="AE12" s="130"/>
      </tp>
    </main>
    <main first="rtdsrv.458a5932996f485b8b1b8d7cbb3f77a6">
      <tp>
        <v>1</v>
        <stp/>
        <stp>41f6c36c-c9f3-4457-84a6-2ac79d45570f</stp>
        <tr r="D9" s="132"/>
      </tp>
    </main>
    <main first="rtdsrv.458a5932996f485b8b1b8d7cbb3f77a6">
      <tp>
        <v>1</v>
        <stp/>
        <stp>549cccd3-ede5-4374-92e5-ccb2d2bc474e</stp>
        <tr r="BF27" s="130"/>
      </tp>
    </main>
    <main first="rtdsrv.458a5932996f485b8b1b8d7cbb3f77a6">
      <tp>
        <v>1</v>
        <stp/>
        <stp>eab17fb2-b18a-494b-bcee-df96ce019dd3</stp>
        <tr r="BX12" s="132"/>
      </tp>
      <tp>
        <v>1</v>
        <stp/>
        <stp>504c3104-a855-419c-adf6-aa7101e1c0aa</stp>
        <tr r="DY5" s="132"/>
      </tp>
    </main>
    <main first="rtdsrv.458a5932996f485b8b1b8d7cbb3f77a6">
      <tp>
        <v>1</v>
        <stp/>
        <stp>f5a26d70-453f-41d2-a782-67de8e417886</stp>
        <tr r="BH15" s="132"/>
      </tp>
      <tp>
        <v>1</v>
        <stp/>
        <stp>6eba9cb2-c87e-4ce4-887d-64ef9329ad2b</stp>
        <tr r="AH63" s="130"/>
      </tp>
      <tp>
        <v>1</v>
        <stp/>
        <stp>8f2ca73b-a83b-4348-ac40-da0cca01a903</stp>
        <tr r="AB5" s="130"/>
      </tp>
    </main>
    <main first="rtdsrv.458a5932996f485b8b1b8d7cbb3f77a6">
      <tp>
        <v>1</v>
        <stp/>
        <stp>ab004e2d-ec5c-45ef-8170-7a83a664aafd</stp>
        <tr r="FJ9" s="132"/>
      </tp>
      <tp>
        <v>1</v>
        <stp/>
        <stp>e43d7cb2-15db-46fe-905d-e32ea48ac437</stp>
        <tr r="AU19" s="130"/>
      </tp>
    </main>
    <main first="rtdsrv.458a5932996f485b8b1b8d7cbb3f77a6">
      <tp>
        <v>1</v>
        <stp/>
        <stp>d663cbf9-2633-410a-a0ad-978ad2af3fbe</stp>
        <tr r="AZ33" s="130"/>
      </tp>
    </main>
    <main first="rtdsrv.458a5932996f485b8b1b8d7cbb3f77a6">
      <tp>
        <v>1</v>
        <stp/>
        <stp>5f464908-595e-456c-9f11-7744b376195a</stp>
        <tr r="BI8" s="132"/>
      </tp>
      <tp>
        <v>1</v>
        <stp/>
        <stp>cd7fb9fd-8d13-4742-9e58-b759046c1d43</stp>
        <tr r="AI14" s="132"/>
      </tp>
    </main>
    <main first="rtdsrv.458a5932996f485b8b1b8d7cbb3f77a6">
      <tp>
        <v>1</v>
        <stp/>
        <stp>a6da784d-b2b0-482e-a02b-7978c681a15e</stp>
        <tr r="BA70" s="130"/>
      </tp>
    </main>
    <main first="rtdsrv.458a5932996f485b8b1b8d7cbb3f77a6">
      <tp>
        <v>1</v>
        <stp/>
        <stp>246ad6b0-0935-4fd1-96bc-d4aeb2a6ab45</stp>
        <tr r="BZ6" s="132"/>
      </tp>
    </main>
    <main first="rtdsrv.458a5932996f485b8b1b8d7cbb3f77a6">
      <tp>
        <v>1</v>
        <stp/>
        <stp>3087b3de-e446-4841-b317-5ca558457804</stp>
        <tr r="HG6" s="132"/>
      </tp>
    </main>
    <main first="rtdsrv.458a5932996f485b8b1b8d7cbb3f77a6">
      <tp>
        <v>1</v>
        <stp/>
        <stp>43ae189f-5e45-44cc-bfa3-2694a6406985</stp>
        <tr r="BH8" s="130"/>
      </tp>
    </main>
    <main first="rtdsrv.458a5932996f485b8b1b8d7cbb3f77a6">
      <tp>
        <v>1</v>
        <stp/>
        <stp>cb46bd78-a1db-4381-bf5b-3547f59eaff7</stp>
        <tr r="AN44" s="130"/>
      </tp>
    </main>
    <main first="rtdsrv.458a5932996f485b8b1b8d7cbb3f77a6">
      <tp>
        <v>1</v>
        <stp/>
        <stp>fda635ca-c8d2-4996-8ba0-fdc4871003c2</stp>
        <tr r="AT93" s="130"/>
      </tp>
    </main>
    <main first="rtdsrv.458a5932996f485b8b1b8d7cbb3f77a6">
      <tp>
        <v>1</v>
        <stp/>
        <stp>6b924f3a-2f3f-4917-b140-7269842886c2</stp>
        <tr r="CP5" s="132"/>
      </tp>
    </main>
    <main first="rtdsrv.458a5932996f485b8b1b8d7cbb3f77a6">
      <tp>
        <v>1</v>
        <stp/>
        <stp>06643d07-c350-4047-ac5a-ac3d90b75eab</stp>
        <tr r="EU11" s="132"/>
      </tp>
    </main>
    <main first="rtdsrv.458a5932996f485b8b1b8d7cbb3f77a6">
      <tp>
        <v>1</v>
        <stp/>
        <stp>3ac316db-c021-4ea3-aa71-16cb56e385de</stp>
        <tr r="BB51" s="130"/>
        <tr r="BB46" s="130"/>
      </tp>
    </main>
    <main first="rtdsrv.458a5932996f485b8b1b8d7cbb3f77a6">
      <tp>
        <v>1</v>
        <stp/>
        <stp>4d03b852-ba92-4c83-b7df-012eb9e5ed16</stp>
        <tr r="G9" s="130"/>
      </tp>
      <tp>
        <v>1</v>
        <stp/>
        <stp>c2c15fd1-cc0b-4522-9217-5d020b15a76f</stp>
        <tr r="AJ89" s="130"/>
      </tp>
    </main>
    <main first="rtdsrv.458a5932996f485b8b1b8d7cbb3f77a6">
      <tp>
        <v>1</v>
        <stp/>
        <stp>02701d48-274c-45f2-9d52-acfa9f0f0c40</stp>
        <tr r="DG16" s="132"/>
      </tp>
    </main>
    <main first="rtdsrv.458a5932996f485b8b1b8d7cbb3f77a6">
      <tp>
        <v>1</v>
        <stp/>
        <stp>9d689ac2-d5bb-4d3b-9b20-4177a7f2b2dd</stp>
        <tr r="DW5" s="132"/>
      </tp>
    </main>
    <main first="rtdsrv.458a5932996f485b8b1b8d7cbb3f77a6">
      <tp>
        <v>1</v>
        <stp/>
        <stp>1b592ed1-555f-4a6e-b4d9-c09b75379324</stp>
        <tr r="AU73" s="130"/>
      </tp>
    </main>
    <main first="rtdsrv.458a5932996f485b8b1b8d7cbb3f77a6">
      <tp>
        <v>1</v>
        <stp/>
        <stp>7d3435a4-0d75-4cd2-b1a6-51cdece65ec9</stp>
        <tr r="Z15" s="132"/>
      </tp>
    </main>
    <main first="rtdsrv.458a5932996f485b8b1b8d7cbb3f77a6">
      <tp>
        <v>1</v>
        <stp/>
        <stp>313e2ca6-067d-498e-b534-bc90bb580093</stp>
        <tr r="Z68" s="130"/>
      </tp>
    </main>
    <main first="rtdsrv.458a5932996f485b8b1b8d7cbb3f77a6">
      <tp>
        <v>1</v>
        <stp/>
        <stp>dbaf1ef9-cdf9-47f1-ba04-d431411cee04</stp>
        <tr r="T89" s="130"/>
      </tp>
    </main>
    <main first="rtdsrv.458a5932996f485b8b1b8d7cbb3f77a6">
      <tp>
        <v>1</v>
        <stp/>
        <stp>ba6105ef-147a-4554-a0ad-73c67130275a</stp>
        <tr r="AJ9" s="132"/>
      </tp>
    </main>
    <main first="rtdsrv.458a5932996f485b8b1b8d7cbb3f77a6">
      <tp>
        <v>1</v>
        <stp/>
        <stp>5fedde2f-ccdc-400e-8e0e-0c7112527a51</stp>
        <tr r="AI21" s="130"/>
      </tp>
    </main>
    <main first="rtdsrv.458a5932996f485b8b1b8d7cbb3f77a6">
      <tp>
        <v>1</v>
        <stp/>
        <stp>2a525037-b822-464e-9cd5-3b8416fbec34</stp>
        <tr r="BB60" s="130"/>
      </tp>
    </main>
    <main first="rtdsrv.458a5932996f485b8b1b8d7cbb3f77a6">
      <tp>
        <v>1</v>
        <stp/>
        <stp>5aabc44e-ec94-4f90-9d44-b5d80b624f63</stp>
        <tr r="DT12" s="132"/>
      </tp>
    </main>
    <main first="rtdsrv.458a5932996f485b8b1b8d7cbb3f77a6">
      <tp>
        <v>1</v>
        <stp/>
        <stp>1ea6fdde-f372-43ca-b9fd-ceeecea3de0e</stp>
        <tr r="AA35" s="130"/>
      </tp>
    </main>
    <main first="rtdsrv.458a5932996f485b8b1b8d7cbb3f77a6">
      <tp>
        <v>1</v>
        <stp/>
        <stp>203d8041-7234-485f-a584-78f9c54aea5d</stp>
        <tr r="BF17" s="130"/>
      </tp>
    </main>
    <main first="rtdsrv.458a5932996f485b8b1b8d7cbb3f77a6">
      <tp>
        <v>1</v>
        <stp/>
        <stp>3791224d-3a4b-461f-a6a4-8b8a253c1c55</stp>
        <tr r="AM5" s="132"/>
      </tp>
    </main>
    <main first="rtdsrv.458a5932996f485b8b1b8d7cbb3f77a6">
      <tp>
        <v>1</v>
        <stp/>
        <stp>1eb206b8-5537-4e3c-a56c-2d00cda2f6a0</stp>
        <tr r="O19" s="130"/>
      </tp>
      <tp>
        <v>1</v>
        <stp/>
        <stp>27d77429-3580-4550-8b6b-a964980332a3</stp>
        <tr r="U16" s="130"/>
      </tp>
    </main>
    <main first="rtdsrv.458a5932996f485b8b1b8d7cbb3f77a6">
      <tp>
        <v>1</v>
        <stp/>
        <stp>ffac671e-fa41-4a2c-931d-9ebf0a30fdb0</stp>
        <tr r="BR6" s="132"/>
      </tp>
      <tp>
        <v>1</v>
        <stp/>
        <stp>96604203-ef66-495a-93af-fea047181606</stp>
        <tr r="EV13" s="132"/>
      </tp>
    </main>
    <main first="rtdsrv.458a5932996f485b8b1b8d7cbb3f77a6">
      <tp>
        <v>1</v>
        <stp/>
        <stp>86e985af-dd5c-4202-b8fb-c8e216ea68db</stp>
        <tr r="AC80" s="130"/>
      </tp>
    </main>
    <main first="rtdsrv.458a5932996f485b8b1b8d7cbb3f77a6">
      <tp>
        <v>1</v>
        <stp/>
        <stp>119ceccc-1f96-4251-998b-22756e9d4875</stp>
        <tr r="GG8" s="132"/>
      </tp>
    </main>
    <main first="rtdsrv.458a5932996f485b8b1b8d7cbb3f77a6">
      <tp>
        <v>1</v>
        <stp/>
        <stp>ad6ba160-e0c8-43d3-ab1a-32c5046101c6</stp>
        <tr r="BZ8" s="132"/>
      </tp>
    </main>
    <main first="rtdsrv.458a5932996f485b8b1b8d7cbb3f77a6">
      <tp>
        <v>1</v>
        <stp/>
        <stp>dfa8ce0e-1277-42ca-a709-77568496be1c</stp>
        <tr r="AT85" s="130"/>
      </tp>
    </main>
    <main first="rtdsrv.458a5932996f485b8b1b8d7cbb3f77a6">
      <tp>
        <v>1</v>
        <stp/>
        <stp>75023404-410e-4b23-b014-d3f73705e640</stp>
        <tr r="AN58" s="130"/>
      </tp>
    </main>
    <main first="rtdsrv.458a5932996f485b8b1b8d7cbb3f77a6">
      <tp>
        <v>1</v>
        <stp/>
        <stp>cce27fcf-2fa3-4354-8aab-c1b900357f40</stp>
        <tr r="AY21" s="130"/>
      </tp>
    </main>
    <main first="rtdsrv.458a5932996f485b8b1b8d7cbb3f77a6">
      <tp>
        <v>1</v>
        <stp/>
        <stp>64a0e23b-1b7e-4d25-b5ef-6be102faf229</stp>
        <tr r="F11" s="132"/>
      </tp>
    </main>
    <main first="rtdsrv.458a5932996f485b8b1b8d7cbb3f77a6">
      <tp>
        <v>1</v>
        <stp/>
        <stp>4918b2ee-0d95-4c8e-9813-197f5660ceeb</stp>
        <tr r="BA42" s="130"/>
      </tp>
    </main>
    <main first="rtdsrv.458a5932996f485b8b1b8d7cbb3f77a6">
      <tp>
        <v>1</v>
        <stp/>
        <stp>6cd04e2a-5fbc-43c4-ad7e-e02d8f6dec12</stp>
        <tr r="C8" s="130"/>
      </tp>
    </main>
    <main first="rtdsrv.458a5932996f485b8b1b8d7cbb3f77a6">
      <tp>
        <v>1</v>
        <stp/>
        <stp>301d52c0-5286-4245-b70e-54037649a5a1</stp>
        <tr r="BD35" s="130"/>
      </tp>
    </main>
    <main first="rtdsrv.458a5932996f485b8b1b8d7cbb3f77a6">
      <tp>
        <v>1</v>
        <stp/>
        <stp>6742602e-ea44-463f-a416-7c2a4c35b00d</stp>
        <tr r="AR41" s="130"/>
      </tp>
      <tp>
        <v>1</v>
        <stp/>
        <stp>4a615132-f022-4d35-bfd3-c0c943092a53</stp>
        <tr r="BG98" s="130"/>
      </tp>
    </main>
    <main first="rtdsrv.458a5932996f485b8b1b8d7cbb3f77a6">
      <tp>
        <v>1</v>
        <stp/>
        <stp>31a7a1de-0ba0-4a03-82a6-3a12d7bb81b8</stp>
        <tr r="DA7" s="132"/>
      </tp>
    </main>
    <main first="rtdsrv.458a5932996f485b8b1b8d7cbb3f77a6">
      <tp>
        <v>1</v>
        <stp/>
        <stp>ec9d63c1-712b-4606-a67f-6c9237a41759</stp>
        <tr r="T61" s="130"/>
      </tp>
    </main>
    <main first="rtdsrv.458a5932996f485b8b1b8d7cbb3f77a6">
      <tp>
        <v>1</v>
        <stp/>
        <stp>729e90f8-fc61-4cc3-a327-ed92c0d2a46b</stp>
        <tr r="AH38" s="130"/>
      </tp>
    </main>
    <main first="rtdsrv.458a5932996f485b8b1b8d7cbb3f77a6">
      <tp>
        <v>1</v>
        <stp/>
        <stp>675cf6db-616e-4bea-a6c0-915b50ec61ac</stp>
        <tr r="DR8" s="132"/>
      </tp>
    </main>
    <main first="rtdsrv.458a5932996f485b8b1b8d7cbb3f77a6">
      <tp>
        <v>1</v>
        <stp/>
        <stp>90208e88-f580-47f5-812d-c1974c3aac07</stp>
        <tr r="BC11" s="130"/>
      </tp>
    </main>
    <main first="rtdsrv.458a5932996f485b8b1b8d7cbb3f77a6">
      <tp>
        <v>1</v>
        <stp/>
        <stp>3ea1655a-b105-4835-9b20-ffac5bb8347d</stp>
        <tr r="AN63" s="130"/>
      </tp>
    </main>
    <main first="rtdsrv.458a5932996f485b8b1b8d7cbb3f77a6">
      <tp>
        <v>1</v>
        <stp/>
        <stp>098ea164-8c8c-441d-a6e4-9b6fa09cdf7e</stp>
        <tr r="Z39" s="130"/>
      </tp>
    </main>
    <main first="rtdsrv.458a5932996f485b8b1b8d7cbb3f77a6">
      <tp>
        <v>1</v>
        <stp/>
        <stp>ecb16464-fe09-4bed-9c71-6d589ed45f0f</stp>
        <tr r="CU8" s="132"/>
      </tp>
    </main>
    <main first="rtdsrv.458a5932996f485b8b1b8d7cbb3f77a6">
      <tp>
        <v>1</v>
        <stp/>
        <stp>e975d8d9-d4bd-4330-8308-8359ba33928b</stp>
        <tr r="AF80" s="130"/>
      </tp>
    </main>
    <main first="rtdsrv.458a5932996f485b8b1b8d7cbb3f77a6">
      <tp>
        <v>1</v>
        <stp/>
        <stp>9855e9f1-ea1b-4802-a5d6-c0c6526c6500</stp>
        <tr r="C38" s="130"/>
      </tp>
    </main>
    <main first="rtdsrv.458a5932996f485b8b1b8d7cbb3f77a6">
      <tp>
        <v>1</v>
        <stp/>
        <stp>34bff343-fd53-42fc-9c2c-e17e7479003b</stp>
        <tr r="CT12" s="132"/>
      </tp>
    </main>
    <main first="rtdsrv.458a5932996f485b8b1b8d7cbb3f77a6">
      <tp>
        <v>1</v>
        <stp/>
        <stp>bd176465-0270-42da-9eeb-275167298a2b</stp>
        <tr r="AV71" s="130"/>
      </tp>
    </main>
    <main first="rtdsrv.458a5932996f485b8b1b8d7cbb3f77a6">
      <tp>
        <v>1</v>
        <stp/>
        <stp>c9e737f6-80c1-43dc-bff5-3b6b3ec21113</stp>
        <tr r="AA5" s="130"/>
      </tp>
    </main>
    <main first="rtdsrv.458a5932996f485b8b1b8d7cbb3f77a6">
      <tp>
        <v>1</v>
        <stp/>
        <stp>3d00ae68-f52d-45e2-b83a-c11216bd2dce</stp>
        <tr r="J76" s="130"/>
      </tp>
    </main>
    <main first="rtdsrv.458a5932996f485b8b1b8d7cbb3f77a6">
      <tp>
        <v>1</v>
        <stp/>
        <stp>25dc483e-e9cc-4e1a-9468-d63ab40d1879</stp>
        <tr r="BK86" s="130"/>
      </tp>
    </main>
    <main first="rtdsrv.458a5932996f485b8b1b8d7cbb3f77a6">
      <tp>
        <v>1</v>
        <stp/>
        <stp>f699d1e3-bb0b-4672-9849-411b1bdc9507</stp>
        <tr r="AS15" s="132"/>
      </tp>
    </main>
    <main first="rtdsrv.458a5932996f485b8b1b8d7cbb3f77a6">
      <tp>
        <v>1</v>
        <stp/>
        <stp>47cad248-ce4e-4e63-a7ff-5c4f5cf826d9</stp>
        <tr r="AP78" s="130"/>
      </tp>
    </main>
    <main first="rtdsrv.458a5932996f485b8b1b8d7cbb3f77a6">
      <tp>
        <v>1</v>
        <stp/>
        <stp>d36c1c12-44c5-4790-8e70-c3a1938e3f8a</stp>
        <tr r="Q76" s="130"/>
      </tp>
    </main>
    <main first="rtdsrv.458a5932996f485b8b1b8d7cbb3f77a6">
      <tp>
        <v>1</v>
        <stp/>
        <stp>cd46ef03-1702-41d8-83cd-765df905ab19</stp>
        <tr r="FX14" s="132"/>
      </tp>
      <tp>
        <v>1</v>
        <stp/>
        <stp>0ba86c41-b0f8-47e3-bda5-d6fe577265b9</stp>
        <tr r="K9" s="130"/>
      </tp>
      <tp>
        <v>1</v>
        <stp/>
        <stp>e559e9c4-2658-4df9-bbda-afd490bf90d8</stp>
        <tr r="CI14" s="132"/>
      </tp>
    </main>
    <main first="rtdsrv.458a5932996f485b8b1b8d7cbb3f77a6">
      <tp>
        <v>1</v>
        <stp/>
        <stp>dda8769d-0303-411e-b676-141e4181f076</stp>
        <tr r="S73" s="130"/>
      </tp>
    </main>
    <main first="rtdsrv.458a5932996f485b8b1b8d7cbb3f77a6">
      <tp>
        <v>1</v>
        <stp/>
        <stp>46daa563-3515-4352-95d4-e91f0b808895</stp>
        <tr r="D56" s="130"/>
      </tp>
    </main>
    <main first="rtdsrv.458a5932996f485b8b1b8d7cbb3f77a6">
      <tp>
        <v>1</v>
        <stp/>
        <stp>194af5e4-f8b9-488e-8685-d506b2da65d5</stp>
        <tr r="DS11" s="132"/>
      </tp>
    </main>
    <main first="rtdsrv.458a5932996f485b8b1b8d7cbb3f77a6">
      <tp>
        <v>1</v>
        <stp/>
        <stp>3c8f7b61-7b14-4b02-b55c-00e450468425</stp>
        <tr r="H43" s="130"/>
      </tp>
    </main>
    <main first="rtdsrv.458a5932996f485b8b1b8d7cbb3f77a6">
      <tp>
        <v>1</v>
        <stp/>
        <stp>9c209bfb-ec8e-42b7-81cb-0a42ff486294</stp>
        <tr r="AS40" s="130"/>
      </tp>
    </main>
    <main first="rtdsrv.458a5932996f485b8b1b8d7cbb3f77a6">
      <tp>
        <v>1</v>
        <stp/>
        <stp>f3177674-171b-4b56-9f55-4f557b9326d2</stp>
        <tr r="W59" s="130"/>
      </tp>
    </main>
    <main first="rtdsrv.458a5932996f485b8b1b8d7cbb3f77a6">
      <tp>
        <v>1</v>
        <stp/>
        <stp>261f886c-a69a-47f1-b666-e590dad8d969</stp>
        <tr r="BX14" s="132"/>
      </tp>
      <tp>
        <v>1</v>
        <stp/>
        <stp>7e48959b-451a-4376-b5fb-508a6068718e</stp>
        <tr r="AL88" s="130"/>
      </tp>
    </main>
    <main first="rtdsrv.458a5932996f485b8b1b8d7cbb3f77a6">
      <tp>
        <v>1</v>
        <stp/>
        <stp>f137a3c6-27b3-4dcd-ab62-de9d92b840b4</stp>
        <tr r="BA72" s="130"/>
      </tp>
    </main>
    <main first="rtdsrv.458a5932996f485b8b1b8d7cbb3f77a6">
      <tp>
        <v>1</v>
        <stp/>
        <stp>4985e85b-7206-4b8c-bae5-a7435a480cfa</stp>
        <tr r="BJ13" s="130"/>
      </tp>
    </main>
    <main first="rtdsrv.458a5932996f485b8b1b8d7cbb3f77a6">
      <tp>
        <v>1</v>
        <stp/>
        <stp>2d54e87e-2b7e-4009-9373-44a49bf4638e</stp>
        <tr r="AL26" s="130"/>
        <tr r="AL14" s="130"/>
      </tp>
      <tp>
        <v>1</v>
        <stp/>
        <stp>d1d79af5-1662-485b-80f8-617cbee9a439</stp>
        <tr r="S15" s="132"/>
      </tp>
    </main>
    <main first="rtdsrv.458a5932996f485b8b1b8d7cbb3f77a6">
      <tp>
        <v>1</v>
        <stp/>
        <stp>62c92a55-c5bf-4596-913f-2d31ebcf468a</stp>
        <tr r="FS14" s="132"/>
      </tp>
    </main>
    <main first="rtdsrv.458a5932996f485b8b1b8d7cbb3f77a6">
      <tp>
        <v>1</v>
        <stp/>
        <stp>0b48cb5d-206d-4e51-9784-eb96ee0009aa</stp>
        <tr r="GT5" s="132"/>
      </tp>
      <tp>
        <v>1</v>
        <stp/>
        <stp>e79604a9-53fc-47a4-bb2a-ddd24b1a3321</stp>
        <tr r="X17" s="130"/>
      </tp>
    </main>
    <main first="rtdsrv.458a5932996f485b8b1b8d7cbb3f77a6">
      <tp>
        <v>1</v>
        <stp/>
        <stp>f19c0ab5-024c-47f5-941b-db69c26491ff</stp>
        <tr r="AX69" s="130"/>
      </tp>
      <tp>
        <v>1</v>
        <stp/>
        <stp>8fad58fe-f4e8-4f33-9654-58bad488f70e</stp>
        <tr r="P52" s="130"/>
        <tr r="P47" s="130"/>
      </tp>
      <tp>
        <v>1</v>
        <stp/>
        <stp>5c77306f-e9bf-4007-8c23-b5c8e216f143</stp>
        <tr r="AP89" s="130"/>
      </tp>
      <tp>
        <v>1</v>
        <stp/>
        <stp>b6531b86-72e4-475f-b4d1-2fd1266fc41d</stp>
        <tr r="AR84" s="130"/>
      </tp>
    </main>
    <main first="rtdsrv.458a5932996f485b8b1b8d7cbb3f77a6">
      <tp>
        <v>1</v>
        <stp/>
        <stp>849d20c7-5dc7-4712-998e-294fac7c8d59</stp>
        <tr r="Q42" s="130"/>
      </tp>
      <tp>
        <v>1</v>
        <stp/>
        <stp>5169fd3d-9223-4f5d-929a-9f48a793de66</stp>
        <tr r="AR38" s="130"/>
      </tp>
    </main>
    <main first="rtdsrv.458a5932996f485b8b1b8d7cbb3f77a6">
      <tp>
        <v>1</v>
        <stp/>
        <stp>6fbd666e-7dc5-4142-a164-b698a451ade2</stp>
        <tr r="AI58" s="130"/>
      </tp>
    </main>
    <main first="rtdsrv.458a5932996f485b8b1b8d7cbb3f77a6">
      <tp>
        <v>1</v>
        <stp/>
        <stp>b601c506-1abb-4d4d-a6f8-3b7ac6d2dadd</stp>
        <tr r="X24" s="130"/>
      </tp>
    </main>
    <main first="rtdsrv.458a5932996f485b8b1b8d7cbb3f77a6">
      <tp>
        <v>1</v>
        <stp/>
        <stp>f70410b5-751d-41c6-8367-45141886287e</stp>
        <tr r="AN7" s="132"/>
      </tp>
    </main>
    <main first="rtdsrv.458a5932996f485b8b1b8d7cbb3f77a6">
      <tp>
        <v>1</v>
        <stp/>
        <stp>c33a0dc0-249c-4751-8bea-6d9dd5734ee4</stp>
        <tr r="BG83" s="130"/>
      </tp>
    </main>
    <main first="rtdsrv.458a5932996f485b8b1b8d7cbb3f77a6">
      <tp>
        <v>1</v>
        <stp/>
        <stp>0cbe80b9-1fb6-474b-b127-93985b172f7e</stp>
        <tr r="Q81" s="130"/>
      </tp>
    </main>
    <main first="rtdsrv.458a5932996f485b8b1b8d7cbb3f77a6">
      <tp>
        <v>1</v>
        <stp/>
        <stp>ecd5a22f-248c-443d-98e2-d80a5963ef84</stp>
        <tr r="GF16" s="132"/>
      </tp>
      <tp>
        <v>1</v>
        <stp/>
        <stp>1eb81fa6-f8d5-4c0f-8c4a-de805e572299</stp>
        <tr r="AO15" s="130"/>
      </tp>
    </main>
    <main first="rtdsrv.458a5932996f485b8b1b8d7cbb3f77a6">
      <tp>
        <v>1</v>
        <stp/>
        <stp>050635b5-e005-4881-ad88-92e049abfb06</stp>
        <tr r="AH90" s="130"/>
      </tp>
    </main>
    <main first="rtdsrv.458a5932996f485b8b1b8d7cbb3f77a6">
      <tp>
        <v>1</v>
        <stp/>
        <stp>e3b6d118-87cd-43a5-b43f-cd9d8e7e58cb</stp>
        <tr r="P75" s="130"/>
      </tp>
    </main>
    <main first="rtdsrv.458a5932996f485b8b1b8d7cbb3f77a6">
      <tp>
        <v>1</v>
        <stp/>
        <stp>7216e58b-be3e-450e-96a1-470bc7defdf6</stp>
        <tr r="AR72" s="130"/>
      </tp>
    </main>
    <main first="rtdsrv.458a5932996f485b8b1b8d7cbb3f77a6">
      <tp>
        <v>1</v>
        <stp/>
        <stp>7df30394-7703-4d8a-a6b1-8e7b5e4c3f52</stp>
        <tr r="H83" s="130"/>
      </tp>
      <tp>
        <v>1</v>
        <stp/>
        <stp>a8365380-99f7-4410-8c9e-2090099eb786</stp>
        <tr r="Y46" s="130"/>
        <tr r="Y51" s="130"/>
      </tp>
      <tp>
        <v>1</v>
        <stp/>
        <stp>a4e9548c-4531-4b09-a106-cb244b02083c</stp>
        <tr r="AN89" s="130"/>
      </tp>
    </main>
    <main first="rtdsrv.458a5932996f485b8b1b8d7cbb3f77a6">
      <tp>
        <v>1</v>
        <stp/>
        <stp>4c053973-4ee4-49e5-8aca-5adfd891bd6a</stp>
        <tr r="BO6" s="132"/>
      </tp>
    </main>
    <main first="rtdsrv.458a5932996f485b8b1b8d7cbb3f77a6">
      <tp>
        <v>1</v>
        <stp/>
        <stp>4fafe5c8-d3bf-4487-ad70-6d2ec79f2ab8</stp>
        <tr r="Z13" s="130"/>
      </tp>
      <tp>
        <v>1</v>
        <stp/>
        <stp>7381f0af-8d45-480e-878e-beeae4eed206</stp>
        <tr r="BX8" s="132"/>
      </tp>
    </main>
    <main first="rtdsrv.458a5932996f485b8b1b8d7cbb3f77a6">
      <tp>
        <v>1</v>
        <stp/>
        <stp>8d5fd283-3a12-4e63-9231-e1839f8a0756</stp>
        <tr r="W66" s="130"/>
      </tp>
    </main>
    <main first="rtdsrv.458a5932996f485b8b1b8d7cbb3f77a6">
      <tp>
        <v>1</v>
        <stp/>
        <stp>a4f13408-1ae5-44e6-a45d-7d05e6829e3d</stp>
        <tr r="BK80" s="130"/>
      </tp>
    </main>
    <main first="rtdsrv.458a5932996f485b8b1b8d7cbb3f77a6">
      <tp>
        <v>1</v>
        <stp/>
        <stp>e77a609c-5de1-4375-816c-53a442b045b0</stp>
        <tr r="AD8" s="130"/>
      </tp>
    </main>
    <main first="rtdsrv.458a5932996f485b8b1b8d7cbb3f77a6">
      <tp>
        <v>1</v>
        <stp/>
        <stp>04559f13-fe99-465d-ad17-32a4a3958ef1</stp>
        <tr r="BK63" s="130"/>
      </tp>
    </main>
    <main first="rtdsrv.458a5932996f485b8b1b8d7cbb3f77a6">
      <tp>
        <v>1</v>
        <stp/>
        <stp>5c8aec75-0ed1-40ba-a8c9-f382ea3fee00</stp>
        <tr r="M8" s="130"/>
      </tp>
    </main>
    <main first="rtdsrv.458a5932996f485b8b1b8d7cbb3f77a6">
      <tp>
        <v>1</v>
        <stp/>
        <stp>4f348e52-b917-48f0-a0e1-b27d65ddf65f</stp>
        <tr r="M99" s="130"/>
      </tp>
    </main>
    <main first="rtdsrv.458a5932996f485b8b1b8d7cbb3f77a6">
      <tp>
        <v>1</v>
        <stp/>
        <stp>4a950708-d3a6-48d9-bc0d-a5fd997f22fd</stp>
        <tr r="AD81" s="130"/>
      </tp>
    </main>
    <main first="rtdsrv.458a5932996f485b8b1b8d7cbb3f77a6">
      <tp>
        <v>1</v>
        <stp/>
        <stp>46641f44-6397-4a22-9b0b-35993f635253</stp>
        <tr r="K16" s="132"/>
      </tp>
    </main>
    <main first="rtdsrv.458a5932996f485b8b1b8d7cbb3f77a6">
      <tp>
        <v>1</v>
        <stp/>
        <stp>f545c3e1-5798-4181-8000-c52c8a463c9d</stp>
        <tr r="BH18" s="130"/>
      </tp>
    </main>
    <main first="rtdsrv.458a5932996f485b8b1b8d7cbb3f77a6">
      <tp>
        <v>1</v>
        <stp/>
        <stp>895bf8cf-58f5-4d6b-8a70-07e3576f8ddd</stp>
        <tr r="BC88" s="130"/>
      </tp>
      <tp>
        <v>1</v>
        <stp/>
        <stp>bc7ff25b-570a-44c8-8770-c23e8dfb4891</stp>
        <tr r="H96" s="130"/>
      </tp>
    </main>
    <main first="rtdsrv.458a5932996f485b8b1b8d7cbb3f77a6">
      <tp>
        <v>1</v>
        <stp/>
        <stp>5424dea2-7f66-4b0f-8ad8-9cb96d05df50</stp>
        <tr r="AY72" s="130"/>
      </tp>
    </main>
    <main first="rtdsrv.458a5932996f485b8b1b8d7cbb3f77a6">
      <tp>
        <v>1</v>
        <stp/>
        <stp>01ed526e-ccd1-4230-b266-0c62119791cc</stp>
        <tr r="AK60" s="130"/>
      </tp>
      <tp>
        <v>1</v>
        <stp/>
        <stp>9c051a91-8c4f-4898-be1a-caf16fb041e9</stp>
        <tr r="GC8" s="132"/>
      </tp>
    </main>
    <main first="rtdsrv.458a5932996f485b8b1b8d7cbb3f77a6">
      <tp>
        <v>1</v>
        <stp/>
        <stp>5b499cd8-972b-4eac-bb92-f035a1511f96</stp>
        <tr r="H65" s="130"/>
      </tp>
    </main>
    <main first="rtdsrv.458a5932996f485b8b1b8d7cbb3f77a6">
      <tp>
        <v>1</v>
        <stp/>
        <stp>4a68c279-0e4a-4ddc-82eb-5db69a689e8f</stp>
        <tr r="AY8" s="130"/>
      </tp>
      <tp>
        <v>1</v>
        <stp/>
        <stp>7d6e4371-4ce1-42cc-b2a5-81c27dfc8181</stp>
        <tr r="J17" s="130"/>
      </tp>
    </main>
    <main first="rtdsrv.458a5932996f485b8b1b8d7cbb3f77a6">
      <tp>
        <v>1</v>
        <stp/>
        <stp>cead4551-dbb4-4cda-94a8-6aa8e1c75afb</stp>
        <tr r="AQ51" s="130"/>
        <tr r="AQ46" s="130"/>
      </tp>
    </main>
    <main first="rtdsrv.458a5932996f485b8b1b8d7cbb3f77a6">
      <tp>
        <v>1</v>
        <stp/>
        <stp>854ec468-80e7-4bd1-ad11-99af6481c10c</stp>
        <tr r="M69" s="130"/>
      </tp>
      <tp>
        <v>1</v>
        <stp/>
        <stp>4d8dd019-cb53-4c61-a8b4-83a0035daaa0</stp>
        <tr r="BH16" s="132"/>
      </tp>
    </main>
    <main first="rtdsrv.458a5932996f485b8b1b8d7cbb3f77a6">
      <tp>
        <v>1</v>
        <stp/>
        <stp>626ec6be-4ebd-4f77-932a-e28d524c6063</stp>
        <tr r="FB15" s="132"/>
      </tp>
    </main>
    <main first="rtdsrv.458a5932996f485b8b1b8d7cbb3f77a6">
      <tp>
        <v>1</v>
        <stp/>
        <stp>9b7a2622-e0f2-4630-8718-6b55f218aebd</stp>
        <tr r="AR16" s="132"/>
      </tp>
    </main>
    <main first="rtdsrv.458a5932996f485b8b1b8d7cbb3f77a6">
      <tp>
        <v>1</v>
        <stp/>
        <stp>f7bfd6ff-5573-441f-93e3-ae3d6f9e81cf</stp>
        <tr r="AZ21" s="130"/>
      </tp>
    </main>
    <main first="rtdsrv.458a5932996f485b8b1b8d7cbb3f77a6">
      <tp>
        <v>1</v>
        <stp/>
        <stp>b963ed4a-31b1-4c24-bb88-e02fdb6515de</stp>
        <tr r="E88" s="130"/>
      </tp>
    </main>
    <main first="rtdsrv.458a5932996f485b8b1b8d7cbb3f77a6">
      <tp>
        <v>1</v>
        <stp/>
        <stp>92424976-dc70-44ca-870a-8497767269d9</stp>
        <tr r="AD37" s="130"/>
      </tp>
    </main>
    <main first="rtdsrv.458a5932996f485b8b1b8d7cbb3f77a6">
      <tp>
        <v>1</v>
        <stp/>
        <stp>35f4944f-8bde-4c0a-9678-4c8150c5b98d</stp>
        <tr r="BE90" s="130"/>
      </tp>
    </main>
    <main first="rtdsrv.458a5932996f485b8b1b8d7cbb3f77a6">
      <tp>
        <v>1</v>
        <stp/>
        <stp>98e50623-6942-44e1-b9e0-78dac67a6f99</stp>
        <tr r="EZ9" s="132"/>
      </tp>
    </main>
    <main first="rtdsrv.458a5932996f485b8b1b8d7cbb3f77a6">
      <tp>
        <v>1</v>
        <stp/>
        <stp>1c28f5c7-0c99-4c5c-b4d7-60072161fd75</stp>
        <tr r="AJ7" s="132"/>
      </tp>
      <tp>
        <v>1</v>
        <stp/>
        <stp>1f70cbfd-885b-476a-999e-9e13279ff209</stp>
        <tr r="AQ9" s="130"/>
      </tp>
      <tp>
        <v>1</v>
        <stp/>
        <stp>504a8ec3-cb9f-44d2-8451-16bcf7d78460</stp>
        <tr r="AL86" s="130"/>
      </tp>
    </main>
    <main first="rtdsrv.458a5932996f485b8b1b8d7cbb3f77a6">
      <tp>
        <v>1</v>
        <stp/>
        <stp>b26b82e4-436d-4532-9d06-2c38a2feac70</stp>
        <tr r="CI6" s="132"/>
      </tp>
    </main>
    <main first="rtdsrv.458a5932996f485b8b1b8d7cbb3f77a6">
      <tp>
        <v>1</v>
        <stp/>
        <stp>01c8dc54-f3ce-4cbf-9a12-4df8e02e137e</stp>
        <tr r="BB80" s="130"/>
      </tp>
    </main>
    <main first="rtdsrv.458a5932996f485b8b1b8d7cbb3f77a6">
      <tp>
        <v>1</v>
        <stp/>
        <stp>9ff84900-e073-4faa-b080-5d4333faf00c</stp>
        <tr r="BN15" s="132"/>
      </tp>
    </main>
    <main first="rtdsrv.458a5932996f485b8b1b8d7cbb3f77a6">
      <tp>
        <v>1</v>
        <stp/>
        <stp>e3a5f979-4953-4925-b726-59fad694923a</stp>
        <tr r="BM5" s="132"/>
      </tp>
      <tp>
        <v>1</v>
        <stp/>
        <stp>7b26e793-7ad4-4797-a059-f3fc1e51d253</stp>
        <tr r="BB21" s="130"/>
      </tp>
    </main>
    <main first="rtdsrv.458a5932996f485b8b1b8d7cbb3f77a6">
      <tp>
        <v>1</v>
        <stp/>
        <stp>f0514331-33ec-4a57-ab31-805d56b406ff</stp>
        <tr r="AE5" s="130"/>
      </tp>
    </main>
    <main first="rtdsrv.458a5932996f485b8b1b8d7cbb3f77a6">
      <tp>
        <v>1</v>
        <stp/>
        <stp>d7d689bc-8421-4210-ba8e-d3f1c856011a</stp>
        <tr r="S70" s="130"/>
      </tp>
    </main>
    <main first="rtdsrv.458a5932996f485b8b1b8d7cbb3f77a6">
      <tp>
        <v>1</v>
        <stp/>
        <stp>b6e5eeb1-27e2-4731-8536-b72c0261fb7a</stp>
        <tr r="AR82" s="130"/>
      </tp>
    </main>
    <main first="rtdsrv.458a5932996f485b8b1b8d7cbb3f77a6">
      <tp>
        <v>1</v>
        <stp/>
        <stp>ee9bc857-36fb-4943-aea1-805ac98ef136</stp>
        <tr r="BJ59" s="130"/>
      </tp>
    </main>
    <main first="rtdsrv.458a5932996f485b8b1b8d7cbb3f77a6">
      <tp>
        <v>1</v>
        <stp/>
        <stp>7645828a-aee6-481b-ab38-e1a93546441c</stp>
        <tr r="X62" s="130"/>
      </tp>
    </main>
    <main first="rtdsrv.458a5932996f485b8b1b8d7cbb3f77a6">
      <tp>
        <v>1</v>
        <stp/>
        <stp>ccd2fcea-3af7-474f-bac8-1295d47ee4c0</stp>
        <tr r="C98" s="130"/>
      </tp>
      <tp>
        <v>1</v>
        <stp/>
        <stp>b1d2ca3e-80bf-4e44-bab0-f08e62c9e89a</stp>
        <tr r="GX15" s="132"/>
      </tp>
      <tp>
        <v>1</v>
        <stp/>
        <stp>2a71b54c-2d0b-4d00-8d46-83041c5ca6af</stp>
        <tr r="J10" s="130"/>
      </tp>
      <tp>
        <v>1</v>
        <stp/>
        <stp>37e0197c-98cf-4dd6-80d8-ac61f7d0e55d</stp>
        <tr r="Z71" s="130"/>
      </tp>
    </main>
    <main first="rtdsrv.458a5932996f485b8b1b8d7cbb3f77a6">
      <tp>
        <v>1</v>
        <stp/>
        <stp>e2efa9d5-a082-49f6-bfdc-fa33a9408dcb</stp>
        <tr r="V63" s="130"/>
      </tp>
    </main>
    <main first="rtdsrv.458a5932996f485b8b1b8d7cbb3f77a6">
      <tp>
        <v>1</v>
        <stp/>
        <stp>679dede8-2218-4898-a96b-e90e3a99e333</stp>
        <tr r="BA21" s="130"/>
      </tp>
      <tp>
        <v>1</v>
        <stp/>
        <stp>8c89fd87-d5d5-4b10-a42a-24068017eac2</stp>
        <tr r="DM16" s="132"/>
      </tp>
    </main>
    <main first="rtdsrv.458a5932996f485b8b1b8d7cbb3f77a6">
      <tp>
        <v>1</v>
        <stp/>
        <stp>54fed3d1-c629-4c8d-88c1-0f09a27e3348</stp>
        <tr r="M16" s="132"/>
      </tp>
    </main>
    <main first="rtdsrv.458a5932996f485b8b1b8d7cbb3f77a6">
      <tp>
        <v>1</v>
        <stp/>
        <stp>494bb9e7-879b-4349-a42f-b7e24e503ef9</stp>
        <tr r="BI56" s="130"/>
      </tp>
      <tp>
        <v>1</v>
        <stp/>
        <stp>1bc4fc03-4470-4fa9-94b5-d918d0cdbc66</stp>
        <tr r="AG42" s="130"/>
      </tp>
      <tp>
        <v>1</v>
        <stp/>
        <stp>91f331e6-b2d4-428b-82d4-f6f19bdf8418</stp>
        <tr r="BA13" s="130"/>
      </tp>
    </main>
    <main first="rtdsrv.458a5932996f485b8b1b8d7cbb3f77a6">
      <tp>
        <v>1</v>
        <stp/>
        <stp>e9a01f7a-3dce-4d77-b9f3-78a8dcff2b0d</stp>
        <tr r="AE31" s="130"/>
      </tp>
    </main>
    <main first="rtdsrv.458a5932996f485b8b1b8d7cbb3f77a6">
      <tp>
        <v>1</v>
        <stp/>
        <stp>c8eaa70c-229d-4eb4-be5b-4b38998e6c95</stp>
        <tr r="AG28" s="130"/>
      </tp>
    </main>
    <main first="rtdsrv.458a5932996f485b8b1b8d7cbb3f77a6">
      <tp>
        <v>1</v>
        <stp/>
        <stp>216d21d0-4d90-41f9-8f73-cd408876cb10</stp>
        <tr r="I27" s="130"/>
      </tp>
      <tp>
        <v>1</v>
        <stp/>
        <stp>cab1575a-a18f-4bda-bc6e-2fbe9dbf3f49</stp>
        <tr r="AI64" s="130"/>
      </tp>
      <tp>
        <v>1</v>
        <stp/>
        <stp>b617a03b-4e54-43a1-badd-cab3f1f6f30d</stp>
        <tr r="CP16" s="132"/>
      </tp>
      <tp>
        <v>1</v>
        <stp/>
        <stp>70245da7-e394-4233-a02f-f33c4316f43c</stp>
        <tr r="BK65" s="130"/>
      </tp>
    </main>
    <main first="rtdsrv.458a5932996f485b8b1b8d7cbb3f77a6">
      <tp>
        <v>1</v>
        <stp/>
        <stp>8258e6a0-a357-439e-abca-a4a74c6cc0fe</stp>
        <tr r="M88" s="130"/>
      </tp>
    </main>
    <main first="rtdsrv.458a5932996f485b8b1b8d7cbb3f77a6">
      <tp>
        <v>1</v>
        <stp/>
        <stp>84f01144-2491-4562-bbbf-d6f07be46742</stp>
        <tr r="V88" s="130"/>
      </tp>
    </main>
    <main first="rtdsrv.458a5932996f485b8b1b8d7cbb3f77a6">
      <tp>
        <v>1</v>
        <stp/>
        <stp>87dbaa25-e002-44bb-9324-2f2d323c63d6</stp>
        <tr r="S8" s="130"/>
      </tp>
    </main>
    <main first="rtdsrv.458a5932996f485b8b1b8d7cbb3f77a6">
      <tp>
        <v>1</v>
        <stp/>
        <stp>e2155714-e423-4ebc-8e0b-d5aa12d0a0df</stp>
        <tr r="BF42" s="130"/>
      </tp>
      <tp>
        <v>1</v>
        <stp/>
        <stp>c316cbda-e32f-4eb7-b361-607c73b9c25a</stp>
        <tr r="AQ68" s="130"/>
      </tp>
    </main>
    <main first="rtdsrv.458a5932996f485b8b1b8d7cbb3f77a6">
      <tp>
        <v>1</v>
        <stp/>
        <stp>9215beac-875d-4467-82e3-c84b24a9e562</stp>
        <tr r="C64" s="130"/>
      </tp>
    </main>
    <main first="rtdsrv.458a5932996f485b8b1b8d7cbb3f77a6">
      <tp>
        <v>1</v>
        <stp/>
        <stp>2d893de6-f22f-492d-b407-044be5ce778a</stp>
        <tr r="AY30" s="130"/>
      </tp>
    </main>
    <main first="rtdsrv.458a5932996f485b8b1b8d7cbb3f77a6">
      <tp>
        <v>1</v>
        <stp/>
        <stp>f57ece34-6cc4-4cd3-8cb0-b727d5c6711f</stp>
        <tr r="DZ6" s="132"/>
      </tp>
      <tp>
        <v>1</v>
        <stp/>
        <stp>f21aea11-7941-45ef-abd3-b09eea18e35a</stp>
        <tr r="BB6" s="132"/>
      </tp>
    </main>
    <main first="rtdsrv.458a5932996f485b8b1b8d7cbb3f77a6">
      <tp>
        <v>1</v>
        <stp/>
        <stp>715827cd-8a3a-46cb-92af-753a286004c8</stp>
        <tr r="BE44" s="130"/>
      </tp>
    </main>
    <main first="rtdsrv.458a5932996f485b8b1b8d7cbb3f77a6">
      <tp>
        <v>1</v>
        <stp/>
        <stp>098368d8-efe0-443a-8a47-7d8c5a53700a</stp>
        <tr r="V22" s="130"/>
      </tp>
    </main>
    <main first="rtdsrv.458a5932996f485b8b1b8d7cbb3f77a6">
      <tp>
        <v>1</v>
        <stp/>
        <stp>e2d1c5d0-e494-40a4-ae56-6e0556d184f1</stp>
        <tr r="FD7" s="132"/>
      </tp>
    </main>
    <main first="rtdsrv.458a5932996f485b8b1b8d7cbb3f77a6">
      <tp>
        <v>1</v>
        <stp/>
        <stp>14a3f2ba-1ba4-44d0-868f-b8a6052cd6d1</stp>
        <tr r="C72" s="130"/>
      </tp>
      <tp>
        <v>1</v>
        <stp/>
        <stp>b526dfab-2c3a-463c-8ddf-17ddbfa663ca</stp>
        <tr r="Q64" s="130"/>
      </tp>
    </main>
    <main first="rtdsrv.458a5932996f485b8b1b8d7cbb3f77a6">
      <tp>
        <v>1</v>
        <stp/>
        <stp>fed1546a-3da6-43f2-bc9b-49dd9f44d245</stp>
        <tr r="AN60" s="130"/>
      </tp>
    </main>
    <main first="rtdsrv.458a5932996f485b8b1b8d7cbb3f77a6">
      <tp>
        <v>1</v>
        <stp/>
        <stp>972b8ad8-0e87-4211-8551-cd25621da016</stp>
        <tr r="BB32" s="130"/>
      </tp>
      <tp>
        <v>1</v>
        <stp/>
        <stp>5db0ca15-47d3-4ad4-943c-fabd067e0eb5</stp>
        <tr r="BD12" s="130"/>
      </tp>
    </main>
    <main first="rtdsrv.458a5932996f485b8b1b8d7cbb3f77a6">
      <tp>
        <v>1</v>
        <stp/>
        <stp>272703a2-3c28-4b54-9eba-1e72aeef7e33</stp>
        <tr r="AU12" s="130"/>
      </tp>
    </main>
    <main first="rtdsrv.458a5932996f485b8b1b8d7cbb3f77a6">
      <tp>
        <v>1</v>
        <stp/>
        <stp>335ea750-5d26-4695-8eb7-7b9be489c4b8</stp>
        <tr r="DA13" s="132"/>
      </tp>
    </main>
    <main first="rtdsrv.458a5932996f485b8b1b8d7cbb3f77a6">
      <tp>
        <v>1</v>
        <stp/>
        <stp>eb5aea92-86db-4cd9-a0ba-759194165ebe</stp>
        <tr r="AT11" s="132"/>
      </tp>
    </main>
    <main first="rtdsrv.458a5932996f485b8b1b8d7cbb3f77a6">
      <tp>
        <v>1</v>
        <stp/>
        <stp>56f83582-1c73-40dd-afa1-a6885712e242</stp>
        <tr r="C80" s="130"/>
      </tp>
    </main>
    <main first="rtdsrv.458a5932996f485b8b1b8d7cbb3f77a6">
      <tp>
        <v>1</v>
        <stp/>
        <stp>69fa0f48-9391-4b91-a6ba-b20fcad69beb</stp>
        <tr r="E13" s="130"/>
      </tp>
    </main>
    <main first="rtdsrv.458a5932996f485b8b1b8d7cbb3f77a6">
      <tp>
        <v>1</v>
        <stp/>
        <stp>d53e39fd-830a-4321-8437-b5dd80f847b8</stp>
        <tr r="Y96" s="130"/>
      </tp>
    </main>
    <main first="rtdsrv.458a5932996f485b8b1b8d7cbb3f77a6">
      <tp>
        <v>1</v>
        <stp/>
        <stp>f365e351-2a37-4c7e-95c4-a417c0d62420</stp>
        <tr r="AD79" s="130"/>
      </tp>
    </main>
    <main first="rtdsrv.458a5932996f485b8b1b8d7cbb3f77a6">
      <tp>
        <v>1</v>
        <stp/>
        <stp>00cbaf58-2feb-45b2-bb2b-b3de6c7ca00c</stp>
        <tr r="G8" s="132"/>
      </tp>
    </main>
    <main first="rtdsrv.458a5932996f485b8b1b8d7cbb3f77a6">
      <tp>
        <v>1</v>
        <stp/>
        <stp>357607e4-cc22-4fba-922d-810eacde4d0b</stp>
        <tr r="GU8" s="132"/>
      </tp>
      <tp>
        <v>1</v>
        <stp/>
        <stp>67d8e234-9d02-4941-9e3c-e7c549ffb4dd</stp>
        <tr r="AA22" s="130"/>
      </tp>
    </main>
    <main first="rtdsrv.458a5932996f485b8b1b8d7cbb3f77a6">
      <tp>
        <v>1</v>
        <stp/>
        <stp>eee35074-d824-4114-9c30-9474ddf24b9e</stp>
        <tr r="F7" s="130"/>
      </tp>
      <tp>
        <v>1</v>
        <stp/>
        <stp>b3eed790-c42b-4dda-8d80-357f999c66dc</stp>
        <tr r="BA16" s="132"/>
      </tp>
    </main>
    <main first="rtdsrv.458a5932996f485b8b1b8d7cbb3f77a6">
      <tp>
        <v>1</v>
        <stp/>
        <stp>33d3cb6e-ef4b-40c3-9203-c7f75b2dcfab</stp>
        <tr r="BB59" s="130"/>
      </tp>
    </main>
    <main first="rtdsrv.458a5932996f485b8b1b8d7cbb3f77a6">
      <tp>
        <v>1</v>
        <stp/>
        <stp>7ebd367d-2ff3-4090-9614-d27b202e0f01</stp>
        <tr r="F67" s="130"/>
      </tp>
      <tp>
        <v>1</v>
        <stp/>
        <stp>a724d047-7364-4c29-813c-a9c4f2edf5bf</stp>
        <tr r="Z5" s="130"/>
      </tp>
    </main>
    <main first="rtdsrv.458a5932996f485b8b1b8d7cbb3f77a6">
      <tp>
        <v>1</v>
        <stp/>
        <stp>326d716e-43f8-448f-baef-acf25b8c319f</stp>
        <tr r="BY14" s="132"/>
      </tp>
    </main>
    <main first="rtdsrv.458a5932996f485b8b1b8d7cbb3f77a6">
      <tp>
        <v>1</v>
        <stp/>
        <stp>0aad7232-1e64-43dd-a88b-e8cacd263f77</stp>
        <tr r="W13" s="132"/>
      </tp>
      <tp>
        <v>1</v>
        <stp/>
        <stp>e9b77acd-9322-40e4-b8f6-8213e22ea747</stp>
        <tr r="AP18" s="130"/>
      </tp>
    </main>
    <main first="rtdsrv.458a5932996f485b8b1b8d7cbb3f77a6">
      <tp>
        <v>1</v>
        <stp/>
        <stp>940d134d-b182-4449-8a45-6dcee06828f3</stp>
        <tr r="K87" s="130"/>
      </tp>
    </main>
    <main first="rtdsrv.458a5932996f485b8b1b8d7cbb3f77a6">
      <tp>
        <v>1</v>
        <stp/>
        <stp>9ed091fc-aa8f-4fce-891a-b5b42c0f63ca</stp>
        <tr r="AK5" s="132"/>
      </tp>
      <tp>
        <v>1</v>
        <stp/>
        <stp>ce7b72fe-de20-4257-9d76-4748895e590e</stp>
        <tr r="AQ41" s="130"/>
      </tp>
      <tp>
        <v>1</v>
        <stp/>
        <stp>2512f9e5-df37-4be2-a67b-466f1fe0d90d</stp>
        <tr r="V30" s="130"/>
      </tp>
    </main>
    <main first="rtdsrv.458a5932996f485b8b1b8d7cbb3f77a6">
      <tp>
        <v>1</v>
        <stp/>
        <stp>7b2fc6f8-65e4-47bb-8853-2e3830a62d39</stp>
        <tr r="BA69" s="130"/>
      </tp>
    </main>
    <main first="rtdsrv.458a5932996f485b8b1b8d7cbb3f77a6">
      <tp>
        <v>1</v>
        <stp/>
        <stp>d06dc3bd-0f66-4753-b014-37ddcc43aae6</stp>
        <tr r="HF13" s="132"/>
      </tp>
    </main>
    <main first="rtdsrv.458a5932996f485b8b1b8d7cbb3f77a6">
      <tp>
        <v>1</v>
        <stp/>
        <stp>ae678ac8-f1a3-4f9f-bf5b-7e6ed548de8e</stp>
        <tr r="FM14" s="132"/>
      </tp>
    </main>
    <main first="rtdsrv.458a5932996f485b8b1b8d7cbb3f77a6">
      <tp>
        <v>1</v>
        <stp/>
        <stp>b7b3e1c0-d0b2-4813-9fba-24a2768b5553</stp>
        <tr r="AH84" s="130"/>
      </tp>
    </main>
    <main first="rtdsrv.458a5932996f485b8b1b8d7cbb3f77a6">
      <tp>
        <v>1</v>
        <stp/>
        <stp>bfb8c0c0-2942-47a7-860f-fadf673d514b</stp>
        <tr r="BE27" s="130"/>
      </tp>
    </main>
    <main first="rtdsrv.458a5932996f485b8b1b8d7cbb3f77a6">
      <tp>
        <v>1</v>
        <stp/>
        <stp>31ec8dc8-789a-4787-aed1-fd24b56f5d64</stp>
        <tr r="CY16" s="132"/>
      </tp>
    </main>
    <main first="rtdsrv.458a5932996f485b8b1b8d7cbb3f77a6">
      <tp>
        <v>1</v>
        <stp/>
        <stp>c68b9f9d-aad2-4b55-be65-a5e984439795</stp>
        <tr r="AJ57" s="130"/>
      </tp>
      <tp>
        <v>1</v>
        <stp/>
        <stp>4e8bb1ba-95ef-4482-9553-da5367e40811</stp>
        <tr r="FR7" s="132"/>
      </tp>
    </main>
    <main first="rtdsrv.458a5932996f485b8b1b8d7cbb3f77a6">
      <tp>
        <v>1</v>
        <stp/>
        <stp>88538724-c709-4dc1-af5d-04a8199a1a17</stp>
        <tr r="CJ16" s="132"/>
      </tp>
    </main>
    <main first="rtdsrv.458a5932996f485b8b1b8d7cbb3f77a6">
      <tp>
        <v>1</v>
        <stp/>
        <stp>0d8e8e90-66ec-43a0-891b-be063698aaa3</stp>
        <tr r="BG80" s="130"/>
      </tp>
    </main>
    <main first="rtdsrv.458a5932996f485b8b1b8d7cbb3f77a6">
      <tp>
        <v>1</v>
        <stp/>
        <stp>3de59d8f-278b-40eb-99f7-e65441fc9531</stp>
        <tr r="W62" s="130"/>
      </tp>
      <tp>
        <v>1</v>
        <stp/>
        <stp>6b974a8f-b317-4d32-9d43-36e7eca96687</stp>
        <tr r="BD39" s="130"/>
      </tp>
    </main>
    <main first="rtdsrv.458a5932996f485b8b1b8d7cbb3f77a6">
      <tp>
        <v>1</v>
        <stp/>
        <stp>774e7da7-fce4-458c-a1a4-641c4a717f92</stp>
        <tr r="J9" s="130"/>
      </tp>
      <tp>
        <v>1</v>
        <stp/>
        <stp>b25bb3a8-69ba-46bd-a8ef-ff759f2ae239</stp>
        <tr r="AL23" s="130"/>
      </tp>
    </main>
    <main first="rtdsrv.458a5932996f485b8b1b8d7cbb3f77a6">
      <tp>
        <v>1</v>
        <stp/>
        <stp>2b67bf72-888f-49ac-aaed-c78ce0ce7986</stp>
        <tr r="BG89" s="130"/>
      </tp>
    </main>
    <main first="rtdsrv.458a5932996f485b8b1b8d7cbb3f77a6">
      <tp>
        <v>1</v>
        <stp/>
        <stp>677d2c80-3500-4aa3-904e-d32f0119efb7</stp>
        <tr r="M67" s="130"/>
      </tp>
    </main>
    <main first="rtdsrv.458a5932996f485b8b1b8d7cbb3f77a6">
      <tp>
        <v>1</v>
        <stp/>
        <stp>3b018e59-19dd-47c5-9ee0-1f6d23bf97f2</stp>
        <tr r="S62" s="130"/>
      </tp>
    </main>
    <main first="rtdsrv.458a5932996f485b8b1b8d7cbb3f77a6">
      <tp>
        <v>1</v>
        <stp/>
        <stp>e16056c9-79ad-4394-b6e7-2e72f505a5ba</stp>
        <tr r="C76" s="130"/>
      </tp>
    </main>
    <main first="rtdsrv.458a5932996f485b8b1b8d7cbb3f77a6">
      <tp>
        <v>1</v>
        <stp/>
        <stp>6191ba0e-f779-4b4d-bb72-63ebb0fd9b19</stp>
        <tr r="H98" s="130"/>
      </tp>
    </main>
    <main first="rtdsrv.458a5932996f485b8b1b8d7cbb3f77a6">
      <tp>
        <v>1</v>
        <stp/>
        <stp>edbc5637-b694-4fca-9cb2-dd64ccd6d095</stp>
        <tr r="C23" s="130"/>
      </tp>
      <tp>
        <v>1</v>
        <stp/>
        <stp>051083e0-40b7-484e-bcd9-6cd05ce8e7b5</stp>
        <tr r="BM11" s="132"/>
      </tp>
    </main>
    <main first="rtdsrv.458a5932996f485b8b1b8d7cbb3f77a6">
      <tp>
        <v>1</v>
        <stp/>
        <stp>2babba87-1a79-4aba-b64f-27cbbb4e567f</stp>
        <tr r="BE17" s="130"/>
      </tp>
    </main>
    <main first="rtdsrv.458a5932996f485b8b1b8d7cbb3f77a6">
      <tp>
        <v>1</v>
        <stp/>
        <stp>dc1137fb-0d5e-44db-b2c9-bfa25c38bdf6</stp>
        <tr r="ED6" s="132"/>
      </tp>
    </main>
    <main first="rtdsrv.458a5932996f485b8b1b8d7cbb3f77a6">
      <tp>
        <v>1</v>
        <stp/>
        <stp>c4e6409b-724b-496d-9045-dfeba5c224c8</stp>
        <tr r="AS65" s="130"/>
      </tp>
      <tp>
        <v>1</v>
        <stp/>
        <stp>3ceca76e-983e-44f9-9239-df50279df2a9</stp>
        <tr r="GN13" s="132"/>
      </tp>
      <tp>
        <v>1</v>
        <stp/>
        <stp>aea45653-487d-4dbe-8b3f-24d863f6d271</stp>
        <tr r="GR14" s="132"/>
      </tp>
    </main>
    <main first="rtdsrv.458a5932996f485b8b1b8d7cbb3f77a6">
      <tp>
        <v>1</v>
        <stp/>
        <stp>72ab8902-92d2-4012-9545-114a618da0ec</stp>
        <tr r="M44" s="130"/>
      </tp>
      <tp>
        <v>1</v>
        <stp/>
        <stp>3c0a29db-4f5e-45f0-a8b9-372cf939b65c</stp>
        <tr r="FO16" s="132"/>
      </tp>
    </main>
    <main first="rtdsrv.458a5932996f485b8b1b8d7cbb3f77a6">
      <tp>
        <v>1</v>
        <stp/>
        <stp>fe988e7a-15fb-429a-8865-764711cc5efe</stp>
        <tr r="M62" s="130"/>
      </tp>
      <tp>
        <v>1</v>
        <stp/>
        <stp>6e25b9d8-7525-4f11-930e-629219eeaee4</stp>
        <tr r="C27" s="130"/>
      </tp>
    </main>
    <main first="rtdsrv.458a5932996f485b8b1b8d7cbb3f77a6">
      <tp>
        <v>1</v>
        <stp/>
        <stp>ec28dac3-0436-4f4a-b412-ad8d016083fb</stp>
        <tr r="BS14" s="132"/>
      </tp>
      <tp>
        <v>1</v>
        <stp/>
        <stp>918264e8-dff7-4fe0-8eed-2aac5a6c9078</stp>
        <tr r="AC9" s="130"/>
      </tp>
    </main>
    <main first="rtdsrv.458a5932996f485b8b1b8d7cbb3f77a6">
      <tp>
        <v>1</v>
        <stp/>
        <stp>a0aac8dd-61e1-4069-81ca-ad589194d5a7</stp>
        <tr r="GR8" s="132"/>
      </tp>
    </main>
    <main first="rtdsrv.458a5932996f485b8b1b8d7cbb3f77a6">
      <tp>
        <v>1</v>
        <stp/>
        <stp>a7189e93-5e33-4a1e-b0da-4d016d7adb36</stp>
        <tr r="HE14" s="132"/>
      </tp>
    </main>
    <main first="rtdsrv.458a5932996f485b8b1b8d7cbb3f77a6">
      <tp>
        <v>1</v>
        <stp/>
        <stp>dff15edc-7823-4ae8-a0a4-42ed9bf80958</stp>
        <tr r="F71" s="130"/>
      </tp>
    </main>
    <main first="rtdsrv.458a5932996f485b8b1b8d7cbb3f77a6">
      <tp>
        <v>1</v>
        <stp/>
        <stp>bff13a7a-ae7f-475f-8c61-7b79a3857c32</stp>
        <tr r="AH64" s="130"/>
      </tp>
      <tp>
        <v>1</v>
        <stp/>
        <stp>9c75d521-7fb3-46c3-bd24-da5e338016c1</stp>
        <tr r="K75" s="130"/>
      </tp>
    </main>
    <main first="rtdsrv.458a5932996f485b8b1b8d7cbb3f77a6">
      <tp>
        <v>1</v>
        <stp/>
        <stp>aefa0e88-64d4-43dc-aadf-b404fc6adb3b</stp>
        <tr r="AM16" s="132"/>
      </tp>
      <tp>
        <v>1</v>
        <stp/>
        <stp>504a6f42-516c-46c9-8562-a1f10a9918ed</stp>
        <tr r="G63" s="130"/>
      </tp>
    </main>
    <main first="rtdsrv.458a5932996f485b8b1b8d7cbb3f77a6">
      <tp>
        <v>1</v>
        <stp/>
        <stp>b28db57a-b94d-4613-90cc-6100c6e4e699</stp>
        <tr r="GK6" s="132"/>
      </tp>
    </main>
    <main first="rtdsrv.458a5932996f485b8b1b8d7cbb3f77a6">
      <tp>
        <v>1</v>
        <stp/>
        <stp>3fd3c5e9-2a2b-48d0-b4a1-deac7e027492</stp>
        <tr r="AD14" s="132"/>
      </tp>
    </main>
    <main first="rtdsrv.458a5932996f485b8b1b8d7cbb3f77a6">
      <tp>
        <v>1</v>
        <stp/>
        <stp>7826b97d-4027-4a14-84ce-6a8d257932e3</stp>
        <tr r="J74" s="130"/>
      </tp>
      <tp>
        <v>1</v>
        <stp/>
        <stp>749cf3ee-65c3-4986-9bbc-bb7c6f162e6f</stp>
        <tr r="BJ43" s="130"/>
      </tp>
      <tp>
        <v>1</v>
        <stp/>
        <stp>a8c41338-a6ad-4fbf-8a68-b31c74fae93d</stp>
        <tr r="CG7" s="132"/>
      </tp>
    </main>
    <main first="rtdsrv.458a5932996f485b8b1b8d7cbb3f77a6">
      <tp>
        <v>1</v>
        <stp/>
        <stp>7b19b0b8-2a4a-4015-b8cb-9b812ba17235</stp>
        <tr r="AH57" s="130"/>
      </tp>
    </main>
    <main first="rtdsrv.458a5932996f485b8b1b8d7cbb3f77a6">
      <tp>
        <v>1</v>
        <stp/>
        <stp>08ceac6d-4003-48dd-b02f-799e8396c79f</stp>
        <tr r="AX11" s="130"/>
      </tp>
    </main>
    <main first="rtdsrv.458a5932996f485b8b1b8d7cbb3f77a6">
      <tp>
        <v>1</v>
        <stp/>
        <stp>75f1b0bf-e0dd-422a-9f78-c1ee531b40bd</stp>
        <tr r="AJ45" s="130"/>
      </tp>
    </main>
    <main first="rtdsrv.458a5932996f485b8b1b8d7cbb3f77a6">
      <tp>
        <v>1</v>
        <stp/>
        <stp>787ef3a3-ac9e-45f5-93b7-894e7f8f7f4d</stp>
        <tr r="AD13" s="130"/>
      </tp>
      <tp>
        <v>1</v>
        <stp/>
        <stp>452333ae-3405-404c-affe-6573cb9e0c6b</stp>
        <tr r="AC86" s="130"/>
      </tp>
    </main>
    <main first="rtdsrv.458a5932996f485b8b1b8d7cbb3f77a6">
      <tp>
        <v>1</v>
        <stp/>
        <stp>07437f03-823d-4b47-9a86-93317e9aa400</stp>
        <tr r="S32" s="130"/>
      </tp>
      <tp>
        <v>1</v>
        <stp/>
        <stp>7ab30f76-f6c4-4f68-a368-8b21b8b52102</stp>
        <tr r="GP14" s="132"/>
      </tp>
    </main>
    <main first="rtdsrv.458a5932996f485b8b1b8d7cbb3f77a6">
      <tp>
        <v>1</v>
        <stp/>
        <stp>40d090b8-9854-49f0-bf87-c12840b9c4b3</stp>
        <tr r="CR9" s="132"/>
      </tp>
    </main>
    <main first="rtdsrv.458a5932996f485b8b1b8d7cbb3f77a6">
      <tp>
        <v>1</v>
        <stp/>
        <stp>1f6cf76b-e9fd-4e94-bdba-5c70717c44cc</stp>
        <tr r="AM33" s="130"/>
      </tp>
    </main>
    <main first="rtdsrv.458a5932996f485b8b1b8d7cbb3f77a6">
      <tp>
        <v>1</v>
        <stp/>
        <stp>e6eb1ab9-b70c-4ae9-a099-bf5f745b8c21</stp>
        <tr r="D12" s="130"/>
      </tp>
    </main>
    <main first="rtdsrv.458a5932996f485b8b1b8d7cbb3f77a6">
      <tp>
        <v>1</v>
        <stp/>
        <stp>bde7563f-7509-47cc-9bc4-dfa5149d134e</stp>
        <tr r="AT58" s="130"/>
      </tp>
    </main>
    <main first="rtdsrv.458a5932996f485b8b1b8d7cbb3f77a6">
      <tp>
        <v>1</v>
        <stp/>
        <stp>82ca422a-2af4-4492-acce-77bdc3885c46</stp>
        <tr r="EA15" s="132"/>
      </tp>
    </main>
    <main first="rtdsrv.458a5932996f485b8b1b8d7cbb3f77a6">
      <tp>
        <v>1</v>
        <stp/>
        <stp>8ee0c499-dbb4-4ad7-aaf0-a6cda7df5a21</stp>
        <tr r="T82" s="130"/>
      </tp>
      <tp>
        <v>1</v>
        <stp/>
        <stp>addf8694-72c4-4a0f-96a3-c64b55b53e1f</stp>
        <tr r="X96" s="130"/>
      </tp>
      <tp>
        <v>1</v>
        <stp/>
        <stp>3a241ce6-89f0-4d38-b3bd-04c51cd1936a</stp>
        <tr r="FR16" s="132"/>
      </tp>
      <tp>
        <v>1</v>
        <stp/>
        <stp>31601cda-38f4-4d4e-9ae6-4bdd2ae42ff9</stp>
        <tr r="BF75" s="130"/>
      </tp>
    </main>
    <main first="rtdsrv.458a5932996f485b8b1b8d7cbb3f77a6">
      <tp>
        <v>1</v>
        <stp/>
        <stp>045a8755-d03d-4eb3-afab-22f73e263fb4</stp>
        <tr r="G93" s="130"/>
      </tp>
      <tp>
        <v>1</v>
        <stp/>
        <stp>b96ac842-7402-4d6c-a4bc-35f60ebddc5d</stp>
        <tr r="AI86" s="130"/>
      </tp>
      <tp>
        <v>1</v>
        <stp/>
        <stp>43bbf5fe-a1f6-498b-920f-ab5a40a45ccd</stp>
        <tr r="FT16" s="132"/>
      </tp>
    </main>
    <main first="rtdsrv.458a5932996f485b8b1b8d7cbb3f77a6">
      <tp>
        <v>1</v>
        <stp/>
        <stp>8bf4110b-4519-4580-9aef-4d328c03f1b4</stp>
        <tr r="BB19" s="130"/>
      </tp>
    </main>
    <main first="rtdsrv.458a5932996f485b8b1b8d7cbb3f77a6">
      <tp>
        <v>1</v>
        <stp/>
        <stp>d22ca8eb-7481-42f2-b060-04ffb847e1e4</stp>
        <tr r="DR16" s="132"/>
      </tp>
      <tp>
        <v>1</v>
        <stp/>
        <stp>4f3cda8b-68df-4116-b854-720e4b6affe9</stp>
        <tr r="DX7" s="132"/>
      </tp>
    </main>
    <main first="rtdsrv.458a5932996f485b8b1b8d7cbb3f77a6">
      <tp>
        <v>1</v>
        <stp/>
        <stp>bb9e3c60-d520-4647-b74a-8bc94ce47c97</stp>
        <tr r="AA38" s="130"/>
      </tp>
      <tp>
        <v>1</v>
        <stp/>
        <stp>91d8e881-8d4d-4f8c-95e9-563ce478b1a0</stp>
        <tr r="AO30" s="130"/>
      </tp>
    </main>
    <main first="rtdsrv.458a5932996f485b8b1b8d7cbb3f77a6">
      <tp>
        <v>1</v>
        <stp/>
        <stp>769c0baa-29cb-4b28-90d5-98dd6e705cb8</stp>
        <tr r="BT5" s="132"/>
      </tp>
      <tp>
        <v>1</v>
        <stp/>
        <stp>dfe67a55-b5d1-47db-97c7-747a37fdfcf9</stp>
        <tr r="GF12" s="132"/>
      </tp>
    </main>
    <main first="rtdsrv.458a5932996f485b8b1b8d7cbb3f77a6">
      <tp>
        <v>1</v>
        <stp/>
        <stp>9851011f-e1b5-415a-b1c7-ea2bd87303bd</stp>
        <tr r="AS25" s="130"/>
      </tp>
    </main>
    <main first="rtdsrv.458a5932996f485b8b1b8d7cbb3f77a6">
      <tp>
        <v>1</v>
        <stp/>
        <stp>aff30e11-649d-4402-94f5-1fd11eb38f5f</stp>
        <tr r="Y62" s="130"/>
      </tp>
    </main>
    <main first="rtdsrv.458a5932996f485b8b1b8d7cbb3f77a6">
      <tp>
        <v>1</v>
        <stp/>
        <stp>6f3d7b2f-3aae-4380-8ecb-53f15a5d424f</stp>
        <tr r="GK12" s="132"/>
      </tp>
      <tp>
        <v>1</v>
        <stp/>
        <stp>b5be36a3-add2-4b7d-8517-a252317cc07c</stp>
        <tr r="E64" s="130"/>
      </tp>
    </main>
    <main first="rtdsrv.458a5932996f485b8b1b8d7cbb3f77a6">
      <tp>
        <v>1</v>
        <stp/>
        <stp>7c4f9d68-40c4-4dc6-be1b-b267a0af02b2</stp>
        <tr r="G18" s="130"/>
      </tp>
    </main>
    <main first="rtdsrv.458a5932996f485b8b1b8d7cbb3f77a6">
      <tp>
        <v>1</v>
        <stp/>
        <stp>e7a44750-8bc3-4514-b175-a7d7c9c361a7</stp>
        <tr r="E19" s="130"/>
      </tp>
    </main>
    <main first="rtdsrv.458a5932996f485b8b1b8d7cbb3f77a6">
      <tp>
        <v>1</v>
        <stp/>
        <stp>b16c1094-0914-4313-a0cd-224f1eeeb2f5</stp>
        <tr r="DY7" s="132"/>
      </tp>
      <tp>
        <v>1</v>
        <stp/>
        <stp>26623b53-9dbc-487c-928e-0b9d2cf50382</stp>
        <tr r="AF67" s="130"/>
      </tp>
    </main>
    <main first="rtdsrv.458a5932996f485b8b1b8d7cbb3f77a6">
      <tp>
        <v>1</v>
        <stp/>
        <stp>7336b639-afc0-4f11-a925-6444d66f2a42</stp>
        <tr r="Z20" s="130"/>
      </tp>
    </main>
    <main first="rtdsrv.458a5932996f485b8b1b8d7cbb3f77a6">
      <tp>
        <v>1</v>
        <stp/>
        <stp>81a1ccdd-2654-49e6-a404-0aba7b5e2a56</stp>
        <tr r="CL5" s="132"/>
      </tp>
      <tp>
        <v>1</v>
        <stp/>
        <stp>7a063a23-f645-41b5-96a3-ba3acc5ed4d5</stp>
        <tr r="W35" s="130"/>
      </tp>
      <tp>
        <v>1</v>
        <stp/>
        <stp>e6f8d054-62bd-44eb-bae5-b804288a639e</stp>
        <tr r="DK11" s="132"/>
      </tp>
    </main>
    <main first="rtdsrv.458a5932996f485b8b1b8d7cbb3f77a6">
      <tp>
        <v>1</v>
        <stp/>
        <stp>09557434-74bb-4110-8416-73b305f5e9f0</stp>
        <tr r="H58" s="130"/>
      </tp>
    </main>
    <main first="rtdsrv.458a5932996f485b8b1b8d7cbb3f77a6">
      <tp>
        <v>1</v>
        <stp/>
        <stp>898e64d0-04d3-4638-8512-5e571f1ef385</stp>
        <tr r="AF32" s="130"/>
      </tp>
    </main>
    <main first="rtdsrv.458a5932996f485b8b1b8d7cbb3f77a6">
      <tp>
        <v>1</v>
        <stp/>
        <stp>ffd8ca81-d2fd-4274-9a49-ebd5c7c7626e</stp>
        <tr r="J62" s="130"/>
      </tp>
    </main>
    <main first="rtdsrv.458a5932996f485b8b1b8d7cbb3f77a6">
      <tp>
        <v>1</v>
        <stp/>
        <stp>51665bf7-40bf-447c-a474-93cf3e362abd</stp>
        <tr r="H16" s="132"/>
      </tp>
    </main>
    <main first="rtdsrv.458a5932996f485b8b1b8d7cbb3f77a6">
      <tp>
        <v>1</v>
        <stp/>
        <stp>668a3ed7-d54e-4523-b73e-070d42c9f69a</stp>
        <tr r="EJ9" s="132"/>
      </tp>
    </main>
    <main first="rtdsrv.458a5932996f485b8b1b8d7cbb3f77a6">
      <tp>
        <v>1</v>
        <stp/>
        <stp>4ad2aaa1-d1aa-4f52-b87d-5a6e76590252</stp>
        <tr r="AI17" s="130"/>
      </tp>
    </main>
    <main first="rtdsrv.458a5932996f485b8b1b8d7cbb3f77a6">
      <tp>
        <v>1</v>
        <stp/>
        <stp>3e6b3daa-4311-4243-a7ef-a0baab51952f</stp>
        <tr r="K89" s="130"/>
      </tp>
    </main>
    <main first="rtdsrv.458a5932996f485b8b1b8d7cbb3f77a6">
      <tp>
        <v>1</v>
        <stp/>
        <stp>86cb76d4-664d-46e0-ba0b-7d544b42f45c</stp>
        <tr r="N40" s="130"/>
      </tp>
    </main>
    <main first="rtdsrv.458a5932996f485b8b1b8d7cbb3f77a6">
      <tp>
        <v>1</v>
        <stp/>
        <stp>f054670b-c029-4feb-b111-bbfd25286d79</stp>
        <tr r="BK70" s="130"/>
      </tp>
    </main>
    <main first="rtdsrv.458a5932996f485b8b1b8d7cbb3f77a6">
      <tp>
        <v>1</v>
        <stp/>
        <stp>34625607-5b61-4c8f-b154-8b4d9a617c5f</stp>
        <tr r="G7" s="132"/>
      </tp>
    </main>
    <main first="rtdsrv.458a5932996f485b8b1b8d7cbb3f77a6">
      <tp>
        <v>1</v>
        <stp/>
        <stp>275b7b4b-b234-42fc-9817-95b3c71d4c70</stp>
        <tr r="CI15" s="132"/>
      </tp>
      <tp>
        <v>1</v>
        <stp/>
        <stp>2651105e-2133-4564-8104-2b02241dabdb</stp>
        <tr r="AT16" s="132"/>
      </tp>
      <tp>
        <v>1</v>
        <stp/>
        <stp>41d82278-2c4b-45d1-861a-6c59f0e8efae</stp>
        <tr r="BC6" s="132"/>
      </tp>
    </main>
    <main first="rtdsrv.458a5932996f485b8b1b8d7cbb3f77a6">
      <tp>
        <v>1</v>
        <stp/>
        <stp>3a91b696-e0bd-4af1-894c-6f27ccc096bc</stp>
        <tr r="R62" s="130"/>
      </tp>
    </main>
    <main first="rtdsrv.458a5932996f485b8b1b8d7cbb3f77a6">
      <tp>
        <v>1</v>
        <stp/>
        <stp>6a28b220-e12a-42f4-90db-d2dbbcf0631a</stp>
        <tr r="EC13" s="132"/>
      </tp>
      <tp>
        <v>1</v>
        <stp/>
        <stp>f41f2285-1be6-4f14-b288-57c498aa901e</stp>
        <tr r="AB62" s="130"/>
      </tp>
    </main>
    <main first="rtdsrv.458a5932996f485b8b1b8d7cbb3f77a6">
      <tp>
        <v>1</v>
        <stp/>
        <stp>b8834cf6-d217-423c-8df4-224378549497</stp>
        <tr r="G26" s="130"/>
        <tr r="G14" s="130"/>
      </tp>
      <tp>
        <v>1</v>
        <stp/>
        <stp>a6926a75-092f-4f0f-9093-e900b6d4a30b</stp>
        <tr r="AA59" s="130"/>
      </tp>
    </main>
    <main first="rtdsrv.458a5932996f485b8b1b8d7cbb3f77a6">
      <tp>
        <v>1</v>
        <stp/>
        <stp>e6f41ff9-150c-4bfe-86d4-cf38ad1e9fc0</stp>
        <tr r="DK15" s="132"/>
      </tp>
    </main>
    <main first="rtdsrv.458a5932996f485b8b1b8d7cbb3f77a6">
      <tp>
        <v>1</v>
        <stp/>
        <stp>e30300d7-9c94-4d24-bc3e-2838002c6125</stp>
        <tr r="HF9" s="132"/>
      </tp>
      <tp>
        <v>1</v>
        <stp/>
        <stp>da149d25-a6d4-4bc4-9b1e-15eb3e11c5e8</stp>
        <tr r="Y5" s="130"/>
      </tp>
    </main>
    <main first="rtdsrv.458a5932996f485b8b1b8d7cbb3f77a6">
      <tp>
        <v>1</v>
        <stp/>
        <stp>eddd9012-1a8e-4ada-831a-35feb5c2b11f</stp>
        <tr r="L93" s="130"/>
      </tp>
    </main>
    <main first="rtdsrv.458a5932996f485b8b1b8d7cbb3f77a6">
      <tp>
        <v>1</v>
        <stp/>
        <stp>67686e41-eceb-44af-90c0-964f2da67de3</stp>
        <tr r="P31" s="130"/>
      </tp>
    </main>
    <main first="rtdsrv.458a5932996f485b8b1b8d7cbb3f77a6">
      <tp>
        <v>1</v>
        <stp/>
        <stp>bd2c0660-e8f1-4823-a854-c286fadaef55</stp>
        <tr r="O11" s="130"/>
      </tp>
      <tp>
        <v>1</v>
        <stp/>
        <stp>cd2f11c2-354e-41df-babe-1f175220f2c9</stp>
        <tr r="E90" s="130"/>
      </tp>
    </main>
    <main first="rtdsrv.458a5932996f485b8b1b8d7cbb3f77a6">
      <tp>
        <v>1</v>
        <stp/>
        <stp>501ddd78-1258-4050-b1b3-d712f7f2b311</stp>
        <tr r="EN6" s="132"/>
      </tp>
    </main>
    <main first="rtdsrv.458a5932996f485b8b1b8d7cbb3f77a6">
      <tp>
        <v>1</v>
        <stp/>
        <stp>73078e40-4005-4a4a-aa0a-07836d8e6d76</stp>
        <tr r="CP12" s="132"/>
      </tp>
      <tp>
        <v>1</v>
        <stp/>
        <stp>cbccfb15-a27a-4ca1-a623-24b1800cebcf</stp>
        <tr r="GL6" s="132"/>
      </tp>
    </main>
    <main first="rtdsrv.458a5932996f485b8b1b8d7cbb3f77a6">
      <tp>
        <v>1</v>
        <stp/>
        <stp>6fcb3aa8-73a1-45d4-bbd7-372a7fb9354d</stp>
        <tr r="M17" s="130"/>
      </tp>
    </main>
    <main first="rtdsrv.458a5932996f485b8b1b8d7cbb3f77a6">
      <tp>
        <v>1</v>
        <stp/>
        <stp>85406021-1e01-484d-b67e-7beee1e550df</stp>
        <tr r="AG7" s="130"/>
      </tp>
    </main>
    <main first="rtdsrv.458a5932996f485b8b1b8d7cbb3f77a6">
      <tp>
        <v>1</v>
        <stp/>
        <stp>a727bef9-732b-4d75-a95a-7e1f2636c2f1</stp>
        <tr r="BD76" s="130"/>
      </tp>
    </main>
    <main first="rtdsrv.458a5932996f485b8b1b8d7cbb3f77a6">
      <tp>
        <v>1</v>
        <stp/>
        <stp>fec81a20-7cbb-49be-9bac-60b2f5e8564c</stp>
        <tr r="BD55" s="130"/>
      </tp>
    </main>
    <main first="rtdsrv.458a5932996f485b8b1b8d7cbb3f77a6">
      <tp>
        <v>1</v>
        <stp/>
        <stp>f0317610-4a64-4616-93c0-d04145f03fc9</stp>
        <tr r="FC15" s="132"/>
      </tp>
    </main>
    <main first="rtdsrv.458a5932996f485b8b1b8d7cbb3f77a6">
      <tp>
        <v>1</v>
        <stp/>
        <stp>a91600b1-928f-4802-9ea0-052bb6279d3e</stp>
        <tr r="W86" s="130"/>
      </tp>
      <tp>
        <v>1</v>
        <stp/>
        <stp>feb146a6-2d67-4061-8586-f8125e5ff17f</stp>
        <tr r="F42" s="130"/>
      </tp>
    </main>
    <main first="rtdsrv.458a5932996f485b8b1b8d7cbb3f77a6">
      <tp>
        <v>1</v>
        <stp/>
        <stp>ece5bcfa-00ff-47ce-b67b-316984248c7a</stp>
        <tr r="AX21" s="130"/>
      </tp>
    </main>
    <main first="rtdsrv.458a5932996f485b8b1b8d7cbb3f77a6">
      <tp>
        <v>1</v>
        <stp/>
        <stp>d8e1a044-c4b3-4ea9-b8cc-7a25e61c2bfc</stp>
        <tr r="AB93" s="130"/>
      </tp>
    </main>
    <main first="rtdsrv.458a5932996f485b8b1b8d7cbb3f77a6">
      <tp>
        <v>1</v>
        <stp/>
        <stp>94300570-20ac-431e-b565-9e1da06c21ec</stp>
        <tr r="FO7" s="132"/>
      </tp>
    </main>
    <main first="rtdsrv.458a5932996f485b8b1b8d7cbb3f77a6">
      <tp>
        <v>1</v>
        <stp/>
        <stp>f76f1a01-ebf7-41b6-b03c-1104cfac7e5e</stp>
        <tr r="F5" s="132"/>
      </tp>
    </main>
    <main first="rtdsrv.458a5932996f485b8b1b8d7cbb3f77a6">
      <tp>
        <v>1</v>
        <stp/>
        <stp>88668eef-3cb3-46d7-b5b1-48252db51c28</stp>
        <tr r="ER6" s="132"/>
      </tp>
    </main>
    <main first="rtdsrv.458a5932996f485b8b1b8d7cbb3f77a6">
      <tp>
        <v>1</v>
        <stp/>
        <stp>cd915485-d9bf-4a6e-b9d9-9e3871ac7e0d</stp>
        <tr r="DN15" s="132"/>
      </tp>
    </main>
    <main first="rtdsrv.458a5932996f485b8b1b8d7cbb3f77a6">
      <tp>
        <v>1</v>
        <stp/>
        <stp>21a27a54-489e-4825-b5b3-ea341b940481</stp>
        <tr r="AU57" s="130"/>
      </tp>
    </main>
    <main first="rtdsrv.458a5932996f485b8b1b8d7cbb3f77a6">
      <tp>
        <v>1</v>
        <stp/>
        <stp>6e27ad7a-9958-45c4-a32a-57708400297f</stp>
        <tr r="AM30" s="130"/>
      </tp>
    </main>
    <main first="rtdsrv.458a5932996f485b8b1b8d7cbb3f77a6">
      <tp>
        <v>1</v>
        <stp/>
        <stp>9f21d429-303a-412b-b3e9-b0daed0f9606</stp>
        <tr r="AV76" s="130"/>
      </tp>
    </main>
    <main first="rtdsrv.458a5932996f485b8b1b8d7cbb3f77a6">
      <tp>
        <v>1</v>
        <stp/>
        <stp>375c11a4-3fc3-49cb-abef-158d9b15fa01</stp>
        <tr r="L89" s="130"/>
      </tp>
    </main>
    <main first="rtdsrv.458a5932996f485b8b1b8d7cbb3f77a6">
      <tp>
        <v>1</v>
        <stp/>
        <stp>fd3ab7bf-0ab2-47bc-9009-6ae3e6d50cef</stp>
        <tr r="M22" s="130"/>
      </tp>
    </main>
    <main first="rtdsrv.458a5932996f485b8b1b8d7cbb3f77a6">
      <tp>
        <v>1</v>
        <stp/>
        <stp>60914ab0-c5f8-4250-a90e-d5df5a041b11</stp>
        <tr r="M61" s="130"/>
      </tp>
    </main>
    <main first="rtdsrv.458a5932996f485b8b1b8d7cbb3f77a6">
      <tp>
        <v>1</v>
        <stp/>
        <stp>8b3ab4fa-dad8-4f71-afb4-eb9b61d8d63d</stp>
        <tr r="AQ56" s="130"/>
      </tp>
      <tp>
        <v>1</v>
        <stp/>
        <stp>d2b5e0ed-6b6b-4c4a-ab5a-beb9de14fd92</stp>
        <tr r="FD5" s="132"/>
      </tp>
      <tp>
        <v>1</v>
        <stp/>
        <stp>91b9f424-f08f-45f3-818b-f295e8dc9f14</stp>
        <tr r="AA23" s="130"/>
      </tp>
    </main>
    <main first="rtdsrv.458a5932996f485b8b1b8d7cbb3f77a6">
      <tp>
        <v>1</v>
        <stp/>
        <stp>ebb50d26-6223-4ac9-9752-a3cfb9d18298</stp>
        <tr r="V44" s="130"/>
      </tp>
      <tp>
        <v>1</v>
        <stp/>
        <stp>bb6d9ff6-41c9-430d-8e05-42006c284180</stp>
        <tr r="Z65" s="130"/>
      </tp>
    </main>
    <main first="rtdsrv.458a5932996f485b8b1b8d7cbb3f77a6">
      <tp>
        <v>1</v>
        <stp/>
        <stp>f74363bb-e34c-4827-b36d-aa2ca58480ee</stp>
        <tr r="AC11" s="130"/>
      </tp>
    </main>
    <main first="rtdsrv.458a5932996f485b8b1b8d7cbb3f77a6">
      <tp>
        <v>1</v>
        <stp/>
        <stp>ebd7cf7a-4d8b-4287-bd58-a24b303c14f3</stp>
        <tr r="M14" s="132"/>
      </tp>
    </main>
    <main first="rtdsrv.458a5932996f485b8b1b8d7cbb3f77a6">
      <tp>
        <v>1</v>
        <stp/>
        <stp>1183c76b-b046-41bb-8e8f-755167b7a8ac</stp>
        <tr r="BH38" s="130"/>
      </tp>
      <tp>
        <v>1</v>
        <stp/>
        <stp>4cca6845-44e5-4ed0-b5bf-58e4de899d63</stp>
        <tr r="H71" s="130"/>
      </tp>
    </main>
    <main first="rtdsrv.458a5932996f485b8b1b8d7cbb3f77a6">
      <tp>
        <v>1</v>
        <stp/>
        <stp>ecfea274-f28d-42f6-80f9-a7b96ad9c530</stp>
        <tr r="CG13" s="132"/>
      </tp>
    </main>
    <main first="rtdsrv.458a5932996f485b8b1b8d7cbb3f77a6">
      <tp>
        <v>1</v>
        <stp/>
        <stp>0bb802db-dbc6-4d9e-a00f-34b953801b7d</stp>
        <tr r="U57" s="130"/>
      </tp>
      <tp>
        <v>1</v>
        <stp/>
        <stp>3959e4b6-0810-419b-aa81-ac142172c179</stp>
        <tr r="D85" s="130"/>
      </tp>
    </main>
    <main first="rtdsrv.458a5932996f485b8b1b8d7cbb3f77a6">
      <tp>
        <v>1</v>
        <stp/>
        <stp>29ad0c16-392c-4acb-9b06-46870912809b</stp>
        <tr r="F37" s="130"/>
      </tp>
      <tp>
        <v>1</v>
        <stp/>
        <stp>4e5c9629-b4a9-4f7b-96d8-cab1e4311f58</stp>
        <tr r="H74" s="130"/>
      </tp>
      <tp>
        <v>1</v>
        <stp/>
        <stp>802ed6e6-6ddc-4d3e-bd59-11b6915dbd29</stp>
        <tr r="R85" s="130"/>
      </tp>
    </main>
    <main first="rtdsrv.458a5932996f485b8b1b8d7cbb3f77a6">
      <tp>
        <v>1</v>
        <stp/>
        <stp>4d39a2e1-ce89-4514-9be5-f18bd2eb0c4f</stp>
        <tr r="F16" s="132"/>
      </tp>
    </main>
    <main first="rtdsrv.458a5932996f485b8b1b8d7cbb3f77a6">
      <tp>
        <v>1</v>
        <stp/>
        <stp>f6215e08-b26d-4dfb-b59e-90b4a8a17f90</stp>
        <tr r="BK34" s="130"/>
      </tp>
    </main>
    <main first="rtdsrv.458a5932996f485b8b1b8d7cbb3f77a6">
      <tp>
        <v>1</v>
        <stp/>
        <stp>3ccb0e5d-80e2-4e64-b4b8-452898f2daed</stp>
        <tr r="BJ32" s="130"/>
      </tp>
    </main>
    <main first="rtdsrv.458a5932996f485b8b1b8d7cbb3f77a6">
      <tp>
        <v>1</v>
        <stp/>
        <stp>1461fd2d-36b5-4e18-8a97-11c0d574bb98</stp>
        <tr r="O40" s="130"/>
      </tp>
    </main>
    <main first="rtdsrv.458a5932996f485b8b1b8d7cbb3f77a6">
      <tp>
        <v>1</v>
        <stp/>
        <stp>e82539a1-cc3f-4757-9ced-fa9a9d717125</stp>
        <tr r="AI36" s="130"/>
      </tp>
    </main>
    <main first="rtdsrv.458a5932996f485b8b1b8d7cbb3f77a6">
      <tp>
        <v>1</v>
        <stp/>
        <stp>5f1d3dd0-6587-4210-956a-ff89dbb7f231</stp>
        <tr r="I11" s="130"/>
      </tp>
    </main>
    <main first="rtdsrv.458a5932996f485b8b1b8d7cbb3f77a6">
      <tp>
        <v>1</v>
        <stp/>
        <stp>76896340-6323-44b1-b56e-e52810cec5c7</stp>
        <tr r="AN16" s="132"/>
      </tp>
      <tp>
        <v>1</v>
        <stp/>
        <stp>22dd4bde-18eb-4b30-bef8-72260290e3ce</stp>
        <tr r="BY16" s="132"/>
      </tp>
    </main>
    <main first="rtdsrv.458a5932996f485b8b1b8d7cbb3f77a6">
      <tp>
        <v>1</v>
        <stp/>
        <stp>8dbb8d61-99db-43eb-b64d-c83c60483cf0</stp>
        <tr r="AO42" s="130"/>
      </tp>
      <tp>
        <v>1</v>
        <stp/>
        <stp>71cfd3c9-b97f-4e8a-b5b7-6deab703d430</stp>
        <tr r="BD67" s="130"/>
      </tp>
    </main>
    <main first="rtdsrv.458a5932996f485b8b1b8d7cbb3f77a6">
      <tp>
        <v>1</v>
        <stp/>
        <stp>78b81701-88d1-40ed-a65b-602c17ac4e34</stp>
        <tr r="AK27" s="130"/>
      </tp>
      <tp>
        <v>1</v>
        <stp/>
        <stp>fe0aa7f7-2632-4394-a3cc-a64fc1fa2498</stp>
        <tr r="AD29" s="130"/>
      </tp>
      <tp>
        <v>1</v>
        <stp/>
        <stp>c9a00786-948a-430a-bb4b-04a926abfdfb</stp>
        <tr r="AU34" s="130"/>
      </tp>
      <tp>
        <v>1</v>
        <stp/>
        <stp>f78b6875-832b-49be-8364-ccc933a8c0c0</stp>
        <tr r="F62" s="130"/>
      </tp>
    </main>
    <main first="rtdsrv.458a5932996f485b8b1b8d7cbb3f77a6">
      <tp>
        <v>1</v>
        <stp/>
        <stp>709d46f1-2e1f-4350-aa45-4eaf53edfbb7</stp>
        <tr r="BA80" s="130"/>
      </tp>
    </main>
    <main first="rtdsrv.458a5932996f485b8b1b8d7cbb3f77a6">
      <tp>
        <v>1</v>
        <stp/>
        <stp>0b2052bc-e451-4b9d-88aa-228ae7b2416a</stp>
        <tr r="G75" s="130"/>
      </tp>
    </main>
    <main first="rtdsrv.458a5932996f485b8b1b8d7cbb3f77a6">
      <tp>
        <v>1</v>
        <stp/>
        <stp>17cd669a-b2fa-47e6-b32c-f6b35deb31f0</stp>
        <tr r="GV12" s="132"/>
      </tp>
      <tp>
        <v>1</v>
        <stp/>
        <stp>888efa26-bcf8-4b48-a6cd-80fdf711fc05</stp>
        <tr r="CE13" s="132"/>
      </tp>
      <tp>
        <v>1</v>
        <stp/>
        <stp>1e4e4b5b-5a77-4e91-9237-0f097c502183</stp>
        <tr r="BC28" s="130"/>
      </tp>
      <tp>
        <v>1</v>
        <stp/>
        <stp>4262b6b1-ebb1-4c19-8d18-71376dea2829</stp>
        <tr r="EW7" s="132"/>
      </tp>
    </main>
    <main first="rtdsrv.458a5932996f485b8b1b8d7cbb3f77a6">
      <tp>
        <v>1</v>
        <stp/>
        <stp>8ecadbc0-a6ca-45d6-a454-dad7e5599598</stp>
        <tr r="BG43" s="130"/>
      </tp>
      <tp>
        <v>1</v>
        <stp/>
        <stp>6612b59b-5e14-4963-bbde-1d1459e2b86c</stp>
        <tr r="AR33" s="130"/>
      </tp>
    </main>
    <main first="rtdsrv.458a5932996f485b8b1b8d7cbb3f77a6">
      <tp>
        <v>1</v>
        <stp/>
        <stp>ae89d684-7977-40c1-ad12-0215f65cfdea</stp>
        <tr r="Z63" s="130"/>
      </tp>
    </main>
    <main first="rtdsrv.458a5932996f485b8b1b8d7cbb3f77a6">
      <tp>
        <v>1</v>
        <stp/>
        <stp>9676f6d6-6525-4474-b859-86ab660473d3</stp>
        <tr r="N66" s="130"/>
      </tp>
      <tp>
        <v>1</v>
        <stp/>
        <stp>d9e71976-0ebe-490f-946d-f40c628e7b1e</stp>
        <tr r="FW5" s="132"/>
      </tp>
    </main>
    <main first="rtdsrv.458a5932996f485b8b1b8d7cbb3f77a6">
      <tp>
        <v>1</v>
        <stp/>
        <stp>d212d31f-556c-4087-84de-9b8dd01dc13b</stp>
        <tr r="CI16" s="132"/>
      </tp>
      <tp>
        <v>1</v>
        <stp/>
        <stp>336014f2-c9db-4f4d-94fc-335efcb7927c</stp>
        <tr r="BJ22" s="130"/>
      </tp>
    </main>
    <main first="rtdsrv.458a5932996f485b8b1b8d7cbb3f77a6">
      <tp>
        <v>1</v>
        <stp/>
        <stp>17d50bf6-b8ff-4bca-b8b3-34ed63a6c7fd</stp>
        <tr r="EP15" s="132"/>
      </tp>
    </main>
    <main first="rtdsrv.458a5932996f485b8b1b8d7cbb3f77a6">
      <tp>
        <v>1</v>
        <stp/>
        <stp>fa561748-0b99-4a9d-a2dc-10860abfc315</stp>
        <tr r="BE59" s="130"/>
      </tp>
    </main>
    <main first="rtdsrv.458a5932996f485b8b1b8d7cbb3f77a6">
      <tp>
        <v>1</v>
        <stp/>
        <stp>b2c2c9ac-2957-4573-bf61-79e69943f80f</stp>
        <tr r="AK72" s="130"/>
      </tp>
    </main>
    <main first="rtdsrv.458a5932996f485b8b1b8d7cbb3f77a6">
      <tp>
        <v>1</v>
        <stp/>
        <stp>74231740-4f30-49d1-8c9a-7d89d9bd4f00</stp>
        <tr r="X20" s="130"/>
      </tp>
      <tp>
        <v>1</v>
        <stp/>
        <stp>a52c45f5-8eb5-4a30-9a77-c0ee791fa295</stp>
        <tr r="AL6" s="132"/>
      </tp>
    </main>
    <main first="rtdsrv.458a5932996f485b8b1b8d7cbb3f77a6">
      <tp>
        <v>1</v>
        <stp/>
        <stp>2504a6bd-187f-4926-a6fd-d03580273fd9</stp>
        <tr r="EW5" s="132"/>
      </tp>
    </main>
    <main first="rtdsrv.458a5932996f485b8b1b8d7cbb3f77a6">
      <tp>
        <v>1</v>
        <stp/>
        <stp>66841d34-4635-4e9b-9fb0-06e79d2dd013</stp>
        <tr r="V64" s="130"/>
      </tp>
    </main>
    <main first="rtdsrv.458a5932996f485b8b1b8d7cbb3f77a6">
      <tp>
        <v>1</v>
        <stp/>
        <stp>bf7d2b6a-488c-45a2-9904-ec5261069dc9</stp>
        <tr r="AE37" s="130"/>
      </tp>
    </main>
    <main first="rtdsrv.458a5932996f485b8b1b8d7cbb3f77a6">
      <tp>
        <v>1</v>
        <stp/>
        <stp>7160d057-f6c1-4733-869d-3917a38bec36</stp>
        <tr r="O96" s="130"/>
      </tp>
    </main>
    <main first="rtdsrv.458a5932996f485b8b1b8d7cbb3f77a6">
      <tp>
        <v>1</v>
        <stp/>
        <stp>148dbde4-1977-4ad9-90c5-7abeaed578c8</stp>
        <tr r="AU37" s="130"/>
      </tp>
    </main>
    <main first="rtdsrv.458a5932996f485b8b1b8d7cbb3f77a6">
      <tp>
        <v>1</v>
        <stp/>
        <stp>7984547e-2284-489d-b0f0-58edc7d77586</stp>
        <tr r="AO6" s="132"/>
      </tp>
    </main>
    <main first="rtdsrv.458a5932996f485b8b1b8d7cbb3f77a6">
      <tp>
        <v>1</v>
        <stp/>
        <stp>5e5b8724-32ed-4347-b22c-3f672d25faf5</stp>
        <tr r="I65" s="130"/>
      </tp>
    </main>
    <main first="rtdsrv.458a5932996f485b8b1b8d7cbb3f77a6">
      <tp>
        <v>1</v>
        <stp/>
        <stp>b3974cf1-609e-4000-9943-6c85bbe1ad5b</stp>
        <tr r="U68" s="130"/>
      </tp>
    </main>
    <main first="rtdsrv.458a5932996f485b8b1b8d7cbb3f77a6">
      <tp>
        <v>1</v>
        <stp/>
        <stp>28eb7035-7dc8-4c5a-b381-e398069ecd72</stp>
        <tr r="EY13" s="132"/>
      </tp>
    </main>
    <main first="rtdsrv.458a5932996f485b8b1b8d7cbb3f77a6">
      <tp>
        <v>1</v>
        <stp/>
        <stp>dcab8e04-570a-421b-8b2b-36c02aaa4329</stp>
        <tr r="BH12" s="132"/>
      </tp>
    </main>
    <main first="rtdsrv.458a5932996f485b8b1b8d7cbb3f77a6">
      <tp>
        <v>1</v>
        <stp/>
        <stp>9fec8c38-7715-409a-8d2b-1c71a6eed3e4</stp>
        <tr r="EM14" s="132"/>
      </tp>
    </main>
    <main first="rtdsrv.458a5932996f485b8b1b8d7cbb3f77a6">
      <tp>
        <v>1</v>
        <stp/>
        <stp>d14b0b60-4d5c-4e79-a954-59ffc0e20edc</stp>
        <tr r="BU13" s="132"/>
      </tp>
    </main>
    <main first="rtdsrv.458a5932996f485b8b1b8d7cbb3f77a6">
      <tp>
        <v>1</v>
        <stp/>
        <stp>dafdea68-847c-4c10-92f4-78f5e337cb0b</stp>
        <tr r="T76" s="130"/>
      </tp>
    </main>
    <main first="rtdsrv.458a5932996f485b8b1b8d7cbb3f77a6">
      <tp>
        <v>1</v>
        <stp/>
        <stp>cb4713ad-3535-474f-adc5-c3795f6fc5a4</stp>
        <tr r="R33" s="130"/>
      </tp>
    </main>
    <main first="rtdsrv.458a5932996f485b8b1b8d7cbb3f77a6">
      <tp>
        <v>1</v>
        <stp/>
        <stp>174f0774-ef7a-43fe-b72e-6af921a7ee2c</stp>
        <tr r="EL14" s="132"/>
      </tp>
      <tp>
        <v>1</v>
        <stp/>
        <stp>94fa3368-2c4d-4e8d-8adc-70141cce2a78</stp>
        <tr r="X77" s="130"/>
      </tp>
      <tp>
        <v>1</v>
        <stp/>
        <stp>edc822d2-6229-45ef-b37b-77a98c08cb36</stp>
        <tr r="BO12" s="132"/>
      </tp>
    </main>
    <main first="rtdsrv.458a5932996f485b8b1b8d7cbb3f77a6">
      <tp>
        <v>1</v>
        <stp/>
        <stp>58fc9570-ed87-4efb-9147-b3beb86132cb</stp>
        <tr r="R83" s="130"/>
      </tp>
    </main>
    <main first="rtdsrv.458a5932996f485b8b1b8d7cbb3f77a6">
      <tp>
        <v>1</v>
        <stp/>
        <stp>776f6f09-0ec8-4b4c-9b50-f07dc726e7c4</stp>
        <tr r="BF66" s="130"/>
      </tp>
    </main>
    <main first="rtdsrv.458a5932996f485b8b1b8d7cbb3f77a6">
      <tp>
        <v>1</v>
        <stp/>
        <stp>dcf788d7-33e1-4478-8106-1a528120d75e</stp>
        <tr r="BK43" s="130"/>
      </tp>
    </main>
    <main first="rtdsrv.458a5932996f485b8b1b8d7cbb3f77a6">
      <tp>
        <v>1</v>
        <stp/>
        <stp>50cff7d1-660b-4113-955a-1665235295fd</stp>
        <tr r="FG16" s="132"/>
      </tp>
      <tp>
        <v>1</v>
        <stp/>
        <stp>6b30e239-29a3-4efe-b8ce-adc1629be530</stp>
        <tr r="AX60" s="130"/>
      </tp>
    </main>
    <main first="rtdsrv.458a5932996f485b8b1b8d7cbb3f77a6">
      <tp>
        <v>1</v>
        <stp/>
        <stp>7e148330-5c8c-47d6-820c-bf515a33ce19</stp>
        <tr r="BD22" s="130"/>
      </tp>
    </main>
    <main first="rtdsrv.458a5932996f485b8b1b8d7cbb3f77a6">
      <tp>
        <v>1</v>
        <stp/>
        <stp>e662ccbe-04d8-4af7-846a-04a0de7f82ac</stp>
        <tr r="X18" s="130"/>
      </tp>
    </main>
    <main first="rtdsrv.458a5932996f485b8b1b8d7cbb3f77a6">
      <tp>
        <v>1</v>
        <stp/>
        <stp>e4fa6e60-4386-486d-82d3-42bf0b3dd270</stp>
        <tr r="GD14" s="132"/>
      </tp>
    </main>
    <main first="rtdsrv.458a5932996f485b8b1b8d7cbb3f77a6">
      <tp>
        <v>1</v>
        <stp/>
        <stp>65e0a324-eca3-4bfe-8566-a8caa8ed872c</stp>
        <tr r="AB35" s="130"/>
      </tp>
    </main>
    <main first="rtdsrv.458a5932996f485b8b1b8d7cbb3f77a6">
      <tp>
        <v>1</v>
        <stp/>
        <stp>d54c7410-32aa-4e12-aed2-5e4da7bb21e1</stp>
        <tr r="AJ18" s="130"/>
      </tp>
      <tp>
        <v>1</v>
        <stp/>
        <stp>abd2584a-2edf-492e-9b33-2115d07a086b</stp>
        <tr r="AT72" s="130"/>
      </tp>
      <tp>
        <v>1</v>
        <stp/>
        <stp>043d49aa-f209-4c67-b870-4d07d07a48ab</stp>
        <tr r="P32" s="130"/>
      </tp>
    </main>
    <main first="rtdsrv.458a5932996f485b8b1b8d7cbb3f77a6">
      <tp>
        <v>1</v>
        <stp/>
        <stp>dfe0786e-a30b-4c39-96d3-934f8c51e5da</stp>
        <tr r="AA9" s="130"/>
      </tp>
      <tp>
        <v>1</v>
        <stp/>
        <stp>ff3d0a60-51d1-4c10-9f44-705604fa75e5</stp>
        <tr r="E39" s="130"/>
      </tp>
    </main>
    <main first="rtdsrv.458a5932996f485b8b1b8d7cbb3f77a6">
      <tp>
        <v>1</v>
        <stp/>
        <stp>260442d2-5580-400e-96b0-f61caecb5b4a</stp>
        <tr r="AF68" s="130"/>
      </tp>
    </main>
    <main first="rtdsrv.458a5932996f485b8b1b8d7cbb3f77a6">
      <tp>
        <v>1</v>
        <stp/>
        <stp>c415ca19-5126-452c-8ce4-4520ddffe0f6</stp>
        <tr r="AC93" s="130"/>
      </tp>
    </main>
    <main first="rtdsrv.458a5932996f485b8b1b8d7cbb3f77a6">
      <tp>
        <v>1</v>
        <stp/>
        <stp>ac48f41d-dd06-49c5-bd94-5d062d1da8c7</stp>
        <tr r="T13" s="130"/>
      </tp>
    </main>
    <main first="rtdsrv.458a5932996f485b8b1b8d7cbb3f77a6">
      <tp>
        <v>1</v>
        <stp/>
        <stp>7a19fbbd-9d05-4f29-a955-c63f84cd63e3</stp>
        <tr r="AG81" s="130"/>
      </tp>
    </main>
    <main first="rtdsrv.458a5932996f485b8b1b8d7cbb3f77a6">
      <tp>
        <v>1</v>
        <stp/>
        <stp>4c708557-df41-4d5b-813f-3b0d843a5260</stp>
        <tr r="AI42" s="130"/>
      </tp>
      <tp>
        <v>1</v>
        <stp/>
        <stp>74f67a15-b6c5-4414-9bdc-36d5037fceff</stp>
        <tr r="AG68" s="130"/>
      </tp>
      <tp>
        <v>1</v>
        <stp/>
        <stp>746d4bb0-92d5-4491-8706-f9bedb042255</stp>
        <tr r="L62" s="130"/>
      </tp>
    </main>
    <main first="rtdsrv.458a5932996f485b8b1b8d7cbb3f77a6">
      <tp>
        <v>1</v>
        <stp/>
        <stp>9b784606-fd16-4d8d-a547-1569bc3743f0</stp>
        <tr r="CF6" s="132"/>
      </tp>
    </main>
    <main first="rtdsrv.458a5932996f485b8b1b8d7cbb3f77a6">
      <tp>
        <v>1</v>
        <stp/>
        <stp>43b68330-7498-4046-8675-f67f842eb3b6</stp>
        <tr r="DG13" s="132"/>
      </tp>
    </main>
    <main first="rtdsrv.458a5932996f485b8b1b8d7cbb3f77a6">
      <tp>
        <v>1</v>
        <stp/>
        <stp>b5b9e31b-ed22-4940-984d-ea66464e47f2</stp>
        <tr r="F20" s="130"/>
      </tp>
    </main>
    <main first="rtdsrv.458a5932996f485b8b1b8d7cbb3f77a6">
      <tp>
        <v>1</v>
        <stp/>
        <stp>8556e351-bfbe-426a-ab63-ddf74a2b0116</stp>
        <tr r="Q78" s="130"/>
      </tp>
    </main>
    <main first="rtdsrv.458a5932996f485b8b1b8d7cbb3f77a6">
      <tp>
        <v>1</v>
        <stp/>
        <stp>262386fc-496d-44f2-ae78-e1458a3a6fb3</stp>
        <tr r="I44" s="130"/>
      </tp>
    </main>
    <main first="rtdsrv.458a5932996f485b8b1b8d7cbb3f77a6">
      <tp>
        <v>1</v>
        <stp/>
        <stp>69df7dea-5211-48c3-9d93-270590c52bcd</stp>
        <tr r="T14" s="130"/>
        <tr r="T26" s="130"/>
      </tp>
      <tp>
        <v>1</v>
        <stp/>
        <stp>1b6aec89-6ca8-40f4-8b1a-faf36c9a27c1</stp>
        <tr r="FK8" s="132"/>
      </tp>
      <tp>
        <v>1</v>
        <stp/>
        <stp>7149ef4d-432b-4b94-8867-d0363e1a9363</stp>
        <tr r="AQ16" s="132"/>
      </tp>
      <tp>
        <v>1</v>
        <stp/>
        <stp>5a01d24b-2d71-41ba-ab5a-8a47d02a4c73</stp>
        <tr r="AM13" s="132"/>
      </tp>
    </main>
    <main first="rtdsrv.458a5932996f485b8b1b8d7cbb3f77a6">
      <tp>
        <v>1</v>
        <stp/>
        <stp>75ab9393-dfe8-4ba6-8627-d55030934d53</stp>
        <tr r="L46" s="130"/>
        <tr r="L51" s="130"/>
      </tp>
    </main>
    <main first="rtdsrv.458a5932996f485b8b1b8d7cbb3f77a6">
      <tp>
        <v>1</v>
        <stp/>
        <stp>45b4cbd3-60ef-4c18-bd9e-3310a0a9dd33</stp>
        <tr r="AM15" s="130"/>
      </tp>
    </main>
    <main first="rtdsrv.458a5932996f485b8b1b8d7cbb3f77a6">
      <tp>
        <v>1</v>
        <stp/>
        <stp>1ddca6d5-c6e9-4597-ba00-0b7ee7d21de7</stp>
        <tr r="BJ20" s="130"/>
      </tp>
      <tp>
        <v>1</v>
        <stp/>
        <stp>7d21010e-5697-4015-92ef-5e7a7669ddc8</stp>
        <tr r="FA12" s="132"/>
      </tp>
    </main>
    <main first="rtdsrv.458a5932996f485b8b1b8d7cbb3f77a6">
      <tp>
        <v>1</v>
        <stp/>
        <stp>34e88aa2-1ce6-4920-b01d-7c0d7b353c0f</stp>
        <tr r="T66" s="130"/>
      </tp>
    </main>
    <main first="rtdsrv.458a5932996f485b8b1b8d7cbb3f77a6">
      <tp>
        <v>1</v>
        <stp/>
        <stp>5fac6624-15e9-4169-9b35-982350a56d00</stp>
        <tr r="BO9" s="132"/>
      </tp>
      <tp>
        <v>1</v>
        <stp/>
        <stp>9c676eeb-4dd9-468d-96af-b822e9cd310d</stp>
        <tr r="FU5" s="132"/>
      </tp>
    </main>
    <main first="rtdsrv.458a5932996f485b8b1b8d7cbb3f77a6">
      <tp>
        <v>1</v>
        <stp/>
        <stp>131266b8-3085-48f1-a37d-e8bd67be687c</stp>
        <tr r="D17" s="130"/>
      </tp>
    </main>
    <main first="rtdsrv.458a5932996f485b8b1b8d7cbb3f77a6">
      <tp>
        <v>1</v>
        <stp/>
        <stp>8d469519-ed9b-4814-8375-abcb8a6b430e</stp>
        <tr r="AU71" s="130"/>
      </tp>
    </main>
    <main first="rtdsrv.458a5932996f485b8b1b8d7cbb3f77a6">
      <tp>
        <v>1</v>
        <stp/>
        <stp>a3ce4aaa-a6c6-46a7-a86c-050d81e3a139</stp>
        <tr r="AX46" s="130"/>
        <tr r="AX51" s="130"/>
      </tp>
    </main>
    <main first="rtdsrv.458a5932996f485b8b1b8d7cbb3f77a6">
      <tp>
        <v>1</v>
        <stp/>
        <stp>a72ad709-9f6a-4e93-b594-4bfd4cc2f5da</stp>
        <tr r="CQ13" s="132"/>
      </tp>
    </main>
    <main first="rtdsrv.458a5932996f485b8b1b8d7cbb3f77a6">
      <tp>
        <v>1</v>
        <stp/>
        <stp>10e24736-4f6f-4728-9eb4-bd54c8fc02f6</stp>
        <tr r="AD17" s="130"/>
      </tp>
    </main>
    <main first="rtdsrv.458a5932996f485b8b1b8d7cbb3f77a6">
      <tp>
        <v>1</v>
        <stp/>
        <stp>b9172610-5042-4087-9a88-5f688f7d928c</stp>
        <tr r="BH44" s="130"/>
      </tp>
    </main>
    <main first="rtdsrv.458a5932996f485b8b1b8d7cbb3f77a6">
      <tp>
        <v>1</v>
        <stp/>
        <stp>45632904-71d1-40c1-b8d3-da1f09fc61b7</stp>
        <tr r="AH97" s="130"/>
      </tp>
      <tp>
        <v>1</v>
        <stp/>
        <stp>9d8ae110-3cdf-40be-80aa-e59ebb18e22b</stp>
        <tr r="BA8" s="130"/>
      </tp>
    </main>
    <main first="rtdsrv.458a5932996f485b8b1b8d7cbb3f77a6">
      <tp>
        <v>1</v>
        <stp/>
        <stp>72d36e26-d5b4-4810-82d1-30c1fa5b1154</stp>
        <tr r="HF11" s="132"/>
      </tp>
      <tp>
        <v>1</v>
        <stp/>
        <stp>fbec90f4-d8d4-4e5d-96c8-271a85063438</stp>
        <tr r="AV8" s="132"/>
      </tp>
    </main>
    <main first="rtdsrv.458a5932996f485b8b1b8d7cbb3f77a6">
      <tp>
        <v>1</v>
        <stp/>
        <stp>c5773ec7-0be6-4b92-80bf-8ac113a18ec1</stp>
        <tr r="CG9" s="132"/>
      </tp>
    </main>
    <main first="rtdsrv.458a5932996f485b8b1b8d7cbb3f77a6">
      <tp>
        <v>1</v>
        <stp/>
        <stp>7232bcbf-3c7d-406b-8881-72b3682755bc</stp>
        <tr r="N29" s="130"/>
      </tp>
    </main>
    <main first="rtdsrv.458a5932996f485b8b1b8d7cbb3f77a6">
      <tp>
        <v>1</v>
        <stp/>
        <stp>b5caea6a-dec3-4234-9d34-6a1070b93aeb</stp>
        <tr r="GA14" s="132"/>
      </tp>
    </main>
    <main first="rtdsrv.458a5932996f485b8b1b8d7cbb3f77a6">
      <tp>
        <v>1</v>
        <stp/>
        <stp>0563fbe5-0468-4775-b782-803098f25e2e</stp>
        <tr r="J34" s="130"/>
      </tp>
    </main>
    <main first="rtdsrv.458a5932996f485b8b1b8d7cbb3f77a6">
      <tp>
        <v>1</v>
        <stp/>
        <stp>61f5b13e-d589-4494-b694-d5a23963cb11</stp>
        <tr r="AK78" s="130"/>
      </tp>
      <tp>
        <v>1</v>
        <stp/>
        <stp>745d7543-1ea6-44f4-bbdb-4ebcbab5ac48</stp>
        <tr r="U10" s="130"/>
      </tp>
    </main>
    <main first="rtdsrv.458a5932996f485b8b1b8d7cbb3f77a6">
      <tp>
        <v>1</v>
        <stp/>
        <stp>a5b0d3f8-fc9d-4317-a81c-eafa9a383ac3</stp>
        <tr r="AX59" s="130"/>
      </tp>
    </main>
    <main first="rtdsrv.458a5932996f485b8b1b8d7cbb3f77a6">
      <tp>
        <v>1</v>
        <stp/>
        <stp>3f63bd07-e735-49b2-9125-d165b4c2febe</stp>
        <tr r="I77" s="130"/>
      </tp>
    </main>
    <main first="rtdsrv.458a5932996f485b8b1b8d7cbb3f77a6">
      <tp>
        <v>1</v>
        <stp/>
        <stp>170da0fa-c397-4dcc-a7ac-1d805a8cfd58</stp>
        <tr r="R69" s="130"/>
      </tp>
      <tp>
        <v>1</v>
        <stp/>
        <stp>c1478768-94b9-46ec-93e6-f416b8d7a2f1</stp>
        <tr r="CE8" s="132"/>
      </tp>
    </main>
    <main first="rtdsrv.458a5932996f485b8b1b8d7cbb3f77a6">
      <tp>
        <v>1</v>
        <stp/>
        <stp>84021be4-fb9a-4756-982f-c2214cdf5b48</stp>
        <tr r="HD9" s="132"/>
      </tp>
    </main>
    <main first="rtdsrv.458a5932996f485b8b1b8d7cbb3f77a6">
      <tp>
        <v>1</v>
        <stp/>
        <stp>36e30593-49e9-41d2-80ca-f095ca73f091</stp>
        <tr r="DW16" s="132"/>
      </tp>
    </main>
    <main first="rtdsrv.458a5932996f485b8b1b8d7cbb3f77a6">
      <tp>
        <v>1</v>
        <stp/>
        <stp>9d4d98e3-6f2f-4c9f-a477-14f5c8cfc062</stp>
        <tr r="BR14" s="132"/>
      </tp>
      <tp>
        <v>1</v>
        <stp/>
        <stp>5cfa1eac-0213-4df5-b61d-60f4e1224465</stp>
        <tr r="BC94" s="130"/>
      </tp>
    </main>
    <main first="rtdsrv.458a5932996f485b8b1b8d7cbb3f77a6">
      <tp>
        <v>1</v>
        <stp/>
        <stp>5f18f484-b86c-431a-92b6-744f5406540c</stp>
        <tr r="K86" s="130"/>
      </tp>
    </main>
    <main first="rtdsrv.458a5932996f485b8b1b8d7cbb3f77a6">
      <tp>
        <v>1</v>
        <stp/>
        <stp>b6802986-fdba-4e8e-8705-b1b172888889</stp>
        <tr r="BG72" s="130"/>
      </tp>
    </main>
    <main first="rtdsrv.458a5932996f485b8b1b8d7cbb3f77a6">
      <tp>
        <v>1</v>
        <stp/>
        <stp>4bc3fa6f-0116-41eb-8d62-4ad3a36b8275</stp>
        <tr r="BF19" s="130"/>
      </tp>
    </main>
    <main first="rtdsrv.458a5932996f485b8b1b8d7cbb3f77a6">
      <tp>
        <v>1</v>
        <stp/>
        <stp>79a73bab-84b1-45eb-8913-4f339f89870e</stp>
        <tr r="AR67" s="130"/>
      </tp>
      <tp>
        <v>1</v>
        <stp/>
        <stp>2aff7e23-8832-4fab-ae13-25344db19921</stp>
        <tr r="L14" s="132"/>
      </tp>
    </main>
    <main first="rtdsrv.458a5932996f485b8b1b8d7cbb3f77a6">
      <tp>
        <v>1</v>
        <stp/>
        <stp>f74eb092-717c-432c-9fef-35a975c081d7</stp>
        <tr r="BG25" s="130"/>
      </tp>
    </main>
    <main first="rtdsrv.458a5932996f485b8b1b8d7cbb3f77a6">
      <tp>
        <v>1</v>
        <stp/>
        <stp>c285383e-bfeb-410a-bf76-7cd67c16d925</stp>
        <tr r="AJ65" s="130"/>
      </tp>
    </main>
    <main first="rtdsrv.458a5932996f485b8b1b8d7cbb3f77a6">
      <tp>
        <v>1</v>
        <stp/>
        <stp>9416e20b-8080-4286-8087-dd5447699d98</stp>
        <tr r="AF43" s="130"/>
      </tp>
    </main>
    <main first="rtdsrv.458a5932996f485b8b1b8d7cbb3f77a6">
      <tp>
        <v>1</v>
        <stp/>
        <stp>8a0a9d42-718f-4d7c-a8e1-3c5d234d5c96</stp>
        <tr r="BF59" s="130"/>
      </tp>
    </main>
    <main first="rtdsrv.458a5932996f485b8b1b8d7cbb3f77a6">
      <tp>
        <v>1</v>
        <stp/>
        <stp>7f213aa4-30ab-447e-8e19-427f6c41b6e4</stp>
        <tr r="BK67" s="130"/>
      </tp>
    </main>
    <main first="rtdsrv.458a5932996f485b8b1b8d7cbb3f77a6">
      <tp>
        <v>1</v>
        <stp/>
        <stp>62fe614e-9668-49f3-8686-7f375bd2628e</stp>
        <tr r="GY12" s="132"/>
      </tp>
    </main>
    <main first="rtdsrv.458a5932996f485b8b1b8d7cbb3f77a6">
      <tp>
        <v>1</v>
        <stp/>
        <stp>4c83db1c-5628-4643-9a34-e34de0cec0a8</stp>
        <tr r="ER9" s="132"/>
      </tp>
    </main>
    <main first="rtdsrv.458a5932996f485b8b1b8d7cbb3f77a6">
      <tp>
        <v>1</v>
        <stp/>
        <stp>be047b18-b6b3-457c-8d06-f17448823834</stp>
        <tr r="AW80" s="130"/>
      </tp>
    </main>
    <main first="rtdsrv.458a5932996f485b8b1b8d7cbb3f77a6">
      <tp>
        <v>1</v>
        <stp/>
        <stp>4729821b-4eac-4c68-8aa7-3800af97c1e7</stp>
        <tr r="L25" s="130"/>
      </tp>
    </main>
    <main first="rtdsrv.458a5932996f485b8b1b8d7cbb3f77a6">
      <tp>
        <v>1</v>
        <stp/>
        <stp>bf414034-16f6-40b5-ae07-557d1d998454</stp>
        <tr r="FV15" s="132"/>
      </tp>
    </main>
    <main first="rtdsrv.458a5932996f485b8b1b8d7cbb3f77a6">
      <tp>
        <v>1</v>
        <stp/>
        <stp>1601f703-6f83-4abe-b126-6e9f1a048cd3</stp>
        <tr r="AY62" s="130"/>
      </tp>
    </main>
    <main first="rtdsrv.458a5932996f485b8b1b8d7cbb3f77a6">
      <tp>
        <v>1</v>
        <stp/>
        <stp>5715a14c-61c3-4cce-b3dd-2be67c811700</stp>
        <tr r="AH39" s="130"/>
      </tp>
    </main>
    <main first="rtdsrv.458a5932996f485b8b1b8d7cbb3f77a6">
      <tp>
        <v>1</v>
        <stp/>
        <stp>20285989-bafc-433f-9682-0d3e44efdb2f</stp>
        <tr r="S71" s="130"/>
      </tp>
    </main>
    <main first="rtdsrv.458a5932996f485b8b1b8d7cbb3f77a6">
      <tp>
        <v>1</v>
        <stp/>
        <stp>88b763bb-7858-475b-aa9e-7b0dc2f0d056</stp>
        <tr r="BE34" s="130"/>
      </tp>
    </main>
    <main first="rtdsrv.458a5932996f485b8b1b8d7cbb3f77a6">
      <tp>
        <v>1</v>
        <stp/>
        <stp>13f3101d-0a38-4dd3-b136-c299bc5d3e2a</stp>
        <tr r="M16" s="130"/>
      </tp>
    </main>
    <main first="rtdsrv.458a5932996f485b8b1b8d7cbb3f77a6">
      <tp>
        <v>1</v>
        <stp/>
        <stp>76922a41-6277-4b78-a093-ee5695a927fb</stp>
        <tr r="D63" s="130"/>
      </tp>
    </main>
    <main first="rtdsrv.458a5932996f485b8b1b8d7cbb3f77a6">
      <tp>
        <v>1</v>
        <stp/>
        <stp>1d3f1de9-208b-4322-96dd-6e650c30be90</stp>
        <tr r="AP16" s="130"/>
      </tp>
    </main>
    <main first="rtdsrv.458a5932996f485b8b1b8d7cbb3f77a6">
      <tp>
        <v>1</v>
        <stp/>
        <stp>4f39cb86-c7d8-4850-97ab-41bb5e038e29</stp>
        <tr r="V78" s="130"/>
      </tp>
      <tp>
        <v>1</v>
        <stp/>
        <stp>36559494-f932-4005-baae-bada103bff9a</stp>
        <tr r="Q11" s="132"/>
      </tp>
    </main>
    <main first="rtdsrv.458a5932996f485b8b1b8d7cbb3f77a6">
      <tp>
        <v>1</v>
        <stp/>
        <stp>5dfcec5e-5800-48fa-8eab-cd7aea69506a</stp>
        <tr r="AI79" s="130"/>
      </tp>
    </main>
    <main first="rtdsrv.458a5932996f485b8b1b8d7cbb3f77a6">
      <tp>
        <v>1</v>
        <stp/>
        <stp>f9c29b1b-3c59-4ee2-bf88-0a8ef3793785</stp>
        <tr r="DH12" s="132"/>
      </tp>
      <tp>
        <v>1</v>
        <stp/>
        <stp>89709033-875a-4757-9df2-e553e02c9b8a</stp>
        <tr r="FE5" s="132"/>
      </tp>
      <tp>
        <v>1</v>
        <stp/>
        <stp>e968b09a-0e03-4edf-ab8f-1b5370f7f2aa</stp>
        <tr r="DS7" s="132"/>
      </tp>
    </main>
    <main first="rtdsrv.458a5932996f485b8b1b8d7cbb3f77a6">
      <tp>
        <v>1</v>
        <stp/>
        <stp>d0574b6f-788d-4877-87c4-61c9da094fc5</stp>
        <tr r="FJ5" s="132"/>
      </tp>
      <tp>
        <v>1</v>
        <stp/>
        <stp>be165702-8bf3-4d4e-b5a1-87a8df866846</stp>
        <tr r="AA16" s="132"/>
      </tp>
    </main>
    <main first="rtdsrv.458a5932996f485b8b1b8d7cbb3f77a6">
      <tp>
        <v>1</v>
        <stp/>
        <stp>d9ebc396-d7e0-4a36-86de-0cbf29a3ba2e</stp>
        <tr r="BK27" s="130"/>
      </tp>
    </main>
    <main first="rtdsrv.458a5932996f485b8b1b8d7cbb3f77a6">
      <tp>
        <v>1</v>
        <stp/>
        <stp>d39f6120-3b73-4ec6-a274-fd27b6aaae17</stp>
        <tr r="AQ12" s="132"/>
      </tp>
    </main>
    <main first="rtdsrv.458a5932996f485b8b1b8d7cbb3f77a6">
      <tp>
        <v>1</v>
        <stp/>
        <stp>8be1f808-d203-483c-9ef8-da1d2d28f9cf</stp>
        <tr r="G29" s="130"/>
      </tp>
    </main>
    <main first="rtdsrv.458a5932996f485b8b1b8d7cbb3f77a6">
      <tp>
        <v>1</v>
        <stp/>
        <stp>29f09471-707e-41a9-be38-0dc577cbbdf3</stp>
        <tr r="AQ42" s="130"/>
      </tp>
    </main>
    <main first="rtdsrv.458a5932996f485b8b1b8d7cbb3f77a6">
      <tp>
        <v>1</v>
        <stp/>
        <stp>6ed2eb20-0ea5-4e03-b426-708e8ed3edf9</stp>
        <tr r="AU22" s="130"/>
      </tp>
      <tp>
        <v>1</v>
        <stp/>
        <stp>bba3e4f2-ed0f-4dbe-8011-be8d82e5e706</stp>
        <tr r="CE14" s="132"/>
      </tp>
    </main>
    <main first="rtdsrv.458a5932996f485b8b1b8d7cbb3f77a6">
      <tp>
        <v>1</v>
        <stp/>
        <stp>15a5669c-9c1b-4f73-bf75-fd4339243d06</stp>
        <tr r="V23" s="130"/>
      </tp>
      <tp>
        <v>1</v>
        <stp/>
        <stp>b0bcf148-7f96-44cb-8eed-e0b5ac68de81</stp>
        <tr r="AW69" s="130"/>
      </tp>
    </main>
    <main first="rtdsrv.458a5932996f485b8b1b8d7cbb3f77a6">
      <tp>
        <v>1</v>
        <stp/>
        <stp>9fcb6eb3-2c08-405b-b6b8-36fb5f436f0c</stp>
        <tr r="AS86" s="130"/>
      </tp>
      <tp>
        <v>1</v>
        <stp/>
        <stp>9b50486e-ec79-4bdc-9c75-a91fbadf8489</stp>
        <tr r="F35" s="130"/>
      </tp>
    </main>
    <main first="rtdsrv.458a5932996f485b8b1b8d7cbb3f77a6">
      <tp>
        <v>1</v>
        <stp/>
        <stp>5ebce024-20e7-49b2-9e7f-f9105869ad90</stp>
        <tr r="AK43" s="130"/>
      </tp>
    </main>
    <main first="rtdsrv.458a5932996f485b8b1b8d7cbb3f77a6">
      <tp>
        <v>1</v>
        <stp/>
        <stp>4b406b0b-3cfe-4f46-a4a3-f7739f8892c0</stp>
        <tr r="AX61" s="130"/>
      </tp>
    </main>
    <main first="rtdsrv.458a5932996f485b8b1b8d7cbb3f77a6">
      <tp>
        <v>1</v>
        <stp/>
        <stp>3c06b3fc-0570-4112-ba98-827528bbaf75</stp>
        <tr r="D84" s="130"/>
      </tp>
    </main>
    <main first="rtdsrv.458a5932996f485b8b1b8d7cbb3f77a6">
      <tp>
        <v>1</v>
        <stp/>
        <stp>511d0b9d-2764-40da-9d04-7c2fab200622</stp>
        <tr r="BF76" s="130"/>
      </tp>
    </main>
    <main first="rtdsrv.458a5932996f485b8b1b8d7cbb3f77a6">
      <tp>
        <v>1</v>
        <stp/>
        <stp>3ebba99f-fd17-455e-ac86-fe3d1613a322</stp>
        <tr r="W68" s="130"/>
      </tp>
    </main>
    <main first="rtdsrv.458a5932996f485b8b1b8d7cbb3f77a6">
      <tp>
        <v>1</v>
        <stp/>
        <stp>028e7e70-662c-4288-806d-48edf4c37db6</stp>
        <tr r="I17" s="130"/>
      </tp>
    </main>
    <main first="rtdsrv.458a5932996f485b8b1b8d7cbb3f77a6">
      <tp>
        <v>1</v>
        <stp/>
        <stp>4f1e8a72-fc18-4602-9e97-fab5c8399490</stp>
        <tr r="BG20" s="130"/>
      </tp>
    </main>
    <main first="rtdsrv.458a5932996f485b8b1b8d7cbb3f77a6">
      <tp>
        <v>1</v>
        <stp/>
        <stp>d21d655e-99c6-4ae2-a607-19047c46aa41</stp>
        <tr r="C40" s="130"/>
      </tp>
    </main>
    <main first="rtdsrv.458a5932996f485b8b1b8d7cbb3f77a6">
      <tp>
        <v>1</v>
        <stp/>
        <stp>079a7661-8d46-46c5-bfe1-23f42e267846</stp>
        <tr r="V60" s="130"/>
      </tp>
    </main>
    <main first="rtdsrv.458a5932996f485b8b1b8d7cbb3f77a6">
      <tp>
        <v>1</v>
        <stp/>
        <stp>d78772de-ec92-42b1-841c-c3b8a6faabb3</stp>
        <tr r="AM66" s="130"/>
      </tp>
      <tp>
        <v>1</v>
        <stp/>
        <stp>11357b61-94ed-481e-a7e9-2e43c1ef89cf</stp>
        <tr r="AX17" s="130"/>
      </tp>
    </main>
    <main first="rtdsrv.458a5932996f485b8b1b8d7cbb3f77a6">
      <tp>
        <v>1</v>
        <stp/>
        <stp>73ea8a50-d716-4876-ab5e-cd9903b0aec8</stp>
        <tr r="AK15" s="130"/>
      </tp>
    </main>
    <main first="rtdsrv.458a5932996f485b8b1b8d7cbb3f77a6">
      <tp>
        <v>1</v>
        <stp/>
        <stp>00b83198-085f-4b5f-a755-6fd5371b6485</stp>
        <tr r="AS11" s="130"/>
      </tp>
    </main>
    <main first="rtdsrv.458a5932996f485b8b1b8d7cbb3f77a6">
      <tp>
        <v>1</v>
        <stp/>
        <stp>09e4647f-e1fc-48e5-ab79-b954c2530fa6</stp>
        <tr r="E78" s="130"/>
      </tp>
      <tp>
        <v>1</v>
        <stp/>
        <stp>eabde974-972c-46e7-8dac-bac15d84f5a5</stp>
        <tr r="U88" s="130"/>
      </tp>
      <tp>
        <v>1</v>
        <stp/>
        <stp>6919d396-eef3-4169-a76b-e275f33b3f05</stp>
        <tr r="Y20" s="130"/>
      </tp>
      <tp>
        <v>1</v>
        <stp/>
        <stp>79a97b62-20d6-41ef-9671-fb9aadc46974</stp>
        <tr r="K11" s="132"/>
      </tp>
    </main>
    <main first="rtdsrv.458a5932996f485b8b1b8d7cbb3f77a6">
      <tp>
        <v>1</v>
        <stp/>
        <stp>262085f0-1237-423c-8c13-205e01872fce</stp>
        <tr r="AV37" s="130"/>
      </tp>
    </main>
    <main first="rtdsrv.458a5932996f485b8b1b8d7cbb3f77a6">
      <tp>
        <v>1</v>
        <stp/>
        <stp>28ca0d0c-b694-4241-9e71-19cb271bf1bf</stp>
        <tr r="X93" s="130"/>
      </tp>
    </main>
    <main first="rtdsrv.458a5932996f485b8b1b8d7cbb3f77a6">
      <tp>
        <v>1</v>
        <stp/>
        <stp>30baa53c-bf6e-4948-b30e-58f2adff446d</stp>
        <tr r="L76" s="130"/>
      </tp>
    </main>
    <main first="rtdsrv.458a5932996f485b8b1b8d7cbb3f77a6">
      <tp>
        <v>1</v>
        <stp/>
        <stp>0c67fd39-e2fe-41b2-b76f-219dbf5ff69e</stp>
        <tr r="AG70" s="130"/>
      </tp>
      <tp>
        <v>1</v>
        <stp/>
        <stp>0a0df4a8-1452-46c7-b2a7-ad5c5c76b244</stp>
        <tr r="AY85" s="130"/>
      </tp>
    </main>
    <main first="rtdsrv.458a5932996f485b8b1b8d7cbb3f77a6">
      <tp>
        <v>1</v>
        <stp/>
        <stp>25071aec-210a-4161-92cc-d3aa625d3272</stp>
        <tr r="DU9" s="132"/>
      </tp>
      <tp>
        <v>1</v>
        <stp/>
        <stp>6f35b566-f5ec-4064-8153-86367cac8f5c</stp>
        <tr r="AY77" s="130"/>
      </tp>
      <tp>
        <v>1</v>
        <stp/>
        <stp>cb001205-81d2-42f2-ba47-081aef01f7cf</stp>
        <tr r="P58" s="130"/>
      </tp>
    </main>
    <main first="rtdsrv.458a5932996f485b8b1b8d7cbb3f77a6">
      <tp>
        <v>1</v>
        <stp/>
        <stp>e13bf645-1bbf-4811-a5ae-ca29a2bd9240</stp>
        <tr r="EJ6" s="132"/>
      </tp>
    </main>
    <main first="rtdsrv.458a5932996f485b8b1b8d7cbb3f77a6">
      <tp>
        <v>1</v>
        <stp/>
        <stp>b242ffcb-934d-4df4-9330-0e2791e459fe</stp>
        <tr r="GB7" s="132"/>
      </tp>
    </main>
    <main first="rtdsrv.458a5932996f485b8b1b8d7cbb3f77a6">
      <tp>
        <v>1</v>
        <stp/>
        <stp>9b844d93-5488-498b-882c-96ff3c4d91af</stp>
        <tr r="BR5" s="132"/>
      </tp>
      <tp>
        <v>1</v>
        <stp/>
        <stp>23045b7c-2e36-46bc-8502-86d7f4ce252b</stp>
        <tr r="C43" s="130"/>
      </tp>
    </main>
    <main first="rtdsrv.458a5932996f485b8b1b8d7cbb3f77a6">
      <tp>
        <v>1</v>
        <stp/>
        <stp>d6884e36-4198-45aa-8cc2-b0b150763b83</stp>
        <tr r="CZ7" s="132"/>
      </tp>
    </main>
    <main first="rtdsrv.458a5932996f485b8b1b8d7cbb3f77a6">
      <tp>
        <v>1</v>
        <stp/>
        <stp>137bdee7-012f-49b4-8e16-8f4b03a9a1e4</stp>
        <tr r="AA41" s="130"/>
      </tp>
    </main>
    <main first="rtdsrv.458a5932996f485b8b1b8d7cbb3f77a6">
      <tp>
        <v>1</v>
        <stp/>
        <stp>28c89725-9dbf-44c2-9ac7-2d68677623e9</stp>
        <tr r="AM89" s="130"/>
      </tp>
    </main>
    <main first="rtdsrv.458a5932996f485b8b1b8d7cbb3f77a6">
      <tp>
        <v>1</v>
        <stp/>
        <stp>7eb1906b-d5f7-46ec-994a-53c4e47b5f28</stp>
        <tr r="AT37" s="130"/>
      </tp>
      <tp>
        <v>1</v>
        <stp/>
        <stp>34457117-6539-43d1-bc61-27abcb102f7a</stp>
        <tr r="BF10" s="130"/>
      </tp>
    </main>
    <main first="rtdsrv.458a5932996f485b8b1b8d7cbb3f77a6">
      <tp>
        <v>1</v>
        <stp/>
        <stp>8a7f8c27-4334-43a0-a35e-2043a6b452cf</stp>
        <tr r="AZ89" s="130"/>
      </tp>
    </main>
    <main first="rtdsrv.458a5932996f485b8b1b8d7cbb3f77a6">
      <tp>
        <v>1</v>
        <stp/>
        <stp>e95ef858-fee4-4a0d-a0ea-f6ff0c7c543c</stp>
        <tr r="BH73" s="130"/>
      </tp>
    </main>
    <main first="rtdsrv.458a5932996f485b8b1b8d7cbb3f77a6">
      <tp>
        <v>1</v>
        <stp/>
        <stp>dba7a590-a883-44c7-abb1-ef0c26d6d4ca</stp>
        <tr r="AY10" s="130"/>
      </tp>
    </main>
    <main first="rtdsrv.458a5932996f485b8b1b8d7cbb3f77a6">
      <tp>
        <v>1</v>
        <stp/>
        <stp>f907c0a6-8731-4b9d-a5d4-2db3cb5960cb</stp>
        <tr r="AL19" s="130"/>
      </tp>
    </main>
    <main first="rtdsrv.458a5932996f485b8b1b8d7cbb3f77a6">
      <tp>
        <v>1</v>
        <stp/>
        <stp>fee3e06c-e5ac-403c-a31e-8d754bdb3c60</stp>
        <tr r="BC86" s="130"/>
      </tp>
    </main>
    <main first="rtdsrv.458a5932996f485b8b1b8d7cbb3f77a6">
      <tp>
        <v>1</v>
        <stp/>
        <stp>7c03d75f-1012-4abe-a1fc-002ce01b2a3e</stp>
        <tr r="AN5" s="130"/>
      </tp>
    </main>
    <main first="rtdsrv.458a5932996f485b8b1b8d7cbb3f77a6">
      <tp>
        <v>1</v>
        <stp/>
        <stp>bfd7e8bb-9d77-45a6-93de-8e5043fe0d25</stp>
        <tr r="BG44" s="130"/>
      </tp>
      <tp>
        <v>1</v>
        <stp/>
        <stp>5ab3a194-d032-40e4-9a16-10a3abb7bd84</stp>
        <tr r="AN22" s="130"/>
      </tp>
    </main>
    <main first="rtdsrv.458a5932996f485b8b1b8d7cbb3f77a6">
      <tp>
        <v>1</v>
        <stp/>
        <stp>9ebf587f-27cb-4155-b7ae-53170938c6c5</stp>
        <tr r="AH9" s="132"/>
      </tp>
    </main>
    <main first="rtdsrv.458a5932996f485b8b1b8d7cbb3f77a6">
      <tp>
        <v>1</v>
        <stp/>
        <stp>dec2e59e-26f1-461d-bfbc-76368bc32784</stp>
        <tr r="AG66" s="130"/>
      </tp>
      <tp>
        <v>1</v>
        <stp/>
        <stp>920e36a1-af07-4c42-bf3a-de07945e724c</stp>
        <tr r="Q5" s="132"/>
      </tp>
    </main>
    <main first="rtdsrv.458a5932996f485b8b1b8d7cbb3f77a6">
      <tp>
        <v>1</v>
        <stp/>
        <stp>29bee818-d7ba-436a-8bd0-1b0da25ec76d</stp>
        <tr r="HA5" s="132"/>
      </tp>
    </main>
    <main first="rtdsrv.458a5932996f485b8b1b8d7cbb3f77a6">
      <tp>
        <v>1</v>
        <stp/>
        <stp>bd211652-0441-48a0-b796-e95c01a12d6d</stp>
        <tr r="AP66" s="130"/>
      </tp>
    </main>
    <main first="rtdsrv.458a5932996f485b8b1b8d7cbb3f77a6">
      <tp>
        <v>1</v>
        <stp/>
        <stp>0846a256-55d6-49c2-adc7-08af9509cd58</stp>
        <tr r="C42" s="130"/>
      </tp>
    </main>
    <main first="rtdsrv.458a5932996f485b8b1b8d7cbb3f77a6">
      <tp>
        <v>1</v>
        <stp/>
        <stp>ed5139f4-a33d-4ba9-ac5b-4b48ad0f21a3</stp>
        <tr r="AA17" s="130"/>
      </tp>
    </main>
    <main first="rtdsrv.458a5932996f485b8b1b8d7cbb3f77a6">
      <tp>
        <v>1</v>
        <stp/>
        <stp>c5b9556e-384c-495b-b939-fb0dfbc2feae</stp>
        <tr r="AZ6" s="132"/>
      </tp>
    </main>
    <main first="rtdsrv.458a5932996f485b8b1b8d7cbb3f77a6">
      <tp>
        <v>1</v>
        <stp/>
        <stp>19e63b30-abed-49d5-9ab7-b9d9dca470ad</stp>
        <tr r="AG14" s="130"/>
        <tr r="AG26" s="130"/>
      </tp>
      <tp>
        <v>1</v>
        <stp/>
        <stp>bb3760c1-f4d4-4fb1-8bfc-10d32e171152</stp>
        <tr r="FN9" s="132"/>
      </tp>
    </main>
    <main first="rtdsrv.458a5932996f485b8b1b8d7cbb3f77a6">
      <tp>
        <v>1</v>
        <stp/>
        <stp>31ef915b-42a0-4c9e-ad90-91501849ef4f</stp>
        <tr r="Z8" s="130"/>
      </tp>
      <tp>
        <v>1</v>
        <stp/>
        <stp>7b6aa1f5-70d1-47b2-8edd-d666107813ef</stp>
        <tr r="AH79" s="130"/>
      </tp>
    </main>
    <main first="rtdsrv.458a5932996f485b8b1b8d7cbb3f77a6">
      <tp>
        <v>1</v>
        <stp/>
        <stp>b09f25e0-fd27-4ddb-b643-0796d2de976b</stp>
        <tr r="W34" s="130"/>
      </tp>
    </main>
    <main first="rtdsrv.458a5932996f485b8b1b8d7cbb3f77a6">
      <tp>
        <v>1</v>
        <stp/>
        <stp>6ea54188-b194-4a86-9ddc-ebc30605e786</stp>
        <tr r="C10" s="130"/>
      </tp>
    </main>
    <main first="rtdsrv.458a5932996f485b8b1b8d7cbb3f77a6">
      <tp>
        <v>1</v>
        <stp/>
        <stp>714729e1-4ee4-493c-bbb6-5a2c981a5cab</stp>
        <tr r="BH62" s="130"/>
      </tp>
    </main>
    <main first="rtdsrv.458a5932996f485b8b1b8d7cbb3f77a6">
      <tp>
        <v>1</v>
        <stp/>
        <stp>b12cc4f0-b13c-4906-a5c7-d4bb86abb716</stp>
        <tr r="EN7" s="132"/>
      </tp>
    </main>
    <main first="rtdsrv.458a5932996f485b8b1b8d7cbb3f77a6">
      <tp>
        <v>1</v>
        <stp/>
        <stp>396a6849-586c-438c-a040-3266efe8e099</stp>
        <tr r="FY9" s="132"/>
      </tp>
    </main>
    <main first="rtdsrv.458a5932996f485b8b1b8d7cbb3f77a6">
      <tp>
        <v>1</v>
        <stp/>
        <stp>8d4e426c-2be6-4fdf-a1ea-0dcac45ff065</stp>
        <tr r="EV7" s="132"/>
      </tp>
    </main>
    <main first="rtdsrv.458a5932996f485b8b1b8d7cbb3f77a6">
      <tp>
        <v>1</v>
        <stp/>
        <stp>77c27b99-985d-44c2-b6ef-0af9dd35f901</stp>
        <tr r="AB14" s="132"/>
      </tp>
    </main>
    <main first="rtdsrv.458a5932996f485b8b1b8d7cbb3f77a6">
      <tp>
        <v>1</v>
        <stp/>
        <stp>d3a05451-4f8e-427e-8420-cb6db7a3464a</stp>
        <tr r="CN13" s="132"/>
      </tp>
    </main>
    <main first="rtdsrv.458a5932996f485b8b1b8d7cbb3f77a6">
      <tp>
        <v>1</v>
        <stp/>
        <stp>d0894b35-8187-4df1-89fe-f4647898e61a</stp>
        <tr r="AX9" s="132"/>
      </tp>
    </main>
    <main first="rtdsrv.458a5932996f485b8b1b8d7cbb3f77a6">
      <tp>
        <v>1</v>
        <stp/>
        <stp>cddf2e9b-03f5-4789-b3e5-a8fd81dd8c85</stp>
        <tr r="H90" s="130"/>
      </tp>
      <tp>
        <v>1</v>
        <stp/>
        <stp>81889078-e7a3-4cbc-b47e-e6b3c2f7238e</stp>
        <tr r="BE66" s="130"/>
      </tp>
    </main>
    <main first="rtdsrv.458a5932996f485b8b1b8d7cbb3f77a6">
      <tp>
        <v>1</v>
        <stp/>
        <stp>8ba27b38-551c-4ffd-b0ec-d36197c46703</stp>
        <tr r="AU44" s="130"/>
      </tp>
    </main>
    <main first="rtdsrv.458a5932996f485b8b1b8d7cbb3f77a6">
      <tp>
        <v>1</v>
        <stp/>
        <stp>163aff4b-5605-46c2-aab6-4bb83f6ab624</stp>
        <tr r="P28" s="130"/>
      </tp>
    </main>
    <main first="rtdsrv.458a5932996f485b8b1b8d7cbb3f77a6">
      <tp>
        <v>1</v>
        <stp/>
        <stp>ee3614b7-b528-44a7-aabd-9b4b27d6d42b</stp>
        <tr r="CC11" s="132"/>
      </tp>
    </main>
    <main first="rtdsrv.458a5932996f485b8b1b8d7cbb3f77a6">
      <tp>
        <v>1</v>
        <stp/>
        <stp>7523ea27-c217-4445-9551-7dc237febcd0</stp>
        <tr r="ER13" s="132"/>
      </tp>
    </main>
    <main first="rtdsrv.458a5932996f485b8b1b8d7cbb3f77a6">
      <tp>
        <v>1</v>
        <stp/>
        <stp>45f75165-5621-4f54-a361-240613c343f4</stp>
        <tr r="AL13" s="130"/>
      </tp>
    </main>
    <main first="rtdsrv.458a5932996f485b8b1b8d7cbb3f77a6">
      <tp>
        <v>1</v>
        <stp/>
        <stp>82756d01-bb33-4df9-94a6-8e2cd6e0e8f7</stp>
        <tr r="R23" s="130"/>
      </tp>
    </main>
    <main first="rtdsrv.458a5932996f485b8b1b8d7cbb3f77a6">
      <tp>
        <v>1</v>
        <stp/>
        <stp>d7ae562d-ec73-497e-ac6b-7217321ae002</stp>
        <tr r="O85" s="130"/>
      </tp>
      <tp>
        <v>1</v>
        <stp/>
        <stp>a651e2f9-aa44-414d-b5ce-5dc723adb276</stp>
        <tr r="BB70" s="130"/>
      </tp>
      <tp>
        <v>1</v>
        <stp/>
        <stp>d476382a-9526-4e39-a78d-2555804e5678</stp>
        <tr r="FF11" s="132"/>
      </tp>
    </main>
    <main first="rtdsrv.458a5932996f485b8b1b8d7cbb3f77a6">
      <tp>
        <v>1</v>
        <stp/>
        <stp>7f55fe6c-3505-4403-a103-18f45981958e</stp>
        <tr r="BJ42" s="130"/>
      </tp>
      <tp>
        <v>1</v>
        <stp/>
        <stp>a250d559-8c1d-4431-917d-cdd76ba278ac</stp>
        <tr r="O57" s="130"/>
      </tp>
    </main>
    <main first="rtdsrv.458a5932996f485b8b1b8d7cbb3f77a6">
      <tp>
        <v>1</v>
        <stp/>
        <stp>1b4a87c0-1400-468e-a9d1-0fd0070d93e3</stp>
        <tr r="AT45" s="130"/>
      </tp>
    </main>
    <main first="rtdsrv.458a5932996f485b8b1b8d7cbb3f77a6">
      <tp>
        <v>1</v>
        <stp/>
        <stp>018ac567-8a8d-4cb5-b6e3-d845fd34b780</stp>
        <tr r="DH6" s="132"/>
      </tp>
    </main>
    <main first="rtdsrv.458a5932996f485b8b1b8d7cbb3f77a6">
      <tp>
        <v>1</v>
        <stp/>
        <stp>3f8c270c-ad49-446d-bb31-7b8b2cb18ad7</stp>
        <tr r="V96" s="130"/>
      </tp>
    </main>
    <main first="rtdsrv.458a5932996f485b8b1b8d7cbb3f77a6">
      <tp>
        <v>1</v>
        <stp/>
        <stp>3a1e27ae-db02-43a1-bc0c-26acf011a2b1</stp>
        <tr r="U42" s="130"/>
      </tp>
      <tp>
        <v>1</v>
        <stp/>
        <stp>94e30dd7-e439-42ad-bf79-257edfa40297</stp>
        <tr r="AT95" s="130"/>
      </tp>
      <tp>
        <v>1</v>
        <stp/>
        <stp>67c25ee6-3ba0-4bdf-ad77-90d2c5cc7277</stp>
        <tr r="BF81" s="130"/>
      </tp>
    </main>
    <main first="rtdsrv.458a5932996f485b8b1b8d7cbb3f77a6">
      <tp>
        <v>1</v>
        <stp/>
        <stp>76041bf9-a2b3-41c5-8729-0aa1c16bfefd</stp>
        <tr r="K80" s="130"/>
      </tp>
    </main>
    <main first="rtdsrv.458a5932996f485b8b1b8d7cbb3f77a6">
      <tp>
        <v>1</v>
        <stp/>
        <stp>6faa0afe-805e-4924-b99d-eed362c46b83</stp>
        <tr r="V41" s="130"/>
      </tp>
      <tp>
        <v>1</v>
        <stp/>
        <stp>77dd7650-b5cf-4c9c-8520-248887609668</stp>
        <tr r="GS7" s="132"/>
      </tp>
    </main>
    <main first="rtdsrv.458a5932996f485b8b1b8d7cbb3f77a6">
      <tp>
        <v>1</v>
        <stp/>
        <stp>d1feb2c9-c4a5-4177-ab59-6e5ef2b7923d</stp>
        <tr r="AM16" s="130"/>
      </tp>
      <tp>
        <v>1</v>
        <stp/>
        <stp>e1d76cb5-83ca-48be-bd9a-af40eb9e9554</stp>
        <tr r="Y83" s="130"/>
      </tp>
    </main>
    <main first="rtdsrv.458a5932996f485b8b1b8d7cbb3f77a6">
      <tp>
        <v>1</v>
        <stp/>
        <stp>2b7934f4-7f59-4f8c-94e5-8f7fbb80ada4</stp>
        <tr r="AY18" s="130"/>
      </tp>
      <tp>
        <v>1</v>
        <stp/>
        <stp>faa9c89d-20b7-4fdf-97e0-385754d36cef</stp>
        <tr r="AZ7" s="132"/>
      </tp>
    </main>
    <main first="rtdsrv.458a5932996f485b8b1b8d7cbb3f77a6">
      <tp>
        <v>1</v>
        <stp/>
        <stp>fa866055-e7f5-43a2-ac0c-cfd76fe6b146</stp>
        <tr r="AN21" s="130"/>
      </tp>
    </main>
    <main first="rtdsrv.458a5932996f485b8b1b8d7cbb3f77a6">
      <tp>
        <v>1</v>
        <stp/>
        <stp>3492ee22-2e56-4732-9108-2e80ff7cae5e</stp>
        <tr r="Y31" s="130"/>
      </tp>
      <tp>
        <v>1</v>
        <stp/>
        <stp>215ecdf6-c515-4ea7-8d59-6fea0beca730</stp>
        <tr r="T44" s="130"/>
      </tp>
    </main>
    <main first="rtdsrv.458a5932996f485b8b1b8d7cbb3f77a6">
      <tp>
        <v>1</v>
        <stp/>
        <stp>6d235e44-3347-46ca-8fd8-87311cdccd6e</stp>
        <tr r="DW15" s="132"/>
      </tp>
      <tp>
        <v>1</v>
        <stp/>
        <stp>e5746bc6-6855-4d14-a87c-14b9cbd573e7</stp>
        <tr r="AL60" s="130"/>
      </tp>
    </main>
    <main first="rtdsrv.458a5932996f485b8b1b8d7cbb3f77a6">
      <tp>
        <v>1</v>
        <stp/>
        <stp>2ce9d0a1-03d1-4a2b-8b0a-628ffbae4fbc</stp>
        <tr r="AA55" s="130"/>
      </tp>
      <tp>
        <v>1</v>
        <stp/>
        <stp>6f0369c9-f093-4367-859f-0f9a1048dfe5</stp>
        <tr r="FR12" s="132"/>
      </tp>
    </main>
    <main first="rtdsrv.458a5932996f485b8b1b8d7cbb3f77a6">
      <tp>
        <v>1</v>
        <stp/>
        <stp>b890b1a3-421e-406d-a173-a9120c1e534d</stp>
        <tr r="L14" s="130"/>
        <tr r="L26" s="130"/>
      </tp>
    </main>
    <main first="rtdsrv.458a5932996f485b8b1b8d7cbb3f77a6">
      <tp>
        <v>1</v>
        <stp/>
        <stp>e2f2c400-17c2-45fd-a9dc-883fc0d30889</stp>
        <tr r="AA37" s="130"/>
      </tp>
      <tp>
        <v>1</v>
        <stp/>
        <stp>ac969842-4774-44f6-966a-b1d61814bace</stp>
        <tr r="O10" s="130"/>
      </tp>
    </main>
    <main first="rtdsrv.458a5932996f485b8b1b8d7cbb3f77a6">
      <tp>
        <v>1</v>
        <stp/>
        <stp>82f09f67-a838-4517-b01a-752046b1274c</stp>
        <tr r="W28" s="130"/>
      </tp>
    </main>
    <main first="rtdsrv.458a5932996f485b8b1b8d7cbb3f77a6">
      <tp>
        <v>1</v>
        <stp/>
        <stp>41a763fa-46cc-47fd-8a0b-f48a9fc497f9</stp>
        <tr r="J16" s="132"/>
      </tp>
    </main>
    <main first="rtdsrv.458a5932996f485b8b1b8d7cbb3f77a6">
      <tp>
        <v>1</v>
        <stp/>
        <stp>82f3e784-4f2f-43e9-8d83-75dc0f55ed46</stp>
        <tr r="AB10" s="130"/>
      </tp>
      <tp>
        <v>1</v>
        <stp/>
        <stp>df668ee9-e94a-4c36-b266-76859b24458f</stp>
        <tr r="AJ47" s="130"/>
        <tr r="AJ52" s="130"/>
      </tp>
    </main>
    <main first="rtdsrv.458a5932996f485b8b1b8d7cbb3f77a6">
      <tp>
        <v>1</v>
        <stp/>
        <stp>5fe2ec93-8fbb-45c2-8c53-99f4e230d620</stp>
        <tr r="GK16" s="132"/>
      </tp>
    </main>
    <main first="rtdsrv.458a5932996f485b8b1b8d7cbb3f77a6">
      <tp>
        <v>1</v>
        <stp/>
        <stp>018ce30b-1ecd-4fbb-93c4-26856a740b81</stp>
        <tr r="GB15" s="132"/>
      </tp>
    </main>
    <main first="rtdsrv.458a5932996f485b8b1b8d7cbb3f77a6">
      <tp>
        <v>1</v>
        <stp/>
        <stp>92492b07-4a72-4914-8a33-9a4fa149a493</stp>
        <tr r="BG13" s="130"/>
      </tp>
    </main>
    <main first="rtdsrv.458a5932996f485b8b1b8d7cbb3f77a6">
      <tp>
        <v>1</v>
        <stp/>
        <stp>5024f758-411f-4a23-98d0-10c70a23928f</stp>
        <tr r="AE20" s="130"/>
      </tp>
      <tp>
        <v>1</v>
        <stp/>
        <stp>b606ceef-8eb7-4aa5-8385-82d91e61868e</stp>
        <tr r="FD9" s="132"/>
      </tp>
    </main>
    <main first="rtdsrv.458a5932996f485b8b1b8d7cbb3f77a6">
      <tp>
        <v>1</v>
        <stp/>
        <stp>256d068d-6706-4d7c-85f5-00aa6348b465</stp>
        <tr r="BB98" s="130"/>
      </tp>
    </main>
    <main first="rtdsrv.458a5932996f485b8b1b8d7cbb3f77a6">
      <tp>
        <v>1</v>
        <stp/>
        <stp>5a6e8a20-6c64-4012-9314-a497f06ca630</stp>
        <tr r="T81" s="130"/>
      </tp>
    </main>
    <main first="rtdsrv.458a5932996f485b8b1b8d7cbb3f77a6">
      <tp>
        <v>1</v>
        <stp/>
        <stp>486dd41d-312b-4b7a-9139-f8c537ad8eb3</stp>
        <tr r="FB6" s="132"/>
      </tp>
      <tp>
        <v>1</v>
        <stp/>
        <stp>4ca75d3b-f1f6-434e-a35d-cb8161dc3e49</stp>
        <tr r="BD7" s="130"/>
      </tp>
    </main>
    <main first="rtdsrv.458a5932996f485b8b1b8d7cbb3f77a6">
      <tp>
        <v>1</v>
        <stp/>
        <stp>f1ee6a66-4166-48a2-9898-93ed282d1ce1</stp>
        <tr r="AN6" s="132"/>
      </tp>
    </main>
    <main first="rtdsrv.458a5932996f485b8b1b8d7cbb3f77a6">
      <tp>
        <v>1</v>
        <stp/>
        <stp>803719f6-68e5-4112-8cb3-744afdf738dd</stp>
        <tr r="BD98" s="130"/>
      </tp>
      <tp>
        <v>1</v>
        <stp/>
        <stp>eba50284-cbf5-4e69-bb2c-b1e2d7a84944</stp>
        <tr r="AH37" s="130"/>
      </tp>
    </main>
    <main first="rtdsrv.458a5932996f485b8b1b8d7cbb3f77a6">
      <tp>
        <v>1</v>
        <stp/>
        <stp>ddedeb99-dfe7-4f67-ab74-9a0dabbc1f4d</stp>
        <tr r="M89" s="130"/>
      </tp>
    </main>
    <main first="rtdsrv.458a5932996f485b8b1b8d7cbb3f77a6">
      <tp>
        <v>1</v>
        <stp/>
        <stp>9522bedc-7059-476f-82bb-bdd9e709c783</stp>
        <tr r="U13" s="130"/>
      </tp>
    </main>
    <main first="rtdsrv.458a5932996f485b8b1b8d7cbb3f77a6">
      <tp>
        <v>1</v>
        <stp/>
        <stp>994624e1-58b9-4c49-9eab-19080f7738d7</stp>
        <tr r="F61" s="130"/>
      </tp>
    </main>
    <main first="rtdsrv.458a5932996f485b8b1b8d7cbb3f77a6">
      <tp>
        <v>1</v>
        <stp/>
        <stp>6aef5955-da6d-4d42-9b49-74a90172f865</stp>
        <tr r="DP12" s="132"/>
      </tp>
    </main>
    <main first="rtdsrv.458a5932996f485b8b1b8d7cbb3f77a6">
      <tp>
        <v>1</v>
        <stp/>
        <stp>9535da84-3f85-411e-9824-e1025b966d81</stp>
        <tr r="AX20" s="130"/>
      </tp>
      <tp>
        <v>1</v>
        <stp/>
        <stp>bbe78493-de34-4ba6-9190-ac08fac6182c</stp>
        <tr r="GE12" s="132"/>
      </tp>
    </main>
    <main first="rtdsrv.458a5932996f485b8b1b8d7cbb3f77a6">
      <tp>
        <v>1</v>
        <stp/>
        <stp>f97c154f-2558-4c21-819e-d6078422c39c</stp>
        <tr r="BI32" s="130"/>
      </tp>
      <tp>
        <v>1</v>
        <stp/>
        <stp>a48a15b8-868d-4923-b2ff-06c2ee96f883</stp>
        <tr r="AP73" s="130"/>
      </tp>
      <tp>
        <v>1</v>
        <stp/>
        <stp>631c2975-227b-4761-8c08-72c0f814b46f</stp>
        <tr r="EU8" s="132"/>
      </tp>
    </main>
    <main first="rtdsrv.458a5932996f485b8b1b8d7cbb3f77a6">
      <tp>
        <v>1</v>
        <stp/>
        <stp>40980bc1-5a06-4588-8596-4fb1bfc69aee</stp>
        <tr r="AG14" s="132"/>
      </tp>
    </main>
    <main first="rtdsrv.458a5932996f485b8b1b8d7cbb3f77a6">
      <tp>
        <v>1</v>
        <stp/>
        <stp>9c906d81-25e8-401e-97c0-eb88ee6533c9</stp>
        <tr r="I66" s="130"/>
      </tp>
    </main>
    <main first="rtdsrv.458a5932996f485b8b1b8d7cbb3f77a6">
      <tp>
        <v>1</v>
        <stp/>
        <stp>b33384ba-d177-4e9a-a0ca-679043269bcf</stp>
        <tr r="AR87" s="130"/>
      </tp>
      <tp>
        <v>1</v>
        <stp/>
        <stp>f2b3cfe0-424c-4aaa-89b6-45d9f5836d6d</stp>
        <tr r="P9" s="130"/>
      </tp>
      <tp>
        <v>1</v>
        <stp/>
        <stp>6ce1c114-6d5b-4b31-8c6a-0190934d2f51</stp>
        <tr r="AF26" s="130"/>
        <tr r="AF14" s="130"/>
      </tp>
    </main>
    <main first="rtdsrv.458a5932996f485b8b1b8d7cbb3f77a6">
      <tp>
        <v>1</v>
        <stp/>
        <stp>088bac58-7040-4edb-8297-853496b5e328</stp>
        <tr r="U24" s="130"/>
      </tp>
      <tp>
        <v>1</v>
        <stp/>
        <stp>5f958862-5a71-4168-b1a7-46ca1ac00b08</stp>
        <tr r="Q29" s="130"/>
      </tp>
    </main>
    <main first="rtdsrv.458a5932996f485b8b1b8d7cbb3f77a6">
      <tp>
        <v>1</v>
        <stp/>
        <stp>34fb3bbf-d774-49cd-8f4a-d321642cfb87</stp>
        <tr r="AH34" s="130"/>
      </tp>
    </main>
    <main first="rtdsrv.458a5932996f485b8b1b8d7cbb3f77a6">
      <tp>
        <v>1</v>
        <stp/>
        <stp>5505ac70-2400-48dc-9182-c2fcf3558986</stp>
        <tr r="D6" s="132"/>
      </tp>
    </main>
    <main first="rtdsrv.458a5932996f485b8b1b8d7cbb3f77a6">
      <tp>
        <v>1</v>
        <stp/>
        <stp>8c3a73bc-68a6-4dbf-a76b-f132bebcce01</stp>
        <tr r="AN32" s="130"/>
      </tp>
    </main>
    <main first="rtdsrv.458a5932996f485b8b1b8d7cbb3f77a6">
      <tp>
        <v>1</v>
        <stp/>
        <stp>aecc552b-dbee-4432-abb7-e556d2869dc0</stp>
        <tr r="FZ9" s="132"/>
      </tp>
    </main>
    <main first="rtdsrv.458a5932996f485b8b1b8d7cbb3f77a6">
      <tp>
        <v>1</v>
        <stp/>
        <stp>97e97524-f288-49f5-a4a9-a2606374267d</stp>
        <tr r="BH35" s="130"/>
      </tp>
      <tp>
        <v>1</v>
        <stp/>
        <stp>049c192e-0d0b-4bd4-9591-136b01ca95ab</stp>
        <tr r="N19" s="130"/>
      </tp>
    </main>
    <main first="rtdsrv.458a5932996f485b8b1b8d7cbb3f77a6">
      <tp>
        <v>1</v>
        <stp/>
        <stp>dddc1071-5eaa-45a5-90d8-f68476e80784</stp>
        <tr r="AX6" s="132"/>
      </tp>
    </main>
    <main first="rtdsrv.458a5932996f485b8b1b8d7cbb3f77a6">
      <tp>
        <v>1</v>
        <stp/>
        <stp>a37007e3-e449-4750-a318-82c16bf2d70b</stp>
        <tr r="AN26" s="130"/>
        <tr r="AN14" s="130"/>
      </tp>
    </main>
    <main first="rtdsrv.458a5932996f485b8b1b8d7cbb3f77a6">
      <tp>
        <v>1</v>
        <stp/>
        <stp>a15f4981-5901-4fbd-9ceb-969ad40c8941</stp>
        <tr r="AK5" s="130"/>
      </tp>
    </main>
    <main first="rtdsrv.458a5932996f485b8b1b8d7cbb3f77a6">
      <tp>
        <v>1</v>
        <stp/>
        <stp>2bf40bfc-4978-416f-bb71-dd33948a9375</stp>
        <tr r="DM7" s="132"/>
      </tp>
    </main>
    <main first="rtdsrv.458a5932996f485b8b1b8d7cbb3f77a6">
      <tp>
        <v>1</v>
        <stp/>
        <stp>ed04c691-31a2-4a40-a6c7-4cb8018e6faf</stp>
        <tr r="EF5" s="132"/>
      </tp>
      <tp>
        <v>1</v>
        <stp/>
        <stp>25c850a5-ce0a-4c12-85b6-17c85aee1fca</stp>
        <tr r="AG5" s="132"/>
      </tp>
    </main>
    <main first="rtdsrv.458a5932996f485b8b1b8d7cbb3f77a6">
      <tp>
        <v>1</v>
        <stp/>
        <stp>6cd44b74-2d38-4599-a620-1887de991c20</stp>
        <tr r="AJ46" s="130"/>
        <tr r="AJ51" s="130"/>
      </tp>
      <tp>
        <v>1</v>
        <stp/>
        <stp>f46e16e4-76b8-435a-ae0f-6f48ba232e13</stp>
        <tr r="AP98" s="130"/>
      </tp>
    </main>
    <main first="rtdsrv.458a5932996f485b8b1b8d7cbb3f77a6">
      <tp>
        <v>1</v>
        <stp/>
        <stp>e3e3b929-3243-4e36-8a03-8e88de88a9bf</stp>
        <tr r="E7" s="130"/>
      </tp>
    </main>
    <main first="rtdsrv.458a5932996f485b8b1b8d7cbb3f77a6">
      <tp>
        <v>1</v>
        <stp/>
        <stp>99ba65d7-6bb9-4738-b82b-611b17b9b0a8</stp>
        <tr r="AJ39" s="130"/>
      </tp>
    </main>
    <main first="rtdsrv.458a5932996f485b8b1b8d7cbb3f77a6">
      <tp>
        <v>1</v>
        <stp/>
        <stp>aff91828-3815-426a-aa5b-21d388fc6682</stp>
        <tr r="O55" s="130"/>
      </tp>
    </main>
    <main first="rtdsrv.458a5932996f485b8b1b8d7cbb3f77a6">
      <tp>
        <v>1</v>
        <stp/>
        <stp>73e13b83-f858-4042-9f12-46c5f5efd1ec</stp>
        <tr r="CX5" s="132"/>
      </tp>
      <tp>
        <v>1</v>
        <stp/>
        <stp>5cfe5610-142f-4cd7-9202-67e36ff874f8</stp>
        <tr r="I94" s="130"/>
      </tp>
    </main>
    <main first="rtdsrv.458a5932996f485b8b1b8d7cbb3f77a6">
      <tp>
        <v>1</v>
        <stp/>
        <stp>5c48f4bb-3754-4d4b-bf55-9f796bdde12c</stp>
        <tr r="E18" s="130"/>
      </tp>
      <tp>
        <v>1</v>
        <stp/>
        <stp>d4b33cc1-4859-40b3-aa9d-58ad22052e9a</stp>
        <tr r="DE13" s="132"/>
      </tp>
      <tp>
        <v>1</v>
        <stp/>
        <stp>659df2b8-ffee-4193-9167-3b915a37da5a</stp>
        <tr r="AQ30" s="130"/>
      </tp>
      <tp>
        <v>1</v>
        <stp/>
        <stp>d466161f-0b1d-4efc-a653-e1639de16703</stp>
        <tr r="Z9" s="132"/>
      </tp>
    </main>
    <main first="rtdsrv.458a5932996f485b8b1b8d7cbb3f77a6">
      <tp>
        <v>1</v>
        <stp/>
        <stp>c6ecdd60-bef0-473e-836f-0c2e165480b5</stp>
        <tr r="AH74" s="130"/>
      </tp>
    </main>
    <main first="rtdsrv.458a5932996f485b8b1b8d7cbb3f77a6">
      <tp>
        <v>1</v>
        <stp/>
        <stp>97b8bf71-db91-44db-b2e5-06f151d4b359</stp>
        <tr r="AW93" s="130"/>
      </tp>
    </main>
    <main first="rtdsrv.458a5932996f485b8b1b8d7cbb3f77a6">
      <tp>
        <v>1</v>
        <stp/>
        <stp>043dc2fe-d3d5-4ab3-8257-9df5e0d9d6f6</stp>
        <tr r="GC13" s="132"/>
      </tp>
      <tp>
        <v>1</v>
        <stp/>
        <stp>a22ebeb1-5a40-4311-a56a-7650e0250eb2</stp>
        <tr r="G68" s="130"/>
      </tp>
    </main>
    <main first="rtdsrv.458a5932996f485b8b1b8d7cbb3f77a6">
      <tp>
        <v>1</v>
        <stp/>
        <stp>214ded43-026e-47ae-ae24-3a69fc1fb64e</stp>
        <tr r="DJ16" s="132"/>
      </tp>
    </main>
    <main first="rtdsrv.458a5932996f485b8b1b8d7cbb3f77a6">
      <tp>
        <v>1</v>
        <stp/>
        <stp>811f9f1b-2b04-43c1-974c-4230b61bcb6d</stp>
        <tr r="AE40" s="130"/>
      </tp>
    </main>
    <main first="rtdsrv.458a5932996f485b8b1b8d7cbb3f77a6">
      <tp>
        <v>1</v>
        <stp/>
        <stp>66bfa08d-8771-44c1-b498-0a41eac41045</stp>
        <tr r="Y43" s="130"/>
      </tp>
    </main>
    <main first="rtdsrv.458a5932996f485b8b1b8d7cbb3f77a6">
      <tp>
        <v>1</v>
        <stp/>
        <stp>531de7d1-f0df-45ce-b337-7b5145e7be40</stp>
        <tr r="BH63" s="130"/>
      </tp>
    </main>
    <main first="rtdsrv.458a5932996f485b8b1b8d7cbb3f77a6">
      <tp>
        <v>1</v>
        <stp/>
        <stp>439d11ce-ac0e-4f33-8908-72b55e6c31cc</stp>
        <tr r="H56" s="130"/>
      </tp>
    </main>
    <main first="rtdsrv.458a5932996f485b8b1b8d7cbb3f77a6">
      <tp>
        <v>1</v>
        <stp/>
        <stp>bd2d0ac7-9705-4ea8-88f2-1b7751ccf762</stp>
        <tr r="AC20" s="130"/>
      </tp>
    </main>
    <main first="rtdsrv.458a5932996f485b8b1b8d7cbb3f77a6">
      <tp>
        <v>1</v>
        <stp/>
        <stp>0631ca5c-853a-4369-b4a6-5acb3deca456</stp>
        <tr r="BA79" s="130"/>
      </tp>
    </main>
    <main first="rtdsrv.458a5932996f485b8b1b8d7cbb3f77a6">
      <tp>
        <v>1</v>
        <stp/>
        <stp>8e3c2c2e-4ead-48c4-83eb-00b2e4de2a66</stp>
        <tr r="BG30" s="130"/>
      </tp>
    </main>
    <main first="rtdsrv.458a5932996f485b8b1b8d7cbb3f77a6">
      <tp>
        <v>1</v>
        <stp/>
        <stp>692d193a-6820-4925-b654-13a8bbb5fa8d</stp>
        <tr r="CO8" s="132"/>
      </tp>
    </main>
    <main first="rtdsrv.458a5932996f485b8b1b8d7cbb3f77a6">
      <tp>
        <v>1</v>
        <stp/>
        <stp>a9ac5591-50ea-4221-a058-97e239ed85f0</stp>
        <tr r="BJ81" s="130"/>
      </tp>
    </main>
    <main first="rtdsrv.458a5932996f485b8b1b8d7cbb3f77a6">
      <tp>
        <v>1</v>
        <stp/>
        <stp>ea170609-6da4-4e85-8828-db696d9bafdc</stp>
        <tr r="DR6" s="132"/>
      </tp>
    </main>
    <main first="rtdsrv.458a5932996f485b8b1b8d7cbb3f77a6">
      <tp>
        <v>1</v>
        <stp/>
        <stp>c55ec11b-0274-499d-addd-10eb9c5f2a4d</stp>
        <tr r="W78" s="130"/>
      </tp>
    </main>
    <main first="rtdsrv.458a5932996f485b8b1b8d7cbb3f77a6">
      <tp>
        <v>1</v>
        <stp/>
        <stp>e66145b3-b484-43e1-b170-860b7a2226d3</stp>
        <tr r="EA13" s="132"/>
      </tp>
    </main>
    <main first="rtdsrv.458a5932996f485b8b1b8d7cbb3f77a6">
      <tp>
        <v>1</v>
        <stp/>
        <stp>4e2f21eb-3c2f-4bd4-af4b-123b9079ace8</stp>
        <tr r="BK21" s="130"/>
      </tp>
    </main>
    <main first="rtdsrv.458a5932996f485b8b1b8d7cbb3f77a6">
      <tp>
        <v>1</v>
        <stp/>
        <stp>e4b5b84a-b091-46df-988a-12169a87de99</stp>
        <tr r="AK34" s="130"/>
      </tp>
    </main>
    <main first="rtdsrv.458a5932996f485b8b1b8d7cbb3f77a6">
      <tp>
        <v>1</v>
        <stp/>
        <stp>f6b05d14-0698-4bda-977d-4608e21a0678</stp>
        <tr r="K65" s="130"/>
      </tp>
    </main>
    <main first="rtdsrv.458a5932996f485b8b1b8d7cbb3f77a6">
      <tp>
        <v>1</v>
        <stp/>
        <stp>3fe4bf1d-c4cc-4e28-ac4b-0fc8a8ba474a</stp>
        <tr r="BE72" s="130"/>
      </tp>
      <tp>
        <v>1</v>
        <stp/>
        <stp>7fdc8bae-bc5a-44c0-92a7-407741e62040</stp>
        <tr r="C14" s="130"/>
        <tr r="C26" s="130"/>
      </tp>
    </main>
    <main first="rtdsrv.458a5932996f485b8b1b8d7cbb3f77a6">
      <tp>
        <v>1</v>
        <stp/>
        <stp>72d4f2d6-05c3-43f5-8faa-3bb6feee7ed7</stp>
        <tr r="R13" s="132"/>
      </tp>
    </main>
    <main first="rtdsrv.458a5932996f485b8b1b8d7cbb3f77a6">
      <tp>
        <v>1</v>
        <stp/>
        <stp>de432515-e500-4e66-961a-cad17f1ad331</stp>
        <tr r="AA62" s="130"/>
      </tp>
    </main>
    <main first="rtdsrv.458a5932996f485b8b1b8d7cbb3f77a6">
      <tp>
        <v>1</v>
        <stp/>
        <stp>8b23be73-7342-471e-93fe-35f9f455a40c</stp>
        <tr r="FG7" s="132"/>
      </tp>
    </main>
    <main first="rtdsrv.458a5932996f485b8b1b8d7cbb3f77a6">
      <tp>
        <v>1</v>
        <stp/>
        <stp>d2a9ba82-11e8-43ec-b0e7-7b5670c3309c</stp>
        <tr r="L80" s="130"/>
      </tp>
    </main>
    <main first="rtdsrv.458a5932996f485b8b1b8d7cbb3f77a6">
      <tp>
        <v>1</v>
        <stp/>
        <stp>73fc204a-0ef3-494e-933e-2263bcefe211</stp>
        <tr r="Z52" s="130"/>
        <tr r="Z47" s="130"/>
      </tp>
    </main>
    <main first="rtdsrv.458a5932996f485b8b1b8d7cbb3f77a6">
      <tp>
        <v>1</v>
        <stp/>
        <stp>56f2ceb0-6a20-4dbe-95b1-1b2b454f23bf</stp>
        <tr r="Y98" s="130"/>
      </tp>
    </main>
    <main first="rtdsrv.458a5932996f485b8b1b8d7cbb3f77a6">
      <tp>
        <v>1</v>
        <stp/>
        <stp>db362553-3efa-4815-abe5-46e55b230f15</stp>
        <tr r="BF80" s="130"/>
      </tp>
    </main>
    <main first="rtdsrv.458a5932996f485b8b1b8d7cbb3f77a6">
      <tp>
        <v>1</v>
        <stp/>
        <stp>14383d06-c034-412e-9cf1-00fc011a77de</stp>
        <tr r="AA74" s="130"/>
      </tp>
    </main>
    <main first="rtdsrv.458a5932996f485b8b1b8d7cbb3f77a6">
      <tp>
        <v>1</v>
        <stp/>
        <stp>5b6a8aa7-ea7b-4282-ae66-542421fafae9</stp>
        <tr r="CV14" s="132"/>
      </tp>
      <tp>
        <v>1</v>
        <stp/>
        <stp>95b681a8-3629-4db0-ba99-98bde49af4fb</stp>
        <tr r="BG87" s="130"/>
      </tp>
      <tp>
        <v>1</v>
        <stp/>
        <stp>af5c4af3-f347-4e05-9317-e7f09d07e00d</stp>
        <tr r="J30" s="130"/>
      </tp>
    </main>
    <main first="rtdsrv.458a5932996f485b8b1b8d7cbb3f77a6">
      <tp>
        <v>1</v>
        <stp/>
        <stp>efef22b7-2da8-4253-abc2-5ad54d40550a</stp>
        <tr r="AS12" s="132"/>
      </tp>
    </main>
    <main first="rtdsrv.458a5932996f485b8b1b8d7cbb3f77a6">
      <tp>
        <v>1</v>
        <stp/>
        <stp>13283fd1-3ea3-4699-9dbb-a30630dca840</stp>
        <tr r="W85" s="130"/>
      </tp>
    </main>
    <main first="rtdsrv.458a5932996f485b8b1b8d7cbb3f77a6">
      <tp>
        <v>1</v>
        <stp/>
        <stp>7d13be6b-7b80-4031-ae06-c66f572b40f2</stp>
        <tr r="BL12" s="132"/>
      </tp>
      <tp>
        <v>1</v>
        <stp/>
        <stp>fd62e761-ad10-4f2c-8ed3-1ce366505f6c</stp>
        <tr r="M11" s="130"/>
      </tp>
    </main>
    <main first="rtdsrv.458a5932996f485b8b1b8d7cbb3f77a6">
      <tp>
        <v>1</v>
        <stp/>
        <stp>1a33cab3-dfdc-4fbc-bc7b-7dadb4773f1d</stp>
        <tr r="AZ65" s="130"/>
      </tp>
    </main>
    <main first="rtdsrv.458a5932996f485b8b1b8d7cbb3f77a6">
      <tp>
        <v>1</v>
        <stp/>
        <stp>85658aaa-de82-425f-978f-4da559373547</stp>
        <tr r="S43" s="130"/>
      </tp>
    </main>
    <main first="rtdsrv.458a5932996f485b8b1b8d7cbb3f77a6">
      <tp>
        <v>1</v>
        <stp/>
        <stp>6ad9c073-e6d1-4fc4-878c-fc5f69c83db1</stp>
        <tr r="AD93" s="130"/>
      </tp>
    </main>
    <main first="rtdsrv.458a5932996f485b8b1b8d7cbb3f77a6">
      <tp>
        <v>1</v>
        <stp/>
        <stp>b51d0ce9-8688-48d6-9c30-42dbffe079a1</stp>
        <tr r="EP6" s="132"/>
      </tp>
    </main>
    <main first="rtdsrv.458a5932996f485b8b1b8d7cbb3f77a6">
      <tp>
        <v>1</v>
        <stp/>
        <stp>da4497f2-1c24-4a4c-b40c-26c1bbf20fe6</stp>
        <tr r="BF20" s="130"/>
      </tp>
      <tp>
        <v>1</v>
        <stp/>
        <stp>3ec10ccc-798a-4f8c-9638-33f0cfd21216</stp>
        <tr r="AW83" s="130"/>
      </tp>
    </main>
    <main first="rtdsrv.458a5932996f485b8b1b8d7cbb3f77a6">
      <tp>
        <v>1</v>
        <stp/>
        <stp>ceee2f57-da4c-48d4-851b-ec321e362bab</stp>
        <tr r="Y61" s="130"/>
      </tp>
    </main>
    <main first="rtdsrv.458a5932996f485b8b1b8d7cbb3f77a6">
      <tp>
        <v>1</v>
        <stp/>
        <stp>7007b56a-2aca-4e05-9e2e-937dcf7edc0c</stp>
        <tr r="X68" s="130"/>
      </tp>
    </main>
    <main first="rtdsrv.458a5932996f485b8b1b8d7cbb3f77a6">
      <tp>
        <v>1</v>
        <stp/>
        <stp>215ffe5a-e2a4-41fb-9f1d-821eaa7f37bf</stp>
        <tr r="AT61" s="130"/>
      </tp>
    </main>
    <main first="rtdsrv.458a5932996f485b8b1b8d7cbb3f77a6">
      <tp>
        <v>1</v>
        <stp/>
        <stp>7edf354e-2d48-4fda-bc5f-27c41112a63c</stp>
        <tr r="BA63" s="130"/>
      </tp>
      <tp>
        <v>1</v>
        <stp/>
        <stp>e1e42c36-e1e7-4a3b-b606-febf9d6bcb66</stp>
        <tr r="AX28" s="130"/>
      </tp>
    </main>
    <main first="rtdsrv.458a5932996f485b8b1b8d7cbb3f77a6">
      <tp>
        <v>1</v>
        <stp/>
        <stp>08bace11-4de9-473a-869e-755c130051d2</stp>
        <tr r="GH12" s="132"/>
      </tp>
      <tp>
        <v>1</v>
        <stp/>
        <stp>b5dd26bb-e2d1-4b13-b9af-53ad80ee91e9</stp>
        <tr r="H13" s="132"/>
      </tp>
    </main>
    <main first="rtdsrv.458a5932996f485b8b1b8d7cbb3f77a6">
      <tp>
        <v>1</v>
        <stp/>
        <stp>881a5b58-dc51-4c70-96df-9ffd987002cd</stp>
        <tr r="AX13" s="130"/>
      </tp>
    </main>
    <main first="rtdsrv.458a5932996f485b8b1b8d7cbb3f77a6">
      <tp>
        <v>1</v>
        <stp/>
        <stp>55c10843-202b-4d21-a361-49591752e0e5</stp>
        <tr r="AZ34" s="130"/>
      </tp>
    </main>
    <main first="rtdsrv.458a5932996f485b8b1b8d7cbb3f77a6">
      <tp>
        <v>1</v>
        <stp/>
        <stp>6f9a89d8-9893-479c-8293-0127d8ad139a</stp>
        <tr r="BK88" s="130"/>
      </tp>
      <tp>
        <v>1</v>
        <stp/>
        <stp>281ed21b-e5ea-42a9-8b37-0d4eeb954e3e</stp>
        <tr r="G74" s="130"/>
      </tp>
      <tp>
        <v>1</v>
        <stp/>
        <stp>6be92ad0-bbd5-4892-8dc9-e14ea26fb5d3</stp>
        <tr r="AW7" s="130"/>
      </tp>
    </main>
    <main first="rtdsrv.458a5932996f485b8b1b8d7cbb3f77a6">
      <tp>
        <v>1</v>
        <stp/>
        <stp>6d94fb1b-301f-486b-b21b-0a2349eb5817</stp>
        <tr r="J12" s="132"/>
      </tp>
      <tp>
        <v>1</v>
        <stp/>
        <stp>a6eab0a5-2895-4ed7-bb55-04c6ae4eeabb</stp>
        <tr r="V13" s="130"/>
      </tp>
    </main>
    <main first="rtdsrv.458a5932996f485b8b1b8d7cbb3f77a6">
      <tp>
        <v>1</v>
        <stp/>
        <stp>7b85fab2-5160-45d9-a228-628ae8f5f112</stp>
        <tr r="AW82" s="130"/>
      </tp>
    </main>
    <main first="rtdsrv.458a5932996f485b8b1b8d7cbb3f77a6">
      <tp>
        <v>1</v>
        <stp/>
        <stp>5c3ab6d7-951c-4c47-ad82-376b1387eacd</stp>
        <tr r="AG19" s="130"/>
      </tp>
    </main>
    <main first="rtdsrv.458a5932996f485b8b1b8d7cbb3f77a6">
      <tp>
        <v>1</v>
        <stp/>
        <stp>09fe565f-9800-4a58-8eca-2ae972e8f876</stp>
        <tr r="K36" s="130"/>
      </tp>
      <tp>
        <v>1</v>
        <stp/>
        <stp>bc395da1-973d-478b-97d3-a79581eeb879</stp>
        <tr r="EW8" s="132"/>
      </tp>
    </main>
    <main first="rtdsrv.458a5932996f485b8b1b8d7cbb3f77a6">
      <tp>
        <v>1</v>
        <stp/>
        <stp>3c7955c8-ce69-42f6-be46-6b980129eb1e</stp>
        <tr r="BO7" s="132"/>
      </tp>
      <tp>
        <v>1</v>
        <stp/>
        <stp>515dd668-6a93-4783-b067-3e8beca2c41c</stp>
        <tr r="CA15" s="132"/>
      </tp>
    </main>
    <main first="rtdsrv.458a5932996f485b8b1b8d7cbb3f77a6">
      <tp>
        <v>1</v>
        <stp/>
        <stp>dc04770f-cfdb-4c23-9560-67cb96177594</stp>
        <tr r="BW16" s="132"/>
      </tp>
    </main>
    <main first="rtdsrv.458a5932996f485b8b1b8d7cbb3f77a6">
      <tp>
        <v>1</v>
        <stp/>
        <stp>f2ac0952-30f9-4b6c-935c-df88b9b687c7</stp>
        <tr r="L95" s="130"/>
      </tp>
    </main>
    <main first="rtdsrv.458a5932996f485b8b1b8d7cbb3f77a6">
      <tp>
        <v>1</v>
        <stp/>
        <stp>1ff4669f-c2af-4d1f-a97d-da39433c1678</stp>
        <tr r="AC83" s="130"/>
      </tp>
    </main>
    <main first="rtdsrv.458a5932996f485b8b1b8d7cbb3f77a6">
      <tp>
        <v>1</v>
        <stp/>
        <stp>af3f77f6-3fa3-4f58-9019-01ef1eed3940</stp>
        <tr r="AT77" s="130"/>
      </tp>
    </main>
    <main first="rtdsrv.458a5932996f485b8b1b8d7cbb3f77a6">
      <tp>
        <v>1</v>
        <stp/>
        <stp>02f34d9d-aa9e-4988-92ec-3d12c040f8f5</stp>
        <tr r="BC41" s="130"/>
      </tp>
      <tp>
        <v>1</v>
        <stp/>
        <stp>858ce1f3-ed5b-42cb-866e-813465a0c732</stp>
        <tr r="BH67" s="130"/>
      </tp>
      <tp>
        <v>1</v>
        <stp/>
        <stp>60d00f44-d635-4c75-a219-461d6c391ec0</stp>
        <tr r="BE70" s="130"/>
      </tp>
    </main>
    <main first="rtdsrv.458a5932996f485b8b1b8d7cbb3f77a6">
      <tp>
        <v>1</v>
        <stp/>
        <stp>2f105260-cfec-4116-9869-21b890fb90b8</stp>
        <tr r="Z86" s="130"/>
      </tp>
      <tp>
        <v>1</v>
        <stp/>
        <stp>01893e69-3556-4689-8e30-48d775f68f71</stp>
        <tr r="BG16" s="132"/>
      </tp>
    </main>
    <main first="rtdsrv.458a5932996f485b8b1b8d7cbb3f77a6">
      <tp>
        <v>1</v>
        <stp/>
        <stp>347041e7-c92c-4261-9ebf-c4b1427d55fc</stp>
        <tr r="AW95" s="130"/>
      </tp>
    </main>
    <main first="rtdsrv.458a5932996f485b8b1b8d7cbb3f77a6">
      <tp>
        <v>1</v>
        <stp/>
        <stp>ff90dd05-d39d-4b68-8997-246700e60ea1</stp>
        <tr r="AV30" s="130"/>
      </tp>
      <tp>
        <v>1</v>
        <stp/>
        <stp>d1f169b3-6af2-4f0f-b182-9baf018e1515</stp>
        <tr r="X69" s="130"/>
      </tp>
    </main>
    <main first="rtdsrv.458a5932996f485b8b1b8d7cbb3f77a6">
      <tp>
        <v>1</v>
        <stp/>
        <stp>d98d74c0-aa1e-43aa-a7b0-9ba9996e22b8</stp>
        <tr r="C36" s="130"/>
      </tp>
    </main>
    <main first="rtdsrv.458a5932996f485b8b1b8d7cbb3f77a6">
      <tp>
        <v>1</v>
        <stp/>
        <stp>6722f104-6948-4eaa-a853-6907987b6c02</stp>
        <tr r="EA16" s="132"/>
      </tp>
      <tp>
        <v>1</v>
        <stp/>
        <stp>63cc0c7f-4980-410b-8960-01ba1355c450</stp>
        <tr r="AD11" s="132"/>
      </tp>
    </main>
    <main first="rtdsrv.458a5932996f485b8b1b8d7cbb3f77a6">
      <tp>
        <v>1</v>
        <stp/>
        <stp>d37d5f87-9e8c-403f-bb86-e27eb67be0c8</stp>
        <tr r="AY79" s="130"/>
      </tp>
    </main>
    <main first="rtdsrv.458a5932996f485b8b1b8d7cbb3f77a6">
      <tp>
        <v>1</v>
        <stp/>
        <stp>c149c4d4-7815-4b95-84d0-4a27b4c2406c</stp>
        <tr r="DR7" s="132"/>
      </tp>
      <tp>
        <v>1</v>
        <stp/>
        <stp>2cabfcc0-d834-43db-9e4d-cdaf9597ce97</stp>
        <tr r="AZ9" s="132"/>
      </tp>
      <tp>
        <v>1</v>
        <stp/>
        <stp>0c729302-1d49-4696-9657-278d202e9ca1</stp>
        <tr r="AA10" s="130"/>
      </tp>
      <tp>
        <v>1</v>
        <stp/>
        <stp>d89e830b-f515-4c75-94ca-d8fb6a603d24</stp>
        <tr r="CQ8" s="132"/>
      </tp>
    </main>
    <main first="rtdsrv.458a5932996f485b8b1b8d7cbb3f77a6">
      <tp>
        <v>1</v>
        <stp/>
        <stp>8041564a-612c-4339-a86c-b3e2e394896a</stp>
        <tr r="AG13" s="132"/>
      </tp>
      <tp>
        <v>1</v>
        <stp/>
        <stp>d5488db4-5ab0-49ca-b2d9-814a5745fa67</stp>
        <tr r="AG46" s="130"/>
        <tr r="AG51" s="130"/>
      </tp>
      <tp>
        <v>1</v>
        <stp/>
        <stp>3f0a79a6-52a7-4a58-bd19-f779dc78a1bb</stp>
        <tr r="AW44" s="130"/>
      </tp>
    </main>
    <main first="rtdsrv.458a5932996f485b8b1b8d7cbb3f77a6">
      <tp>
        <v>1</v>
        <stp/>
        <stp>fd3a3166-5a20-41fb-ba0e-19d6a8d0659b</stp>
        <tr r="E73" s="130"/>
      </tp>
      <tp>
        <v>1</v>
        <stp/>
        <stp>cad976d6-1824-49f9-92fc-9cf16e1dd949</stp>
        <tr r="P16" s="130"/>
      </tp>
    </main>
    <main first="rtdsrv.458a5932996f485b8b1b8d7cbb3f77a6">
      <tp>
        <v>1</v>
        <stp/>
        <stp>fddf2c5d-12d5-4ebf-9917-043bef9655f1</stp>
        <tr r="U87" s="130"/>
      </tp>
    </main>
    <main first="rtdsrv.458a5932996f485b8b1b8d7cbb3f77a6">
      <tp>
        <v>1</v>
        <stp/>
        <stp>e7fd1a00-0ce5-44f4-8fc6-f1ac168b10bc</stp>
        <tr r="FE15" s="132"/>
      </tp>
    </main>
    <main first="rtdsrv.458a5932996f485b8b1b8d7cbb3f77a6">
      <tp>
        <v>1</v>
        <stp/>
        <stp>c08255b0-3d53-489b-9f60-b4629d5a0459</stp>
        <tr r="AO89" s="130"/>
      </tp>
    </main>
    <main first="rtdsrv.458a5932996f485b8b1b8d7cbb3f77a6">
      <tp>
        <v>1</v>
        <stp/>
        <stp>6965d3de-da14-46b9-a808-b62f41c3bfbd</stp>
        <tr r="EC7" s="132"/>
      </tp>
    </main>
    <main first="rtdsrv.458a5932996f485b8b1b8d7cbb3f77a6">
      <tp>
        <v>1</v>
        <stp/>
        <stp>cc176aae-ae33-498f-84e5-deffcf91defd</stp>
        <tr r="F8" s="130"/>
      </tp>
    </main>
    <main first="rtdsrv.458a5932996f485b8b1b8d7cbb3f77a6">
      <tp>
        <v>1</v>
        <stp/>
        <stp>90780dfe-25cc-4198-ac34-6b90296c50fb</stp>
        <tr r="C35" s="130"/>
      </tp>
    </main>
    <main first="rtdsrv.458a5932996f485b8b1b8d7cbb3f77a6">
      <tp>
        <v>1</v>
        <stp/>
        <stp>02db2ed3-086a-48bd-a357-2d2b36ecdbae</stp>
        <tr r="ET13" s="132"/>
      </tp>
    </main>
    <main first="rtdsrv.458a5932996f485b8b1b8d7cbb3f77a6">
      <tp>
        <v>1</v>
        <stp/>
        <stp>bf12b858-a418-4bd2-8c8c-c7052bc5df98</stp>
        <tr r="Z15" s="130"/>
      </tp>
    </main>
    <main first="rtdsrv.458a5932996f485b8b1b8d7cbb3f77a6">
      <tp>
        <v>1</v>
        <stp/>
        <stp>1165886b-925b-4f64-a1a3-54896a67e657</stp>
        <tr r="D21" s="130"/>
      </tp>
    </main>
    <main first="rtdsrv.458a5932996f485b8b1b8d7cbb3f77a6">
      <tp>
        <v>1</v>
        <stp/>
        <stp>805816e6-388f-41bd-bfd1-e215c674c7ee</stp>
        <tr r="AZ81" s="130"/>
      </tp>
    </main>
    <main first="rtdsrv.458a5932996f485b8b1b8d7cbb3f77a6">
      <tp>
        <v>1</v>
        <stp/>
        <stp>cb52bc98-26be-4d93-be77-ebae9ce5e032</stp>
        <tr r="Y64" s="130"/>
      </tp>
    </main>
    <main first="rtdsrv.458a5932996f485b8b1b8d7cbb3f77a6">
      <tp>
        <v>1</v>
        <stp/>
        <stp>5a4fc1d0-7299-473a-a258-704b4de61a1e</stp>
        <tr r="W61" s="130"/>
      </tp>
    </main>
    <main first="rtdsrv.458a5932996f485b8b1b8d7cbb3f77a6">
      <tp>
        <v>1</v>
        <stp/>
        <stp>f87d929c-d077-4e70-84e7-7fa738f18c57</stp>
        <tr r="BC33" s="130"/>
      </tp>
    </main>
    <main first="rtdsrv.458a5932996f485b8b1b8d7cbb3f77a6">
      <tp>
        <v>1</v>
        <stp/>
        <stp>2bfb4fea-03c0-422f-bb73-da9d62dd10e5</stp>
        <tr r="AO43" s="130"/>
      </tp>
    </main>
    <main first="rtdsrv.458a5932996f485b8b1b8d7cbb3f77a6">
      <tp>
        <v>1</v>
        <stp/>
        <stp>d70026dc-1b2e-4882-aec2-b08d3add26c9</stp>
        <tr r="EM5" s="132"/>
      </tp>
      <tp>
        <v>1</v>
        <stp/>
        <stp>dc62651e-3792-49b6-97b3-9981b6bb88b1</stp>
        <tr r="BF45" s="130"/>
      </tp>
    </main>
    <main first="rtdsrv.458a5932996f485b8b1b8d7cbb3f77a6">
      <tp>
        <v>1</v>
        <stp/>
        <stp>d55bb609-1605-4820-be83-b72d28ee733e</stp>
        <tr r="AP29" s="130"/>
      </tp>
    </main>
    <main first="rtdsrv.458a5932996f485b8b1b8d7cbb3f77a6">
      <tp>
        <v>1</v>
        <stp/>
        <stp>ff3b9a72-3259-497c-ac1a-550bbceb16fb</stp>
        <tr r="L44" s="130"/>
      </tp>
    </main>
    <main first="rtdsrv.458a5932996f485b8b1b8d7cbb3f77a6">
      <tp>
        <v>1</v>
        <stp/>
        <stp>ffc268cc-8237-4723-abe6-4474ca2cfce9</stp>
        <tr r="BJ5" s="130"/>
      </tp>
    </main>
    <main first="rtdsrv.458a5932996f485b8b1b8d7cbb3f77a6">
      <tp>
        <v>1</v>
        <stp/>
        <stp>80a7432b-e1d2-44b7-aaf1-5be1470ccdb1</stp>
        <tr r="FJ6" s="132"/>
      </tp>
      <tp>
        <v>1</v>
        <stp/>
        <stp>5d003a73-eccf-47e1-be81-92dee9dafd17</stp>
        <tr r="I88" s="130"/>
      </tp>
    </main>
    <main first="rtdsrv.458a5932996f485b8b1b8d7cbb3f77a6">
      <tp>
        <v>1</v>
        <stp/>
        <stp>13c1660e-fe9f-4a1b-893a-d3f52d361cf4</stp>
        <tr r="GE5" s="132"/>
      </tp>
    </main>
    <main first="rtdsrv.458a5932996f485b8b1b8d7cbb3f77a6">
      <tp>
        <v>1</v>
        <stp/>
        <stp>6cdadf87-593c-48d5-94a6-65ac7e05f2f2</stp>
        <tr r="E27" s="130"/>
      </tp>
    </main>
    <main first="rtdsrv.458a5932996f485b8b1b8d7cbb3f77a6">
      <tp>
        <v>1</v>
        <stp/>
        <stp>86671e1d-0eb1-4f9a-b817-37d3341836d5</stp>
        <tr r="H66" s="130"/>
      </tp>
    </main>
    <main first="rtdsrv.458a5932996f485b8b1b8d7cbb3f77a6">
      <tp>
        <v>1</v>
        <stp/>
        <stp>b439e592-0140-4230-afcc-6f674f841d38</stp>
        <tr r="BK24" s="130"/>
      </tp>
    </main>
    <main first="rtdsrv.458a5932996f485b8b1b8d7cbb3f77a6">
      <tp>
        <v>1</v>
        <stp/>
        <stp>91a3c73b-cb8b-4f12-ba47-32382db55332</stp>
        <tr r="AL13" s="132"/>
      </tp>
    </main>
    <main first="rtdsrv.458a5932996f485b8b1b8d7cbb3f77a6">
      <tp>
        <v>1</v>
        <stp/>
        <stp>19e5ab14-5eca-4b37-8bd0-39f67727550d</stp>
        <tr r="AT36" s="130"/>
      </tp>
      <tp>
        <v>1</v>
        <stp/>
        <stp>c63e2afb-c26d-49f1-bc5d-e9147955a6b6</stp>
        <tr r="AD42" s="130"/>
      </tp>
      <tp>
        <v>1</v>
        <stp/>
        <stp>acb1bd54-bb06-4d91-811b-18d3780c2cfd</stp>
        <tr r="D36" s="130"/>
      </tp>
    </main>
    <main first="rtdsrv.458a5932996f485b8b1b8d7cbb3f77a6">
      <tp>
        <v>1</v>
        <stp/>
        <stp>7c0d76da-e12a-48fc-9ddb-14a53c3b0f09</stp>
        <tr r="F98" s="130"/>
      </tp>
    </main>
    <main first="rtdsrv.458a5932996f485b8b1b8d7cbb3f77a6">
      <tp>
        <v>1</v>
        <stp/>
        <stp>a9aa5f2b-710f-46a1-a38c-af77c21563be</stp>
        <tr r="BF9" s="132"/>
      </tp>
      <tp>
        <v>1</v>
        <stp/>
        <stp>ad5d1dc4-ee3b-4fbb-a106-a07f66ede72d</stp>
        <tr r="DO14" s="132"/>
      </tp>
    </main>
    <main first="rtdsrv.458a5932996f485b8b1b8d7cbb3f77a6">
      <tp>
        <v>1</v>
        <stp/>
        <stp>8ea8c8a1-e898-4dd2-ac80-bcd56388dd18</stp>
        <tr r="P61" s="130"/>
      </tp>
    </main>
    <main first="rtdsrv.458a5932996f485b8b1b8d7cbb3f77a6">
      <tp>
        <v>1</v>
        <stp/>
        <stp>bc67bc8f-ef1f-466d-8dba-999d79e6fe01</stp>
        <tr r="AY80" s="130"/>
      </tp>
      <tp>
        <v>1</v>
        <stp/>
        <stp>644ad714-7d11-414c-934d-5b566e3e3bf3</stp>
        <tr r="BB75" s="130"/>
      </tp>
      <tp>
        <v>1</v>
        <stp/>
        <stp>6fbcd88e-6a15-4bb0-856e-f98f1bf013e0</stp>
        <tr r="GO9" s="132"/>
      </tp>
    </main>
    <main first="rtdsrv.458a5932996f485b8b1b8d7cbb3f77a6">
      <tp>
        <v>1</v>
        <stp/>
        <stp>a722eeae-3f8f-4243-b704-cb2b4bf05d33</stp>
        <tr r="G17" s="130"/>
      </tp>
      <tp>
        <v>1</v>
        <stp/>
        <stp>36ed6736-4475-4d42-8471-01e7d26b95f1</stp>
        <tr r="AS13" s="130"/>
      </tp>
    </main>
    <main first="rtdsrv.458a5932996f485b8b1b8d7cbb3f77a6">
      <tp>
        <v>1</v>
        <stp/>
        <stp>7e430f6a-95be-4b8b-9e30-c85b40a3ce5a</stp>
        <tr r="U17" s="130"/>
      </tp>
    </main>
    <main first="rtdsrv.458a5932996f485b8b1b8d7cbb3f77a6">
      <tp>
        <v>1</v>
        <stp/>
        <stp>7b7fbfc1-cc3c-47c0-aec4-c74ac5ced023</stp>
        <tr r="AF74" s="130"/>
      </tp>
    </main>
    <main first="rtdsrv.458a5932996f485b8b1b8d7cbb3f77a6">
      <tp>
        <v>1</v>
        <stp/>
        <stp>7dc5b0f8-27e4-41f5-8e7d-74c07bbe4410</stp>
        <tr r="BH40" s="130"/>
      </tp>
      <tp>
        <v>1</v>
        <stp/>
        <stp>4a00a6b3-2c25-42fc-b0d1-439ddaf4b695</stp>
        <tr r="AH89" s="130"/>
      </tp>
    </main>
    <main first="rtdsrv.458a5932996f485b8b1b8d7cbb3f77a6">
      <tp>
        <v>1</v>
        <stp/>
        <stp>4d798b37-e244-4943-8c64-83dae250aa5e</stp>
        <tr r="O78" s="130"/>
      </tp>
    </main>
    <main first="rtdsrv.458a5932996f485b8b1b8d7cbb3f77a6">
      <tp>
        <v>1</v>
        <stp/>
        <stp>5fc6528d-83dc-4435-8efe-2331539559a6</stp>
        <tr r="BI83" s="130"/>
      </tp>
    </main>
    <main first="rtdsrv.458a5932996f485b8b1b8d7cbb3f77a6">
      <tp>
        <v>1</v>
        <stp/>
        <stp>0a2e8390-c290-4a94-98eb-6d3ead94df62</stp>
        <tr r="X65" s="130"/>
      </tp>
    </main>
    <main first="rtdsrv.458a5932996f485b8b1b8d7cbb3f77a6">
      <tp>
        <v>1</v>
        <stp/>
        <stp>e5e4d0ea-d40b-4b9e-95c9-efa20d9ebc28</stp>
        <tr r="CF7" s="132"/>
      </tp>
      <tp>
        <v>1</v>
        <stp/>
        <stp>9ff6c656-724c-4a44-a0d4-014ec7dda7bd</stp>
        <tr r="GR9" s="132"/>
      </tp>
    </main>
    <main first="rtdsrv.458a5932996f485b8b1b8d7cbb3f77a6">
      <tp>
        <v>1</v>
        <stp/>
        <stp>dd4a9df6-0cdc-4fec-afe1-504b74b29418</stp>
        <tr r="AN79" s="130"/>
      </tp>
      <tp>
        <v>1</v>
        <stp/>
        <stp>9b08e6f7-78a9-4fd5-b748-3cb0ea0f4fcf</stp>
        <tr r="AE97" s="130"/>
      </tp>
    </main>
    <main first="rtdsrv.458a5932996f485b8b1b8d7cbb3f77a6">
      <tp>
        <v>1</v>
        <stp/>
        <stp>dfdd58f1-3f19-4d58-8ae0-ed2a1c985189</stp>
        <tr r="AT78" s="130"/>
      </tp>
    </main>
    <main first="rtdsrv.458a5932996f485b8b1b8d7cbb3f77a6">
      <tp>
        <v>1</v>
        <stp/>
        <stp>6af51f7f-c9d0-4819-867c-cb66a78f49bb</stp>
        <tr r="AO84" s="130"/>
      </tp>
    </main>
    <main first="rtdsrv.458a5932996f485b8b1b8d7cbb3f77a6">
      <tp>
        <v>1</v>
        <stp/>
        <stp>e220619a-08d3-4c0d-9c5a-2c4db579c266</stp>
        <tr r="AA89" s="130"/>
      </tp>
    </main>
    <main first="rtdsrv.458a5932996f485b8b1b8d7cbb3f77a6">
      <tp>
        <v>1</v>
        <stp/>
        <stp>3b5677da-4d3a-494d-8a23-d040256bc4c6</stp>
        <tr r="CP14" s="132"/>
      </tp>
    </main>
    <main first="rtdsrv.458a5932996f485b8b1b8d7cbb3f77a6">
      <tp>
        <v>1</v>
        <stp/>
        <stp>0de3f329-14c1-4955-8c41-da6c5bec0bfd</stp>
        <tr r="I72" s="130"/>
      </tp>
      <tp>
        <v>1</v>
        <stp/>
        <stp>fbde37a4-e1db-47c3-84c1-d1917e9a52bf</stp>
        <tr r="AY90" s="130"/>
      </tp>
    </main>
    <main first="rtdsrv.458a5932996f485b8b1b8d7cbb3f77a6">
      <tp>
        <v>1</v>
        <stp/>
        <stp>4073d824-8666-4140-a13f-cb1f95fc9bb3</stp>
        <tr r="AB21" s="130"/>
      </tp>
    </main>
    <main first="rtdsrv.458a5932996f485b8b1b8d7cbb3f77a6">
      <tp>
        <v>1</v>
        <stp/>
        <stp>36037df0-834a-4c38-8130-18749f58a972</stp>
        <tr r="EQ11" s="132"/>
      </tp>
    </main>
    <main first="rtdsrv.458a5932996f485b8b1b8d7cbb3f77a6">
      <tp>
        <v>1</v>
        <stp/>
        <stp>f1365121-9231-46b7-bd9c-750b239de797</stp>
        <tr r="AZ79" s="130"/>
      </tp>
      <tp>
        <v>1</v>
        <stp/>
        <stp>643a5d7e-1133-4d51-b352-a40486fdaa10</stp>
        <tr r="X71" s="130"/>
      </tp>
    </main>
    <main first="rtdsrv.458a5932996f485b8b1b8d7cbb3f77a6">
      <tp>
        <v>1</v>
        <stp/>
        <stp>97871b2e-7c76-4b04-aaee-44f4cd382e95</stp>
        <tr r="AU59" s="130"/>
      </tp>
    </main>
    <main first="rtdsrv.458a5932996f485b8b1b8d7cbb3f77a6">
      <tp>
        <v>1</v>
        <stp/>
        <stp>93261988-24ea-453a-be9a-6f2cc345d396</stp>
        <tr r="BA77" s="130"/>
      </tp>
    </main>
    <main first="rtdsrv.458a5932996f485b8b1b8d7cbb3f77a6">
      <tp>
        <v>1</v>
        <stp/>
        <stp>2a5b8c45-5398-44e1-9ba6-35e89a2da53e</stp>
        <tr r="Q7" s="132"/>
      </tp>
    </main>
    <main first="rtdsrv.458a5932996f485b8b1b8d7cbb3f77a6">
      <tp>
        <v>1</v>
        <stp/>
        <stp>4b03d216-8a87-426e-8027-84e9697594e9</stp>
        <tr r="G46" s="130"/>
        <tr r="G51" s="130"/>
      </tp>
    </main>
    <main first="rtdsrv.458a5932996f485b8b1b8d7cbb3f77a6">
      <tp>
        <v>1</v>
        <stp/>
        <stp>4e9fcadb-596a-44c7-b376-71d59ea28c65</stp>
        <tr r="Q58" s="130"/>
      </tp>
    </main>
    <main first="rtdsrv.458a5932996f485b8b1b8d7cbb3f77a6">
      <tp>
        <v>1</v>
        <stp/>
        <stp>ce4064e7-2d81-430e-9732-2dd5f1f02fdc</stp>
        <tr r="L57" s="130"/>
      </tp>
    </main>
    <main first="rtdsrv.458a5932996f485b8b1b8d7cbb3f77a6">
      <tp>
        <v>1</v>
        <stp/>
        <stp>9967719a-760a-4dfc-9d94-513f00923bf1</stp>
        <tr r="CX14" s="132"/>
      </tp>
      <tp>
        <v>1</v>
        <stp/>
        <stp>66acd898-789d-486b-b197-d2d544aaeb37</stp>
        <tr r="AA11" s="132"/>
      </tp>
    </main>
    <main first="rtdsrv.458a5932996f485b8b1b8d7cbb3f77a6">
      <tp>
        <v>1</v>
        <stp/>
        <stp>f3f75a9f-5271-4ec0-ac2e-dc51208720dc</stp>
        <tr r="BA67" s="130"/>
      </tp>
    </main>
    <main first="rtdsrv.458a5932996f485b8b1b8d7cbb3f77a6">
      <tp>
        <v>1</v>
        <stp/>
        <stp>a80e1c52-58e7-4fb9-ab9a-b082d9deaaaa</stp>
        <tr r="V35" s="130"/>
      </tp>
      <tp>
        <v>1</v>
        <stp/>
        <stp>93c4766f-48a5-472f-a2a9-84b7335d37b4</stp>
        <tr r="AK24" s="130"/>
      </tp>
      <tp>
        <v>1</v>
        <stp/>
        <stp>f418426c-a138-4387-935b-b6fb04675ae6</stp>
        <tr r="Z76" s="130"/>
      </tp>
    </main>
    <main first="rtdsrv.458a5932996f485b8b1b8d7cbb3f77a6">
      <tp>
        <v>1</v>
        <stp/>
        <stp>6c6340b5-0065-4cd3-a362-e2623358ea40</stp>
        <tr r="N69" s="130"/>
      </tp>
    </main>
    <main first="rtdsrv.458a5932996f485b8b1b8d7cbb3f77a6">
      <tp>
        <v>1</v>
        <stp/>
        <stp>7606bab5-5c25-4e87-a0df-7c7a5dc040a2</stp>
        <tr r="AY14" s="132"/>
      </tp>
    </main>
    <main first="rtdsrv.458a5932996f485b8b1b8d7cbb3f77a6">
      <tp>
        <v>1</v>
        <stp/>
        <stp>05aeec1d-47d3-457e-8a1d-40b8f5554567</stp>
        <tr r="AJ44" s="130"/>
      </tp>
    </main>
    <main first="rtdsrv.458a5932996f485b8b1b8d7cbb3f77a6">
      <tp>
        <v>1</v>
        <stp/>
        <stp>ff7730a9-8af3-4976-9a82-0318ff0833f5</stp>
        <tr r="BK85" s="130"/>
      </tp>
    </main>
    <main first="rtdsrv.458a5932996f485b8b1b8d7cbb3f77a6">
      <tp>
        <v>1</v>
        <stp/>
        <stp>94f6e3c6-3a69-496b-af62-f6610a279105</stp>
        <tr r="EV16" s="132"/>
      </tp>
      <tp>
        <v>1</v>
        <stp/>
        <stp>1fbd0ddc-099f-41b1-8482-609ef9b65448</stp>
        <tr r="GQ15" s="132"/>
      </tp>
      <tp>
        <v>1</v>
        <stp/>
        <stp>535af625-07f8-403f-88aa-695b483f955e</stp>
        <tr r="CC5" s="132"/>
      </tp>
    </main>
    <main first="rtdsrv.458a5932996f485b8b1b8d7cbb3f77a6">
      <tp>
        <v>1</v>
        <stp/>
        <stp>cdea17f8-274f-4f44-88e7-76aab720d728</stp>
        <tr r="HF15" s="132"/>
      </tp>
    </main>
    <main first="rtdsrv.458a5932996f485b8b1b8d7cbb3f77a6">
      <tp>
        <v>1</v>
        <stp/>
        <stp>990abe68-9007-47fd-b133-81aeaa343d54</stp>
        <tr r="J81" s="130"/>
      </tp>
    </main>
    <main first="rtdsrv.458a5932996f485b8b1b8d7cbb3f77a6">
      <tp>
        <v>1</v>
        <stp/>
        <stp>45e8fd5d-9f61-4708-ae51-0031d6332ee9</stp>
        <tr r="AV78" s="130"/>
      </tp>
    </main>
    <main first="rtdsrv.458a5932996f485b8b1b8d7cbb3f77a6">
      <tp>
        <v>1</v>
        <stp/>
        <stp>8de16501-f561-48fb-8d51-161b7e7df557</stp>
        <tr r="AG35" s="130"/>
      </tp>
    </main>
    <main first="rtdsrv.458a5932996f485b8b1b8d7cbb3f77a6">
      <tp>
        <v>1</v>
        <stp/>
        <stp>a128c7ae-5df2-41f7-9d61-4ae7045eba4c</stp>
        <tr r="BG93" s="130"/>
      </tp>
    </main>
    <main first="rtdsrv.458a5932996f485b8b1b8d7cbb3f77a6">
      <tp>
        <v>1</v>
        <stp/>
        <stp>cd7820a2-c3b3-4fa9-9d1b-2ddc990a7d19</stp>
        <tr r="BY9" s="132"/>
      </tp>
    </main>
    <main first="rtdsrv.458a5932996f485b8b1b8d7cbb3f77a6">
      <tp>
        <v>1</v>
        <stp/>
        <stp>fe438a71-56a3-4e30-98a6-17bbf4ecbef6</stp>
        <tr r="M23" s="130"/>
      </tp>
    </main>
    <main first="rtdsrv.458a5932996f485b8b1b8d7cbb3f77a6">
      <tp>
        <v>1</v>
        <stp/>
        <stp>233894ee-2e76-4f4e-b21f-2c694b523f50</stp>
        <tr r="H69" s="130"/>
      </tp>
    </main>
    <main first="rtdsrv.458a5932996f485b8b1b8d7cbb3f77a6">
      <tp>
        <v>1</v>
        <stp/>
        <stp>1407a058-ee34-4e6d-b8a6-8573adfd63d2</stp>
        <tr r="HE13" s="132"/>
      </tp>
    </main>
    <main first="rtdsrv.458a5932996f485b8b1b8d7cbb3f77a6">
      <tp>
        <v>1</v>
        <stp/>
        <stp>6f5bcc28-b8d3-4c75-bb68-ac5145a7c40c</stp>
        <tr r="N38" s="130"/>
      </tp>
      <tp>
        <v>1</v>
        <stp/>
        <stp>be1c7576-476f-48a3-ab5e-f0f5d2717ffd</stp>
        <tr r="FJ12" s="132"/>
      </tp>
      <tp>
        <v>1</v>
        <stp/>
        <stp>e6acc4eb-c7e4-4fcc-8ed6-7e6a37b0b222</stp>
        <tr r="GN11" s="132"/>
      </tp>
    </main>
    <main first="rtdsrv.458a5932996f485b8b1b8d7cbb3f77a6">
      <tp>
        <v>1</v>
        <stp/>
        <stp>165e24df-71b1-4129-b47a-856681f9992d</stp>
        <tr r="M15" s="130"/>
      </tp>
    </main>
    <main first="rtdsrv.458a5932996f485b8b1b8d7cbb3f77a6">
      <tp>
        <v>1</v>
        <stp/>
        <stp>d691af7a-c4d0-49d7-9396-09659f855da5</stp>
        <tr r="P13" s="132"/>
      </tp>
    </main>
    <main first="rtdsrv.458a5932996f485b8b1b8d7cbb3f77a6">
      <tp>
        <v>1</v>
        <stp/>
        <stp>12b1dcd7-4fff-4dcd-a64f-badefe772767</stp>
        <tr r="FH9" s="132"/>
      </tp>
    </main>
    <main first="rtdsrv.458a5932996f485b8b1b8d7cbb3f77a6">
      <tp>
        <v>1</v>
        <stp/>
        <stp>ce9b5648-03e7-4475-8440-9e22a85d19e4</stp>
        <tr r="CU13" s="132"/>
      </tp>
    </main>
    <main first="rtdsrv.458a5932996f485b8b1b8d7cbb3f77a6">
      <tp>
        <v>1</v>
        <stp/>
        <stp>c899a829-a45c-407c-be25-76f775f975f9</stp>
        <tr r="ES6" s="132"/>
      </tp>
    </main>
    <main first="rtdsrv.458a5932996f485b8b1b8d7cbb3f77a6">
      <tp>
        <v>1</v>
        <stp/>
        <stp>8f8fc71e-f762-4aa3-957c-ad20a2429c72</stp>
        <tr r="BB91" s="130"/>
      </tp>
      <tp>
        <v>1</v>
        <stp/>
        <stp>e65351bb-59a8-471c-94a0-17bef26e13fc</stp>
        <tr r="EA14" s="132"/>
      </tp>
    </main>
    <main first="rtdsrv.458a5932996f485b8b1b8d7cbb3f77a6">
      <tp>
        <v>1</v>
        <stp/>
        <stp>3e50b7e6-afcb-4f52-8b2b-ca87db1ce615</stp>
        <tr r="DP8" s="132"/>
      </tp>
    </main>
    <main first="rtdsrv.458a5932996f485b8b1b8d7cbb3f77a6">
      <tp>
        <v>1</v>
        <stp/>
        <stp>6b06f481-3779-4fbd-bd0c-cf55fd5fb50d</stp>
        <tr r="DS13" s="132"/>
      </tp>
    </main>
    <main first="rtdsrv.458a5932996f485b8b1b8d7cbb3f77a6">
      <tp>
        <v>1</v>
        <stp/>
        <stp>172496f0-b930-4d50-83e0-65a484a1a11b</stp>
        <tr r="L22" s="130"/>
      </tp>
    </main>
    <main first="rtdsrv.458a5932996f485b8b1b8d7cbb3f77a6">
      <tp>
        <v>1</v>
        <stp/>
        <stp>57738988-12d7-4957-a2ed-03ac19adda4e</stp>
        <tr r="S33" s="130"/>
      </tp>
      <tp>
        <v>1</v>
        <stp/>
        <stp>e37d8b97-9dfd-442c-9355-946d75a839e1</stp>
        <tr r="AR9" s="130"/>
      </tp>
    </main>
    <main first="rtdsrv.458a5932996f485b8b1b8d7cbb3f77a6">
      <tp>
        <v>1</v>
        <stp/>
        <stp>ec95917f-6418-478c-872a-3353baeb8aff</stp>
        <tr r="EX5" s="132"/>
      </tp>
    </main>
    <main first="rtdsrv.458a5932996f485b8b1b8d7cbb3f77a6">
      <tp>
        <v>1</v>
        <stp/>
        <stp>31519bcf-86ae-4fab-bb3b-ee8588652abf</stp>
        <tr r="AR14" s="132"/>
      </tp>
      <tp>
        <v>1</v>
        <stp/>
        <stp>2e9fc7c2-edd4-4bc8-bb1c-02e7c3e1593b</stp>
        <tr r="AJ12" s="132"/>
      </tp>
    </main>
    <main first="rtdsrv.458a5932996f485b8b1b8d7cbb3f77a6">
      <tp>
        <v>1</v>
        <stp/>
        <stp>22f2ab0c-b655-4122-845d-2c10ba9fb1b8</stp>
        <tr r="Y44" s="130"/>
      </tp>
      <tp>
        <v>1</v>
        <stp/>
        <stp>8248ec39-5498-43e6-84a3-1c046e8423f0</stp>
        <tr r="CV15" s="132"/>
      </tp>
    </main>
    <main first="rtdsrv.458a5932996f485b8b1b8d7cbb3f77a6">
      <tp>
        <v>1</v>
        <stp/>
        <stp>d6cbef44-348a-4b39-a8ce-79486b8c0dd6</stp>
        <tr r="AS64" s="130"/>
      </tp>
    </main>
    <main first="rtdsrv.458a5932996f485b8b1b8d7cbb3f77a6">
      <tp>
        <v>1</v>
        <stp/>
        <stp>e8a16e59-8a2f-40cf-a82d-661ee4631586</stp>
        <tr r="G35" s="130"/>
      </tp>
    </main>
    <main first="rtdsrv.458a5932996f485b8b1b8d7cbb3f77a6">
      <tp>
        <v>1</v>
        <stp/>
        <stp>3a3fea08-a0dc-4a1f-8ea5-6eeff252b79a</stp>
        <tr r="AS58" s="130"/>
      </tp>
    </main>
    <main first="rtdsrv.458a5932996f485b8b1b8d7cbb3f77a6">
      <tp>
        <v>1</v>
        <stp/>
        <stp>f071f5c8-e1e1-44a2-9af8-3f00dd546077</stp>
        <tr r="EO13" s="132"/>
      </tp>
      <tp>
        <v>1</v>
        <stp/>
        <stp>a6b73c8d-11f4-4a1c-b520-5b8d47499f89</stp>
        <tr r="DI9" s="132"/>
      </tp>
    </main>
    <main first="rtdsrv.458a5932996f485b8b1b8d7cbb3f77a6">
      <tp>
        <v>1</v>
        <stp/>
        <stp>341b9875-80be-42ca-b3a6-528176ff1619</stp>
        <tr r="DB13" s="132"/>
      </tp>
      <tp>
        <v>1</v>
        <stp/>
        <stp>ad8f7454-630d-43cd-a5cd-22ddffd52327</stp>
        <tr r="Y5" s="132"/>
      </tp>
    </main>
    <main first="rtdsrv.458a5932996f485b8b1b8d7cbb3f77a6">
      <tp>
        <v>1</v>
        <stp/>
        <stp>e22c4b89-f079-4d1c-be53-0ef431e842b7</stp>
        <tr r="V57" s="130"/>
      </tp>
    </main>
    <main first="rtdsrv.458a5932996f485b8b1b8d7cbb3f77a6">
      <tp>
        <v>1</v>
        <stp/>
        <stp>733746cd-725b-4521-a45f-c5e2861e9388</stp>
        <tr r="AS52" s="130"/>
        <tr r="AS47" s="130"/>
      </tp>
      <tp>
        <v>1</v>
        <stp/>
        <stp>b781d611-9cd7-4750-a050-951598a8d6bd</stp>
        <tr r="BG16" s="130"/>
      </tp>
    </main>
    <main first="rtdsrv.458a5932996f485b8b1b8d7cbb3f77a6">
      <tp>
        <v>1</v>
        <stp/>
        <stp>668dfc61-474f-4b8e-9c0c-aa4245058f6d</stp>
        <tr r="AN16" s="130"/>
      </tp>
    </main>
    <main first="rtdsrv.458a5932996f485b8b1b8d7cbb3f77a6">
      <tp>
        <v>1</v>
        <stp/>
        <stp>0768079f-7a27-4b83-9e48-548a524d5024</stp>
        <tr r="AV24" s="130"/>
      </tp>
    </main>
    <main first="rtdsrv.458a5932996f485b8b1b8d7cbb3f77a6">
      <tp>
        <v>1</v>
        <stp/>
        <stp>65ba2691-1ed0-4d99-b52d-e531d92d133d</stp>
        <tr r="AL85" s="130"/>
      </tp>
      <tp>
        <v>1</v>
        <stp/>
        <stp>e73c1881-ac98-4528-87de-6ef58d4d1578</stp>
        <tr r="I43" s="130"/>
      </tp>
    </main>
    <main first="rtdsrv.458a5932996f485b8b1b8d7cbb3f77a6">
      <tp>
        <v>1</v>
        <stp/>
        <stp>a170659a-c0b6-4ec1-badf-a3792fbe3aee</stp>
        <tr r="FX11" s="132"/>
      </tp>
    </main>
    <main first="rtdsrv.458a5932996f485b8b1b8d7cbb3f77a6">
      <tp>
        <v>1</v>
        <stp/>
        <stp>09181f3b-3cda-49ab-859b-f282ff6cfed8</stp>
        <tr r="J77" s="130"/>
      </tp>
    </main>
    <main first="rtdsrv.458a5932996f485b8b1b8d7cbb3f77a6">
      <tp>
        <v>1</v>
        <stp/>
        <stp>b8d13b81-521f-40d8-aa45-be016307d323</stp>
        <tr r="DQ6" s="132"/>
      </tp>
      <tp>
        <v>1</v>
        <stp/>
        <stp>bf32e65b-e9a7-4f9f-a09a-aef54074b9fb</stp>
        <tr r="BC46" s="130"/>
        <tr r="BC51" s="130"/>
      </tp>
    </main>
    <main first="rtdsrv.458a5932996f485b8b1b8d7cbb3f77a6">
      <tp>
        <v>1</v>
        <stp/>
        <stp>dd326db3-15fa-4dbb-a42e-469a522fccc5</stp>
        <tr r="BH75" s="130"/>
      </tp>
    </main>
    <main first="rtdsrv.458a5932996f485b8b1b8d7cbb3f77a6">
      <tp>
        <v>1</v>
        <stp/>
        <stp>8bc8e130-a0c4-4680-a0ac-900163866fbd</stp>
        <tr r="BD36" s="130"/>
      </tp>
      <tp>
        <v>1</v>
        <stp/>
        <stp>5dba8390-3ad3-4b40-b2e6-26a8a0a2f1ec</stp>
        <tr r="C61" s="130"/>
      </tp>
    </main>
    <main first="rtdsrv.458a5932996f485b8b1b8d7cbb3f77a6">
      <tp>
        <v>1</v>
        <stp/>
        <stp>7ba4a149-d99a-4132-8979-36841207f04d</stp>
        <tr r="BD13" s="132"/>
      </tp>
      <tp>
        <v>1</v>
        <stp/>
        <stp>e456ff73-df45-4447-bd3c-5af9a4161a91</stp>
        <tr r="AJ25" s="130"/>
      </tp>
    </main>
    <main first="rtdsrv.458a5932996f485b8b1b8d7cbb3f77a6">
      <tp>
        <v>1</v>
        <stp/>
        <stp>2b9d6f39-515c-4b67-970a-2ea12cff764c</stp>
        <tr r="G77" s="130"/>
      </tp>
    </main>
    <main first="rtdsrv.458a5932996f485b8b1b8d7cbb3f77a6">
      <tp>
        <v>1</v>
        <stp/>
        <stp>cb2690aa-d5b4-461a-a460-ecc2b28276df</stp>
        <tr r="EC12" s="132"/>
      </tp>
    </main>
    <main first="rtdsrv.458a5932996f485b8b1b8d7cbb3f77a6">
      <tp>
        <v>1</v>
        <stp/>
        <stp>a9a651f1-820f-4e15-a8d9-5fde97da76e7</stp>
        <tr r="AZ86" s="130"/>
      </tp>
      <tp>
        <v>1</v>
        <stp/>
        <stp>20de5241-0810-4960-8d19-2ddb4a80c0d8</stp>
        <tr r="X8" s="132"/>
      </tp>
      <tp>
        <v>1</v>
        <stp/>
        <stp>aafcd9d9-a888-4ac3-89b7-e33c7d3149de</stp>
        <tr r="AI5" s="132"/>
      </tp>
      <tp>
        <v>1</v>
        <stp/>
        <stp>37adcf63-6246-4d2d-88c2-ca9e5dda7cc7</stp>
        <tr r="GA15" s="132"/>
      </tp>
    </main>
    <main first="rtdsrv.458a5932996f485b8b1b8d7cbb3f77a6">
      <tp>
        <v>1</v>
        <stp/>
        <stp>938530d6-158f-4db0-b84a-8b4c1cab5145</stp>
        <tr r="C83" s="130"/>
      </tp>
    </main>
    <main first="rtdsrv.458a5932996f485b8b1b8d7cbb3f77a6">
      <tp>
        <v>1</v>
        <stp/>
        <stp>125a3523-48b3-401f-a314-fac933e640df</stp>
        <tr r="AE16" s="132"/>
      </tp>
    </main>
    <main first="rtdsrv.458a5932996f485b8b1b8d7cbb3f77a6">
      <tp>
        <v>1</v>
        <stp/>
        <stp>6874b7e5-9491-40ad-9d45-542e8e9f012d</stp>
        <tr r="T21" s="130"/>
      </tp>
    </main>
    <main first="rtdsrv.458a5932996f485b8b1b8d7cbb3f77a6">
      <tp>
        <v>1</v>
        <stp/>
        <stp>392b19a6-3691-4a64-8bbe-52936ac8d00b</stp>
        <tr r="N5" s="130"/>
      </tp>
      <tp>
        <v>1</v>
        <stp/>
        <stp>a84b781f-0a70-4923-ad77-fa8d4b4d9150</stp>
        <tr r="AZ70" s="130"/>
      </tp>
    </main>
    <main first="rtdsrv.458a5932996f485b8b1b8d7cbb3f77a6">
      <tp>
        <v>1</v>
        <stp/>
        <stp>c3713091-ac61-48ff-8026-c4a59344a7d0</stp>
        <tr r="AE51" s="130"/>
        <tr r="AE46" s="130"/>
      </tp>
    </main>
    <main first="rtdsrv.458a5932996f485b8b1b8d7cbb3f77a6">
      <tp>
        <v>1</v>
        <stp/>
        <stp>708d4dd6-43e6-4f9f-b9a0-ae16eb12ef55</stp>
        <tr r="BJ97" s="130"/>
      </tp>
    </main>
    <main first="rtdsrv.458a5932996f485b8b1b8d7cbb3f77a6">
      <tp>
        <v>1</v>
        <stp/>
        <stp>175f007a-7894-4a83-955a-bd9ca5141a93</stp>
        <tr r="AE33" s="130"/>
      </tp>
    </main>
    <main first="rtdsrv.458a5932996f485b8b1b8d7cbb3f77a6">
      <tp>
        <v>1</v>
        <stp/>
        <stp>9bfb2a89-a08f-4414-9aef-1ebb9bf052f2</stp>
        <tr r="BE64" s="130"/>
      </tp>
    </main>
    <main first="rtdsrv.458a5932996f485b8b1b8d7cbb3f77a6">
      <tp>
        <v>1</v>
        <stp/>
        <stp>3bea17c6-2bbb-41ab-8135-e9923909303f</stp>
        <tr r="EA7" s="132"/>
      </tp>
    </main>
    <main first="rtdsrv.458a5932996f485b8b1b8d7cbb3f77a6">
      <tp>
        <v>1</v>
        <stp/>
        <stp>8b43e2c7-43fc-49ff-a4a2-7b0a80966746</stp>
        <tr r="FR8" s="132"/>
      </tp>
    </main>
    <main first="rtdsrv.458a5932996f485b8b1b8d7cbb3f77a6">
      <tp>
        <v>1</v>
        <stp/>
        <stp>5251664b-41f9-4bd0-86fb-da02658a8410</stp>
        <tr r="CQ16" s="132"/>
      </tp>
    </main>
    <main first="rtdsrv.458a5932996f485b8b1b8d7cbb3f77a6">
      <tp>
        <v>1</v>
        <stp/>
        <stp>1d148f0c-b6a2-42c0-9b06-1892c28a1c49</stp>
        <tr r="R17" s="130"/>
      </tp>
    </main>
    <main first="rtdsrv.458a5932996f485b8b1b8d7cbb3f77a6">
      <tp>
        <v>1</v>
        <stp/>
        <stp>eb4b9d3e-2bb4-40be-8cda-1954a5f690c2</stp>
        <tr r="T42" s="130"/>
      </tp>
    </main>
    <main first="rtdsrv.458a5932996f485b8b1b8d7cbb3f77a6">
      <tp>
        <v>1</v>
        <stp/>
        <stp>e603e3f3-85a6-4aab-977b-3df4927c67d5</stp>
        <tr r="FH5" s="132"/>
      </tp>
    </main>
    <main first="rtdsrv.458a5932996f485b8b1b8d7cbb3f77a6">
      <tp>
        <v>1</v>
        <stp/>
        <stp>a6755c65-d551-478e-8d97-d07275cb7ac0</stp>
        <tr r="EC5" s="132"/>
      </tp>
    </main>
    <main first="rtdsrv.458a5932996f485b8b1b8d7cbb3f77a6">
      <tp>
        <v>1</v>
        <stp/>
        <stp>648c3459-68f2-46c1-a79e-cb3acd4591c8</stp>
        <tr r="CG6" s="132"/>
      </tp>
    </main>
    <main first="rtdsrv.458a5932996f485b8b1b8d7cbb3f77a6">
      <tp>
        <v>1</v>
        <stp/>
        <stp>edb30a43-57f8-40d6-ba85-63ecce3b9a60</stp>
        <tr r="AK11" s="132"/>
      </tp>
    </main>
    <main first="rtdsrv.458a5932996f485b8b1b8d7cbb3f77a6">
      <tp>
        <v>1</v>
        <stp/>
        <stp>6184ff95-01dc-47a5-a580-5d624f21fa01</stp>
        <tr r="S75" s="130"/>
      </tp>
    </main>
    <main first="rtdsrv.458a5932996f485b8b1b8d7cbb3f77a6">
      <tp>
        <v>1</v>
        <stp/>
        <stp>e5ad187f-e4e5-44c5-9221-6761e4351ec8</stp>
        <tr r="AU6" s="132"/>
      </tp>
    </main>
    <main first="rtdsrv.458a5932996f485b8b1b8d7cbb3f77a6">
      <tp>
        <v>1</v>
        <stp/>
        <stp>1334040a-ea8d-480e-86ad-b989eb2cc49b</stp>
        <tr r="AI9" s="132"/>
      </tp>
    </main>
    <main first="rtdsrv.458a5932996f485b8b1b8d7cbb3f77a6">
      <tp>
        <v>1</v>
        <stp/>
        <stp>8dc106ba-74b1-4d3d-bc9b-be3c1ba97603</stp>
        <tr r="AZ75" s="130"/>
      </tp>
    </main>
    <main first="rtdsrv.458a5932996f485b8b1b8d7cbb3f77a6">
      <tp>
        <v>1</v>
        <stp/>
        <stp>d1c6586b-19d3-498e-aa74-788959a0db4f</stp>
        <tr r="G59" s="130"/>
      </tp>
      <tp>
        <v>1</v>
        <stp/>
        <stp>cd79501d-ec1d-456b-a473-f80870bfbe1a</stp>
        <tr r="BB83" s="130"/>
      </tp>
    </main>
    <main first="rtdsrv.458a5932996f485b8b1b8d7cbb3f77a6">
      <tp>
        <v>1</v>
        <stp/>
        <stp>50e562de-c48a-463a-a39f-3fcf7a79172a</stp>
        <tr r="BD18" s="130"/>
      </tp>
    </main>
    <main first="rtdsrv.458a5932996f485b8b1b8d7cbb3f77a6">
      <tp>
        <v>1</v>
        <stp/>
        <stp>f0abafc8-28db-4003-8c85-34a9479e7ebd</stp>
        <tr r="AT12" s="132"/>
      </tp>
      <tp>
        <v>1</v>
        <stp/>
        <stp>bf182b4b-f336-46b8-b1cd-b32762c71161</stp>
        <tr r="BJ84" s="130"/>
      </tp>
    </main>
    <main first="rtdsrv.458a5932996f485b8b1b8d7cbb3f77a6">
      <tp>
        <v>1</v>
        <stp/>
        <stp>40925258-796a-4843-abbe-e9067ad41522</stp>
        <tr r="P12" s="132"/>
      </tp>
    </main>
    <main first="rtdsrv.458a5932996f485b8b1b8d7cbb3f77a6">
      <tp>
        <v>1</v>
        <stp/>
        <stp>282d1cef-3d41-4f72-b713-750632262e4a</stp>
        <tr r="AB63" s="130"/>
      </tp>
    </main>
    <main first="rtdsrv.458a5932996f485b8b1b8d7cbb3f77a6">
      <tp>
        <v>1</v>
        <stp/>
        <stp>5fccc824-9a2e-4a33-8c9f-6db206da86f1</stp>
        <tr r="BA24" s="130"/>
      </tp>
    </main>
    <main first="rtdsrv.458a5932996f485b8b1b8d7cbb3f77a6">
      <tp>
        <v>1</v>
        <stp/>
        <stp>f8cee63b-1e3f-41c2-b71b-c206ee4e7be1</stp>
        <tr r="AX63" s="130"/>
      </tp>
    </main>
    <main first="rtdsrv.458a5932996f485b8b1b8d7cbb3f77a6">
      <tp>
        <v>1</v>
        <stp/>
        <stp>1ea06a31-2f39-44cc-8cbd-c8a8343db24c</stp>
        <tr r="AU64" s="130"/>
      </tp>
      <tp>
        <v>1</v>
        <stp/>
        <stp>03310727-9b2d-4ecb-9bcf-866a7ba17ad7</stp>
        <tr r="V92" s="130"/>
      </tp>
    </main>
    <main first="rtdsrv.458a5932996f485b8b1b8d7cbb3f77a6">
      <tp>
        <v>1</v>
        <stp/>
        <stp>e87824c0-a63e-4520-8860-9b6e0ad6da70</stp>
        <tr r="AZ60" s="130"/>
      </tp>
    </main>
    <main first="rtdsrv.458a5932996f485b8b1b8d7cbb3f77a6">
      <tp>
        <v>1</v>
        <stp/>
        <stp>caa68acd-aacc-42d8-be89-89dd4e0a149f</stp>
        <tr r="BI17" s="130"/>
      </tp>
    </main>
    <main first="rtdsrv.458a5932996f485b8b1b8d7cbb3f77a6">
      <tp>
        <v>1</v>
        <stp/>
        <stp>cd3c496a-fcca-4e21-8331-7e6ce65b5cc5</stp>
        <tr r="AI66" s="130"/>
      </tp>
      <tp>
        <v>1</v>
        <stp/>
        <stp>9bd5d8cd-5239-4ec2-b390-08bed0f67e1a</stp>
        <tr r="AV22" s="130"/>
      </tp>
    </main>
    <main first="rtdsrv.458a5932996f485b8b1b8d7cbb3f77a6">
      <tp>
        <v>1</v>
        <stp/>
        <stp>4aee6d91-030d-4114-bc70-48a6bf8b7a65</stp>
        <tr r="BL13" s="132"/>
      </tp>
      <tp>
        <v>1</v>
        <stp/>
        <stp>b6f1fa1e-8937-4914-9a5d-f270ba53c480</stp>
        <tr r="I71" s="130"/>
      </tp>
      <tp>
        <v>1</v>
        <stp/>
        <stp>2405069d-f8db-49f9-a4ca-00c99cb7dda2</stp>
        <tr r="GQ7" s="132"/>
      </tp>
    </main>
    <main first="rtdsrv.458a5932996f485b8b1b8d7cbb3f77a6">
      <tp>
        <v>1</v>
        <stp/>
        <stp>7cccf71d-93c3-4da3-9fbf-fe6dedce94bc</stp>
        <tr r="U60" s="130"/>
      </tp>
    </main>
    <main first="rtdsrv.458a5932996f485b8b1b8d7cbb3f77a6">
      <tp>
        <v>1</v>
        <stp/>
        <stp>63237c02-3cf0-402a-9b62-e69209cf429c</stp>
        <tr r="AB67" s="130"/>
      </tp>
    </main>
    <main first="rtdsrv.458a5932996f485b8b1b8d7cbb3f77a6">
      <tp>
        <v>1</v>
        <stp/>
        <stp>242d3545-47b1-4cd2-88ee-87b8ee55e93f</stp>
        <tr r="F19" s="130"/>
      </tp>
    </main>
    <main first="rtdsrv.458a5932996f485b8b1b8d7cbb3f77a6">
      <tp>
        <v>1</v>
        <stp/>
        <stp>f53bce50-fa31-4134-b24c-5c5f18de1de1</stp>
        <tr r="AD75" s="130"/>
      </tp>
    </main>
    <main first="rtdsrv.458a5932996f485b8b1b8d7cbb3f77a6">
      <tp>
        <v>1</v>
        <stp/>
        <stp>794d232d-46f5-40ea-bd2d-0335f1d85f32</stp>
        <tr r="S67" s="130"/>
      </tp>
    </main>
    <main first="rtdsrv.458a5932996f485b8b1b8d7cbb3f77a6">
      <tp>
        <v>1</v>
        <stp/>
        <stp>4c742c65-fc96-453b-a13c-b90a07d360e7</stp>
        <tr r="M81" s="130"/>
      </tp>
    </main>
    <main first="rtdsrv.458a5932996f485b8b1b8d7cbb3f77a6">
      <tp>
        <v>1</v>
        <stp/>
        <stp>1d545aef-60c9-49b1-979b-5d1e27170a36</stp>
        <tr r="AW33" s="130"/>
      </tp>
    </main>
    <main first="rtdsrv.458a5932996f485b8b1b8d7cbb3f77a6">
      <tp>
        <v>1</v>
        <stp/>
        <stp>88727569-dbcf-4332-bd45-509822ffdd86</stp>
        <tr r="AX57" s="130"/>
      </tp>
      <tp>
        <v>1</v>
        <stp/>
        <stp>b3ea8019-fb50-4598-983f-aee106b184f0</stp>
        <tr r="AR29" s="130"/>
      </tp>
      <tp>
        <v>1</v>
        <stp/>
        <stp>09c08b63-5eef-4835-b216-aed8ebecad66</stp>
        <tr r="H64" s="130"/>
      </tp>
      <tp>
        <v>1</v>
        <stp/>
        <stp>b2d20c08-1221-49e7-9003-7c52982965cb</stp>
        <tr r="EC15" s="132"/>
      </tp>
    </main>
    <main first="rtdsrv.458a5932996f485b8b1b8d7cbb3f77a6">
      <tp>
        <v>1</v>
        <stp/>
        <stp>d676cec9-8be1-4cb4-b9a7-0b1566bdbccd</stp>
        <tr r="T75" s="130"/>
      </tp>
    </main>
    <main first="rtdsrv.458a5932996f485b8b1b8d7cbb3f77a6">
      <tp>
        <v>1</v>
        <stp/>
        <stp>71a13b9d-6888-420d-ad3b-0ce4b9df5a27</stp>
        <tr r="DF15" s="132"/>
      </tp>
    </main>
    <main first="rtdsrv.458a5932996f485b8b1b8d7cbb3f77a6">
      <tp>
        <v>1</v>
        <stp/>
        <stp>d84473ee-e7e0-4ccd-9863-5270bfe73a63</stp>
        <tr r="AX45" s="130"/>
      </tp>
      <tp>
        <v>1</v>
        <stp/>
        <stp>a5f8c75d-beb2-4b4a-ad67-88cbd46652e3</stp>
        <tr r="FL14" s="132"/>
      </tp>
    </main>
    <main first="rtdsrv.458a5932996f485b8b1b8d7cbb3f77a6">
      <tp>
        <v>1</v>
        <stp/>
        <stp>3ace1174-1c6f-4b7b-8de3-e7a3f9d4fa08</stp>
        <tr r="GE13" s="132"/>
      </tp>
      <tp>
        <v>1</v>
        <stp/>
        <stp>734900c2-7fb0-476d-87ac-66a7776d6947</stp>
        <tr r="AT25" s="130"/>
      </tp>
      <tp>
        <v>1</v>
        <stp/>
        <stp>b6788c5b-970e-440e-9906-17fa625845a0</stp>
        <tr r="O45" s="130"/>
      </tp>
    </main>
    <main first="rtdsrv.458a5932996f485b8b1b8d7cbb3f77a6">
      <tp>
        <v>1</v>
        <stp/>
        <stp>640dd0fb-2696-41c9-afd0-09258c4908d4</stp>
        <tr r="D76" s="130"/>
      </tp>
      <tp>
        <v>1</v>
        <stp/>
        <stp>8e9c6d75-b5d2-483c-be28-7819949e479b</stp>
        <tr r="AN10" s="130"/>
      </tp>
    </main>
    <main first="rtdsrv.458a5932996f485b8b1b8d7cbb3f77a6">
      <tp>
        <v>1</v>
        <stp/>
        <stp>479f9f9c-9c93-4426-864a-fb0a2ed44dd8</stp>
        <tr r="AK15" s="132"/>
      </tp>
      <tp>
        <v>1</v>
        <stp/>
        <stp>554c173c-d4ae-423e-9ae5-cba13513f8d5</stp>
        <tr r="L5" s="132"/>
      </tp>
    </main>
    <main first="rtdsrv.458a5932996f485b8b1b8d7cbb3f77a6">
      <tp>
        <v>1</v>
        <stp/>
        <stp>0a9bbdf9-0246-479c-bf83-c3ba676aec8f</stp>
        <tr r="AX81" s="130"/>
      </tp>
      <tp>
        <v>1</v>
        <stp/>
        <stp>6cf6baf7-1829-4990-8194-dcc2ce9805dc</stp>
        <tr r="BE85" s="130"/>
      </tp>
    </main>
    <main first="rtdsrv.458a5932996f485b8b1b8d7cbb3f77a6">
      <tp>
        <v>1</v>
        <stp/>
        <stp>dd5d927d-8f1d-4a7d-bb8b-e735d4784802</stp>
        <tr r="E75" s="130"/>
      </tp>
      <tp>
        <v>1</v>
        <stp/>
        <stp>90d9ffe2-b1ee-4d75-85ac-32ed19ac5be9</stp>
        <tr r="EW6" s="132"/>
      </tp>
      <tp>
        <v>1</v>
        <stp/>
        <stp>48bddb55-3f51-4bf7-966e-e776232d7ecf</stp>
        <tr r="AJ7" s="130"/>
      </tp>
    </main>
    <main first="rtdsrv.458a5932996f485b8b1b8d7cbb3f77a6">
      <tp>
        <v>1</v>
        <stp/>
        <stp>16c2acb3-c5ae-4828-b7e3-4c78e8a279c9</stp>
        <tr r="AQ22" s="130"/>
      </tp>
      <tp>
        <v>1</v>
        <stp/>
        <stp>4045e517-6f4f-4151-b08b-f22f65797462</stp>
        <tr r="DU6" s="132"/>
      </tp>
    </main>
    <main first="rtdsrv.458a5932996f485b8b1b8d7cbb3f77a6">
      <tp>
        <v>1</v>
        <stp/>
        <stp>1e609cb6-7ff4-475e-a31d-e92734eb3a25</stp>
        <tr r="BI39" s="130"/>
      </tp>
    </main>
    <main first="rtdsrv.458a5932996f485b8b1b8d7cbb3f77a6">
      <tp>
        <v>1</v>
        <stp/>
        <stp>d65793af-f52c-4277-ae83-267bbcd13026</stp>
        <tr r="BM13" s="132"/>
      </tp>
      <tp>
        <v>1</v>
        <stp/>
        <stp>eecb0d5d-04a1-42e5-8505-73fc8769494b</stp>
        <tr r="H12" s="132"/>
      </tp>
    </main>
    <main first="rtdsrv.458a5932996f485b8b1b8d7cbb3f77a6">
      <tp>
        <v>1</v>
        <stp/>
        <stp>8a0c75a7-a6ab-498f-85fd-e5302867215b</stp>
        <tr r="GK9" s="132"/>
      </tp>
    </main>
    <main first="rtdsrv.458a5932996f485b8b1b8d7cbb3f77a6">
      <tp>
        <v>1</v>
        <stp/>
        <stp>6bfbc89f-2935-4951-9f7d-b69ba4982e11</stp>
        <tr r="K77" s="130"/>
      </tp>
    </main>
    <main first="rtdsrv.458a5932996f485b8b1b8d7cbb3f77a6">
      <tp>
        <v>1</v>
        <stp/>
        <stp>0fa03af8-a680-43b2-8a37-caa878f83729</stp>
        <tr r="N15" s="130"/>
      </tp>
    </main>
    <main first="rtdsrv.458a5932996f485b8b1b8d7cbb3f77a6">
      <tp>
        <v>1</v>
        <stp/>
        <stp>080c2903-9283-4c72-ade7-477a95bf0dca</stp>
        <tr r="GI14" s="132"/>
      </tp>
    </main>
    <main first="rtdsrv.458a5932996f485b8b1b8d7cbb3f77a6">
      <tp>
        <v>1</v>
        <stp/>
        <stp>d3bb4b67-0e6b-4d29-98de-b66b44f2d789</stp>
        <tr r="BU6" s="132"/>
      </tp>
    </main>
    <main first="rtdsrv.458a5932996f485b8b1b8d7cbb3f77a6">
      <tp>
        <v>1</v>
        <stp/>
        <stp>aeb0ed43-1853-4120-bfe1-19c673891f86</stp>
        <tr r="EQ15" s="132"/>
      </tp>
      <tp>
        <v>1</v>
        <stp/>
        <stp>77af0550-86be-4373-8f3a-728df648f739</stp>
        <tr r="Z81" s="130"/>
      </tp>
    </main>
    <main first="rtdsrv.458a5932996f485b8b1b8d7cbb3f77a6">
      <tp>
        <v>1</v>
        <stp/>
        <stp>e91bba70-388c-4c5a-b2fd-2d667ca6db12</stp>
        <tr r="HA11" s="132"/>
      </tp>
      <tp>
        <v>1</v>
        <stp/>
        <stp>baf1c7c7-d1db-4539-8d43-8535819a021c</stp>
        <tr r="AO10" s="130"/>
      </tp>
    </main>
    <main first="rtdsrv.458a5932996f485b8b1b8d7cbb3f77a6">
      <tp>
        <v>1</v>
        <stp/>
        <stp>2f88ac3e-a516-4c5c-8d87-248edc5f5a81</stp>
        <tr r="Y84" s="130"/>
      </tp>
    </main>
    <main first="rtdsrv.458a5932996f485b8b1b8d7cbb3f77a6">
      <tp>
        <v>1</v>
        <stp/>
        <stp>36e2f72c-485f-4219-9ad2-2b2adbb54a14</stp>
        <tr r="AP26" s="130"/>
        <tr r="AP14" s="130"/>
      </tp>
    </main>
    <main first="rtdsrv.458a5932996f485b8b1b8d7cbb3f77a6">
      <tp>
        <v>1</v>
        <stp/>
        <stp>08720e78-7085-4431-ade9-b7d9937333fa</stp>
        <tr r="S80" s="130"/>
      </tp>
      <tp>
        <v>1</v>
        <stp/>
        <stp>0f085571-b31c-4d0e-89cd-806ac9c6f798</stp>
        <tr r="CP9" s="132"/>
      </tp>
    </main>
    <main first="rtdsrv.458a5932996f485b8b1b8d7cbb3f77a6">
      <tp>
        <v>1</v>
        <stp/>
        <stp>eed4de7c-8885-41b5-816c-abc8c4ab9d78</stp>
        <tr r="AK75" s="130"/>
      </tp>
    </main>
    <main first="rtdsrv.458a5932996f485b8b1b8d7cbb3f77a6">
      <tp>
        <v>1</v>
        <stp/>
        <stp>d8983d91-d810-44d5-b7a7-c3e9ad4602cc</stp>
        <tr r="CO14" s="132"/>
      </tp>
    </main>
    <main first="rtdsrv.458a5932996f485b8b1b8d7cbb3f77a6">
      <tp>
        <v>1</v>
        <stp/>
        <stp>0fac178f-250f-4c3b-8bce-7c612902d12a</stp>
        <tr r="F17" s="130"/>
      </tp>
    </main>
    <main first="rtdsrv.458a5932996f485b8b1b8d7cbb3f77a6">
      <tp>
        <v>1</v>
        <stp/>
        <stp>c893f5ec-6f4e-46e0-b376-9c2520573f5a</stp>
        <tr r="Z64" s="130"/>
      </tp>
    </main>
    <main first="rtdsrv.458a5932996f485b8b1b8d7cbb3f77a6">
      <tp>
        <v>1</v>
        <stp/>
        <stp>689c292e-beb9-4ad2-a814-29e83eca35b8</stp>
        <tr r="N31" s="130"/>
      </tp>
    </main>
    <main first="rtdsrv.458a5932996f485b8b1b8d7cbb3f77a6">
      <tp>
        <v>1</v>
        <stp/>
        <stp>97d0c7fc-7327-463a-bf37-56d3dbe0e895</stp>
        <tr r="BF68" s="130"/>
      </tp>
    </main>
    <main first="rtdsrv.458a5932996f485b8b1b8d7cbb3f77a6">
      <tp>
        <v>1</v>
        <stp/>
        <stp>cff9f9de-5197-417c-91b9-7c81089e1958</stp>
        <tr r="BH55" s="130"/>
      </tp>
    </main>
    <main first="rtdsrv.458a5932996f485b8b1b8d7cbb3f77a6">
      <tp>
        <v>1</v>
        <stp/>
        <stp>51fff1b5-24b5-4c28-b042-3a599c04b597</stp>
        <tr r="AM73" s="130"/>
      </tp>
    </main>
    <main first="rtdsrv.458a5932996f485b8b1b8d7cbb3f77a6">
      <tp>
        <v>1</v>
        <stp/>
        <stp>238f6633-b77d-4fce-aebc-6d38186135e9</stp>
        <tr r="AD56" s="130"/>
      </tp>
    </main>
    <main first="rtdsrv.458a5932996f485b8b1b8d7cbb3f77a6">
      <tp>
        <v>1</v>
        <stp/>
        <stp>601c868a-2055-4ca7-a592-4bf8e339dbad</stp>
        <tr r="BE18" s="130"/>
      </tp>
    </main>
    <main first="rtdsrv.458a5932996f485b8b1b8d7cbb3f77a6">
      <tp>
        <v>1</v>
        <stp/>
        <stp>1049e4a9-2ca0-4eeb-9808-dbaac9fb766b</stp>
        <tr r="AW84" s="130"/>
      </tp>
    </main>
    <main first="rtdsrv.458a5932996f485b8b1b8d7cbb3f77a6">
      <tp>
        <v>1</v>
        <stp/>
        <stp>2b7ee077-9b13-4c13-9518-1c3fa6b8054f</stp>
        <tr r="CW15" s="132"/>
      </tp>
    </main>
    <main first="rtdsrv.458a5932996f485b8b1b8d7cbb3f77a6">
      <tp>
        <v>1</v>
        <stp/>
        <stp>2f720488-3dd5-45d9-994d-3f407549a60e</stp>
        <tr r="AN82" s="130"/>
      </tp>
    </main>
    <main first="rtdsrv.458a5932996f485b8b1b8d7cbb3f77a6">
      <tp>
        <v>1</v>
        <stp/>
        <stp>2f56a60f-3dda-4910-b386-28dbf985cc43</stp>
        <tr r="H18" s="130"/>
      </tp>
    </main>
    <main first="rtdsrv.458a5932996f485b8b1b8d7cbb3f77a6">
      <tp>
        <v>1</v>
        <stp/>
        <stp>e0e13d8f-8bc1-45d1-a8d1-41cce81a59d1</stp>
        <tr r="L58" s="130"/>
      </tp>
    </main>
    <main first="rtdsrv.458a5932996f485b8b1b8d7cbb3f77a6">
      <tp>
        <v>1</v>
        <stp/>
        <stp>9aec570b-89af-4006-a210-e2bf8440bf28</stp>
        <tr r="H45" s="130"/>
      </tp>
    </main>
    <main first="rtdsrv.458a5932996f485b8b1b8d7cbb3f77a6">
      <tp>
        <v>1</v>
        <stp/>
        <stp>fa1dc127-82ea-4bad-8a0f-0bbb7d95e34a</stp>
        <tr r="BB86" s="130"/>
      </tp>
      <tp>
        <v>1</v>
        <stp/>
        <stp>328e3f5d-7528-448b-9ebe-70c58cbae9d0</stp>
        <tr r="W10" s="130"/>
      </tp>
    </main>
    <main first="rtdsrv.458a5932996f485b8b1b8d7cbb3f77a6">
      <tp>
        <v>1</v>
        <stp/>
        <stp>8f019b91-3604-465f-b4dd-9624b9aa3302</stp>
        <tr r="N7" s="132"/>
      </tp>
    </main>
    <main first="rtdsrv.458a5932996f485b8b1b8d7cbb3f77a6">
      <tp>
        <v>1</v>
        <stp/>
        <stp>e50bc8d9-0d3b-47c1-8076-e053ec246a86</stp>
        <tr r="BN5" s="132"/>
      </tp>
      <tp>
        <v>1</v>
        <stp/>
        <stp>fa4c3868-d218-4f95-a039-4336c2693353</stp>
        <tr r="AZ16" s="132"/>
      </tp>
    </main>
    <main first="rtdsrv.458a5932996f485b8b1b8d7cbb3f77a6">
      <tp>
        <v>1</v>
        <stp/>
        <stp>5c047af2-067e-411b-91f1-f74438e03098</stp>
        <tr r="I11" s="132"/>
      </tp>
    </main>
    <main first="rtdsrv.458a5932996f485b8b1b8d7cbb3f77a6">
      <tp>
        <v>1</v>
        <stp/>
        <stp>f828c967-296d-4b46-8f59-688d81cd50fa</stp>
        <tr r="BG85" s="130"/>
      </tp>
    </main>
    <main first="rtdsrv.458a5932996f485b8b1b8d7cbb3f77a6">
      <tp>
        <v>1</v>
        <stp/>
        <stp>2732ae16-8490-48bf-93a8-b73751453b04</stp>
        <tr r="AP35" s="130"/>
      </tp>
      <tp>
        <v>1</v>
        <stp/>
        <stp>5712e608-49bd-428b-a7ae-792a007326ac</stp>
        <tr r="AO82" s="130"/>
      </tp>
    </main>
    <main first="rtdsrv.458a5932996f485b8b1b8d7cbb3f77a6">
      <tp>
        <v>1</v>
        <stp/>
        <stp>b0a0e828-f862-4d6c-8e8c-4035041b880b</stp>
        <tr r="AK40" s="130"/>
      </tp>
    </main>
    <main first="rtdsrv.458a5932996f485b8b1b8d7cbb3f77a6">
      <tp>
        <v>1</v>
        <stp/>
        <stp>fd985c14-24b3-4fc7-a93e-03adb807432f</stp>
        <tr r="AG6" s="132"/>
      </tp>
    </main>
    <main first="rtdsrv.458a5932996f485b8b1b8d7cbb3f77a6">
      <tp>
        <v>1</v>
        <stp/>
        <stp>840d7655-725a-40fd-bb44-8e6598751185</stp>
        <tr r="CJ8" s="132"/>
      </tp>
      <tp>
        <v>1</v>
        <stp/>
        <stp>e60834c6-8b56-4796-b706-cdf0709f4ab7</stp>
        <tr r="BK37" s="130"/>
      </tp>
    </main>
    <main first="rtdsrv.458a5932996f485b8b1b8d7cbb3f77a6">
      <tp>
        <v>1</v>
        <stp/>
        <stp>a87eb97e-004c-497f-a259-6b5be0bf89da</stp>
        <tr r="AW52" s="130"/>
        <tr r="AW47" s="130"/>
      </tp>
      <tp>
        <v>1</v>
        <stp/>
        <stp>c9e449b5-d216-466d-912b-688a70acf345</stp>
        <tr r="O38" s="130"/>
      </tp>
    </main>
    <main first="rtdsrv.458a5932996f485b8b1b8d7cbb3f77a6">
      <tp>
        <v>1</v>
        <stp/>
        <stp>6f15974c-df70-4300-a533-910de9b71796</stp>
        <tr r="AI9" s="130"/>
      </tp>
    </main>
    <main first="rtdsrv.458a5932996f485b8b1b8d7cbb3f77a6">
      <tp>
        <v>1</v>
        <stp/>
        <stp>253398f0-9835-4599-81bc-ea6cff522a68</stp>
        <tr r="EV8" s="132"/>
      </tp>
    </main>
    <main first="rtdsrv.458a5932996f485b8b1b8d7cbb3f77a6">
      <tp>
        <v>1</v>
        <stp/>
        <stp>715523eb-8d04-48d0-a9e3-13913e0eb051</stp>
        <tr r="T84" s="130"/>
      </tp>
      <tp>
        <v>1</v>
        <stp/>
        <stp>c88d2b39-8a8b-4f62-828d-77d417a6ba0c</stp>
        <tr r="C88" s="130"/>
      </tp>
    </main>
    <main first="rtdsrv.458a5932996f485b8b1b8d7cbb3f77a6">
      <tp>
        <v>1</v>
        <stp/>
        <stp>0d7a42c6-2cda-43da-ac11-928696d689af</stp>
        <tr r="EN16" s="132"/>
      </tp>
    </main>
    <main first="rtdsrv.458a5932996f485b8b1b8d7cbb3f77a6">
      <tp>
        <v>1</v>
        <stp/>
        <stp>fb9f8bb1-323e-4109-aec0-0bb80193d390</stp>
        <tr r="BE94" s="130"/>
      </tp>
    </main>
    <main first="rtdsrv.458a5932996f485b8b1b8d7cbb3f77a6">
      <tp>
        <v>1</v>
        <stp/>
        <stp>70418878-6053-4141-a61e-ed73c69a0ec5</stp>
        <tr r="BI19" s="130"/>
      </tp>
      <tp>
        <v>1</v>
        <stp/>
        <stp>759df5ef-4adb-4b23-bc15-78e9bfb05a4e</stp>
        <tr r="AR13" s="130"/>
      </tp>
    </main>
    <main first="rtdsrv.458a5932996f485b8b1b8d7cbb3f77a6">
      <tp>
        <v>1</v>
        <stp/>
        <stp>930e173a-e707-43b5-bf9d-09dc385a1ee2</stp>
        <tr r="BG65" s="130"/>
      </tp>
    </main>
    <main first="rtdsrv.458a5932996f485b8b1b8d7cbb3f77a6">
      <tp>
        <v>1</v>
        <stp/>
        <stp>03f16f03-ca13-43a4-8ec7-44ec28e35dd2</stp>
        <tr r="DK12" s="132"/>
      </tp>
    </main>
    <main first="rtdsrv.458a5932996f485b8b1b8d7cbb3f77a6">
      <tp>
        <v>1</v>
        <stp/>
        <stp>5d6a79d8-16ec-40a5-b0d4-7971540ee93c</stp>
        <tr r="AT8" s="130"/>
      </tp>
    </main>
    <main first="rtdsrv.458a5932996f485b8b1b8d7cbb3f77a6">
      <tp>
        <v>1</v>
        <stp/>
        <stp>15fe584c-7aa7-4333-919b-c728c73fa945</stp>
        <tr r="FJ8" s="132"/>
      </tp>
    </main>
    <main first="rtdsrv.458a5932996f485b8b1b8d7cbb3f77a6">
      <tp>
        <v>1</v>
        <stp/>
        <stp>a0f932c1-9755-4a05-9e0b-52fe52a54730</stp>
        <tr r="AC71" s="130"/>
      </tp>
    </main>
    <main first="rtdsrv.458a5932996f485b8b1b8d7cbb3f77a6">
      <tp>
        <v>1</v>
        <stp/>
        <stp>d5b99e86-16cf-4a49-8438-0038976d1e5e</stp>
        <tr r="AW15" s="130"/>
      </tp>
    </main>
    <main first="rtdsrv.458a5932996f485b8b1b8d7cbb3f77a6">
      <tp>
        <v>1</v>
        <stp/>
        <stp>21e615cc-909c-4e81-8f6e-3155f137b318</stp>
        <tr r="H10" s="130"/>
      </tp>
    </main>
    <main first="rtdsrv.458a5932996f485b8b1b8d7cbb3f77a6">
      <tp>
        <v>1</v>
        <stp/>
        <stp>2e7ba330-1a90-456c-8279-7e2d7f84593c</stp>
        <tr r="BA10" s="130"/>
      </tp>
    </main>
    <main first="rtdsrv.458a5932996f485b8b1b8d7cbb3f77a6">
      <tp>
        <v>1</v>
        <stp/>
        <stp>a0d353a3-aa34-461d-918f-90d92dbd8ca8</stp>
        <tr r="FF14" s="132"/>
      </tp>
    </main>
    <main first="rtdsrv.458a5932996f485b8b1b8d7cbb3f77a6">
      <tp>
        <v>1</v>
        <stp/>
        <stp>7d722edd-61b4-4e79-9040-e2608137b027</stp>
        <tr r="P68" s="130"/>
      </tp>
    </main>
    <main first="rtdsrv.458a5932996f485b8b1b8d7cbb3f77a6">
      <tp>
        <v>1</v>
        <stp/>
        <stp>1ad45dcb-ce80-4a95-9d7e-b8f4106d6e2e</stp>
        <tr r="AA34" s="130"/>
      </tp>
    </main>
    <main first="rtdsrv.458a5932996f485b8b1b8d7cbb3f77a6">
      <tp>
        <v>1</v>
        <stp/>
        <stp>bb68d59a-555f-4e3c-8c95-746af58120da</stp>
        <tr r="Y57" s="130"/>
      </tp>
    </main>
    <main first="rtdsrv.458a5932996f485b8b1b8d7cbb3f77a6">
      <tp>
        <v>1</v>
        <stp/>
        <stp>babf4901-c8e6-49a7-a157-ca0183986b27</stp>
        <tr r="AE10" s="130"/>
      </tp>
    </main>
    <main first="rtdsrv.458a5932996f485b8b1b8d7cbb3f77a6">
      <tp>
        <v>1</v>
        <stp/>
        <stp>a168652d-8477-46d3-b11e-e6baf346a2e7</stp>
        <tr r="BG11" s="130"/>
      </tp>
      <tp>
        <v>1</v>
        <stp/>
        <stp>d573dff5-5258-44bd-ae86-050883ae55be</stp>
        <tr r="T83" s="130"/>
      </tp>
      <tp>
        <v>1</v>
        <stp/>
        <stp>fa2e4cac-22f0-4e91-9670-df31eafb68b2</stp>
        <tr r="FY13" s="132"/>
      </tp>
      <tp>
        <v>1</v>
        <stp/>
        <stp>cebff828-068a-4098-a8c1-f8c36d16fcc5</stp>
        <tr r="BA74" s="130"/>
      </tp>
    </main>
    <main first="rtdsrv.458a5932996f485b8b1b8d7cbb3f77a6">
      <tp>
        <v>1</v>
        <stp/>
        <stp>779f8465-8fdd-40f5-8c88-515d0729890f</stp>
        <tr r="AS28" s="130"/>
      </tp>
    </main>
    <main first="rtdsrv.458a5932996f485b8b1b8d7cbb3f77a6">
      <tp>
        <v>1</v>
        <stp/>
        <stp>0fb2a36f-576c-4e18-88fd-6a3443796ee3</stp>
        <tr r="S68" s="130"/>
      </tp>
    </main>
    <main first="rtdsrv.458a5932996f485b8b1b8d7cbb3f77a6">
      <tp>
        <v>1</v>
        <stp/>
        <stp>06a8f5d4-c9a9-4d4c-b65b-9924b69a5030</stp>
        <tr r="I80" s="130"/>
      </tp>
    </main>
    <main first="rtdsrv.458a5932996f485b8b1b8d7cbb3f77a6">
      <tp>
        <v>1</v>
        <stp/>
        <stp>ea324c3b-93a7-4ac0-933b-e6f4ab3f6eb0</stp>
        <tr r="D8" s="130"/>
      </tp>
      <tp>
        <v>1</v>
        <stp/>
        <stp>9e1869f1-3a98-43c2-b01e-0c4eabb47dc8</stp>
        <tr r="F22" s="130"/>
      </tp>
    </main>
    <main first="rtdsrv.458a5932996f485b8b1b8d7cbb3f77a6">
      <tp>
        <v>1</v>
        <stp/>
        <stp>226fcd9a-02b2-4611-a10f-fb46d891241e</stp>
        <tr r="BD58" s="130"/>
      </tp>
    </main>
    <main first="rtdsrv.458a5932996f485b8b1b8d7cbb3f77a6">
      <tp>
        <v>1</v>
        <stp/>
        <stp>d75a327d-93ed-4b51-9401-a3a62a032f6a</stp>
        <tr r="P21" s="130"/>
      </tp>
    </main>
    <main first="rtdsrv.458a5932996f485b8b1b8d7cbb3f77a6">
      <tp>
        <v>1</v>
        <stp/>
        <stp>d61d6dea-b70e-4018-92c0-6c2cf9084869</stp>
        <tr r="X70" s="130"/>
      </tp>
    </main>
    <main first="rtdsrv.458a5932996f485b8b1b8d7cbb3f77a6">
      <tp>
        <v>1</v>
        <stp/>
        <stp>412272a7-f032-4b0b-ab9b-c0715dbf1c39</stp>
        <tr r="AL9" s="132"/>
      </tp>
    </main>
    <main first="rtdsrv.458a5932996f485b8b1b8d7cbb3f77a6">
      <tp>
        <v>1</v>
        <stp/>
        <stp>67b3fddb-d654-4bc9-9c0a-bff9cfd03742</stp>
        <tr r="AA28" s="130"/>
      </tp>
    </main>
    <main first="rtdsrv.458a5932996f485b8b1b8d7cbb3f77a6">
      <tp>
        <v>1</v>
        <stp/>
        <stp>dfbee425-e024-4889-b7a8-34369a4cf38c</stp>
        <tr r="BF40" s="130"/>
      </tp>
    </main>
    <main first="rtdsrv.458a5932996f485b8b1b8d7cbb3f77a6">
      <tp>
        <v>1</v>
        <stp/>
        <stp>0b741b38-e74d-4495-bd9a-f35392efcae7</stp>
        <tr r="BX15" s="132"/>
      </tp>
    </main>
    <main first="rtdsrv.458a5932996f485b8b1b8d7cbb3f77a6">
      <tp>
        <v>1</v>
        <stp/>
        <stp>153139c5-0b18-4f51-8fb9-6db4fc604a8d</stp>
        <tr r="F84" s="130"/>
      </tp>
    </main>
    <main first="rtdsrv.458a5932996f485b8b1b8d7cbb3f77a6">
      <tp>
        <v>1</v>
        <stp/>
        <stp>15e719fd-67bc-4473-b26b-20e344c7b202</stp>
        <tr r="AZ87" s="130"/>
      </tp>
      <tp>
        <v>1</v>
        <stp/>
        <stp>09601bb2-4dec-41fe-9710-3cb744210e09</stp>
        <tr r="BD68" s="130"/>
      </tp>
    </main>
    <main first="rtdsrv.458a5932996f485b8b1b8d7cbb3f77a6">
      <tp>
        <v>1</v>
        <stp/>
        <stp>950e2f18-6b0d-4939-ae8f-22186912ffea</stp>
        <tr r="P85" s="130"/>
      </tp>
    </main>
    <main first="rtdsrv.458a5932996f485b8b1b8d7cbb3f77a6">
      <tp>
        <v>1</v>
        <stp/>
        <stp>d6c234d6-00f7-47dd-8bea-39726e635f77</stp>
        <tr r="BG95" s="130"/>
      </tp>
      <tp>
        <v>1</v>
        <stp/>
        <stp>ac202ab4-738d-4c4b-9e59-459a5f0d3839</stp>
        <tr r="BP15" s="132"/>
      </tp>
    </main>
    <main first="rtdsrv.458a5932996f485b8b1b8d7cbb3f77a6">
      <tp>
        <v>1</v>
        <stp/>
        <stp>75a79763-24c4-47ac-a742-7a67a7fcd8ab</stp>
        <tr r="AY46" s="130"/>
        <tr r="AY51" s="130"/>
      </tp>
    </main>
    <main first="rtdsrv.458a5932996f485b8b1b8d7cbb3f77a6">
      <tp>
        <v>1</v>
        <stp/>
        <stp>1bff1b71-2581-416e-a28f-56c2e10cca09</stp>
        <tr r="AY89" s="130"/>
      </tp>
    </main>
    <main first="rtdsrv.458a5932996f485b8b1b8d7cbb3f77a6">
      <tp>
        <v>1</v>
        <stp/>
        <stp>75923d0b-9224-45c8-a115-39d2759fed24</stp>
        <tr r="BB56" s="130"/>
      </tp>
    </main>
    <main first="rtdsrv.458a5932996f485b8b1b8d7cbb3f77a6">
      <tp>
        <v>1</v>
        <stp/>
        <stp>f4cf93d4-ef31-4c73-ada9-d832cd861e24</stp>
        <tr r="X31" s="130"/>
      </tp>
      <tp>
        <v>1</v>
        <stp/>
        <stp>83aa9970-b5cd-484c-8bb3-6253fb0b5041</stp>
        <tr r="BP11" s="132"/>
      </tp>
    </main>
    <main first="rtdsrv.458a5932996f485b8b1b8d7cbb3f77a6">
      <tp>
        <v>1</v>
        <stp/>
        <stp>4af06814-d2fe-489a-b7b7-7be8a0ed1e34</stp>
        <tr r="AU33" s="130"/>
      </tp>
    </main>
    <main first="rtdsrv.458a5932996f485b8b1b8d7cbb3f77a6">
      <tp>
        <v>1</v>
        <stp/>
        <stp>4d76d4b6-8d8d-453a-a97c-02934d978a33</stp>
        <tr r="AE56" s="130"/>
      </tp>
    </main>
    <main first="rtdsrv.458a5932996f485b8b1b8d7cbb3f77a6">
      <tp>
        <v>1</v>
        <stp/>
        <stp>12824f63-743f-4528-affc-83902c2bfd33</stp>
        <tr r="AK80" s="130"/>
      </tp>
      <tp>
        <v>1</v>
        <stp/>
        <stp>8bd07983-5310-4714-af3e-0ff4969eb043</stp>
        <tr r="P95" s="130"/>
      </tp>
      <tp>
        <v>1</v>
        <stp/>
        <stp>6e862b51-88b9-4750-b12b-8e6797ec3feb</stp>
        <tr r="C8" s="132"/>
      </tp>
    </main>
    <main first="rtdsrv.458a5932996f485b8b1b8d7cbb3f77a6">
      <tp>
        <v>1</v>
        <stp/>
        <stp>fa8f7f6a-d2fe-461d-95f9-1dfaa85a447e</stp>
        <tr r="BA6" s="132"/>
      </tp>
    </main>
    <main first="rtdsrv.458a5932996f485b8b1b8d7cbb3f77a6">
      <tp>
        <v>1</v>
        <stp/>
        <stp>a565d78b-7440-428f-b889-9a7a10d41329</stp>
        <tr r="FN12" s="132"/>
      </tp>
    </main>
    <main first="rtdsrv.458a5932996f485b8b1b8d7cbb3f77a6">
      <tp>
        <v>1</v>
        <stp/>
        <stp>8653f455-29e1-4588-87b3-0890bbf4b977</stp>
        <tr r="O81" s="130"/>
      </tp>
    </main>
    <main first="rtdsrv.458a5932996f485b8b1b8d7cbb3f77a6">
      <tp>
        <v>1</v>
        <stp/>
        <stp>747e1efb-2eb4-463c-b49a-a08f4882287c</stp>
        <tr r="BC35" s="130"/>
      </tp>
      <tp>
        <v>1</v>
        <stp/>
        <stp>d76bd7f0-50a5-444a-a483-477ad0250b47</stp>
        <tr r="V8" s="132"/>
      </tp>
      <tp>
        <v>1</v>
        <stp/>
        <stp>1ab05dab-5d85-46c2-88cb-86a2ef1ee877</stp>
        <tr r="N20" s="130"/>
      </tp>
    </main>
    <main first="rtdsrv.458a5932996f485b8b1b8d7cbb3f77a6">
      <tp>
        <v>1</v>
        <stp/>
        <stp>a6e5806f-f444-4540-9289-0b11b54a0695</stp>
        <tr r="AM75" s="130"/>
      </tp>
      <tp>
        <v>1</v>
        <stp/>
        <stp>83dfa54f-95f2-41b4-905d-747d75b05664</stp>
        <tr r="GX11" s="132"/>
      </tp>
    </main>
    <main first="rtdsrv.458a5932996f485b8b1b8d7cbb3f77a6">
      <tp>
        <v>1</v>
        <stp/>
        <stp>6b7d7da0-8e64-43b4-aab0-d7f62af6d7a8</stp>
        <tr r="EX6" s="132"/>
      </tp>
    </main>
    <main first="rtdsrv.458a5932996f485b8b1b8d7cbb3f77a6">
      <tp>
        <v>1</v>
        <stp/>
        <stp>fbabc85c-3cc4-4e8b-8666-bae9bdaf71f6</stp>
        <tr r="BC30" s="130"/>
      </tp>
    </main>
    <main first="rtdsrv.458a5932996f485b8b1b8d7cbb3f77a6">
      <tp>
        <v>1</v>
        <stp/>
        <stp>4ce24a6c-782c-4556-a803-192c128f111a</stp>
        <tr r="U16" s="132"/>
      </tp>
      <tp>
        <v>1</v>
        <stp/>
        <stp>9ddf3f95-e6e3-4db2-a5f0-b922459a8632</stp>
        <tr r="FM6" s="132"/>
      </tp>
      <tp>
        <v>1</v>
        <stp/>
        <stp>852391fd-c671-4033-8e02-1ef9f1e39900</stp>
        <tr r="HD5" s="132"/>
      </tp>
    </main>
    <main first="rtdsrv.458a5932996f485b8b1b8d7cbb3f77a6">
      <tp>
        <v>1</v>
        <stp/>
        <stp>21041deb-8110-469f-8b7f-4d6692e7dc25</stp>
        <tr r="Y21" s="130"/>
      </tp>
    </main>
    <main first="rtdsrv.458a5932996f485b8b1b8d7cbb3f77a6">
      <tp>
        <v>1</v>
        <stp/>
        <stp>7ba3683e-65c6-47f2-99db-c41ce5ecc22c</stp>
        <tr r="DO5" s="132"/>
      </tp>
      <tp>
        <v>1</v>
        <stp/>
        <stp>ac8fb6ab-c6ed-4ed7-a973-998066d070cb</stp>
        <tr r="V31" s="130"/>
      </tp>
      <tp>
        <v>1</v>
        <stp/>
        <stp>c9dbe619-904d-40b3-90b6-2e710961c21c</stp>
        <tr r="J61" s="130"/>
      </tp>
      <tp>
        <v>1</v>
        <stp/>
        <stp>89cb567c-655b-45a1-a103-fd4641f1cdcb</stp>
        <tr r="AF16" s="130"/>
      </tp>
    </main>
    <main first="rtdsrv.458a5932996f485b8b1b8d7cbb3f77a6">
      <tp>
        <v>1</v>
        <stp/>
        <stp>9ba7fc0a-7bc2-4be0-a9ed-3946f5072f05</stp>
        <tr r="W98" s="130"/>
      </tp>
      <tp>
        <v>1</v>
        <stp/>
        <stp>c49bb8af-b1ea-4fbc-a1d0-009236fc7fe5</stp>
        <tr r="X59" s="130"/>
      </tp>
    </main>
    <main first="rtdsrv.458a5932996f485b8b1b8d7cbb3f77a6">
      <tp>
        <v>1</v>
        <stp/>
        <stp>d9609843-f30b-459b-8381-7b2f55221ccf</stp>
        <tr r="AA52" s="130"/>
        <tr r="AA47" s="130"/>
      </tp>
    </main>
    <main first="rtdsrv.458a5932996f485b8b1b8d7cbb3f77a6">
      <tp>
        <v>1</v>
        <stp/>
        <stp>732712f6-0b1b-4626-8349-60bc32d2a8e9</stp>
        <tr r="CF13" s="132"/>
      </tp>
    </main>
    <main first="rtdsrv.458a5932996f485b8b1b8d7cbb3f77a6">
      <tp>
        <v>1</v>
        <stp/>
        <stp>c0556c6b-415c-4540-b705-8df7394f8396</stp>
        <tr r="BX9" s="132"/>
      </tp>
    </main>
    <main first="rtdsrv.458a5932996f485b8b1b8d7cbb3f77a6">
      <tp>
        <v>1</v>
        <stp/>
        <stp>2a0b828b-0bf4-4c95-a92b-1175d9c72e0c</stp>
        <tr r="H17" s="130"/>
      </tp>
      <tp>
        <v>1</v>
        <stp/>
        <stp>da93d87c-3e21-4a20-a69f-0002b8ce7b21</stp>
        <tr r="T11" s="132"/>
      </tp>
      <tp>
        <v>1</v>
        <stp/>
        <stp>bc63d4c2-162e-41b3-b477-ef80e496899e</stp>
        <tr r="AP69" s="130"/>
      </tp>
    </main>
    <main first="rtdsrv.458a5932996f485b8b1b8d7cbb3f77a6">
      <tp>
        <v>1</v>
        <stp/>
        <stp>6d40a891-f6f0-49df-b6dd-bc3c0f26442a</stp>
        <tr r="EG5" s="132"/>
      </tp>
    </main>
    <main first="rtdsrv.458a5932996f485b8b1b8d7cbb3f77a6">
      <tp>
        <v>1</v>
        <stp/>
        <stp>92d3c0f1-8811-4fcf-94df-dd751bb7a7d8</stp>
        <tr r="BE71" s="130"/>
      </tp>
    </main>
    <main first="rtdsrv.458a5932996f485b8b1b8d7cbb3f77a6">
      <tp>
        <v>1</v>
        <stp/>
        <stp>fcd12eac-8953-43a7-b07e-77245442542c</stp>
        <tr r="F91" s="130"/>
      </tp>
    </main>
    <main first="rtdsrv.458a5932996f485b8b1b8d7cbb3f77a6">
      <tp>
        <v>1</v>
        <stp/>
        <stp>a3f82d19-1930-48b8-8817-5c05ba686d2a</stp>
        <tr r="L81" s="130"/>
      </tp>
      <tp>
        <v>1</v>
        <stp/>
        <stp>fc4cdabe-e2eb-4b89-8b24-ec432b121d8f</stp>
        <tr r="AT68" s="130"/>
      </tp>
    </main>
    <main first="rtdsrv.458a5932996f485b8b1b8d7cbb3f77a6">
      <tp>
        <v>1</v>
        <stp/>
        <stp>606ac0ab-ee98-4098-adb6-a59e2b61eaf1</stp>
        <tr r="CJ12" s="132"/>
      </tp>
    </main>
    <main first="rtdsrv.458a5932996f485b8b1b8d7cbb3f77a6">
      <tp>
        <v>1</v>
        <stp/>
        <stp>3fe33e99-d567-4fc1-be46-77590d71083f</stp>
        <tr r="EY16" s="132"/>
      </tp>
    </main>
    <main first="rtdsrv.458a5932996f485b8b1b8d7cbb3f77a6">
      <tp>
        <v>1</v>
        <stp/>
        <stp>c1273cc2-2beb-4d8f-a972-290fe097d1f1</stp>
        <tr r="EX14" s="132"/>
      </tp>
    </main>
    <main first="rtdsrv.458a5932996f485b8b1b8d7cbb3f77a6">
      <tp>
        <v>1</v>
        <stp/>
        <stp>181de52e-c8c4-41a5-beb0-ade64bd0c6d6</stp>
        <tr r="O44" s="130"/>
      </tp>
    </main>
    <main first="rtdsrv.458a5932996f485b8b1b8d7cbb3f77a6">
      <tp>
        <v>1</v>
        <stp/>
        <stp>eb242b4a-db5e-4a7a-9025-049ed8cd32e6</stp>
        <tr r="P41" s="130"/>
      </tp>
      <tp>
        <v>1</v>
        <stp/>
        <stp>6f867c97-6c17-4bf3-89e7-018a6dbf39af</stp>
        <tr r="AG33" s="130"/>
      </tp>
    </main>
    <main first="rtdsrv.458a5932996f485b8b1b8d7cbb3f77a6">
      <tp>
        <v>1</v>
        <stp/>
        <stp>9387e1f3-8a5d-46ec-9644-7fa081f5c3b2</stp>
        <tr r="AK30" s="130"/>
      </tp>
    </main>
    <main first="rtdsrv.458a5932996f485b8b1b8d7cbb3f77a6">
      <tp>
        <v>1</v>
        <stp/>
        <stp>7aa8e2fb-5c16-4460-afe2-0c9278ee4ae6</stp>
        <tr r="T19" s="130"/>
      </tp>
      <tp>
        <v>1</v>
        <stp/>
        <stp>a72d51ae-debe-4552-9f93-7c3efeae6f85</stp>
        <tr r="AY75" s="130"/>
      </tp>
    </main>
    <main first="rtdsrv.458a5932996f485b8b1b8d7cbb3f77a6">
      <tp>
        <v>1</v>
        <stp/>
        <stp>e2b60537-20a8-4a00-bbac-c1f9ae900922</stp>
        <tr r="BJ76" s="130"/>
      </tp>
    </main>
    <main first="rtdsrv.458a5932996f485b8b1b8d7cbb3f77a6">
      <tp>
        <v>1</v>
        <stp/>
        <stp>f16b6498-30ce-4e2c-b6ce-f96e6d352b0d</stp>
        <tr r="AB9" s="132"/>
      </tp>
    </main>
    <main first="rtdsrv.458a5932996f485b8b1b8d7cbb3f77a6">
      <tp>
        <v>1</v>
        <stp/>
        <stp>34e2896d-bfa2-4af9-b28f-b122ff133082</stp>
        <tr r="FU6" s="132"/>
      </tp>
    </main>
    <main first="rtdsrv.458a5932996f485b8b1b8d7cbb3f77a6">
      <tp>
        <v>1</v>
        <stp/>
        <stp>5cdba28e-4e19-49fd-94f2-241848401bf2</stp>
        <tr r="BK38" s="130"/>
      </tp>
    </main>
    <main first="rtdsrv.458a5932996f485b8b1b8d7cbb3f77a6">
      <tp>
        <v>1</v>
        <stp/>
        <stp>20232a02-e821-4515-ad2e-096764c4c7c1</stp>
        <tr r="CV8" s="132"/>
      </tp>
    </main>
    <main first="rtdsrv.458a5932996f485b8b1b8d7cbb3f77a6">
      <tp>
        <v>1</v>
        <stp/>
        <stp>12fdb968-ce89-405e-a1f8-56e00a85b59d</stp>
        <tr r="S7" s="132"/>
      </tp>
    </main>
    <main first="rtdsrv.458a5932996f485b8b1b8d7cbb3f77a6">
      <tp>
        <v>1</v>
        <stp/>
        <stp>0cc7794a-f460-4830-acf5-c2dc42b1bc91</stp>
        <tr r="AZ17" s="130"/>
      </tp>
    </main>
    <main first="rtdsrv.458a5932996f485b8b1b8d7cbb3f77a6">
      <tp>
        <v>1</v>
        <stp/>
        <stp>de927913-1451-4e3b-838a-022de831b459</stp>
        <tr r="BI97" s="130"/>
      </tp>
    </main>
    <main first="rtdsrv.458a5932996f485b8b1b8d7cbb3f77a6">
      <tp>
        <v>1</v>
        <stp/>
        <stp>1a7eae86-f7be-46d9-925c-1419b130ab03</stp>
        <tr r="BB35" s="130"/>
      </tp>
      <tp>
        <v>1</v>
        <stp/>
        <stp>1762a81e-fa55-4e47-bef2-7a3b427bbb9f</stp>
        <tr r="G15" s="132"/>
      </tp>
    </main>
    <main first="rtdsrv.458a5932996f485b8b1b8d7cbb3f77a6">
      <tp>
        <v>1</v>
        <stp/>
        <stp>b0addb3f-77bf-490d-bc80-6b064d433685</stp>
        <tr r="O15" s="130"/>
      </tp>
    </main>
    <main first="rtdsrv.458a5932996f485b8b1b8d7cbb3f77a6">
      <tp>
        <v>1</v>
        <stp/>
        <stp>0af0bb49-b9b0-4747-9367-a3186ba1b8f1</stp>
        <tr r="AJ6" s="132"/>
      </tp>
      <tp>
        <v>1</v>
        <stp/>
        <stp>4255711f-2c63-481c-a8d8-d0f5a65f19f2</stp>
        <tr r="AI19" s="130"/>
      </tp>
      <tp>
        <v>1</v>
        <stp/>
        <stp>4d90c998-8f70-43ab-9d03-6682b9ace1f8</stp>
        <tr r="P19" s="130"/>
      </tp>
    </main>
    <main first="rtdsrv.458a5932996f485b8b1b8d7cbb3f77a6">
      <tp>
        <v>1</v>
        <stp/>
        <stp>8b1a26ff-ce02-4d83-96fc-199e643def11</stp>
        <tr r="AI30" s="130"/>
      </tp>
      <tp>
        <v>1</v>
        <stp/>
        <stp>0b298fec-9304-4224-a429-85511cdf7df7</stp>
        <tr r="BK68" s="130"/>
      </tp>
    </main>
    <main first="rtdsrv.458a5932996f485b8b1b8d7cbb3f77a6">
      <tp>
        <v>1</v>
        <stp/>
        <stp>7e437d0c-e650-44ee-b3ed-3083e8e69ea7</stp>
        <tr r="AY12" s="130"/>
      </tp>
    </main>
    <main first="rtdsrv.458a5932996f485b8b1b8d7cbb3f77a6">
      <tp>
        <v>1</v>
        <stp/>
        <stp>c0c8315d-094c-420b-b44d-a95f83664dbf</stp>
        <tr r="AD19" s="130"/>
      </tp>
    </main>
    <main first="rtdsrv.458a5932996f485b8b1b8d7cbb3f77a6">
      <tp>
        <v>1</v>
        <stp/>
        <stp>f1f2ba25-3367-4dc8-9ed8-51c3d04527bb</stp>
        <tr r="M47" s="130"/>
        <tr r="M52" s="130"/>
      </tp>
      <tp>
        <v>1</v>
        <stp/>
        <stp>a6241c61-8252-42f4-80d2-c7401b8cdaba</stp>
        <tr r="DI11" s="132"/>
      </tp>
      <tp>
        <v>1</v>
        <stp/>
        <stp>0c0500c6-ddcc-40f2-8216-f73a4998c3a9</stp>
        <tr r="S30" s="130"/>
      </tp>
    </main>
    <main first="rtdsrv.458a5932996f485b8b1b8d7cbb3f77a6">
      <tp>
        <v>1</v>
        <stp/>
        <stp>c4dac801-feba-4fbc-99d5-54f30e91c501</stp>
        <tr r="S15" s="130"/>
      </tp>
      <tp>
        <v>1</v>
        <stp/>
        <stp>d94d4db2-2978-4017-a2cf-3cd86ed5d4ba</stp>
        <tr r="GZ9" s="132"/>
      </tp>
    </main>
    <main first="rtdsrv.458a5932996f485b8b1b8d7cbb3f77a6">
      <tp>
        <v>1</v>
        <stp/>
        <stp>2c5ab47d-8ce4-4e80-ae2a-3c2742a9d582</stp>
        <tr r="AX35" s="130"/>
      </tp>
    </main>
    <main first="rtdsrv.458a5932996f485b8b1b8d7cbb3f77a6">
      <tp>
        <v>1</v>
        <stp/>
        <stp>3877e24b-c084-45a3-9bb8-ff7e0ebbd25e</stp>
        <tr r="DY11" s="132"/>
      </tp>
    </main>
    <main first="rtdsrv.458a5932996f485b8b1b8d7cbb3f77a6">
      <tp>
        <v>1</v>
        <stp/>
        <stp>eebf68eb-6e3d-49a5-841a-1211266c0c01</stp>
        <tr r="AL22" s="130"/>
      </tp>
    </main>
    <main first="rtdsrv.458a5932996f485b8b1b8d7cbb3f77a6">
      <tp>
        <v>1</v>
        <stp/>
        <stp>4f62cce9-ded6-47e7-b582-5f0c42634267</stp>
        <tr r="Q22" s="130"/>
      </tp>
    </main>
    <main first="rtdsrv.458a5932996f485b8b1b8d7cbb3f77a6">
      <tp>
        <v>1</v>
        <stp/>
        <stp>81bc16a9-88b1-4001-b2e4-ed943f2b3a0f</stp>
        <tr r="AR5" s="130"/>
      </tp>
      <tp>
        <v>1</v>
        <stp/>
        <stp>987d26a4-b02a-4cf4-a94e-e7ae6fed7538</stp>
        <tr r="BQ6" s="132"/>
      </tp>
    </main>
    <main first="rtdsrv.458a5932996f485b8b1b8d7cbb3f77a6">
      <tp>
        <v>1</v>
        <stp/>
        <stp>d2bd5c91-5731-4622-a98a-cfea4f81efdf</stp>
        <tr r="AH23" s="130"/>
      </tp>
    </main>
    <main first="rtdsrv.458a5932996f485b8b1b8d7cbb3f77a6">
      <tp>
        <v>1</v>
        <stp/>
        <stp>124425da-5d5d-45dc-a90b-522a6c2a78b0</stp>
        <tr r="AE43" s="130"/>
      </tp>
    </main>
    <main first="rtdsrv.458a5932996f485b8b1b8d7cbb3f77a6">
      <tp>
        <v>1</v>
        <stp/>
        <stp>0b6dac53-456f-4da5-8521-68d69c599ab0</stp>
        <tr r="GP13" s="132"/>
      </tp>
    </main>
    <main first="rtdsrv.458a5932996f485b8b1b8d7cbb3f77a6">
      <tp>
        <v>1</v>
        <stp/>
        <stp>8c558ce6-574f-4cc3-b58b-f2f3baff3e1b</stp>
        <tr r="G11" s="130"/>
      </tp>
    </main>
    <main first="rtdsrv.458a5932996f485b8b1b8d7cbb3f77a6">
      <tp>
        <v>1</v>
        <stp/>
        <stp>6766086d-1e69-4781-8c5c-564e45e5a1c3</stp>
        <tr r="AB72" s="130"/>
      </tp>
    </main>
    <main first="rtdsrv.458a5932996f485b8b1b8d7cbb3f77a6">
      <tp>
        <v>1</v>
        <stp/>
        <stp>390c57c7-0f08-41fd-96d6-c39a24630198</stp>
        <tr r="AU17" s="130"/>
      </tp>
    </main>
    <main first="rtdsrv.458a5932996f485b8b1b8d7cbb3f77a6">
      <tp>
        <v>1</v>
        <stp/>
        <stp>adab7ff7-50e6-4be2-a973-c679a417a878</stp>
        <tr r="L8" s="132"/>
      </tp>
    </main>
    <main first="rtdsrv.458a5932996f485b8b1b8d7cbb3f77a6">
      <tp>
        <v>1</v>
        <stp/>
        <stp>54c5f70d-2613-4a0e-8cee-2ef209e2fe64</stp>
        <tr r="K14" s="132"/>
      </tp>
      <tp>
        <v>1</v>
        <stp/>
        <stp>5b7bf8be-62ea-4f77-a556-b2f98fc3b2ac</stp>
        <tr r="AX15" s="130"/>
      </tp>
    </main>
    <main first="rtdsrv.458a5932996f485b8b1b8d7cbb3f77a6">
      <tp>
        <v>1</v>
        <stp/>
        <stp>58502f00-ac9b-42b4-ba6f-c0e6e53540cb</stp>
        <tr r="AT39" s="130"/>
      </tp>
    </main>
    <main first="rtdsrv.458a5932996f485b8b1b8d7cbb3f77a6">
      <tp>
        <v>1</v>
        <stp/>
        <stp>aa8f20c5-45fc-41f3-a706-c69acabdc954</stp>
        <tr r="AU30" s="130"/>
      </tp>
    </main>
    <main first="rtdsrv.458a5932996f485b8b1b8d7cbb3f77a6">
      <tp>
        <v>1</v>
        <stp/>
        <stp>ff163f58-42a2-4691-b933-199c4b390e92</stp>
        <tr r="BI61" s="130"/>
      </tp>
    </main>
    <main first="rtdsrv.458a5932996f485b8b1b8d7cbb3f77a6">
      <tp>
        <v>1</v>
        <stp/>
        <stp>b78bb283-0252-4bb7-9be5-c81c0ecbd2ca</stp>
        <tr r="T35" s="130"/>
      </tp>
    </main>
    <main first="rtdsrv.458a5932996f485b8b1b8d7cbb3f77a6">
      <tp>
        <v>1</v>
        <stp/>
        <stp>7991804e-9339-46e8-ba36-f489cded0cc0</stp>
        <tr r="AJ21" s="130"/>
      </tp>
      <tp>
        <v>1</v>
        <stp/>
        <stp>0244474d-a65a-4645-a13c-3d49094a27c7</stp>
        <tr r="P14" s="132"/>
      </tp>
    </main>
    <main first="rtdsrv.458a5932996f485b8b1b8d7cbb3f77a6">
      <tp>
        <v>1</v>
        <stp/>
        <stp>d3e9eb24-9ff3-4de3-9873-af0ba76d8526</stp>
        <tr r="DJ6" s="132"/>
      </tp>
    </main>
    <main first="rtdsrv.458a5932996f485b8b1b8d7cbb3f77a6">
      <tp>
        <v>1</v>
        <stp/>
        <stp>ce7448bd-6b05-40f5-9b7c-93b34c65316a</stp>
        <tr r="O11" s="132"/>
      </tp>
    </main>
    <main first="rtdsrv.458a5932996f485b8b1b8d7cbb3f77a6">
      <tp>
        <v>1</v>
        <stp/>
        <stp>39e04402-9580-49ac-8f96-0801584cffde</stp>
        <tr r="EA8" s="132"/>
      </tp>
    </main>
    <main first="rtdsrv.458a5932996f485b8b1b8d7cbb3f77a6">
      <tp>
        <v>1</v>
        <stp/>
        <stp>b63bdac8-e23b-40f1-bafd-41532e661937</stp>
        <tr r="I68" s="130"/>
      </tp>
    </main>
    <main first="rtdsrv.458a5932996f485b8b1b8d7cbb3f77a6">
      <tp>
        <v>1</v>
        <stp/>
        <stp>46e5cef6-2e68-4270-b48b-5bfd37b82460</stp>
        <tr r="AY88" s="130"/>
      </tp>
    </main>
    <main first="rtdsrv.458a5932996f485b8b1b8d7cbb3f77a6">
      <tp>
        <v>1</v>
        <stp/>
        <stp>b948f79a-f73b-4bac-9f6e-c242009437ec</stp>
        <tr r="E52" s="130"/>
        <tr r="E47" s="130"/>
      </tp>
    </main>
    <main first="rtdsrv.458a5932996f485b8b1b8d7cbb3f77a6">
      <tp>
        <v>1</v>
        <stp/>
        <stp>611ac1cd-9ae2-47b7-96f7-254a275b7b20</stp>
        <tr r="HD12" s="132"/>
      </tp>
    </main>
    <main first="rtdsrv.458a5932996f485b8b1b8d7cbb3f77a6">
      <tp>
        <v>1</v>
        <stp/>
        <stp>371dd5e7-8437-4d3a-9dd3-c237333406df</stp>
        <tr r="AM57" s="130"/>
      </tp>
    </main>
    <main first="rtdsrv.458a5932996f485b8b1b8d7cbb3f77a6">
      <tp>
        <v>1</v>
        <stp/>
        <stp>62a0fb6d-b586-419b-bfb1-e14149d87241</stp>
        <tr r="E72" s="130"/>
      </tp>
    </main>
    <main first="rtdsrv.458a5932996f485b8b1b8d7cbb3f77a6">
      <tp>
        <v>1</v>
        <stp/>
        <stp>7fc7c83f-e811-4609-878f-909dfc338a35</stp>
        <tr r="AX43" s="130"/>
      </tp>
    </main>
    <main first="rtdsrv.458a5932996f485b8b1b8d7cbb3f77a6">
      <tp>
        <v>1</v>
        <stp/>
        <stp>6a4eb729-199c-4d4c-b0b1-fc4638322591</stp>
        <tr r="C7" s="132"/>
      </tp>
      <tp>
        <v>1</v>
        <stp/>
        <stp>748ae3d8-7844-4628-9332-a70a952de1d2</stp>
        <tr r="F12" s="132"/>
      </tp>
    </main>
    <main first="rtdsrv.458a5932996f485b8b1b8d7cbb3f77a6">
      <tp>
        <v>1</v>
        <stp/>
        <stp>d64f46d9-921f-4af0-8bf0-c593e1cfdc80</stp>
        <tr r="AD43" s="130"/>
      </tp>
    </main>
    <main first="rtdsrv.458a5932996f485b8b1b8d7cbb3f77a6">
      <tp>
        <v>1</v>
        <stp/>
        <stp>effeccba-3d8b-43d5-aebc-adb314ac8901</stp>
        <tr r="CE16" s="132"/>
      </tp>
    </main>
    <main first="rtdsrv.458a5932996f485b8b1b8d7cbb3f77a6">
      <tp>
        <v>1</v>
        <stp/>
        <stp>0ba962cb-4b2d-40d7-8e1a-5dcbd9c37719</stp>
        <tr r="BJ9" s="130"/>
      </tp>
    </main>
    <main first="rtdsrv.458a5932996f485b8b1b8d7cbb3f77a6">
      <tp>
        <v>1</v>
        <stp/>
        <stp>d9e564d1-3344-4007-9ecb-632ea3785bd1</stp>
        <tr r="S16" s="132"/>
      </tp>
    </main>
    <main first="rtdsrv.458a5932996f485b8b1b8d7cbb3f77a6">
      <tp>
        <v>1</v>
        <stp/>
        <stp>a95bebf2-2f9a-4808-afaf-bbdb58690b00</stp>
        <tr r="FW6" s="132"/>
      </tp>
    </main>
    <main first="rtdsrv.458a5932996f485b8b1b8d7cbb3f77a6">
      <tp>
        <v>1</v>
        <stp/>
        <stp>56e3d23c-cf7f-46ce-b143-1d266caf69ad</stp>
        <tr r="FH8" s="132"/>
      </tp>
    </main>
    <main first="rtdsrv.458a5932996f485b8b1b8d7cbb3f77a6">
      <tp>
        <v>1</v>
        <stp/>
        <stp>cc6da9c4-13c3-424b-a6c9-8ce0e22a9397</stp>
        <tr r="BE11" s="130"/>
      </tp>
    </main>
    <main first="rtdsrv.458a5932996f485b8b1b8d7cbb3f77a6">
      <tp>
        <v>1</v>
        <stp/>
        <stp>75a20beb-8465-45d7-8ecb-d177ecd8da0a</stp>
        <tr r="AO98" s="130"/>
      </tp>
    </main>
    <main first="rtdsrv.458a5932996f485b8b1b8d7cbb3f77a6">
      <tp>
        <v>1</v>
        <stp/>
        <stp>e1635404-0bc0-4e40-8bcf-730088e73ef0</stp>
        <tr r="GA16" s="132"/>
      </tp>
    </main>
    <main first="rtdsrv.458a5932996f485b8b1b8d7cbb3f77a6">
      <tp>
        <v>1</v>
        <stp/>
        <stp>c1b76ec3-b757-46de-99fb-98306a067df4</stp>
        <tr r="V55" s="130"/>
      </tp>
      <tp>
        <v>1</v>
        <stp/>
        <stp>485d627c-7684-49d9-b59d-8daac2b98cb6</stp>
        <tr r="AP86" s="130"/>
      </tp>
    </main>
    <main first="rtdsrv.458a5932996f485b8b1b8d7cbb3f77a6">
      <tp>
        <v>1</v>
        <stp/>
        <stp>0ef47b67-64cc-4939-959d-e8bf396c78f0</stp>
        <tr r="O9" s="130"/>
      </tp>
    </main>
    <main first="rtdsrv.458a5932996f485b8b1b8d7cbb3f77a6">
      <tp>
        <v>1</v>
        <stp/>
        <stp>a0da382a-bcc2-4cba-b169-cd2ffd42258b</stp>
        <tr r="L69" s="130"/>
      </tp>
      <tp>
        <v>1</v>
        <stp/>
        <stp>c4a738bc-288f-4c24-80df-3e56379044cb</stp>
        <tr r="AA99" s="130"/>
      </tp>
    </main>
    <main first="rtdsrv.458a5932996f485b8b1b8d7cbb3f77a6">
      <tp>
        <v>1</v>
        <stp/>
        <stp>836d69eb-9aac-4608-96a8-1d8764d3f2d3</stp>
        <tr r="AR55" s="130"/>
      </tp>
    </main>
    <main first="rtdsrv.458a5932996f485b8b1b8d7cbb3f77a6">
      <tp>
        <v>1</v>
        <stp/>
        <stp>ff573885-d8fa-4a55-b15f-2206cb3f4bb0</stp>
        <tr r="AZ46" s="130"/>
        <tr r="AZ51" s="130"/>
      </tp>
    </main>
    <main first="rtdsrv.458a5932996f485b8b1b8d7cbb3f77a6">
      <tp>
        <v>1</v>
        <stp/>
        <stp>7dff64f9-120f-45f4-b0cf-f7a6d817b169</stp>
        <tr r="GV15" s="132"/>
      </tp>
    </main>
    <main first="rtdsrv.458a5932996f485b8b1b8d7cbb3f77a6">
      <tp>
        <v>1</v>
        <stp/>
        <stp>c02b59af-acbc-4024-bef4-809744936668</stp>
        <tr r="AX18" s="130"/>
      </tp>
      <tp>
        <v>1</v>
        <stp/>
        <stp>fe2ee16f-0eb5-4a4e-acbd-ec336936e160</stp>
        <tr r="CZ12" s="132"/>
      </tp>
      <tp>
        <v>1</v>
        <stp/>
        <stp>4a142a5e-9a48-4ee7-89ac-63369d28904b</stp>
        <tr r="AD55" s="130"/>
      </tp>
      <tp>
        <v>1</v>
        <stp/>
        <stp>e77b4c7d-d695-4668-9eb0-aaec2a6eebfb</stp>
        <tr r="T59" s="130"/>
      </tp>
    </main>
    <main first="rtdsrv.458a5932996f485b8b1b8d7cbb3f77a6">
      <tp>
        <v>1</v>
        <stp/>
        <stp>b6c19b1e-4403-45e3-b076-71a21ecff8aa</stp>
        <tr r="Q12" s="132"/>
      </tp>
    </main>
    <main first="rtdsrv.458a5932996f485b8b1b8d7cbb3f77a6">
      <tp>
        <v>1</v>
        <stp/>
        <stp>5867166d-a96d-4e35-a8d1-545d6db76fcd</stp>
        <tr r="C60" s="130"/>
      </tp>
      <tp>
        <v>1</v>
        <stp/>
        <stp>bfddfe93-ee2d-4450-a999-b00c538bfd5e</stp>
        <tr r="FG12" s="132"/>
      </tp>
      <tp>
        <v>1</v>
        <stp/>
        <stp>0a46f345-1d66-4522-a849-8b4e99df8611</stp>
        <tr r="C71" s="130"/>
      </tp>
    </main>
    <main first="rtdsrv.458a5932996f485b8b1b8d7cbb3f77a6">
      <tp>
        <v>1</v>
        <stp/>
        <stp>626a6303-1ec4-444c-8a0e-21bf28988ba2</stp>
        <tr r="AL28" s="130"/>
      </tp>
    </main>
    <main first="rtdsrv.458a5932996f485b8b1b8d7cbb3f77a6">
      <tp>
        <v>1</v>
        <stp/>
        <stp>91422c8c-34be-479b-8685-3fcf04c88a12</stp>
        <tr r="BU12" s="132"/>
      </tp>
      <tp>
        <v>1</v>
        <stp/>
        <stp>99173ee2-1598-4b9c-adb1-b6bf3796ee71</stp>
        <tr r="R7" s="132"/>
      </tp>
    </main>
    <main first="rtdsrv.458a5932996f485b8b1b8d7cbb3f77a6">
      <tp>
        <v>1</v>
        <stp/>
        <stp>f0c9e405-bb96-4369-9193-ee768814f38c</stp>
        <tr r="BG7" s="132"/>
      </tp>
    </main>
    <main first="rtdsrv.458a5932996f485b8b1b8d7cbb3f77a6">
      <tp>
        <v>1</v>
        <stp/>
        <stp>4b5e78b9-b265-4596-9a4f-d687374c7330</stp>
        <tr r="T93" s="130"/>
      </tp>
      <tp>
        <v>1</v>
        <stp/>
        <stp>07988662-6b37-4077-8210-7c154b47f8d2</stp>
        <tr r="M83" s="130"/>
      </tp>
    </main>
    <main first="rtdsrv.458a5932996f485b8b1b8d7cbb3f77a6">
      <tp>
        <v>1</v>
        <stp/>
        <stp>ba8ccf18-de72-4f86-af8e-e6c14a2df2d7</stp>
        <tr r="AY56" s="130"/>
      </tp>
    </main>
    <main first="rtdsrv.458a5932996f485b8b1b8d7cbb3f77a6">
      <tp>
        <v>1</v>
        <stp/>
        <stp>23c73bd3-f033-4508-892a-4e6e5581bee9</stp>
        <tr r="AQ77" s="130"/>
      </tp>
    </main>
    <main first="rtdsrv.458a5932996f485b8b1b8d7cbb3f77a6">
      <tp>
        <v>1</v>
        <stp/>
        <stp>166997d0-a03e-48eb-85bb-1805258b0e58</stp>
        <tr r="AR28" s="130"/>
      </tp>
    </main>
    <main first="rtdsrv.458a5932996f485b8b1b8d7cbb3f77a6">
      <tp>
        <v>1</v>
        <stp/>
        <stp>2f3ec485-4032-451f-95ae-f5d2c97b6e09</stp>
        <tr r="AY64" s="130"/>
      </tp>
    </main>
    <main first="rtdsrv.458a5932996f485b8b1b8d7cbb3f77a6">
      <tp>
        <v>1</v>
        <stp/>
        <stp>c8baa011-53c2-40d2-aa79-126d3777c5e8</stp>
        <tr r="Z13" s="132"/>
      </tp>
    </main>
    <main first="rtdsrv.458a5932996f485b8b1b8d7cbb3f77a6">
      <tp>
        <v>1</v>
        <stp/>
        <stp>5f078019-6640-4932-9fd9-030ac96a1453</stp>
        <tr r="AH40" s="130"/>
      </tp>
    </main>
    <main first="rtdsrv.458a5932996f485b8b1b8d7cbb3f77a6">
      <tp>
        <v>1</v>
        <stp/>
        <stp>38904561-8d7e-4760-9384-c5503b062bdc</stp>
        <tr r="F95" s="130"/>
      </tp>
      <tp>
        <v>1</v>
        <stp/>
        <stp>ed97c95c-6ed7-4d6a-9cde-ea7f92aec5d5</stp>
        <tr r="EQ8" s="132"/>
      </tp>
    </main>
    <main first="rtdsrv.458a5932996f485b8b1b8d7cbb3f77a6">
      <tp>
        <v>1</v>
        <stp/>
        <stp>6e8ae748-34c8-4b9e-acd0-670aff1c897b</stp>
        <tr r="BH7" s="132"/>
      </tp>
    </main>
    <main first="rtdsrv.458a5932996f485b8b1b8d7cbb3f77a6">
      <tp>
        <v>1</v>
        <stp/>
        <stp>f1e51fd0-b94b-49a8-9291-b979ff716c75</stp>
        <tr r="AU10" s="130"/>
      </tp>
    </main>
    <main first="rtdsrv.458a5932996f485b8b1b8d7cbb3f77a6">
      <tp>
        <v>1</v>
        <stp/>
        <stp>fd841f09-0eb7-4c37-a714-cf77892eccb6</stp>
        <tr r="AK77" s="130"/>
      </tp>
    </main>
    <main first="rtdsrv.458a5932996f485b8b1b8d7cbb3f77a6">
      <tp>
        <v>1</v>
        <stp/>
        <stp>d9483de0-7bed-48a8-ad45-89d66deab382</stp>
        <tr r="H87" s="130"/>
      </tp>
    </main>
    <main first="rtdsrv.458a5932996f485b8b1b8d7cbb3f77a6">
      <tp>
        <v>1</v>
        <stp/>
        <stp>b2c3d9c1-2fb1-4ae4-8545-229ed7cd546d</stp>
        <tr r="FU15" s="132"/>
      </tp>
    </main>
    <main first="rtdsrv.458a5932996f485b8b1b8d7cbb3f77a6">
      <tp>
        <v>1</v>
        <stp/>
        <stp>f7ad603b-b0fd-4299-89cf-227f8a856d4c</stp>
        <tr r="AL33" s="130"/>
      </tp>
    </main>
    <main first="rtdsrv.458a5932996f485b8b1b8d7cbb3f77a6">
      <tp>
        <v>1</v>
        <stp/>
        <stp>50b5c067-796f-4465-bf06-9923c24bf1b9</stp>
        <tr r="T29" s="130"/>
      </tp>
    </main>
    <main first="rtdsrv.458a5932996f485b8b1b8d7cbb3f77a6">
      <tp>
        <v>1</v>
        <stp/>
        <stp>8ea42478-034b-402e-9101-331516ebf983</stp>
        <tr r="E63" s="130"/>
      </tp>
      <tp>
        <v>1</v>
        <stp/>
        <stp>b4ea0d64-7e42-4166-bc98-fdedd0f05452</stp>
        <tr r="AL20" s="130"/>
      </tp>
      <tp>
        <v>1</v>
        <stp/>
        <stp>d2eb2986-673a-4767-8c6f-e22ace588c3c</stp>
        <tr r="BD31" s="130"/>
      </tp>
      <tp>
        <v>1</v>
        <stp/>
        <stp>f62feed8-960a-462f-9c80-514c588db5d7</stp>
        <tr r="AS70" s="130"/>
      </tp>
    </main>
    <main first="rtdsrv.458a5932996f485b8b1b8d7cbb3f77a6">
      <tp>
        <v>1</v>
        <stp/>
        <stp>cc29e011-86d4-4681-96bf-bc3ad093acaa</stp>
        <tr r="BI73" s="130"/>
      </tp>
    </main>
    <main first="rtdsrv.458a5932996f485b8b1b8d7cbb3f77a6">
      <tp>
        <v>1</v>
        <stp/>
        <stp>ac1d8320-0c99-4b68-b6e0-7de09e83d452</stp>
        <tr r="P56" s="130"/>
      </tp>
      <tp>
        <v>1</v>
        <stp/>
        <stp>ec2018fd-3b42-4dda-8dfb-df7e50c0a182</stp>
        <tr r="N37" s="130"/>
      </tp>
      <tp>
        <v>1</v>
        <stp/>
        <stp>4c72cb01-8ee0-4351-a9ec-c9d199ef2e88</stp>
        <tr r="AY12" s="132"/>
      </tp>
      <tp>
        <v>1</v>
        <stp/>
        <stp>425af852-f9a1-45b5-b662-e7d445b9ae52</stp>
        <tr r="AA85" s="130"/>
      </tp>
    </main>
    <main first="rtdsrv.458a5932996f485b8b1b8d7cbb3f77a6">
      <tp>
        <v>1</v>
        <stp/>
        <stp>c5463d4e-8789-4251-8076-e7cbfb86a2b1</stp>
        <tr r="R24" s="130"/>
      </tp>
    </main>
    <main first="rtdsrv.458a5932996f485b8b1b8d7cbb3f77a6">
      <tp>
        <v>1</v>
        <stp/>
        <stp>976b9948-64a0-49d3-b44c-ceeabc047185</stp>
        <tr r="S79" s="130"/>
      </tp>
    </main>
    <main first="rtdsrv.458a5932996f485b8b1b8d7cbb3f77a6">
      <tp>
        <v>1</v>
        <stp/>
        <stp>5e2212c1-89e0-4f35-9a7d-8e636f4e2f6e</stp>
        <tr r="BI20" s="130"/>
      </tp>
    </main>
    <main first="rtdsrv.458a5932996f485b8b1b8d7cbb3f77a6">
      <tp>
        <v>1</v>
        <stp/>
        <stp>d1bb6c4d-a29e-4fd1-9368-5a25284b9ecd</stp>
        <tr r="AM21" s="130"/>
      </tp>
    </main>
    <main first="rtdsrv.458a5932996f485b8b1b8d7cbb3f77a6">
      <tp>
        <v>1</v>
        <stp/>
        <stp>8afb584d-ff50-47ed-b12c-6be470297393</stp>
        <tr r="CT15" s="132"/>
      </tp>
      <tp>
        <v>1</v>
        <stp/>
        <stp>c0cc7071-7ab9-4189-9ca5-bbc684b4318b</stp>
        <tr r="BK73" s="130"/>
      </tp>
    </main>
    <main first="rtdsrv.458a5932996f485b8b1b8d7cbb3f77a6">
      <tp>
        <v>1</v>
        <stp/>
        <stp>69f5f2d0-4ec6-46f3-baf2-3a1acbde5a92</stp>
        <tr r="AW89" s="130"/>
      </tp>
    </main>
    <main first="rtdsrv.458a5932996f485b8b1b8d7cbb3f77a6">
      <tp>
        <v>1</v>
        <stp/>
        <stp>870f909b-4a10-4178-845a-3d18ae844792</stp>
        <tr r="HB7" s="132"/>
      </tp>
    </main>
    <main first="rtdsrv.458a5932996f485b8b1b8d7cbb3f77a6">
      <tp>
        <v>1</v>
        <stp/>
        <stp>9cb62e12-96d4-484a-aeca-cf74d287fa21</stp>
        <tr r="Y7" s="130"/>
      </tp>
    </main>
    <main first="rtdsrv.458a5932996f485b8b1b8d7cbb3f77a6">
      <tp>
        <v>1</v>
        <stp/>
        <stp>2db9170a-296e-482f-a21f-fc1d0960bd05</stp>
        <tr r="AX88" s="130"/>
      </tp>
    </main>
    <main first="rtdsrv.458a5932996f485b8b1b8d7cbb3f77a6">
      <tp>
        <v>1</v>
        <stp/>
        <stp>6ac33c1c-5cbe-4f41-86ff-fa81593da0ff</stp>
        <tr r="AY60" s="130"/>
      </tp>
      <tp>
        <v>1</v>
        <stp/>
        <stp>dad1aa0f-0904-475b-9249-3db6b881c241</stp>
        <tr r="CA6" s="132"/>
      </tp>
      <tp>
        <v>1</v>
        <stp/>
        <stp>4c5a588c-bec4-49cb-b8a2-ee52ed4e93a3</stp>
        <tr r="L16" s="130"/>
      </tp>
    </main>
    <main first="rtdsrv.458a5932996f485b8b1b8d7cbb3f77a6">
      <tp>
        <v>1</v>
        <stp/>
        <stp>51b06989-5dad-4924-aa24-2250ac1d6b49</stp>
        <tr r="AB37" s="130"/>
      </tp>
    </main>
    <main first="rtdsrv.458a5932996f485b8b1b8d7cbb3f77a6">
      <tp>
        <v>1</v>
        <stp/>
        <stp>6e4a0a02-448d-465d-80d2-4cdbb9d38b83</stp>
        <tr r="GZ13" s="132"/>
      </tp>
    </main>
    <main first="rtdsrv.458a5932996f485b8b1b8d7cbb3f77a6">
      <tp>
        <v>1</v>
        <stp/>
        <stp>675f3f6a-85e9-47e0-88c0-4b1a1351fc88</stp>
        <tr r="Q70" s="130"/>
      </tp>
      <tp>
        <v>1</v>
        <stp/>
        <stp>f13c4799-227a-45c9-8e3e-5a57a44edcf6</stp>
        <tr r="BJ85" s="130"/>
      </tp>
    </main>
    <main first="rtdsrv.458a5932996f485b8b1b8d7cbb3f77a6">
      <tp>
        <v>1</v>
        <stp/>
        <stp>3ae4ca26-ab4c-4b67-819b-57a6d45e1d97</stp>
        <tr r="AV25" s="130"/>
      </tp>
    </main>
    <main first="rtdsrv.458a5932996f485b8b1b8d7cbb3f77a6">
      <tp>
        <v>1</v>
        <stp/>
        <stp>5b9130d8-eeea-48b9-870d-13d646098333</stp>
        <tr r="AE58" s="130"/>
      </tp>
    </main>
    <main first="rtdsrv.458a5932996f485b8b1b8d7cbb3f77a6">
      <tp>
        <v>1</v>
        <stp/>
        <stp>05f78c47-54a8-44f9-9729-f3fc5bd461f9</stp>
        <tr r="AM56" s="130"/>
      </tp>
    </main>
    <main first="rtdsrv.458a5932996f485b8b1b8d7cbb3f77a6">
      <tp>
        <v>1</v>
        <stp/>
        <stp>5cbcd9eb-8661-4766-b26d-78535a9ec3b4</stp>
        <tr r="EB16" s="132"/>
      </tp>
    </main>
    <main first="rtdsrv.458a5932996f485b8b1b8d7cbb3f77a6">
      <tp>
        <v>1</v>
        <stp/>
        <stp>e5ba9e95-c28e-4008-b9be-9baae63165ea</stp>
        <tr r="K84" s="130"/>
      </tp>
    </main>
    <main first="rtdsrv.458a5932996f485b8b1b8d7cbb3f77a6">
      <tp>
        <v>1</v>
        <stp/>
        <stp>e61c8122-9606-410a-95bc-fcbf249ceb6a</stp>
        <tr r="C15" s="130"/>
      </tp>
    </main>
    <main first="rtdsrv.458a5932996f485b8b1b8d7cbb3f77a6">
      <tp>
        <v>1</v>
        <stp/>
        <stp>af5daf6c-460f-4aaa-bd7a-ba5f191dc24c</stp>
        <tr r="AX68" s="130"/>
      </tp>
    </main>
    <main first="rtdsrv.458a5932996f485b8b1b8d7cbb3f77a6">
      <tp>
        <v>1</v>
        <stp/>
        <stp>fa115b52-f82f-47d9-887f-5da9c1fd4693</stp>
        <tr r="GN5" s="132"/>
      </tp>
    </main>
    <main first="rtdsrv.458a5932996f485b8b1b8d7cbb3f77a6">
      <tp>
        <v>1</v>
        <stp/>
        <stp>1b996186-b691-49c3-9082-c11ac2c2c139</stp>
        <tr r="AR37" s="130"/>
      </tp>
    </main>
    <main first="rtdsrv.458a5932996f485b8b1b8d7cbb3f77a6">
      <tp>
        <v>1</v>
        <stp/>
        <stp>d2061319-930d-4a2b-bc41-9a1735ea623e</stp>
        <tr r="FA13" s="132"/>
      </tp>
      <tp>
        <v>1</v>
        <stp/>
        <stp>6c15f8d7-6c99-4f33-bb47-113201573bc4</stp>
        <tr r="P51" s="130"/>
        <tr r="P46" s="130"/>
      </tp>
    </main>
    <main first="rtdsrv.458a5932996f485b8b1b8d7cbb3f77a6">
      <tp>
        <v>1</v>
        <stp/>
        <stp>a5f0af0a-68b3-482b-b5c2-ee0dc0170996</stp>
        <tr r="AB13" s="130"/>
      </tp>
    </main>
    <main first="rtdsrv.458a5932996f485b8b1b8d7cbb3f77a6">
      <tp>
        <v>1</v>
        <stp/>
        <stp>b3804a64-a2d8-4e63-a633-6864648607d3</stp>
        <tr r="H37" s="130"/>
      </tp>
    </main>
    <main first="rtdsrv.458a5932996f485b8b1b8d7cbb3f77a6">
      <tp>
        <v>1</v>
        <stp/>
        <stp>83e03857-20d2-4b36-8ddd-9b3439ac0835</stp>
        <tr r="BH85" s="130"/>
      </tp>
      <tp>
        <v>1</v>
        <stp/>
        <stp>19f3f4d4-7e2a-4ad6-8652-8f8f7d889305</stp>
        <tr r="BE43" s="130"/>
      </tp>
      <tp>
        <v>1</v>
        <stp/>
        <stp>b0558346-8f8d-4829-a27f-bbecf9961f80</stp>
        <tr r="BX16" s="132"/>
      </tp>
    </main>
    <main first="rtdsrv.458a5932996f485b8b1b8d7cbb3f77a6">
      <tp>
        <v>1</v>
        <stp/>
        <stp>715eec35-354a-483d-87e1-b943df6ab7e0</stp>
        <tr r="R79" s="130"/>
      </tp>
    </main>
    <main first="rtdsrv.458a5932996f485b8b1b8d7cbb3f77a6">
      <tp>
        <v>1</v>
        <stp/>
        <stp>087d730a-aa32-4ebb-95ec-b4b0027f4c58</stp>
        <tr r="GO16" s="132"/>
      </tp>
    </main>
    <main first="rtdsrv.458a5932996f485b8b1b8d7cbb3f77a6">
      <tp>
        <v>1</v>
        <stp/>
        <stp>46787bf1-72a9-4e9d-9efe-ca0b19e0916b</stp>
        <tr r="BD10" s="130"/>
      </tp>
    </main>
    <main first="rtdsrv.458a5932996f485b8b1b8d7cbb3f77a6">
      <tp>
        <v>1</v>
        <stp/>
        <stp>47fb1e96-c6c2-4793-b8b1-552b7d930963</stp>
        <tr r="E28" s="130"/>
      </tp>
    </main>
    <main first="rtdsrv.458a5932996f485b8b1b8d7cbb3f77a6">
      <tp>
        <v>1</v>
        <stp/>
        <stp>ea78c6c2-04e8-479f-8127-f4892990563d</stp>
        <tr r="BG19" s="130"/>
      </tp>
    </main>
    <main first="rtdsrv.458a5932996f485b8b1b8d7cbb3f77a6">
      <tp>
        <v>1</v>
        <stp/>
        <stp>46324969-bf1f-4caa-8728-bf3d4b87c258</stp>
        <tr r="AM10" s="130"/>
      </tp>
    </main>
    <main first="rtdsrv.458a5932996f485b8b1b8d7cbb3f77a6">
      <tp>
        <v>1</v>
        <stp/>
        <stp>2e775c15-ed5f-4359-bd2e-eca76e85df82</stp>
        <tr r="AR43" s="130"/>
      </tp>
    </main>
    <main first="rtdsrv.458a5932996f485b8b1b8d7cbb3f77a6">
      <tp>
        <v>1</v>
        <stp/>
        <stp>af9fdb2d-06b9-4b3a-a304-ce6da9aad189</stp>
        <tr r="AB69" s="130"/>
      </tp>
    </main>
    <main first="rtdsrv.458a5932996f485b8b1b8d7cbb3f77a6">
      <tp>
        <v>1</v>
        <stp/>
        <stp>f4d2ddc0-c0d7-4175-abac-c337ae09b91d</stp>
        <tr r="Z84" s="130"/>
      </tp>
    </main>
    <main first="rtdsrv.458a5932996f485b8b1b8d7cbb3f77a6">
      <tp>
        <v>1</v>
        <stp/>
        <stp>075af812-3798-4c83-b1b1-3a03c1a29551</stp>
        <tr r="K91" s="130"/>
      </tp>
      <tp>
        <v>1</v>
        <stp/>
        <stp>98f11469-4b0a-41eb-b4b0-6604c22b34f8</stp>
        <tr r="Y33" s="130"/>
      </tp>
    </main>
    <main first="rtdsrv.458a5932996f485b8b1b8d7cbb3f77a6">
      <tp>
        <v>1</v>
        <stp/>
        <stp>04266dab-1b33-4ce8-94fe-ae8fc33cfa99</stp>
        <tr r="BD75" s="130"/>
      </tp>
      <tp>
        <v>1</v>
        <stp/>
        <stp>66168096-3f26-4ce8-b4d4-5a4ab790671c</stp>
        <tr r="T88" s="130"/>
      </tp>
      <tp>
        <v>1</v>
        <stp/>
        <stp>08ae2a0b-b166-4642-bf4f-8c54ff73a0bb</stp>
        <tr r="AD7" s="130"/>
      </tp>
    </main>
    <main first="rtdsrv.458a5932996f485b8b1b8d7cbb3f77a6">
      <tp>
        <v>1</v>
        <stp/>
        <stp>524bc26e-69d2-4d54-82c8-d9c65f1fc67f</stp>
        <tr r="R15" s="132"/>
      </tp>
    </main>
    <main first="rtdsrv.458a5932996f485b8b1b8d7cbb3f77a6">
      <tp>
        <v>1</v>
        <stp/>
        <stp>69f74804-4bf4-4291-bdc2-d4c3ccf568db</stp>
        <tr r="EL15" s="132"/>
      </tp>
    </main>
    <main first="rtdsrv.458a5932996f485b8b1b8d7cbb3f77a6">
      <tp>
        <v>1</v>
        <stp/>
        <stp>24a89cc3-4200-4ed6-b085-770cc7401ef2</stp>
        <tr r="H30" s="130"/>
      </tp>
    </main>
    <main first="rtdsrv.458a5932996f485b8b1b8d7cbb3f77a6">
      <tp>
        <v>1</v>
        <stp/>
        <stp>8d2cce18-c54a-4250-ac12-0bd45853812c</stp>
        <tr r="GE14" s="132"/>
      </tp>
    </main>
    <main first="rtdsrv.458a5932996f485b8b1b8d7cbb3f77a6">
      <tp>
        <v>1</v>
        <stp/>
        <stp>8b193262-dc40-44b8-9a7b-93a3acbc8cbd</stp>
        <tr r="BA31" s="130"/>
      </tp>
    </main>
    <main first="rtdsrv.458a5932996f485b8b1b8d7cbb3f77a6">
      <tp>
        <v>1</v>
        <stp/>
        <stp>8de8b056-53a5-4590-a5ce-08a3409f929e</stp>
        <tr r="V7" s="132"/>
      </tp>
    </main>
    <main first="rtdsrv.458a5932996f485b8b1b8d7cbb3f77a6">
      <tp>
        <v>1</v>
        <stp/>
        <stp>531e0a6e-902d-4c6f-88fa-1e67f633404d</stp>
        <tr r="GD11" s="132"/>
      </tp>
      <tp>
        <v>1</v>
        <stp/>
        <stp>3d4b5004-2066-456a-8662-9d41d8715ebe</stp>
        <tr r="W40" s="130"/>
      </tp>
      <tp>
        <v>1</v>
        <stp/>
        <stp>e2ec7b0a-95f6-4f06-9e1c-978dc0d64a8a</stp>
        <tr r="AN30" s="130"/>
      </tp>
    </main>
    <main first="rtdsrv.458a5932996f485b8b1b8d7cbb3f77a6">
      <tp>
        <v>1</v>
        <stp/>
        <stp>c7cdaa36-8070-4c6c-b4aa-4cc792cbd5ae</stp>
        <tr r="BC44" s="130"/>
      </tp>
    </main>
    <main first="rtdsrv.458a5932996f485b8b1b8d7cbb3f77a6">
      <tp>
        <v>1</v>
        <stp/>
        <stp>7b7ea80e-cd8a-46d3-816f-891c096b64bf</stp>
        <tr r="GB6" s="132"/>
      </tp>
    </main>
    <main first="rtdsrv.458a5932996f485b8b1b8d7cbb3f77a6">
      <tp>
        <v>1</v>
        <stp/>
        <stp>c7a39d84-9250-4cb3-b36b-f3a3418fbe06</stp>
        <tr r="CL12" s="132"/>
      </tp>
    </main>
    <main first="rtdsrv.458a5932996f485b8b1b8d7cbb3f77a6">
      <tp>
        <v>1</v>
        <stp/>
        <stp>64aa3768-40e3-441f-bdfc-c8f3e5a212c4</stp>
        <tr r="F44" s="130"/>
      </tp>
    </main>
    <main first="rtdsrv.458a5932996f485b8b1b8d7cbb3f77a6">
      <tp>
        <v>1</v>
        <stp/>
        <stp>532058e9-5fe3-44bb-99f5-45a93ac46ff4</stp>
        <tr r="AN75" s="130"/>
      </tp>
    </main>
    <main first="rtdsrv.458a5932996f485b8b1b8d7cbb3f77a6">
      <tp>
        <v>1</v>
        <stp/>
        <stp>7ab0a55a-6465-4d8d-b5a2-b4f498522cbc</stp>
        <tr r="C29" s="130"/>
      </tp>
    </main>
    <main first="rtdsrv.458a5932996f485b8b1b8d7cbb3f77a6">
      <tp>
        <v>1</v>
        <stp/>
        <stp>975bea89-2a53-49f9-a9be-1499e2c2d132</stp>
        <tr r="BH92" s="130"/>
      </tp>
      <tp>
        <v>1</v>
        <stp/>
        <stp>c02b34e5-bee5-4033-8d22-e1e69f7cc82c</stp>
        <tr r="BB10" s="130"/>
      </tp>
    </main>
    <main first="rtdsrv.458a5932996f485b8b1b8d7cbb3f77a6">
      <tp>
        <v>1</v>
        <stp/>
        <stp>67946d80-c262-4236-a341-03c97123c83a</stp>
        <tr r="AF5" s="130"/>
      </tp>
    </main>
    <main first="rtdsrv.458a5932996f485b8b1b8d7cbb3f77a6">
      <tp>
        <v>1</v>
        <stp/>
        <stp>75a2ef84-9900-4781-85d5-93105609f248</stp>
        <tr r="X92" s="130"/>
      </tp>
      <tp>
        <v>1</v>
        <stp/>
        <stp>142336c0-cb25-4ee6-b46c-d827b57b7d45</stp>
        <tr r="AU60" s="130"/>
      </tp>
    </main>
    <main first="rtdsrv.458a5932996f485b8b1b8d7cbb3f77a6">
      <tp>
        <v>1</v>
        <stp/>
        <stp>48161b84-b9f7-4cc8-9b9e-f4af6708b2e6</stp>
        <tr r="F41" s="130"/>
      </tp>
      <tp>
        <v>1</v>
        <stp/>
        <stp>b5d4f55e-6ebd-4bb5-bb20-95b7f474e80c</stp>
        <tr r="BI87" s="130"/>
      </tp>
      <tp>
        <v>1</v>
        <stp/>
        <stp>f1e25f88-a2d2-4aa7-9094-7e7093579f8b</stp>
        <tr r="M64" s="130"/>
      </tp>
    </main>
    <main first="rtdsrv.458a5932996f485b8b1b8d7cbb3f77a6">
      <tp>
        <v>1</v>
        <stp/>
        <stp>d80f25c8-11c9-44f2-aab1-1ccbeced8d40</stp>
        <tr r="AJ74" s="130"/>
      </tp>
    </main>
    <main first="rtdsrv.458a5932996f485b8b1b8d7cbb3f77a6">
      <tp>
        <v>1</v>
        <stp/>
        <stp>8d09c138-c76c-4132-8cbd-a806ee9e3380</stp>
        <tr r="BB68" s="130"/>
      </tp>
      <tp>
        <v>1</v>
        <stp/>
        <stp>374910ee-5025-4e65-9064-e82614c8d5ea</stp>
        <tr r="BD45" s="130"/>
      </tp>
    </main>
    <main first="rtdsrv.458a5932996f485b8b1b8d7cbb3f77a6">
      <tp>
        <v>1</v>
        <stp/>
        <stp>3a70b4c5-af5b-4de2-9bb2-59ec6be427a5</stp>
        <tr r="AE99" s="130"/>
      </tp>
      <tp>
        <v>1</v>
        <stp/>
        <stp>470887de-9bfd-42a5-8f3e-30b62aa95f13</stp>
        <tr r="DN16" s="132"/>
      </tp>
    </main>
    <main first="rtdsrv.458a5932996f485b8b1b8d7cbb3f77a6">
      <tp>
        <v>1</v>
        <stp/>
        <stp>d53954f0-af92-4637-8985-2188308f6fd5</stp>
        <tr r="AU97" s="130"/>
      </tp>
    </main>
    <main first="rtdsrv.458a5932996f485b8b1b8d7cbb3f77a6">
      <tp>
        <v>1</v>
        <stp/>
        <stp>e0541377-4202-4544-9280-b5adb2531468</stp>
        <tr r="AA45" s="130"/>
      </tp>
    </main>
    <main first="rtdsrv.458a5932996f485b8b1b8d7cbb3f77a6">
      <tp>
        <v>1</v>
        <stp/>
        <stp>239a4126-f29b-486d-aea8-dad929ba31e5</stp>
        <tr r="AS46" s="130"/>
        <tr r="AS51" s="130"/>
      </tp>
      <tp>
        <v>1</v>
        <stp/>
        <stp>34143db0-3dd6-4e90-8c90-ca2fa55466b6</stp>
        <tr r="L72" s="130"/>
      </tp>
    </main>
    <main first="rtdsrv.458a5932996f485b8b1b8d7cbb3f77a6">
      <tp>
        <v>1</v>
        <stp/>
        <stp>d7f63f94-19cb-428c-baeb-38c2ebd534a3</stp>
        <tr r="S69" s="130"/>
      </tp>
      <tp>
        <v>1</v>
        <stp/>
        <stp>f2d68f84-4891-487e-8e9a-21ad3439d15e</stp>
        <tr r="FK15" s="132"/>
      </tp>
    </main>
    <main first="rtdsrv.458a5932996f485b8b1b8d7cbb3f77a6">
      <tp>
        <v>1</v>
        <stp/>
        <stp>24f5a279-d6fd-43b9-a010-3cf680f4c159</stp>
        <tr r="P89" s="130"/>
      </tp>
    </main>
    <main first="rtdsrv.458a5932996f485b8b1b8d7cbb3f77a6">
      <tp>
        <v>1</v>
        <stp/>
        <stp>5287e012-8d41-42bb-a65a-609e33b04f55</stp>
        <tr r="BH82" s="130"/>
      </tp>
    </main>
    <main first="rtdsrv.458a5932996f485b8b1b8d7cbb3f77a6">
      <tp>
        <v>1</v>
        <stp/>
        <stp>c7ada1ea-b828-4019-975a-6780614cdf3b</stp>
        <tr r="Z42" s="130"/>
      </tp>
    </main>
    <main first="rtdsrv.458a5932996f485b8b1b8d7cbb3f77a6">
      <tp>
        <v>1</v>
        <stp/>
        <stp>f1ee2b70-32e4-4bae-b39a-b9b2e8b455b2</stp>
        <tr r="AM67" s="130"/>
      </tp>
    </main>
    <main first="rtdsrv.458a5932996f485b8b1b8d7cbb3f77a6">
      <tp>
        <v>1</v>
        <stp/>
        <stp>61550d6e-00e3-47cc-95bb-e1b28eb04827</stp>
        <tr r="P67" s="130"/>
      </tp>
    </main>
    <main first="rtdsrv.458a5932996f485b8b1b8d7cbb3f77a6">
      <tp>
        <v>1</v>
        <stp/>
        <stp>28a1aae6-c954-4260-a653-51d25b0a3d98</stp>
        <tr r="L21" s="130"/>
      </tp>
    </main>
    <main first="rtdsrv.458a5932996f485b8b1b8d7cbb3f77a6">
      <tp>
        <v>1</v>
        <stp/>
        <stp>c4638c7a-9dd7-49e4-accf-a0cd6e65dd56</stp>
        <tr r="O22" s="130"/>
      </tp>
    </main>
    <main first="rtdsrv.458a5932996f485b8b1b8d7cbb3f77a6">
      <tp>
        <v>1</v>
        <stp/>
        <stp>00522fa3-afc0-4d19-afcb-dba85091c7d0</stp>
        <tr r="ES16" s="132"/>
      </tp>
    </main>
    <main first="rtdsrv.458a5932996f485b8b1b8d7cbb3f77a6">
      <tp>
        <v>1</v>
        <stp/>
        <stp>d79f808d-8fcd-4523-9b78-d4c8c4dac340</stp>
        <tr r="T7" s="130"/>
      </tp>
    </main>
    <main first="rtdsrv.458a5932996f485b8b1b8d7cbb3f77a6">
      <tp>
        <v>1</v>
        <stp/>
        <stp>2732ba49-9117-4737-843b-5cbe0783d7c3</stp>
        <tr r="AF71" s="130"/>
      </tp>
    </main>
    <main first="rtdsrv.458a5932996f485b8b1b8d7cbb3f77a6">
      <tp>
        <v>1</v>
        <stp/>
        <stp>6c0a9462-2ab4-4068-84c1-008d340da23b</stp>
        <tr r="DT8" s="132"/>
      </tp>
      <tp>
        <v>1</v>
        <stp/>
        <stp>b3348e49-7eb0-4de8-a0e1-f5e68b938cb4</stp>
        <tr r="AQ85" s="130"/>
      </tp>
    </main>
    <main first="rtdsrv.458a5932996f485b8b1b8d7cbb3f77a6">
      <tp>
        <v>1</v>
        <stp/>
        <stp>0a835df1-bd8e-4d69-a621-16083fe07430</stp>
        <tr r="CQ9" s="132"/>
      </tp>
    </main>
    <main first="rtdsrv.458a5932996f485b8b1b8d7cbb3f77a6">
      <tp>
        <v>1</v>
        <stp/>
        <stp>55427302-705a-4918-9f42-46fda440679e</stp>
        <tr r="Q90" s="130"/>
      </tp>
    </main>
    <main first="rtdsrv.458a5932996f485b8b1b8d7cbb3f77a6">
      <tp>
        <v>1</v>
        <stp/>
        <stp>fc929d51-5ea1-4f91-b035-f1d4d83fe1f6</stp>
        <tr r="G65" s="130"/>
      </tp>
      <tp>
        <v>1</v>
        <stp/>
        <stp>8b6938dc-0132-4925-b59c-b8e59a95a710</stp>
        <tr r="AK8" s="132"/>
      </tp>
    </main>
    <main first="rtdsrv.458a5932996f485b8b1b8d7cbb3f77a6">
      <tp>
        <v>1</v>
        <stp/>
        <stp>4a427e4e-f388-4569-bd13-2d7a16ab208f</stp>
        <tr r="GL5" s="132"/>
      </tp>
    </main>
    <main first="rtdsrv.458a5932996f485b8b1b8d7cbb3f77a6">
      <tp>
        <v>1</v>
        <stp/>
        <stp>4bcce601-d405-47ed-82f8-a82625aa27b9</stp>
        <tr r="BG55" s="130"/>
      </tp>
    </main>
    <main first="rtdsrv.458a5932996f485b8b1b8d7cbb3f77a6">
      <tp>
        <v>1</v>
        <stp/>
        <stp>823c5a5a-89c4-4dd1-9f29-cf44b3e19590</stp>
        <tr r="BH28" s="130"/>
      </tp>
    </main>
    <main first="rtdsrv.458a5932996f485b8b1b8d7cbb3f77a6">
      <tp>
        <v>1</v>
        <stp/>
        <stp>99c36745-25bb-4d3a-ae0b-e1f58b8c761d</stp>
        <tr r="HD11" s="132"/>
      </tp>
      <tp>
        <v>1</v>
        <stp/>
        <stp>fab16851-4f28-4ee2-a926-915fb0806de2</stp>
        <tr r="FS8" s="132"/>
      </tp>
    </main>
    <main first="rtdsrv.458a5932996f485b8b1b8d7cbb3f77a6">
      <tp>
        <v>1</v>
        <stp/>
        <stp>c059a9b6-3f15-441d-a31d-178ba2aa1bc0</stp>
        <tr r="AB43" s="130"/>
      </tp>
    </main>
    <main first="rtdsrv.458a5932996f485b8b1b8d7cbb3f77a6">
      <tp>
        <v>1</v>
        <stp/>
        <stp>2b6079ef-28b8-497e-b715-a7fbcc2ecaee</stp>
        <tr r="AO47" s="130"/>
        <tr r="AO52" s="130"/>
      </tp>
    </main>
    <main first="rtdsrv.458a5932996f485b8b1b8d7cbb3f77a6">
      <tp>
        <v>1</v>
        <stp/>
        <stp>e88ed41d-b1db-441d-bb55-85c1221df071</stp>
        <tr r="CH7" s="132"/>
      </tp>
    </main>
    <main first="rtdsrv.458a5932996f485b8b1b8d7cbb3f77a6">
      <tp>
        <v>1</v>
        <stp/>
        <stp>f0883828-2abc-4155-a82e-b662a5e4d65e</stp>
        <tr r="CM16" s="132"/>
      </tp>
    </main>
    <main first="rtdsrv.458a5932996f485b8b1b8d7cbb3f77a6">
      <tp>
        <v>1</v>
        <stp/>
        <stp>81da9abb-5dcb-4be9-a309-c7fda2eeaa0f</stp>
        <tr r="AO94" s="130"/>
      </tp>
      <tp>
        <v>1</v>
        <stp/>
        <stp>a5420904-95f5-4307-a5a4-fd04f68a79ec</stp>
        <tr r="M37" s="130"/>
      </tp>
    </main>
    <main first="rtdsrv.458a5932996f485b8b1b8d7cbb3f77a6">
      <tp>
        <v>1</v>
        <stp/>
        <stp>19403f1d-0b5f-4528-9ae9-2eda8f6759d3</stp>
        <tr r="AX12" s="132"/>
      </tp>
    </main>
    <main first="rtdsrv.458a5932996f485b8b1b8d7cbb3f77a6">
      <tp>
        <v>1</v>
        <stp/>
        <stp>8bf7a427-a3f1-4da3-a2c3-2c9d49b515fa</stp>
        <tr r="AE8" s="130"/>
      </tp>
    </main>
    <main first="rtdsrv.458a5932996f485b8b1b8d7cbb3f77a6">
      <tp>
        <v>1</v>
        <stp/>
        <stp>0f27e4a8-ff2c-4676-968c-608a431fc163</stp>
        <tr r="AW16" s="130"/>
      </tp>
    </main>
    <main first="rtdsrv.458a5932996f485b8b1b8d7cbb3f77a6">
      <tp>
        <v>1</v>
        <stp/>
        <stp>5a8ed203-e0a6-4c08-b625-430eb45403aa</stp>
        <tr r="BI77" s="130"/>
      </tp>
    </main>
    <main first="rtdsrv.458a5932996f485b8b1b8d7cbb3f77a6">
      <tp>
        <v>1</v>
        <stp/>
        <stp>e11bf9dc-65cc-4e21-acd9-2cfdbabaea4c</stp>
        <tr r="EI15" s="132"/>
      </tp>
    </main>
    <main first="rtdsrv.458a5932996f485b8b1b8d7cbb3f77a6">
      <tp>
        <v>1</v>
        <stp/>
        <stp>656f70b2-2f6d-41fb-9f81-ae347aa4aa8f</stp>
        <tr r="AH73" s="130"/>
      </tp>
    </main>
    <main first="rtdsrv.458a5932996f485b8b1b8d7cbb3f77a6">
      <tp>
        <v>1</v>
        <stp/>
        <stp>858a3cf1-f14e-4b19-80d0-baa5b7c4e344</stp>
        <tr r="DB8" s="132"/>
      </tp>
      <tp>
        <v>1</v>
        <stp/>
        <stp>a97b97ff-3c26-4dc4-9224-e7fdf0022496</stp>
        <tr r="D99" s="130"/>
      </tp>
    </main>
    <main first="rtdsrv.458a5932996f485b8b1b8d7cbb3f77a6">
      <tp>
        <v>1</v>
        <stp/>
        <stp>98e0bd01-e998-44d8-9fe9-586c5b0a669b</stp>
        <tr r="S8" s="132"/>
      </tp>
    </main>
    <main first="rtdsrv.458a5932996f485b8b1b8d7cbb3f77a6">
      <tp>
        <v>1</v>
        <stp/>
        <stp>e1b3fe87-b0a1-4ae5-a938-76f8f88fe6fe</stp>
        <tr r="EO12" s="132"/>
      </tp>
      <tp>
        <v>1</v>
        <stp/>
        <stp>e6a4d69a-746f-46a1-81f5-c5cae92d8db6</stp>
        <tr r="A1" s="133"/>
      </tp>
    </main>
    <main first="rtdsrv.458a5932996f485b8b1b8d7cbb3f77a6">
      <tp>
        <v>1</v>
        <stp/>
        <stp>3f1b60c2-87ff-4838-b299-0dc902c4d168</stp>
        <tr r="Q74" s="130"/>
      </tp>
    </main>
    <main first="rtdsrv.458a5932996f485b8b1b8d7cbb3f77a6">
      <tp>
        <v>1</v>
        <stp/>
        <stp>6b06e9a9-0752-488f-8475-7a8f0131cb2d</stp>
        <tr r="AC14" s="132"/>
      </tp>
    </main>
    <main first="rtdsrv.458a5932996f485b8b1b8d7cbb3f77a6">
      <tp>
        <v>1</v>
        <stp/>
        <stp>3db3c9e6-09b0-48e7-967b-2f5a6ed4cffc</stp>
        <tr r="BF30" s="130"/>
      </tp>
    </main>
    <main first="rtdsrv.458a5932996f485b8b1b8d7cbb3f77a6">
      <tp>
        <v>1</v>
        <stp/>
        <stp>bb0e1952-8a75-4c4a-9ba8-fc116172d91f</stp>
        <tr r="AA20" s="130"/>
      </tp>
    </main>
    <main first="rtdsrv.458a5932996f485b8b1b8d7cbb3f77a6">
      <tp>
        <v>1</v>
        <stp/>
        <stp>b88be345-cc88-4ba6-87e6-32d855e0a43d</stp>
        <tr r="AW79" s="130"/>
      </tp>
    </main>
    <main first="rtdsrv.458a5932996f485b8b1b8d7cbb3f77a6">
      <tp>
        <v>1</v>
        <stp/>
        <stp>f42021e3-2892-4724-afcf-8cd65342282e</stp>
        <tr r="BF7" s="130"/>
      </tp>
    </main>
    <main first="rtdsrv.458a5932996f485b8b1b8d7cbb3f77a6">
      <tp>
        <v>1</v>
        <stp/>
        <stp>54113705-fbc4-4688-9bb9-21d92485e122</stp>
        <tr r="AD67" s="130"/>
      </tp>
    </main>
    <main first="rtdsrv.458a5932996f485b8b1b8d7cbb3f77a6">
      <tp>
        <v>1</v>
        <stp/>
        <stp>42cf6173-1d95-4724-b0f3-4bf6e1c81820</stp>
        <tr r="ET8" s="132"/>
      </tp>
    </main>
    <main first="rtdsrv.458a5932996f485b8b1b8d7cbb3f77a6">
      <tp>
        <v>1</v>
        <stp/>
        <stp>befbfe33-9d36-482b-94cd-bf50a10f9dd6</stp>
        <tr r="T38" s="130"/>
      </tp>
    </main>
    <main first="rtdsrv.458a5932996f485b8b1b8d7cbb3f77a6">
      <tp>
        <v>1</v>
        <stp/>
        <stp>870211b6-89c4-4b15-87ef-1e91b3e9c3e4</stp>
        <tr r="AL11" s="132"/>
      </tp>
    </main>
    <main first="rtdsrv.458a5932996f485b8b1b8d7cbb3f77a6">
      <tp>
        <v>1</v>
        <stp/>
        <stp>95d72276-f7be-40cf-84e5-62139ba7395b</stp>
        <tr r="CH6" s="132"/>
      </tp>
    </main>
    <main first="rtdsrv.458a5932996f485b8b1b8d7cbb3f77a6">
      <tp>
        <v>1</v>
        <stp/>
        <stp>24c1db24-4ee1-4546-bef7-300799d110c8</stp>
        <tr r="O12" s="132"/>
      </tp>
    </main>
    <main first="rtdsrv.458a5932996f485b8b1b8d7cbb3f77a6">
      <tp>
        <v>1</v>
        <stp/>
        <stp>c2f51735-f2c7-4498-81d7-8e92bee7f499</stp>
        <tr r="AD78" s="130"/>
      </tp>
    </main>
    <main first="rtdsrv.458a5932996f485b8b1b8d7cbb3f77a6">
      <tp>
        <v>1</v>
        <stp/>
        <stp>4833b820-e302-48e9-b5b2-ea231eb491e5</stp>
        <tr r="BJ30" s="130"/>
      </tp>
    </main>
    <main first="rtdsrv.458a5932996f485b8b1b8d7cbb3f77a6">
      <tp>
        <v>1</v>
        <stp/>
        <stp>d505104f-2ebb-431a-ad72-69c8e70c5d5a</stp>
        <tr r="AE21" s="130"/>
      </tp>
    </main>
    <main first="rtdsrv.458a5932996f485b8b1b8d7cbb3f77a6">
      <tp>
        <v>1</v>
        <stp/>
        <stp>0e97e0a6-9d86-4c3b-8800-6f6e1e86b670</stp>
        <tr r="V83" s="130"/>
      </tp>
      <tp>
        <v>1</v>
        <stp/>
        <stp>95f7bdb1-05c8-4ad1-9e0a-f803ee3dc6fe</stp>
        <tr r="O60" s="130"/>
      </tp>
    </main>
    <main first="rtdsrv.458a5932996f485b8b1b8d7cbb3f77a6">
      <tp>
        <v>1</v>
        <stp/>
        <stp>8857b74f-ec7f-4e5a-8c6a-2431ad7e9f2e</stp>
        <tr r="GP7" s="132"/>
      </tp>
    </main>
    <main first="rtdsrv.458a5932996f485b8b1b8d7cbb3f77a6">
      <tp>
        <v>1</v>
        <stp/>
        <stp>72089b16-ce56-413b-8b43-3836c00a5fb2</stp>
        <tr r="R37" s="130"/>
      </tp>
    </main>
    <main first="rtdsrv.458a5932996f485b8b1b8d7cbb3f77a6">
      <tp>
        <v>1</v>
        <stp/>
        <stp>6ea96d99-aab5-432c-91a0-78753e003488</stp>
        <tr r="FD13" s="132"/>
      </tp>
    </main>
    <main first="rtdsrv.458a5932996f485b8b1b8d7cbb3f77a6">
      <tp>
        <v>1</v>
        <stp/>
        <stp>7b884857-5ebe-4823-96ac-1cfeaac1448c</stp>
        <tr r="CE12" s="132"/>
      </tp>
    </main>
    <main first="rtdsrv.458a5932996f485b8b1b8d7cbb3f77a6">
      <tp>
        <v>1</v>
        <stp/>
        <stp>996e8f64-a957-40a0-ac34-fe1a3780bd2e</stp>
        <tr r="X45" s="130"/>
      </tp>
      <tp>
        <v>1</v>
        <stp/>
        <stp>bece8ad3-810d-4987-90b2-74f8ba17d7ed</stp>
        <tr r="L35" s="130"/>
      </tp>
    </main>
    <main first="rtdsrv.458a5932996f485b8b1b8d7cbb3f77a6">
      <tp>
        <v>1</v>
        <stp/>
        <stp>fd97b98c-40ee-4612-ac50-1c127e279c56</stp>
        <tr r="AD57" s="130"/>
      </tp>
    </main>
    <main first="rtdsrv.458a5932996f485b8b1b8d7cbb3f77a6">
      <tp>
        <v>1</v>
        <stp/>
        <stp>28893c9f-a2cb-4c11-9ba2-860352b6fed0</stp>
        <tr r="FI12" s="132"/>
      </tp>
      <tp>
        <v>1</v>
        <stp/>
        <stp>16163ed0-c24d-40d2-a23b-ad56afc528d2</stp>
        <tr r="S78" s="130"/>
      </tp>
    </main>
    <main first="rtdsrv.458a5932996f485b8b1b8d7cbb3f77a6">
      <tp>
        <v>1</v>
        <stp/>
        <stp>c3dee4d6-9125-4f60-a1a9-31986cb5f6d5</stp>
        <tr r="AW59" s="130"/>
      </tp>
    </main>
    <main first="rtdsrv.458a5932996f485b8b1b8d7cbb3f77a6">
      <tp>
        <v>1</v>
        <stp/>
        <stp>60185246-957d-4375-a4b4-f52751015c10</stp>
        <tr r="AI97" s="130"/>
      </tp>
    </main>
    <main first="rtdsrv.458a5932996f485b8b1b8d7cbb3f77a6">
      <tp>
        <v>1</v>
        <stp/>
        <stp>73c8e933-2d25-43a7-9ae3-033ecbea80f8</stp>
        <tr r="AQ70" s="130"/>
      </tp>
    </main>
    <main first="rtdsrv.458a5932996f485b8b1b8d7cbb3f77a6">
      <tp>
        <v>1</v>
        <stp/>
        <stp>c67b2ecf-f412-47c4-9d9e-c75ed27ea600</stp>
        <tr r="BE74" s="130"/>
      </tp>
      <tp>
        <v>1</v>
        <stp/>
        <stp>9737c1c5-0fe0-41f7-9b9a-0db7d1d12ffb</stp>
        <tr r="AY33" s="130"/>
      </tp>
      <tp>
        <v>1</v>
        <stp/>
        <stp>8be0e3d7-344e-4bce-87b3-fab467f4185b</stp>
        <tr r="AI38" s="130"/>
      </tp>
      <tp>
        <v>1</v>
        <stp/>
        <stp>322fdef0-941d-4c73-9dd2-0a479cee204e</stp>
        <tr r="AG55" s="130"/>
      </tp>
      <tp>
        <v>1</v>
        <stp/>
        <stp>affa1ccf-7182-4869-94a7-21e07feb364d</stp>
        <tr r="GU9" s="132"/>
      </tp>
    </main>
    <main first="rtdsrv.458a5932996f485b8b1b8d7cbb3f77a6">
      <tp>
        <v>1</v>
        <stp/>
        <stp>b7c817b7-2e4b-429a-b99f-c2b7af5905e3</stp>
        <tr r="AE38" s="130"/>
      </tp>
      <tp>
        <v>1</v>
        <stp/>
        <stp>ddefd57a-9b6d-4cbe-9ddf-71d6c5525f79</stp>
        <tr r="AM13" s="130"/>
      </tp>
      <tp>
        <v>1</v>
        <stp/>
        <stp>92a6f4f0-ad14-47a9-855a-4de18669d2ae</stp>
        <tr r="N8" s="132"/>
      </tp>
    </main>
    <main first="rtdsrv.458a5932996f485b8b1b8d7cbb3f77a6">
      <tp>
        <v>1</v>
        <stp/>
        <stp>0d0715b6-847b-413a-97c7-aa5a65c2b479</stp>
        <tr r="AO25" s="130"/>
      </tp>
      <tp>
        <v>1</v>
        <stp/>
        <stp>3d3e0952-5fed-4b95-b075-5c7613def165</stp>
        <tr r="CM11" s="132"/>
      </tp>
    </main>
    <main first="rtdsrv.458a5932996f485b8b1b8d7cbb3f77a6">
      <tp>
        <v>1</v>
        <stp/>
        <stp>1d405d11-1946-4ec9-b069-435b0e937c93</stp>
        <tr r="BH13" s="130"/>
      </tp>
    </main>
    <main first="rtdsrv.458a5932996f485b8b1b8d7cbb3f77a6">
      <tp>
        <v>1</v>
        <stp/>
        <stp>62e69e57-4185-4f5e-869c-96b090abc214</stp>
        <tr r="FZ7" s="132"/>
      </tp>
    </main>
    <main first="rtdsrv.458a5932996f485b8b1b8d7cbb3f77a6">
      <tp>
        <v>1</v>
        <stp/>
        <stp>92640378-ff13-4945-9085-2a582e2fdeec</stp>
        <tr r="D79" s="130"/>
      </tp>
    </main>
    <main first="rtdsrv.458a5932996f485b8b1b8d7cbb3f77a6">
      <tp>
        <v>1</v>
        <stp/>
        <stp>9646c529-710f-4f56-b446-056af010086a</stp>
        <tr r="CH9" s="132"/>
      </tp>
    </main>
    <main first="rtdsrv.458a5932996f485b8b1b8d7cbb3f77a6">
      <tp>
        <v>1</v>
        <stp/>
        <stp>2ffc3315-0b1c-47bc-a42c-911f76b2f841</stp>
        <tr r="CZ6" s="132"/>
      </tp>
    </main>
    <main first="rtdsrv.458a5932996f485b8b1b8d7cbb3f77a6">
      <tp>
        <v>1</v>
        <stp/>
        <stp>8016f5e3-3f7f-4512-a742-291b0cc51ace</stp>
        <tr r="AC91" s="130"/>
      </tp>
    </main>
    <main first="rtdsrv.458a5932996f485b8b1b8d7cbb3f77a6">
      <tp>
        <v>1</v>
        <stp/>
        <stp>09f14947-9be4-4b3c-970b-55d656025b7b</stp>
        <tr r="FT6" s="132"/>
      </tp>
    </main>
    <main first="rtdsrv.458a5932996f485b8b1b8d7cbb3f77a6">
      <tp>
        <v>1</v>
        <stp/>
        <stp>d6936f9a-f316-4f76-96e3-0c1475d708dd</stp>
        <tr r="E68" s="130"/>
      </tp>
    </main>
    <main first="rtdsrv.458a5932996f485b8b1b8d7cbb3f77a6">
      <tp>
        <v>1</v>
        <stp/>
        <stp>a8ed3db2-3069-4fca-86cd-ebf6fe29aa67</stp>
        <tr r="AX75" s="130"/>
      </tp>
      <tp>
        <v>1</v>
        <stp/>
        <stp>322dd326-9553-4761-b21c-6b3304705ec4</stp>
        <tr r="AU88" s="130"/>
      </tp>
    </main>
    <main first="rtdsrv.458a5932996f485b8b1b8d7cbb3f77a6">
      <tp>
        <v>1</v>
        <stp/>
        <stp>3dcc5fb8-80b0-4971-831f-df2ef5ea0b18</stp>
        <tr r="C9" s="130"/>
      </tp>
    </main>
    <main first="rtdsrv.458a5932996f485b8b1b8d7cbb3f77a6">
      <tp>
        <v>1</v>
        <stp/>
        <stp>799bc9f5-6d99-42c9-9d60-70b192a3309e</stp>
        <tr r="BI51" s="130"/>
        <tr r="BI46" s="130"/>
      </tp>
    </main>
    <main first="rtdsrv.458a5932996f485b8b1b8d7cbb3f77a6">
      <tp>
        <v>1</v>
        <stp/>
        <stp>d8f0c906-862e-44c5-b35c-db7f2f38a662</stp>
        <tr r="AV20" s="130"/>
      </tp>
    </main>
    <main first="rtdsrv.458a5932996f485b8b1b8d7cbb3f77a6">
      <tp>
        <v>1</v>
        <stp/>
        <stp>1db70148-8a0f-4bfc-b0e3-f563fd2f111a</stp>
        <tr r="X61" s="130"/>
      </tp>
    </main>
    <main first="rtdsrv.458a5932996f485b8b1b8d7cbb3f77a6">
      <tp>
        <v>1</v>
        <stp/>
        <stp>9a73e0bb-d636-4cc5-be4f-eac64fa9b86e</stp>
        <tr r="AQ13" s="130"/>
      </tp>
    </main>
    <main first="rtdsrv.458a5932996f485b8b1b8d7cbb3f77a6">
      <tp>
        <v>1</v>
        <stp/>
        <stp>2ba0ebc4-146e-4aed-aade-98c350a752cf</stp>
        <tr r="AS16" s="130"/>
      </tp>
    </main>
    <main first="rtdsrv.458a5932996f485b8b1b8d7cbb3f77a6">
      <tp>
        <v>1</v>
        <stp/>
        <stp>b3e51bec-6f48-4867-ad8b-8f7bed658a77</stp>
        <tr r="Z56" s="130"/>
      </tp>
    </main>
    <main first="rtdsrv.458a5932996f485b8b1b8d7cbb3f77a6">
      <tp>
        <v>1</v>
        <stp/>
        <stp>c514ab24-2103-476a-b892-d2eb85afa16e</stp>
        <tr r="FA6" s="132"/>
      </tp>
    </main>
    <main first="rtdsrv.458a5932996f485b8b1b8d7cbb3f77a6">
      <tp>
        <v>1</v>
        <stp/>
        <stp>4695bd77-f16e-4bd6-a1de-89229c8e17ba</stp>
        <tr r="BF13" s="130"/>
      </tp>
    </main>
    <main first="rtdsrv.458a5932996f485b8b1b8d7cbb3f77a6">
      <tp>
        <v>1</v>
        <stp/>
        <stp>4ac71429-3274-4bc0-b645-2e4d184744de</stp>
        <tr r="U25" s="130"/>
      </tp>
    </main>
    <main first="rtdsrv.458a5932996f485b8b1b8d7cbb3f77a6">
      <tp>
        <v>1</v>
        <stp/>
        <stp>53cb7372-cd64-4fd3-9af1-25a410cc181d</stp>
        <tr r="CL6" s="132"/>
      </tp>
    </main>
    <main first="rtdsrv.458a5932996f485b8b1b8d7cbb3f77a6">
      <tp>
        <v>1</v>
        <stp/>
        <stp>f93dff26-c54c-43b6-ad2c-33b22dbc8dd2</stp>
        <tr r="EN5" s="132"/>
      </tp>
    </main>
    <main first="rtdsrv.458a5932996f485b8b1b8d7cbb3f77a6">
      <tp>
        <v>1</v>
        <stp/>
        <stp>23df0552-ae22-49ca-9b8d-c4b48ecb5dbf</stp>
        <tr r="BH30" s="130"/>
      </tp>
      <tp>
        <v>1</v>
        <stp/>
        <stp>37cf1393-632a-42a9-a12f-636bbd338e93</stp>
        <tr r="AL80" s="130"/>
      </tp>
    </main>
    <main first="rtdsrv.458a5932996f485b8b1b8d7cbb3f77a6">
      <tp>
        <v>1</v>
        <stp/>
        <stp>7c6e085e-8c99-4718-a75b-e8433815be46</stp>
        <tr r="AF86" s="130"/>
      </tp>
      <tp>
        <v>1</v>
        <stp/>
        <stp>795cc4c0-f6c4-47bb-ac02-cc78f226ecd6</stp>
        <tr r="L79" s="130"/>
      </tp>
      <tp>
        <v>1</v>
        <stp/>
        <stp>d2f9d011-217a-40ba-bbe0-d51c48f6622f</stp>
        <tr r="T37" s="130"/>
      </tp>
    </main>
    <main first="rtdsrv.458a5932996f485b8b1b8d7cbb3f77a6">
      <tp>
        <v>1</v>
        <stp/>
        <stp>ed87da2b-3fe2-4a80-b586-984f3489c9e7</stp>
        <tr r="AF31" s="130"/>
      </tp>
    </main>
    <main first="rtdsrv.458a5932996f485b8b1b8d7cbb3f77a6">
      <tp>
        <v>1</v>
        <stp/>
        <stp>bef6ec0f-b1fb-49f8-a8fd-d50c85021109</stp>
        <tr r="AF15" s="130"/>
      </tp>
    </main>
    <main first="rtdsrv.458a5932996f485b8b1b8d7cbb3f77a6">
      <tp>
        <v>1</v>
        <stp/>
        <stp>5e902329-ac44-435a-9ed5-195718cc588b</stp>
        <tr r="GX14" s="132"/>
      </tp>
      <tp>
        <v>1</v>
        <stp/>
        <stp>aad2d90d-a61c-4792-be64-7013e10f37df</stp>
        <tr r="F90" s="130"/>
      </tp>
      <tp>
        <v>1</v>
        <stp/>
        <stp>0c034041-f031-449f-9047-640f2a0b1909</stp>
        <tr r="AI24" s="130"/>
      </tp>
    </main>
    <main first="rtdsrv.458a5932996f485b8b1b8d7cbb3f77a6">
      <tp>
        <v>1</v>
        <stp/>
        <stp>a38b40f2-0d57-4da8-8458-606fd1f5c4af</stp>
        <tr r="U69" s="130"/>
      </tp>
    </main>
    <main first="rtdsrv.458a5932996f485b8b1b8d7cbb3f77a6">
      <tp>
        <v>1</v>
        <stp/>
        <stp>979df8b2-bf53-4752-b78d-19a016428c0c</stp>
        <tr r="AR52" s="130"/>
        <tr r="AR47" s="130"/>
      </tp>
    </main>
    <main first="rtdsrv.458a5932996f485b8b1b8d7cbb3f77a6">
      <tp>
        <v>1</v>
        <stp/>
        <stp>1e14eb4a-b940-4f50-af2d-e9716eefa06b</stp>
        <tr r="AH47" s="130"/>
        <tr r="AH52" s="130"/>
      </tp>
    </main>
    <main first="rtdsrv.458a5932996f485b8b1b8d7cbb3f77a6">
      <tp>
        <v>1</v>
        <stp/>
        <stp>aa8d4cfc-2073-4687-b81b-d842a5255069</stp>
        <tr r="BG12" s="132"/>
      </tp>
    </main>
    <main first="rtdsrv.458a5932996f485b8b1b8d7cbb3f77a6">
      <tp>
        <v>1</v>
        <stp/>
        <stp>efc97737-8074-4c2e-a0f8-22988d9077d0</stp>
        <tr r="FQ11" s="132"/>
      </tp>
      <tp>
        <v>1</v>
        <stp/>
        <stp>c9399683-b2a3-401b-88e0-6555700a3d06</stp>
        <tr r="AQ15" s="132"/>
      </tp>
    </main>
    <main first="rtdsrv.458a5932996f485b8b1b8d7cbb3f77a6">
      <tp>
        <v>1</v>
        <stp/>
        <stp>01d16545-b757-4d85-980f-00aff982aad2</stp>
        <tr r="X58" s="130"/>
      </tp>
    </main>
    <main first="rtdsrv.458a5932996f485b8b1b8d7cbb3f77a6">
      <tp>
        <v>1</v>
        <stp/>
        <stp>1faa5e27-d68f-41c7-9d29-c83dd36f3bd4</stp>
        <tr r="R29" s="130"/>
      </tp>
      <tp>
        <v>1</v>
        <stp/>
        <stp>c0a298d6-a896-4dcb-8d6b-e9c6288a979f</stp>
        <tr r="U12" s="130"/>
      </tp>
    </main>
    <main first="rtdsrv.458a5932996f485b8b1b8d7cbb3f77a6">
      <tp>
        <v>1</v>
        <stp/>
        <stp>f6a2bd9c-19fb-401c-8797-a28a67d25773</stp>
        <tr r="BH27" s="130"/>
      </tp>
    </main>
    <main first="rtdsrv.458a5932996f485b8b1b8d7cbb3f77a6">
      <tp>
        <v>1</v>
        <stp/>
        <stp>821c6884-b507-4b5e-a37e-dcd91f5c845b</stp>
        <tr r="F92" s="130"/>
      </tp>
      <tp>
        <v>1</v>
        <stp/>
        <stp>49a5d76e-784b-4560-80ab-c3655108ba68</stp>
        <tr r="G33" s="130"/>
      </tp>
    </main>
    <main first="rtdsrv.458a5932996f485b8b1b8d7cbb3f77a6">
      <tp>
        <v>1</v>
        <stp/>
        <stp>cf89565c-80e3-4434-8434-7de2525bb2d8</stp>
        <tr r="G30" s="130"/>
      </tp>
    </main>
    <main first="rtdsrv.458a5932996f485b8b1b8d7cbb3f77a6">
      <tp>
        <v>1</v>
        <stp/>
        <stp>57a8a56a-1331-4c3e-ab11-74f2ba9f8979</stp>
        <tr r="L32" s="130"/>
      </tp>
    </main>
    <main first="rtdsrv.458a5932996f485b8b1b8d7cbb3f77a6">
      <tp>
        <v>1</v>
        <stp/>
        <stp>5d881fbb-4877-4ec8-882f-6ad2e2974dd6</stp>
        <tr r="I82" s="130"/>
      </tp>
    </main>
    <main first="rtdsrv.458a5932996f485b8b1b8d7cbb3f77a6">
      <tp>
        <v>1</v>
        <stp/>
        <stp>d4c7b3b5-cb65-4214-b6f8-e9a3b2742636</stp>
        <tr r="CV13" s="132"/>
      </tp>
    </main>
    <main first="rtdsrv.458a5932996f485b8b1b8d7cbb3f77a6">
      <tp>
        <v>1</v>
        <stp/>
        <stp>9bb351cf-759d-4fec-8513-bf654b6fd992</stp>
        <tr r="V94" s="130"/>
      </tp>
      <tp>
        <v>1</v>
        <stp/>
        <stp>729f2d17-0817-4d23-a11e-4e99b2b1b803</stp>
        <tr r="BJ31" s="130"/>
      </tp>
      <tp>
        <v>1</v>
        <stp/>
        <stp>cff128ab-2a1f-4985-bc3b-ea9fdce7ecf5</stp>
        <tr r="AU41" s="130"/>
      </tp>
    </main>
    <main first="rtdsrv.458a5932996f485b8b1b8d7cbb3f77a6">
      <tp>
        <v>1</v>
        <stp/>
        <stp>751bfc65-14f5-4d24-a496-ce744a9b9e59</stp>
        <tr r="BG32" s="130"/>
      </tp>
    </main>
    <main first="rtdsrv.458a5932996f485b8b1b8d7cbb3f77a6">
      <tp>
        <v>1</v>
        <stp/>
        <stp>1e87f0b2-220f-4d21-bfef-78fe9a279ad9</stp>
        <tr r="FC5" s="132"/>
      </tp>
    </main>
    <main first="rtdsrv.458a5932996f485b8b1b8d7cbb3f77a6">
      <tp>
        <v>1</v>
        <stp/>
        <stp>3babd7ad-23d2-4f83-8890-8595dcf9d0b4</stp>
        <tr r="BF67" s="130"/>
      </tp>
      <tp>
        <v>1</v>
        <stp/>
        <stp>63a6d5bc-0b6d-4931-a411-d7c0b8465299</stp>
        <tr r="O41" s="130"/>
      </tp>
    </main>
    <main first="rtdsrv.458a5932996f485b8b1b8d7cbb3f77a6">
      <tp>
        <v>1</v>
        <stp/>
        <stp>92722ac7-cb30-4897-8090-406f0c8b4f7f</stp>
        <tr r="AK21" s="130"/>
      </tp>
    </main>
    <main first="rtdsrv.458a5932996f485b8b1b8d7cbb3f77a6">
      <tp>
        <v>1</v>
        <stp/>
        <stp>e2997c1e-0908-4919-b4dd-429144ccb108</stp>
        <tr r="CV7" s="132"/>
      </tp>
    </main>
    <main first="rtdsrv.458a5932996f485b8b1b8d7cbb3f77a6">
      <tp>
        <v>1</v>
        <stp/>
        <stp>9acd0784-4b09-4aba-977a-f8d867601050</stp>
        <tr r="D9" s="130"/>
      </tp>
    </main>
    <main first="rtdsrv.458a5932996f485b8b1b8d7cbb3f77a6">
      <tp>
        <v>1</v>
        <stp/>
        <stp>775b0f8d-8c96-4a18-8234-43624b7c68d9</stp>
        <tr r="AO21" s="130"/>
      </tp>
    </main>
    <main first="rtdsrv.458a5932996f485b8b1b8d7cbb3f77a6">
      <tp>
        <v>1</v>
        <stp/>
        <stp>40f08638-fe45-440d-ba82-1aabffd41081</stp>
        <tr r="M12" s="132"/>
      </tp>
      <tp>
        <v>1</v>
        <stp/>
        <stp>669aa350-4da4-41cd-9d61-95ddfe6c3843</stp>
        <tr r="DL14" s="132"/>
      </tp>
    </main>
    <main first="rtdsrv.458a5932996f485b8b1b8d7cbb3f77a6">
      <tp>
        <v>1</v>
        <stp/>
        <stp>e3a11120-9e9e-4116-8226-7e9023432b5a</stp>
        <tr r="AZ44" s="130"/>
      </tp>
      <tp>
        <v>1</v>
        <stp/>
        <stp>65184710-1e17-4169-a05f-0c4bec88347a</stp>
        <tr r="AM17" s="130"/>
      </tp>
    </main>
    <main first="rtdsrv.458a5932996f485b8b1b8d7cbb3f77a6">
      <tp>
        <v>1</v>
        <stp/>
        <stp>0dfae0ed-5cd2-428b-887d-37cae0fc9892</stp>
        <tr r="BS15" s="132"/>
      </tp>
      <tp>
        <v>1</v>
        <stp/>
        <stp>a7bad984-a4a0-43b0-a63c-6b0783583600</stp>
        <tr r="GQ8" s="132"/>
      </tp>
    </main>
    <main first="rtdsrv.458a5932996f485b8b1b8d7cbb3f77a6">
      <tp>
        <v>1</v>
        <stp/>
        <stp>ec8bb906-03ac-4447-b762-9c3fe314c031</stp>
        <tr r="AB88" s="130"/>
      </tp>
    </main>
    <main first="rtdsrv.458a5932996f485b8b1b8d7cbb3f77a6">
      <tp>
        <v>1</v>
        <stp/>
        <stp>86a01ee5-7789-43ea-ac5f-d2de891a708f</stp>
        <tr r="BD29" s="130"/>
      </tp>
    </main>
    <main first="rtdsrv.458a5932996f485b8b1b8d7cbb3f77a6">
      <tp>
        <v>1</v>
        <stp/>
        <stp>b7862332-f425-4483-ba09-a9dc5f9365bb</stp>
        <tr r="AT86" s="130"/>
      </tp>
    </main>
    <main first="rtdsrv.458a5932996f485b8b1b8d7cbb3f77a6">
      <tp>
        <v>1</v>
        <stp/>
        <stp>e29b7ede-4b4f-4f98-939c-775a0fdfb846</stp>
        <tr r="BD14" s="132"/>
      </tp>
    </main>
    <main first="rtdsrv.458a5932996f485b8b1b8d7cbb3f77a6">
      <tp>
        <v>1</v>
        <stp/>
        <stp>faad99eb-3a24-415b-af66-9b6897dbfa87</stp>
        <tr r="AC60" s="130"/>
      </tp>
    </main>
    <main first="rtdsrv.458a5932996f485b8b1b8d7cbb3f77a6">
      <tp>
        <v>1</v>
        <stp/>
        <stp>ef9d6aa4-3bb7-4520-b285-6490218fc24a</stp>
        <tr r="BE5" s="130"/>
      </tp>
    </main>
    <main first="rtdsrv.458a5932996f485b8b1b8d7cbb3f77a6">
      <tp>
        <v>1</v>
        <stp/>
        <stp>297cad78-51a2-480a-91e7-cc3b348ee07a</stp>
        <tr r="AK58" s="130"/>
      </tp>
      <tp>
        <v>1</v>
        <stp/>
        <stp>b1ebee57-fb7e-4999-ab6d-399a78f52733</stp>
        <tr r="BE16" s="130"/>
      </tp>
    </main>
    <main first="rtdsrv.458a5932996f485b8b1b8d7cbb3f77a6">
      <tp>
        <v>1</v>
        <stp/>
        <stp>a4fa7623-a560-485d-b673-a321008268ba</stp>
        <tr r="J71" s="130"/>
      </tp>
      <tp>
        <v>1</v>
        <stp/>
        <stp>b7cdc313-9a12-4dd5-9173-4c074222fe8e</stp>
        <tr r="M40" s="130"/>
      </tp>
    </main>
    <main first="rtdsrv.458a5932996f485b8b1b8d7cbb3f77a6">
      <tp>
        <v>1</v>
        <stp/>
        <stp>38cd4a92-e3cc-428c-9b31-5f1879e70866</stp>
        <tr r="AR11" s="132"/>
      </tp>
    </main>
    <main first="rtdsrv.458a5932996f485b8b1b8d7cbb3f77a6">
      <tp>
        <v>1</v>
        <stp/>
        <stp>68551bca-3368-4a6b-b7c3-0be48104d09b</stp>
        <tr r="F70" s="130"/>
      </tp>
      <tp>
        <v>1</v>
        <stp/>
        <stp>2cd16413-07b2-4cc0-ab9e-661f61410b87</stp>
        <tr r="EH8" s="132"/>
      </tp>
      <tp>
        <v>1</v>
        <stp/>
        <stp>492773a2-2dca-4c33-afbf-e2db8c7f338a</stp>
        <tr r="FF5" s="132"/>
      </tp>
    </main>
    <main first="rtdsrv.458a5932996f485b8b1b8d7cbb3f77a6">
      <tp>
        <v>1</v>
        <stp/>
        <stp>407f4b96-eadc-48e3-9e93-57c7d6ff67cd</stp>
        <tr r="AM20" s="130"/>
      </tp>
    </main>
    <main first="rtdsrv.458a5932996f485b8b1b8d7cbb3f77a6">
      <tp>
        <v>1</v>
        <stp/>
        <stp>de4b9db9-36a1-421c-a24c-9fe3108ed8d1</stp>
        <tr r="G5" s="132"/>
      </tp>
    </main>
    <main first="rtdsrv.458a5932996f485b8b1b8d7cbb3f77a6">
      <tp>
        <v>1</v>
        <stp/>
        <stp>41f3ade1-0ad0-4d59-a1cf-7ddfbac2018f</stp>
        <tr r="AO55" s="130"/>
      </tp>
      <tp>
        <v>1</v>
        <stp/>
        <stp>393c9f3c-fdd7-464c-ac22-35f67722ca9f</stp>
        <tr r="AS5" s="130"/>
      </tp>
    </main>
    <main first="rtdsrv.458a5932996f485b8b1b8d7cbb3f77a6">
      <tp>
        <v>1</v>
        <stp/>
        <stp>40e29780-e85d-43f4-86e5-295554f2758e</stp>
        <tr r="M30" s="130"/>
      </tp>
    </main>
    <main first="rtdsrv.458a5932996f485b8b1b8d7cbb3f77a6">
      <tp>
        <v>1</v>
        <stp/>
        <stp>165b7ea7-effd-4c16-a541-c8585491f34c</stp>
        <tr r="F47" s="130"/>
        <tr r="F52" s="130"/>
      </tp>
    </main>
    <main first="rtdsrv.458a5932996f485b8b1b8d7cbb3f77a6">
      <tp>
        <v>1</v>
        <stp/>
        <stp>6e54cf8c-bd1a-4266-a1f9-5378c0e8f990</stp>
        <tr r="AH15" s="130"/>
      </tp>
    </main>
    <main first="rtdsrv.458a5932996f485b8b1b8d7cbb3f77a6">
      <tp>
        <v>1</v>
        <stp/>
        <stp>d8f98adc-3938-4244-b255-667af4cbcba9</stp>
        <tr r="HA6" s="132"/>
      </tp>
    </main>
    <main first="rtdsrv.458a5932996f485b8b1b8d7cbb3f77a6">
      <tp>
        <v>1</v>
        <stp/>
        <stp>e4c21e90-719f-42c5-82f6-52b385773934</stp>
        <tr r="BJ38" s="130"/>
      </tp>
      <tp>
        <v>1</v>
        <stp/>
        <stp>605526db-9f8c-4973-85b0-8b1e83936448</stp>
        <tr r="I30" s="130"/>
      </tp>
      <tp>
        <v>1</v>
        <stp/>
        <stp>c88867a5-7b78-47c4-98af-625cb1b15e1f</stp>
        <tr r="BF16" s="130"/>
      </tp>
    </main>
    <main first="rtdsrv.458a5932996f485b8b1b8d7cbb3f77a6">
      <tp>
        <v>1</v>
        <stp/>
        <stp>4a8f0258-bf19-42b8-b0f7-1da31721b743</stp>
        <tr r="BF11" s="130"/>
      </tp>
      <tp>
        <v>1</v>
        <stp/>
        <stp>e50e9c58-2f92-40c3-8545-40833a4c99a1</stp>
        <tr r="AA69" s="130"/>
      </tp>
    </main>
    <main first="rtdsrv.458a5932996f485b8b1b8d7cbb3f77a6">
      <tp>
        <v>1</v>
        <stp/>
        <stp>23802d43-0bd8-4ea0-95d4-5942d171d0b0</stp>
        <tr r="AS12" s="130"/>
      </tp>
    </main>
    <main first="rtdsrv.458a5932996f485b8b1b8d7cbb3f77a6">
      <tp>
        <v>1</v>
        <stp/>
        <stp>0e4fc0de-8896-457f-9a69-0ce0b4c1ba3c</stp>
        <tr r="AM24" s="130"/>
      </tp>
      <tp>
        <v>1</v>
        <stp/>
        <stp>6e1fb381-b07d-48c9-933f-60bdca824daf</stp>
        <tr r="N72" s="130"/>
      </tp>
    </main>
    <main first="rtdsrv.458a5932996f485b8b1b8d7cbb3f77a6">
      <tp>
        <v>1</v>
        <stp/>
        <stp>9c318a76-e294-4664-89cd-5fba8968fdb1</stp>
        <tr r="AH13" s="130"/>
      </tp>
    </main>
    <main first="rtdsrv.458a5932996f485b8b1b8d7cbb3f77a6">
      <tp>
        <v>1</v>
        <stp/>
        <stp>56b2e8a9-b5ea-4477-9b60-e2df4a1b8561</stp>
        <tr r="BH59" s="130"/>
      </tp>
      <tp>
        <v>1</v>
        <stp/>
        <stp>007fb108-268f-482b-8ae6-dbca78ddcee7</stp>
        <tr r="O74" s="130"/>
      </tp>
    </main>
    <main first="rtdsrv.458a5932996f485b8b1b8d7cbb3f77a6">
      <tp>
        <v>1</v>
        <stp/>
        <stp>f0dde0f4-a3eb-4dab-be40-b176147a69d6</stp>
        <tr r="EI14" s="132"/>
      </tp>
    </main>
    <main first="rtdsrv.458a5932996f485b8b1b8d7cbb3f77a6">
      <tp>
        <v>1</v>
        <stp/>
        <stp>4c6e489d-2a5d-4083-842f-fdcb557fa29e</stp>
        <tr r="X28" s="130"/>
      </tp>
    </main>
    <main first="rtdsrv.458a5932996f485b8b1b8d7cbb3f77a6">
      <tp>
        <v>1</v>
        <stp/>
        <stp>7fc0ae0a-9254-4422-bfbd-6a08ebfffb66</stp>
        <tr r="BF43" s="130"/>
      </tp>
    </main>
    <main first="rtdsrv.458a5932996f485b8b1b8d7cbb3f77a6">
      <tp>
        <v>1</v>
        <stp/>
        <stp>e45a7557-659d-4dc8-8c30-660af11f00a3</stp>
        <tr r="GN15" s="132"/>
      </tp>
    </main>
    <main first="rtdsrv.458a5932996f485b8b1b8d7cbb3f77a6">
      <tp>
        <v>1</v>
        <stp/>
        <stp>d14576e4-7091-4e7a-804c-9f8a70f5b895</stp>
        <tr r="AW12" s="132"/>
      </tp>
    </main>
    <main first="rtdsrv.458a5932996f485b8b1b8d7cbb3f77a6">
      <tp>
        <v>1</v>
        <stp/>
        <stp>ebd53c30-4a66-46f0-91e3-bee77701f954</stp>
        <tr r="AD59" s="130"/>
      </tp>
      <tp>
        <v>1</v>
        <stp/>
        <stp>0adf41bd-fe08-4acc-982c-e853f0cebd31</stp>
        <tr r="AB41" s="130"/>
      </tp>
    </main>
    <main first="rtdsrv.458a5932996f485b8b1b8d7cbb3f77a6">
      <tp>
        <v>1</v>
        <stp/>
        <stp>ddb8e518-7431-4173-a772-52ec38e96c05</stp>
        <tr r="BI15" s="130"/>
      </tp>
    </main>
    <main first="rtdsrv.458a5932996f485b8b1b8d7cbb3f77a6">
      <tp>
        <v>1</v>
        <stp/>
        <stp>6523af25-bcad-4504-b78e-f28a3e978aa3</stp>
        <tr r="AQ37" s="130"/>
      </tp>
    </main>
    <main first="rtdsrv.458a5932996f485b8b1b8d7cbb3f77a6">
      <tp>
        <v>1</v>
        <stp/>
        <stp>5d7a6131-5390-4e6f-924b-6769c7c969fd</stp>
        <tr r="HH16" s="132"/>
      </tp>
    </main>
    <main first="rtdsrv.458a5932996f485b8b1b8d7cbb3f77a6">
      <tp>
        <v>1</v>
        <stp/>
        <stp>3f7ea1a6-25da-4704-9902-f8de2451bff2</stp>
        <tr r="BE10" s="130"/>
      </tp>
    </main>
    <main first="rtdsrv.458a5932996f485b8b1b8d7cbb3f77a6">
      <tp>
        <v>1</v>
        <stp/>
        <stp>9aa1ae26-c059-402b-9391-7f22afcdd7e4</stp>
        <tr r="BJ28" s="130"/>
      </tp>
    </main>
    <main first="rtdsrv.458a5932996f485b8b1b8d7cbb3f77a6">
      <tp>
        <v>1</v>
        <stp/>
        <stp>9e2810bb-2735-4be9-923e-82a660d09da3</stp>
        <tr r="AE29" s="130"/>
      </tp>
    </main>
    <main first="rtdsrv.458a5932996f485b8b1b8d7cbb3f77a6">
      <tp>
        <v>1</v>
        <stp/>
        <stp>85fa9f68-d8cc-4084-8c88-6861f9508157</stp>
        <tr r="AL38" s="130"/>
      </tp>
      <tp>
        <v>1</v>
        <stp/>
        <stp>e6482366-1c61-4e9e-b4a6-4178b35a993b</stp>
        <tr r="BI86" s="130"/>
      </tp>
    </main>
    <main first="rtdsrv.458a5932996f485b8b1b8d7cbb3f77a6">
      <tp>
        <v>1</v>
        <stp/>
        <stp>2f10181c-64c6-46b9-b789-efc77701238b</stp>
        <tr r="BS12" s="132"/>
      </tp>
      <tp>
        <v>1</v>
        <stp/>
        <stp>e9339649-e0e8-4994-a302-41a8e22c5f0b</stp>
        <tr r="GD6" s="132"/>
      </tp>
    </main>
    <main first="rtdsrv.458a5932996f485b8b1b8d7cbb3f77a6">
      <tp>
        <v>1</v>
        <stp/>
        <stp>8b7197f1-8d83-424b-9bf2-ce321d408cf9</stp>
        <tr r="FT8" s="132"/>
      </tp>
    </main>
    <main first="rtdsrv.458a5932996f485b8b1b8d7cbb3f77a6">
      <tp>
        <v>1</v>
        <stp/>
        <stp>ca1d86b9-f0ed-466c-9a97-86dafff67017</stp>
        <tr r="S82" s="130"/>
      </tp>
      <tp>
        <v>1</v>
        <stp/>
        <stp>38c6d960-88ee-4178-a12c-64f7b87c0481</stp>
        <tr r="L13" s="130"/>
      </tp>
    </main>
    <main first="rtdsrv.458a5932996f485b8b1b8d7cbb3f77a6">
      <tp>
        <v>1</v>
        <stp/>
        <stp>a73be81b-3d4a-4f50-aeaf-8dfeac9fda8f</stp>
        <tr r="Q9" s="132"/>
      </tp>
    </main>
    <main first="rtdsrv.458a5932996f485b8b1b8d7cbb3f77a6">
      <tp>
        <v>1</v>
        <stp/>
        <stp>067884b4-0f70-42d9-8546-3cec84461c30</stp>
        <tr r="E6" s="132"/>
      </tp>
      <tp>
        <v>1</v>
        <stp/>
        <stp>baacfefc-e624-4cbf-a192-4c1fe347dea5</stp>
        <tr r="GD8" s="132"/>
      </tp>
    </main>
    <main first="rtdsrv.458a5932996f485b8b1b8d7cbb3f77a6">
      <tp>
        <v>1</v>
        <stp/>
        <stp>e00764f1-2677-4fad-9d0e-9fe1e7d338c3</stp>
        <tr r="BA15" s="132"/>
      </tp>
      <tp>
        <v>1</v>
        <stp/>
        <stp>d614f9ba-9d22-46b0-924f-577cc7cd69b1</stp>
        <tr r="AG9" s="132"/>
      </tp>
      <tp>
        <v>1</v>
        <stp/>
        <stp>d5139b51-1f77-4501-868a-24a7540d7d57</stp>
        <tr r="G82" s="130"/>
      </tp>
    </main>
    <main first="rtdsrv.458a5932996f485b8b1b8d7cbb3f77a6">
      <tp>
        <v>1</v>
        <stp/>
        <stp>181cb22d-f151-4bba-912d-9bc15acf7719</stp>
        <tr r="AJ32" s="130"/>
      </tp>
    </main>
    <main first="rtdsrv.458a5932996f485b8b1b8d7cbb3f77a6">
      <tp>
        <v>1</v>
        <stp/>
        <stp>75b4467a-4e56-495a-9a30-f9545bd3556f</stp>
        <tr r="AX14" s="130"/>
        <tr r="AX26" s="130"/>
      </tp>
    </main>
    <main first="rtdsrv.458a5932996f485b8b1b8d7cbb3f77a6">
      <tp>
        <v>1</v>
        <stp/>
        <stp>6f6198b9-8f38-44a9-b357-8f360acc3f26</stp>
        <tr r="W84" s="130"/>
      </tp>
    </main>
    <main first="rtdsrv.458a5932996f485b8b1b8d7cbb3f77a6">
      <tp>
        <v>1</v>
        <stp/>
        <stp>9065910a-91f3-4d93-9da6-3da28ca96fa3</stp>
        <tr r="BI7" s="132"/>
      </tp>
    </main>
    <main first="rtdsrv.458a5932996f485b8b1b8d7cbb3f77a6">
      <tp>
        <v>1</v>
        <stp/>
        <stp>84390d4c-a2bc-4da7-83fa-8e8d1992f75c</stp>
        <tr r="AJ59" s="130"/>
      </tp>
    </main>
    <main first="rtdsrv.458a5932996f485b8b1b8d7cbb3f77a6">
      <tp>
        <v>1</v>
        <stp/>
        <stp>027bdd15-d14b-4a0a-971c-0a61b155897b</stp>
        <tr r="AX38" s="130"/>
      </tp>
      <tp>
        <v>1</v>
        <stp/>
        <stp>bd0086ac-9721-4bc2-8638-762bec8e544a</stp>
        <tr r="V8" s="130"/>
      </tp>
    </main>
    <main first="rtdsrv.458a5932996f485b8b1b8d7cbb3f77a6">
      <tp>
        <v>1</v>
        <stp/>
        <stp>9a4d619c-0b28-4279-b73f-5e99923386c5</stp>
        <tr r="P16" s="132"/>
      </tp>
    </main>
    <main first="rtdsrv.458a5932996f485b8b1b8d7cbb3f77a6">
      <tp>
        <v>1</v>
        <stp/>
        <stp>833968a3-5551-49a4-be14-17f31036b7f9</stp>
        <tr r="AZ37" s="130"/>
      </tp>
    </main>
    <main first="rtdsrv.458a5932996f485b8b1b8d7cbb3f77a6">
      <tp>
        <v>1</v>
        <stp/>
        <stp>5dbb3533-9e5c-41da-871a-e2311bccece9</stp>
        <tr r="M9" s="132"/>
      </tp>
    </main>
    <main first="rtdsrv.458a5932996f485b8b1b8d7cbb3f77a6">
      <tp>
        <v>1</v>
        <stp/>
        <stp>b71f2ffc-55bf-48b7-961f-b69c29e99f88</stp>
        <tr r="Q92" s="130"/>
      </tp>
    </main>
    <main first="rtdsrv.458a5932996f485b8b1b8d7cbb3f77a6">
      <tp>
        <v>1</v>
        <stp/>
        <stp>660772ac-77f9-4e47-852e-085c56f23305</stp>
        <tr r="CU14" s="132"/>
      </tp>
      <tp>
        <v>1</v>
        <stp/>
        <stp>6a831ec5-d22c-4a7a-b8f8-5a2d94c439a3</stp>
        <tr r="AX36" s="130"/>
      </tp>
    </main>
    <main first="rtdsrv.458a5932996f485b8b1b8d7cbb3f77a6">
      <tp>
        <v>1</v>
        <stp/>
        <stp>fdfe9c7b-916d-44b2-85dd-47b057c6fcdd</stp>
        <tr r="L90" s="130"/>
      </tp>
      <tp>
        <v>1</v>
        <stp/>
        <stp>d93faf01-052e-45af-8577-01295f786be5</stp>
        <tr r="AE63" s="130"/>
      </tp>
      <tp>
        <v>1</v>
        <stp/>
        <stp>e024bba2-2c57-47c3-beaf-e17c71d849df</stp>
        <tr r="Y14" s="130"/>
        <tr r="Y26" s="130"/>
      </tp>
      <tp>
        <v>1</v>
        <stp/>
        <stp>4db9f1f7-8be6-47d0-985e-8c2161e96156</stp>
        <tr r="AI11" s="132"/>
      </tp>
    </main>
    <main first="rtdsrv.458a5932996f485b8b1b8d7cbb3f77a6">
      <tp>
        <v>1</v>
        <stp/>
        <stp>24a92e67-df6c-4d09-b94a-0f109f361336</stp>
        <tr r="GH5" s="132"/>
      </tp>
    </main>
    <main first="rtdsrv.458a5932996f485b8b1b8d7cbb3f77a6">
      <tp>
        <v>1</v>
        <stp/>
        <stp>7e47fa1f-ea88-449d-a29c-f455cff26e51</stp>
        <tr r="GH16" s="132"/>
      </tp>
    </main>
    <main first="rtdsrv.458a5932996f485b8b1b8d7cbb3f77a6">
      <tp>
        <v>1</v>
        <stp/>
        <stp>3d1a5407-1d08-4607-aeb1-39cfa27314b3</stp>
        <tr r="Q44" s="130"/>
      </tp>
    </main>
    <main first="rtdsrv.458a5932996f485b8b1b8d7cbb3f77a6">
      <tp>
        <v>1</v>
        <stp/>
        <stp>2cc91fc7-72db-42fd-8690-2cfb82d4d5bd</stp>
        <tr r="AB11" s="130"/>
      </tp>
    </main>
    <main first="rtdsrv.458a5932996f485b8b1b8d7cbb3f77a6">
      <tp>
        <v>1</v>
        <stp/>
        <stp>98bb3fd5-a596-46f1-b8ce-63cbe1530db0</stp>
        <tr r="S72" s="130"/>
      </tp>
    </main>
    <main first="rtdsrv.458a5932996f485b8b1b8d7cbb3f77a6">
      <tp>
        <v>1</v>
        <stp/>
        <stp>7d15006b-23b7-4fb8-8436-591e29d2df5d</stp>
        <tr r="EO15" s="132"/>
      </tp>
    </main>
    <main first="rtdsrv.458a5932996f485b8b1b8d7cbb3f77a6">
      <tp>
        <v>1</v>
        <stp/>
        <stp>59687547-b1af-4a6a-963a-8c95368e2b1e</stp>
        <tr r="GQ13" s="132"/>
      </tp>
      <tp>
        <v>1</v>
        <stp/>
        <stp>be66e9bc-5ad3-4de7-b3f7-c7ad51ba95c1</stp>
        <tr r="V42" s="130"/>
      </tp>
    </main>
    <main first="rtdsrv.458a5932996f485b8b1b8d7cbb3f77a6">
      <tp>
        <v>1</v>
        <stp/>
        <stp>d314e855-964f-444c-a85b-2b4b99550439</stp>
        <tr r="G42" s="130"/>
      </tp>
    </main>
    <main first="rtdsrv.458a5932996f485b8b1b8d7cbb3f77a6">
      <tp>
        <v>1</v>
        <stp/>
        <stp>e5741bd6-c412-4937-9d3d-476a59bbf54e</stp>
        <tr r="AQ14" s="130"/>
        <tr r="AQ26" s="130"/>
      </tp>
      <tp>
        <v>1</v>
        <stp/>
        <stp>e976e088-1fa8-471a-8714-bdb92c889dd2</stp>
        <tr r="H15" s="130"/>
      </tp>
    </main>
    <main first="rtdsrv.458a5932996f485b8b1b8d7cbb3f77a6">
      <tp>
        <v>1</v>
        <stp/>
        <stp>5300c62c-edb0-4019-9ad8-c58e8174e224</stp>
        <tr r="CA9" s="132"/>
      </tp>
    </main>
    <main first="rtdsrv.458a5932996f485b8b1b8d7cbb3f77a6">
      <tp>
        <v>1</v>
        <stp/>
        <stp>b4bc1449-5e7b-4651-ae1c-ba023f54296f</stp>
        <tr r="FI9" s="132"/>
      </tp>
      <tp>
        <v>1</v>
        <stp/>
        <stp>e168ad19-ba9e-437f-8a97-ca08015af370</stp>
        <tr r="AW13" s="132"/>
      </tp>
    </main>
    <main first="rtdsrv.458a5932996f485b8b1b8d7cbb3f77a6">
      <tp>
        <v>1</v>
        <stp/>
        <stp>e095548e-14dd-4c5c-b2dc-0128e9694112</stp>
        <tr r="AL94" s="130"/>
      </tp>
    </main>
    <main first="rtdsrv.458a5932996f485b8b1b8d7cbb3f77a6">
      <tp>
        <v>1</v>
        <stp/>
        <stp>986aba17-e7ba-4071-bbea-15ef9d1a32fe</stp>
        <tr r="AQ40" s="130"/>
      </tp>
    </main>
    <main first="rtdsrv.458a5932996f485b8b1b8d7cbb3f77a6">
      <tp>
        <v>1</v>
        <stp/>
        <stp>59b10e91-b392-4fb4-8b06-52ab91d01285</stp>
        <tr r="AZ73" s="130"/>
      </tp>
    </main>
    <main first="rtdsrv.458a5932996f485b8b1b8d7cbb3f77a6">
      <tp>
        <v>1</v>
        <stp/>
        <stp>7e85d663-5b71-4532-9497-8b451e839a45</stp>
        <tr r="AI80" s="130"/>
      </tp>
    </main>
    <main first="rtdsrv.458a5932996f485b8b1b8d7cbb3f77a6">
      <tp>
        <v>1</v>
        <stp/>
        <stp>8ec4a6b5-4ab4-4713-b84c-ff54a9c70469</stp>
        <tr r="AJ75" s="130"/>
      </tp>
    </main>
    <main first="rtdsrv.458a5932996f485b8b1b8d7cbb3f77a6">
      <tp>
        <v>1</v>
        <stp/>
        <stp>4743e27c-ff15-49d8-8d2e-b2d1acdb23c8</stp>
        <tr r="AN55" s="130"/>
      </tp>
    </main>
    <main first="rtdsrv.458a5932996f485b8b1b8d7cbb3f77a6">
      <tp>
        <v>1</v>
        <stp/>
        <stp>925336dd-792e-4e55-a2a6-91f15e1578e3</stp>
        <tr r="AF30" s="130"/>
      </tp>
    </main>
    <main first="rtdsrv.458a5932996f485b8b1b8d7cbb3f77a6">
      <tp>
        <v>1</v>
        <stp/>
        <stp>db756859-2457-493b-a91e-5675408fe60d</stp>
        <tr r="BD32" s="130"/>
      </tp>
      <tp>
        <v>1</v>
        <stp/>
        <stp>7c3a7d5a-44e6-4a57-8097-1694f1e9115a</stp>
        <tr r="C91" s="130"/>
      </tp>
      <tp>
        <v>1</v>
        <stp/>
        <stp>d560cad3-8f71-422f-8110-1d915ac4e52d</stp>
        <tr r="D40" s="130"/>
      </tp>
    </main>
    <main first="rtdsrv.458a5932996f485b8b1b8d7cbb3f77a6">
      <tp>
        <v>1</v>
        <stp/>
        <stp>90c3fb17-3cd1-4ee9-8703-4d9f76dd913b</stp>
        <tr r="BJ40" s="130"/>
      </tp>
    </main>
    <main first="rtdsrv.458a5932996f485b8b1b8d7cbb3f77a6">
      <tp>
        <v>1</v>
        <stp/>
        <stp>35468c50-78f7-4bb0-88fd-802db5a0c9b6</stp>
        <tr r="BZ13" s="132"/>
      </tp>
    </main>
    <main first="rtdsrv.458a5932996f485b8b1b8d7cbb3f77a6">
      <tp>
        <v>1</v>
        <stp/>
        <stp>1862adcf-53f4-414d-b1b7-c38a25563b04</stp>
        <tr r="AU12" s="132"/>
      </tp>
    </main>
    <main first="rtdsrv.458a5932996f485b8b1b8d7cbb3f77a6">
      <tp>
        <v>1</v>
        <stp/>
        <stp>1645218e-bb67-4177-94ce-a6b6c5ac79d7</stp>
        <tr r="S41" s="130"/>
      </tp>
    </main>
    <main first="rtdsrv.458a5932996f485b8b1b8d7cbb3f77a6">
      <tp>
        <v>1</v>
        <stp/>
        <stp>1c0ad428-c15c-49e7-918e-36cb938225a6</stp>
        <tr r="AV36" s="130"/>
      </tp>
    </main>
    <main first="rtdsrv.458a5932996f485b8b1b8d7cbb3f77a6">
      <tp>
        <v>1</v>
        <stp/>
        <stp>f73b2695-1487-4cbe-8cc0-c243175498c9</stp>
        <tr r="CR14" s="132"/>
      </tp>
    </main>
    <main first="rtdsrv.458a5932996f485b8b1b8d7cbb3f77a6">
      <tp>
        <v>1</v>
        <stp/>
        <stp>8d314a21-64a7-42ae-b293-649882cf0b18</stp>
        <tr r="Q71" s="130"/>
      </tp>
      <tp>
        <v>1</v>
        <stp/>
        <stp>782b8e63-37f2-4d5c-a2ce-d0fe5c8006e0</stp>
        <tr r="AO13" s="132"/>
      </tp>
      <tp>
        <v>1</v>
        <stp/>
        <stp>def2d83f-5146-4233-82d0-aabda39a8fb8</stp>
        <tr r="BD38" s="130"/>
      </tp>
    </main>
    <main first="rtdsrv.458a5932996f485b8b1b8d7cbb3f77a6">
      <tp>
        <v>1</v>
        <stp/>
        <stp>139fa0fa-ae99-4226-9f1b-7e0a73018850</stp>
        <tr r="I47" s="130"/>
        <tr r="I52" s="130"/>
      </tp>
    </main>
    <main first="rtdsrv.458a5932996f485b8b1b8d7cbb3f77a6">
      <tp>
        <v>1</v>
        <stp/>
        <stp>e572bd42-c44e-4a98-a9b6-fd07e1db3682</stp>
        <tr r="BJ77" s="130"/>
      </tp>
    </main>
    <main first="rtdsrv.458a5932996f485b8b1b8d7cbb3f77a6">
      <tp>
        <v>1</v>
        <stp/>
        <stp>f4179167-7e3c-43ff-9e92-f609f3887c5d</stp>
        <tr r="AK29" s="130"/>
      </tp>
    </main>
    <main first="rtdsrv.458a5932996f485b8b1b8d7cbb3f77a6">
      <tp>
        <v>1</v>
        <stp/>
        <stp>66e0d64d-3d4b-454b-b6de-cb226990ce64</stp>
        <tr r="BA82" s="130"/>
      </tp>
      <tp>
        <v>1</v>
        <stp/>
        <stp>891bd15e-bd92-4942-9f2c-f35f97cc0e86</stp>
        <tr r="AQ7" s="132"/>
      </tp>
    </main>
    <main first="rtdsrv.458a5932996f485b8b1b8d7cbb3f77a6">
      <tp>
        <v>1</v>
        <stp/>
        <stp>9c3e1ad1-8b13-4843-a62b-15e48c9b7ffa</stp>
        <tr r="BY5" s="132"/>
      </tp>
    </main>
    <main first="rtdsrv.458a5932996f485b8b1b8d7cbb3f77a6">
      <tp>
        <v>1</v>
        <stp/>
        <stp>74aa92c0-de9c-4846-b917-c08cdff208a5</stp>
        <tr r="AY31" s="130"/>
      </tp>
    </main>
    <main first="rtdsrv.458a5932996f485b8b1b8d7cbb3f77a6">
      <tp>
        <v>1</v>
        <stp/>
        <stp>dd59c8e2-fb21-4284-ba13-d6295c985ab4</stp>
        <tr r="AO68" s="130"/>
      </tp>
    </main>
    <main first="rtdsrv.458a5932996f485b8b1b8d7cbb3f77a6">
      <tp>
        <v>1</v>
        <stp/>
        <stp>c5f9f93f-739f-4e71-b622-c03adb652a91</stp>
        <tr r="AD98" s="130"/>
      </tp>
    </main>
    <main first="rtdsrv.458a5932996f485b8b1b8d7cbb3f77a6">
      <tp>
        <v>1</v>
        <stp/>
        <stp>a293b03d-f76c-43d0-888e-bfcc9cf0bb53</stp>
        <tr r="U14" s="130"/>
        <tr r="U26" s="130"/>
      </tp>
    </main>
    <main first="rtdsrv.458a5932996f485b8b1b8d7cbb3f77a6">
      <tp>
        <v>1</v>
        <stp/>
        <stp>f2cf30ac-d659-44ea-975b-57b948ebb683</stp>
        <tr r="S59" s="130"/>
      </tp>
      <tp>
        <v>1</v>
        <stp/>
        <stp>8dec325c-84fd-48ae-8101-c48aa43f5074</stp>
        <tr r="F45" s="130"/>
      </tp>
    </main>
    <main first="rtdsrv.458a5932996f485b8b1b8d7cbb3f77a6">
      <tp>
        <v>1</v>
        <stp/>
        <stp>b0634337-96c4-40fe-926c-3d792b71cd96</stp>
        <tr r="BA5" s="132"/>
      </tp>
    </main>
    <main first="rtdsrv.458a5932996f485b8b1b8d7cbb3f77a6">
      <tp>
        <v>1</v>
        <stp/>
        <stp>bfa43ff1-9f21-4d15-9477-ec9aae53f63e</stp>
        <tr r="AX99" s="130"/>
      </tp>
    </main>
    <main first="rtdsrv.458a5932996f485b8b1b8d7cbb3f77a6">
      <tp>
        <v>1</v>
        <stp/>
        <stp>3dd8f722-f6ee-4b7d-8150-d99a1f17a018</stp>
        <tr r="O18" s="130"/>
      </tp>
    </main>
    <main first="rtdsrv.458a5932996f485b8b1b8d7cbb3f77a6">
      <tp>
        <v>1</v>
        <stp/>
        <stp>0e69986d-e302-4393-951c-558caf76ab65</stp>
        <tr r="AJ34" s="130"/>
      </tp>
    </main>
    <main first="rtdsrv.458a5932996f485b8b1b8d7cbb3f77a6">
      <tp>
        <v>1</v>
        <stp/>
        <stp>98ed35d6-b24c-4fad-a925-6d8e7dc44244</stp>
        <tr r="BT6" s="132"/>
      </tp>
    </main>
    <main first="rtdsrv.458a5932996f485b8b1b8d7cbb3f77a6">
      <tp>
        <v>1</v>
        <stp/>
        <stp>5a973ee6-2fbe-4419-95ef-adadb57fd0cc</stp>
        <tr r="AN78" s="130"/>
      </tp>
    </main>
    <main first="rtdsrv.458a5932996f485b8b1b8d7cbb3f77a6">
      <tp>
        <v>1</v>
        <stp/>
        <stp>885bc88c-01df-4b31-976e-47ba624b99f7</stp>
        <tr r="F81" s="130"/>
      </tp>
      <tp>
        <v>1</v>
        <stp/>
        <stp>e0ce6823-52ad-4990-9206-989b8939976f</stp>
        <tr r="AP96" s="130"/>
      </tp>
      <tp>
        <v>1</v>
        <stp/>
        <stp>dffbe861-e70e-4d5b-b749-e07bae0a5335</stp>
        <tr r="K37" s="130"/>
      </tp>
    </main>
    <main first="rtdsrv.458a5932996f485b8b1b8d7cbb3f77a6">
      <tp>
        <v>1</v>
        <stp/>
        <stp>5cd65be4-ac42-47c3-932b-f9633ceb8094</stp>
        <tr r="M56" s="130"/>
      </tp>
    </main>
    <main first="rtdsrv.458a5932996f485b8b1b8d7cbb3f77a6">
      <tp>
        <v>1</v>
        <stp/>
        <stp>4a93b4fe-00cb-4382-9c9b-1f3814e59719</stp>
        <tr r="BI8" s="130"/>
      </tp>
      <tp>
        <v>1</v>
        <stp/>
        <stp>ba781996-6914-44e2-822f-ad7fde586d9f</stp>
        <tr r="R5" s="130"/>
      </tp>
    </main>
    <main first="rtdsrv.458a5932996f485b8b1b8d7cbb3f77a6">
      <tp>
        <v>1</v>
        <stp/>
        <stp>b4523e83-4bc1-45f3-8d27-d917ca2e8714</stp>
        <tr r="BB5" s="132"/>
      </tp>
    </main>
    <main first="rtdsrv.458a5932996f485b8b1b8d7cbb3f77a6">
      <tp>
        <v>1</v>
        <stp/>
        <stp>f85d5468-f62c-4b4f-8c4b-c0ff1e9e1fcb</stp>
        <tr r="AQ38" s="130"/>
      </tp>
    </main>
    <main first="rtdsrv.458a5932996f485b8b1b8d7cbb3f77a6">
      <tp>
        <v>1</v>
        <stp/>
        <stp>5fa671ae-5e3e-4179-a415-e178b4488d8b</stp>
        <tr r="AT33" s="130"/>
      </tp>
    </main>
    <main first="rtdsrv.458a5932996f485b8b1b8d7cbb3f77a6">
      <tp>
        <v>1</v>
        <stp/>
        <stp>ed82276a-72b1-4fb8-9724-81ec2ae9c5ce</stp>
        <tr r="AJ16" s="132"/>
      </tp>
    </main>
    <main first="rtdsrv.458a5932996f485b8b1b8d7cbb3f77a6">
      <tp>
        <v>1</v>
        <stp/>
        <stp>83661c25-8a89-4406-8bc3-456d447276c7</stp>
        <tr r="AR61" s="130"/>
      </tp>
      <tp>
        <v>1</v>
        <stp/>
        <stp>3c0e2792-8fa1-4c42-a9bf-5776fe9e2d31</stp>
        <tr r="F77" s="130"/>
      </tp>
    </main>
    <main first="rtdsrv.458a5932996f485b8b1b8d7cbb3f77a6">
      <tp>
        <v>1</v>
        <stp/>
        <stp>59d4d345-b568-49cf-9f43-3c7ff5613fc4</stp>
        <tr r="P7" s="132"/>
      </tp>
    </main>
    <main first="rtdsrv.458a5932996f485b8b1b8d7cbb3f77a6">
      <tp>
        <v>1</v>
        <stp/>
        <stp>4c41353f-c2a6-40ff-aca1-f13520bc89ab</stp>
        <tr r="BI58" s="130"/>
      </tp>
    </main>
    <main first="rtdsrv.458a5932996f485b8b1b8d7cbb3f77a6">
      <tp>
        <v>1</v>
        <stp/>
        <stp>08a0b483-17e0-472d-a1ff-4428b489f567</stp>
        <tr r="AV72" s="130"/>
      </tp>
    </main>
    <main first="rtdsrv.458a5932996f485b8b1b8d7cbb3f77a6">
      <tp>
        <v>1</v>
        <stp/>
        <stp>a230dc1f-27bc-423c-8281-6405c3381535</stp>
        <tr r="I81" s="130"/>
      </tp>
    </main>
    <main first="rtdsrv.458a5932996f485b8b1b8d7cbb3f77a6">
      <tp>
        <v>1</v>
        <stp/>
        <stp>029f9ab4-9fc7-46cd-bdbc-f21912cf2f89</stp>
        <tr r="X8" s="130"/>
      </tp>
    </main>
    <main first="rtdsrv.458a5932996f485b8b1b8d7cbb3f77a6">
      <tp>
        <v>1</v>
        <stp/>
        <stp>02e92612-1fe5-4a9d-9919-4f9b8569d918</stp>
        <tr r="AY41" s="130"/>
      </tp>
    </main>
    <main first="rtdsrv.458a5932996f485b8b1b8d7cbb3f77a6">
      <tp>
        <v>1</v>
        <stp/>
        <stp>192e0246-ff24-4300-8fd1-5b44fed6a449</stp>
        <tr r="AX29" s="130"/>
      </tp>
    </main>
    <main first="rtdsrv.458a5932996f485b8b1b8d7cbb3f77a6">
      <tp>
        <v>1</v>
        <stp/>
        <stp>336ba973-a234-439e-b63d-43c8be9c8a87</stp>
        <tr r="C32" s="130"/>
      </tp>
      <tp>
        <v>1</v>
        <stp/>
        <stp>d18ee328-e9bb-4a13-aa39-9276cf9be914</stp>
        <tr r="HD14" s="132"/>
      </tp>
    </main>
    <main first="rtdsrv.458a5932996f485b8b1b8d7cbb3f77a6">
      <tp>
        <v>1</v>
        <stp/>
        <stp>952bf969-ea45-44a0-bc6f-fdb6b31dd2e2</stp>
        <tr r="AL59" s="130"/>
      </tp>
    </main>
    <main first="rtdsrv.458a5932996f485b8b1b8d7cbb3f77a6">
      <tp>
        <v>1</v>
        <stp/>
        <stp>1f0af7c7-f5f8-4954-8395-0646974731f5</stp>
        <tr r="FA8" s="132"/>
      </tp>
    </main>
    <main first="rtdsrv.458a5932996f485b8b1b8d7cbb3f77a6">
      <tp>
        <v>1</v>
        <stp/>
        <stp>b99934ea-8c58-4a2b-81bd-f847cec94b97</stp>
        <tr r="GW13" s="132"/>
      </tp>
    </main>
    <main first="rtdsrv.458a5932996f485b8b1b8d7cbb3f77a6">
      <tp>
        <v>1</v>
        <stp/>
        <stp>4c727843-b506-4ed5-b85c-66aff08a3598</stp>
        <tr r="GV5" s="132"/>
      </tp>
    </main>
    <main first="rtdsrv.458a5932996f485b8b1b8d7cbb3f77a6">
      <tp>
        <v>1</v>
        <stp/>
        <stp>3e25e475-ee27-4998-a62d-afa93ca2d127</stp>
        <tr r="CU15" s="132"/>
      </tp>
    </main>
    <main first="rtdsrv.458a5932996f485b8b1b8d7cbb3f77a6">
      <tp>
        <v>1</v>
        <stp/>
        <stp>5b8ad093-2308-437f-ba11-a80c107b652b</stp>
        <tr r="S9" s="130"/>
      </tp>
      <tp>
        <v>1</v>
        <stp/>
        <stp>72cc9fa2-0064-4c95-af7e-ac8b978de8a3</stp>
        <tr r="M45" s="130"/>
      </tp>
      <tp>
        <v>1</v>
        <stp/>
        <stp>c8589cec-a7a2-48b4-8c62-9d379410fbac</stp>
        <tr r="AU80" s="130"/>
      </tp>
    </main>
    <main first="rtdsrv.458a5932996f485b8b1b8d7cbb3f77a6">
      <tp>
        <v>1</v>
        <stp/>
        <stp>c552f3e7-6df1-434b-aa80-f3b82eff8662</stp>
        <tr r="BC29" s="130"/>
      </tp>
    </main>
    <main first="rtdsrv.458a5932996f485b8b1b8d7cbb3f77a6">
      <tp>
        <v>1</v>
        <stp/>
        <stp>d92c3346-cc06-493e-911d-6e433b79d043</stp>
        <tr r="GV9" s="132"/>
      </tp>
      <tp>
        <v>1</v>
        <stp/>
        <stp>8fec3096-9621-416c-87f4-0d5bffe2bb8b</stp>
        <tr r="BA7" s="132"/>
      </tp>
      <tp>
        <v>1</v>
        <stp/>
        <stp>0a6167e7-8d03-48a5-9f45-7a80174d8389</stp>
        <tr r="AD13" s="132"/>
      </tp>
    </main>
    <main first="rtdsrv.458a5932996f485b8b1b8d7cbb3f77a6">
      <tp>
        <v>1</v>
        <stp/>
        <stp>6a05d369-1ecb-49a8-bc09-d3c55476ef81</stp>
        <tr r="CO5" s="132"/>
      </tp>
    </main>
    <main first="rtdsrv.458a5932996f485b8b1b8d7cbb3f77a6">
      <tp>
        <v>1</v>
        <stp/>
        <stp>4f8f7694-4b40-4f69-9912-9ff06f028f19</stp>
        <tr r="J28" s="130"/>
      </tp>
    </main>
    <main first="rtdsrv.458a5932996f485b8b1b8d7cbb3f77a6">
      <tp>
        <v>1</v>
        <stp/>
        <stp>9dfc1372-bc4c-49d9-9880-bca5994fbda7</stp>
        <tr r="DN13" s="132"/>
      </tp>
    </main>
    <main first="rtdsrv.458a5932996f485b8b1b8d7cbb3f77a6">
      <tp>
        <v>1</v>
        <stp/>
        <stp>0bced1bc-40b0-4f1a-ad5d-d45829b5644e</stp>
        <tr r="AD58" s="130"/>
      </tp>
    </main>
    <main first="rtdsrv.458a5932996f485b8b1b8d7cbb3f77a6">
      <tp>
        <v>1</v>
        <stp/>
        <stp>98fa60b7-2fad-4618-9a5c-afa5d9446bb3</stp>
        <tr r="I25" s="130"/>
      </tp>
    </main>
    <main first="rtdsrv.458a5932996f485b8b1b8d7cbb3f77a6">
      <tp>
        <v>1</v>
        <stp/>
        <stp>ff4b19c1-6401-4893-9515-e15c0f6026ba</stp>
        <tr r="J99" s="130"/>
      </tp>
    </main>
    <main first="rtdsrv.458a5932996f485b8b1b8d7cbb3f77a6">
      <tp>
        <v>1</v>
        <stp/>
        <stp>a3b49230-5db9-4c18-bd2c-dce7dd4a0306</stp>
        <tr r="AJ10" s="130"/>
      </tp>
    </main>
    <main first="rtdsrv.458a5932996f485b8b1b8d7cbb3f77a6">
      <tp>
        <v>1</v>
        <stp/>
        <stp>d19eb5a6-d275-4f49-98b8-26d18331a426</stp>
        <tr r="AH83" s="130"/>
      </tp>
    </main>
    <main first="rtdsrv.458a5932996f485b8b1b8d7cbb3f77a6">
      <tp>
        <v>1</v>
        <stp/>
        <stp>221d2a52-344a-4e58-9973-0de7632fd2cd</stp>
        <tr r="AR58" s="130"/>
      </tp>
    </main>
    <main first="rtdsrv.458a5932996f485b8b1b8d7cbb3f77a6">
      <tp>
        <v>1</v>
        <stp/>
        <stp>951a31b8-64d6-419f-949c-b242c00cfe02</stp>
        <tr r="J13" s="132"/>
      </tp>
    </main>
    <main first="rtdsrv.458a5932996f485b8b1b8d7cbb3f77a6">
      <tp>
        <v>1</v>
        <stp/>
        <stp>fdb3fa29-869c-486e-b00b-ee38dbeb8ebc</stp>
        <tr r="AM9" s="130"/>
      </tp>
    </main>
    <main first="rtdsrv.458a5932996f485b8b1b8d7cbb3f77a6">
      <tp>
        <v>1</v>
        <stp/>
        <stp>4c67cbc5-6321-4793-8ab6-71241eabe836</stp>
        <tr r="F69" s="130"/>
      </tp>
    </main>
    <main first="rtdsrv.458a5932996f485b8b1b8d7cbb3f77a6">
      <tp>
        <v>1</v>
        <stp/>
        <stp>08c058b1-d2e0-4f36-9b27-e9c7455f2fb6</stp>
        <tr r="I99" s="130"/>
      </tp>
    </main>
    <main first="rtdsrv.458a5932996f485b8b1b8d7cbb3f77a6">
      <tp>
        <v>1</v>
        <stp/>
        <stp>a83eea2f-f38e-4e14-83f1-a5383123cc27</stp>
        <tr r="S60" s="130"/>
      </tp>
    </main>
    <main first="rtdsrv.458a5932996f485b8b1b8d7cbb3f77a6">
      <tp>
        <v>1</v>
        <stp/>
        <stp>3ba6299c-53f2-46ab-be3d-a0474a3dcd80</stp>
        <tr r="AN92" s="130"/>
      </tp>
    </main>
    <main first="rtdsrv.458a5932996f485b8b1b8d7cbb3f77a6">
      <tp>
        <v>1</v>
        <stp/>
        <stp>9f073c74-dcd7-4b7e-a04d-a2eca9d1e115</stp>
        <tr r="Z31" s="130"/>
      </tp>
    </main>
    <main first="rtdsrv.458a5932996f485b8b1b8d7cbb3f77a6">
      <tp>
        <v>1</v>
        <stp/>
        <stp>18bdd81d-a89d-4bc9-9ac5-6c5c538d2acd</stp>
        <tr r="AV66" s="130"/>
      </tp>
    </main>
    <main first="rtdsrv.458a5932996f485b8b1b8d7cbb3f77a6">
      <tp>
        <v>1</v>
        <stp/>
        <stp>1ce6f5da-a1d2-4f8c-9a69-d8dc4dd22493</stp>
        <tr r="AH58" s="130"/>
      </tp>
      <tp>
        <v>1</v>
        <stp/>
        <stp>36667eb5-a311-4c7c-903e-6bee881852f8</stp>
        <tr r="BJ19" s="130"/>
      </tp>
    </main>
    <main first="rtdsrv.458a5932996f485b8b1b8d7cbb3f77a6">
      <tp>
        <v>1</v>
        <stp/>
        <stp>0d3d67ef-f3ce-421b-a7d6-09208ed30e59</stp>
        <tr r="AI70" s="130"/>
      </tp>
    </main>
    <main first="rtdsrv.458a5932996f485b8b1b8d7cbb3f77a6">
      <tp>
        <v>1</v>
        <stp/>
        <stp>8f20e3e1-78f6-49cd-8ce8-b25e1b1d79b1</stp>
        <tr r="AP75" s="130"/>
      </tp>
    </main>
    <main first="rtdsrv.458a5932996f485b8b1b8d7cbb3f77a6">
      <tp>
        <v>1</v>
        <stp/>
        <stp>cf04c24f-cccb-4f8d-a655-ff671965e3cf</stp>
        <tr r="EB13" s="132"/>
      </tp>
    </main>
    <main first="rtdsrv.458a5932996f485b8b1b8d7cbb3f77a6">
      <tp>
        <v>1</v>
        <stp/>
        <stp>6cf678bb-ecaa-4c53-94de-f42b11613f7e</stp>
        <tr r="AB81" s="130"/>
      </tp>
    </main>
    <main first="rtdsrv.458a5932996f485b8b1b8d7cbb3f77a6">
      <tp>
        <v>1</v>
        <stp/>
        <stp>446d226b-21ee-4ef9-a3ef-21a0bb4a2131</stp>
        <tr r="AC47" s="130"/>
        <tr r="AC52" s="130"/>
      </tp>
    </main>
    <main first="rtdsrv.458a5932996f485b8b1b8d7cbb3f77a6">
      <tp>
        <v>1</v>
        <stp/>
        <stp>ff9a9726-23c4-496d-b398-84e9c97ce9c7</stp>
        <tr r="FZ12" s="132"/>
      </tp>
    </main>
    <main first="rtdsrv.458a5932996f485b8b1b8d7cbb3f77a6">
      <tp>
        <v>1</v>
        <stp/>
        <stp>f6f3f638-671b-4ff6-8aad-afd0d90db4c1</stp>
        <tr r="K74" s="130"/>
      </tp>
      <tp>
        <v>1</v>
        <stp/>
        <stp>54b259a3-c077-484e-95a1-12167e2e870e</stp>
        <tr r="GA11" s="132"/>
      </tp>
      <tp>
        <v>1</v>
        <stp/>
        <stp>5d68befd-9131-4e56-9155-e7f480a5c6b2</stp>
        <tr r="BK30" s="130"/>
      </tp>
    </main>
    <main first="rtdsrv.458a5932996f485b8b1b8d7cbb3f77a6">
      <tp>
        <v>1</v>
        <stp/>
        <stp>684209c4-7bb9-4c32-a187-f4521658a43b</stp>
        <tr r="GX16" s="132"/>
      </tp>
    </main>
    <main first="rtdsrv.458a5932996f485b8b1b8d7cbb3f77a6">
      <tp>
        <v>1</v>
        <stp/>
        <stp>64cd5282-24c9-4bb7-af09-3139390011d6</stp>
        <tr r="HB8" s="132"/>
      </tp>
    </main>
    <main first="rtdsrv.458a5932996f485b8b1b8d7cbb3f77a6">
      <tp>
        <v>1</v>
        <stp/>
        <stp>3fa1ce7a-355c-4f85-8460-1938cfff4f44</stp>
        <tr r="AC5" s="130"/>
      </tp>
      <tp>
        <v>1</v>
        <stp/>
        <stp>81d385da-15a9-4823-a91e-b96fa71af3e2</stp>
        <tr r="BI9" s="132"/>
      </tp>
    </main>
    <main first="rtdsrv.458a5932996f485b8b1b8d7cbb3f77a6">
      <tp>
        <v>1</v>
        <stp/>
        <stp>d9b0554b-43a9-4fde-9fb4-53f59401c257</stp>
        <tr r="AP16" s="132"/>
      </tp>
    </main>
    <main first="rtdsrv.458a5932996f485b8b1b8d7cbb3f77a6">
      <tp>
        <v>1</v>
        <stp/>
        <stp>2998e69a-54b8-47ab-81fe-917486d8d30e</stp>
        <tr r="AY32" s="130"/>
      </tp>
    </main>
    <main first="rtdsrv.458a5932996f485b8b1b8d7cbb3f77a6">
      <tp>
        <v>1</v>
        <stp/>
        <stp>e0349d5b-f3c2-4951-8c70-5905f4375340</stp>
        <tr r="BF60" s="130"/>
      </tp>
    </main>
    <main first="rtdsrv.458a5932996f485b8b1b8d7cbb3f77a6">
      <tp>
        <v>1</v>
        <stp/>
        <stp>50193aa5-01b9-47a8-bf22-5b225316b0b1</stp>
        <tr r="I16" s="132"/>
      </tp>
    </main>
    <main first="rtdsrv.458a5932996f485b8b1b8d7cbb3f77a6">
      <tp>
        <v>1</v>
        <stp/>
        <stp>eb74197f-83fa-4cd4-9cab-5ea3da0b9822</stp>
        <tr r="Z95" s="130"/>
      </tp>
      <tp>
        <v>1</v>
        <stp/>
        <stp>7fd6a263-2540-48fb-b88d-66300dd42dfb</stp>
        <tr r="P18" s="130"/>
      </tp>
    </main>
    <main first="rtdsrv.458a5932996f485b8b1b8d7cbb3f77a6">
      <tp>
        <v>1</v>
        <stp/>
        <stp>f576dfe1-5af5-4697-a7af-262209ac6553</stp>
        <tr r="AW67" s="130"/>
      </tp>
    </main>
    <main first="rtdsrv.458a5932996f485b8b1b8d7cbb3f77a6">
      <tp>
        <v>1</v>
        <stp/>
        <stp>257b8afb-5f60-4831-bfa6-c92516db14de</stp>
        <tr r="P66" s="130"/>
      </tp>
    </main>
    <main first="rtdsrv.458a5932996f485b8b1b8d7cbb3f77a6">
      <tp>
        <v>1</v>
        <stp/>
        <stp>85073480-559e-4262-be17-0c96afe738e3</stp>
        <tr r="CR11" s="132"/>
      </tp>
    </main>
    <main first="rtdsrv.458a5932996f485b8b1b8d7cbb3f77a6">
      <tp>
        <v>1</v>
        <stp/>
        <stp>088e9287-fefb-4d8b-a949-c74e7b862ece</stp>
        <tr r="R35" s="130"/>
      </tp>
    </main>
    <main first="rtdsrv.458a5932996f485b8b1b8d7cbb3f77a6">
      <tp>
        <v>1</v>
        <stp/>
        <stp>cd79d820-1b77-441c-8e14-6b555c0514e6</stp>
        <tr r="E31" s="130"/>
      </tp>
    </main>
    <main first="rtdsrv.458a5932996f485b8b1b8d7cbb3f77a6">
      <tp>
        <v>1</v>
        <stp/>
        <stp>d5ed48a4-6882-4707-ab80-c798e0271940</stp>
        <tr r="AB44" s="130"/>
      </tp>
    </main>
    <main first="rtdsrv.458a5932996f485b8b1b8d7cbb3f77a6">
      <tp>
        <v>1</v>
        <stp/>
        <stp>76bdfebf-78bb-437f-a3ba-d8223d3fb6d3</stp>
        <tr r="AO69" s="130"/>
      </tp>
      <tp>
        <v>1</v>
        <stp/>
        <stp>afda019f-9023-4f26-9420-67f8c310cd66</stp>
        <tr r="BH12" s="130"/>
      </tp>
      <tp>
        <v>1</v>
        <stp/>
        <stp>09317b6f-71d1-4607-8c18-bbc28ae93c6e</stp>
        <tr r="S55" s="130"/>
      </tp>
      <tp>
        <v>1</v>
        <stp/>
        <stp>6822da39-e70f-4202-9f75-e762d08ed415</stp>
        <tr r="CA5" s="132"/>
      </tp>
    </main>
    <main first="rtdsrv.458a5932996f485b8b1b8d7cbb3f77a6">
      <tp>
        <v>1</v>
        <stp/>
        <stp>0fd631c8-2d4d-40c2-a93c-344b190b4c85</stp>
        <tr r="AT30" s="130"/>
      </tp>
      <tp>
        <v>1</v>
        <stp/>
        <stp>c38def13-1ae8-4aa9-9416-9360d1fa0d2f</stp>
        <tr r="AH8" s="132"/>
      </tp>
    </main>
    <main first="rtdsrv.458a5932996f485b8b1b8d7cbb3f77a6">
      <tp>
        <v>1</v>
        <stp/>
        <stp>c410ae37-b461-4bc7-9a9a-21b70787b116</stp>
        <tr r="I10" s="130"/>
      </tp>
    </main>
    <main first="rtdsrv.458a5932996f485b8b1b8d7cbb3f77a6">
      <tp>
        <v>1</v>
        <stp/>
        <stp>bc98b977-9e70-4823-be73-56d60cdcf8d9</stp>
        <tr r="Q25" s="130"/>
      </tp>
    </main>
    <main first="rtdsrv.458a5932996f485b8b1b8d7cbb3f77a6">
      <tp>
        <v>1</v>
        <stp/>
        <stp>b2b4ece7-1b8c-4ba1-87d7-7c781e9329a8</stp>
        <tr r="AN80" s="130"/>
      </tp>
    </main>
    <main first="rtdsrv.458a5932996f485b8b1b8d7cbb3f77a6">
      <tp>
        <v>1</v>
        <stp/>
        <stp>5903a6eb-1fe3-4af6-9ac7-7e9bd7eb93e1</stp>
        <tr r="L65" s="130"/>
      </tp>
      <tp>
        <v>1</v>
        <stp/>
        <stp>c8f13d4d-1393-4295-ac32-34356c8e86e5</stp>
        <tr r="P5" s="132"/>
      </tp>
      <tp>
        <v>1</v>
        <stp/>
        <stp>42f1562c-d926-46fc-94d1-86449cc58867</stp>
        <tr r="AE77" s="130"/>
      </tp>
      <tp>
        <v>1</v>
        <stp/>
        <stp>05bc3591-56ce-4ee2-9d9b-141e73a5b3bd</stp>
        <tr r="H89" s="130"/>
      </tp>
    </main>
    <main first="rtdsrv.458a5932996f485b8b1b8d7cbb3f77a6">
      <tp>
        <v>1</v>
        <stp/>
        <stp>9d973536-9fb2-4ed7-a2a4-6ac3916a5d02</stp>
        <tr r="M21" s="130"/>
      </tp>
    </main>
    <main first="rtdsrv.458a5932996f485b8b1b8d7cbb3f77a6">
      <tp>
        <v>1</v>
        <stp/>
        <stp>ef4ed872-7d85-407a-8af8-52a25d3b9205</stp>
        <tr r="AK63" s="130"/>
      </tp>
      <tp>
        <v>1</v>
        <stp/>
        <stp>c4132a73-0a7f-4e63-a606-a6c449938c66</stp>
        <tr r="V9" s="130"/>
      </tp>
    </main>
    <main first="rtdsrv.458a5932996f485b8b1b8d7cbb3f77a6">
      <tp>
        <v>1</v>
        <stp/>
        <stp>6c081fe7-8ed3-45e1-91e1-fb92fb3adc64</stp>
        <tr r="BB31" s="130"/>
      </tp>
      <tp>
        <v>1</v>
        <stp/>
        <stp>0eb95e87-fad2-4ad9-9669-a0eaf7989dcd</stp>
        <tr r="J87" s="130"/>
      </tp>
    </main>
    <main first="rtdsrv.458a5932996f485b8b1b8d7cbb3f77a6">
      <tp>
        <v>1</v>
        <stp/>
        <stp>6937e3e1-0446-4dc9-80b8-4e67e8bb6637</stp>
        <tr r="BJ69" s="130"/>
      </tp>
    </main>
    <main first="rtdsrv.458a5932996f485b8b1b8d7cbb3f77a6">
      <tp>
        <v>1</v>
        <stp/>
        <stp>1efbe885-e529-432d-a232-6744e30d3ac0</stp>
        <tr r="EB11" s="132"/>
      </tp>
      <tp>
        <v>1</v>
        <stp/>
        <stp>cf055930-e84c-40cc-8c0d-5b73c15eb0c9</stp>
        <tr r="FX9" s="132"/>
      </tp>
      <tp>
        <v>1</v>
        <stp/>
        <stp>25bf649a-bb42-4a9c-af9f-c1754c759aaf</stp>
        <tr r="BB17" s="130"/>
      </tp>
      <tp>
        <v>1</v>
        <stp/>
        <stp>4cd9e55e-c12e-4bc5-9411-fb9648a4ca7c</stp>
        <tr r="FQ15" s="132"/>
      </tp>
      <tp>
        <v>1</v>
        <stp/>
        <stp>e940f802-f4b9-454f-8d99-cd72e7e99ae2</stp>
        <tr r="AS71" s="130"/>
      </tp>
    </main>
    <main first="rtdsrv.458a5932996f485b8b1b8d7cbb3f77a6">
      <tp>
        <v>1</v>
        <stp/>
        <stp>c2ca0879-14aa-4413-ae15-702133ab608c</stp>
        <tr r="EG7" s="132"/>
      </tp>
    </main>
    <main first="rtdsrv.458a5932996f485b8b1b8d7cbb3f77a6">
      <tp>
        <v>1</v>
        <stp/>
        <stp>5d936fdc-45cb-49fa-8d33-99faf5f23bef</stp>
        <tr r="EO5" s="132"/>
      </tp>
      <tp>
        <v>1</v>
        <stp/>
        <stp>0767fdbf-5872-4769-b027-20ffceef02f5</stp>
        <tr r="F57" s="130"/>
      </tp>
      <tp>
        <v>1</v>
        <stp/>
        <stp>63bc8803-8135-4d1f-9595-0deb455c8789</stp>
        <tr r="EA11" s="132"/>
      </tp>
      <tp>
        <v>1</v>
        <stp/>
        <stp>350ed9b4-0961-4ca1-afe9-3b94a86de8c0</stp>
        <tr r="AC28" s="130"/>
      </tp>
    </main>
    <main first="rtdsrv.458a5932996f485b8b1b8d7cbb3f77a6">
      <tp>
        <v>1</v>
        <stp/>
        <stp>41d1ac22-5dab-4553-9b84-c112e1906f0f</stp>
        <tr r="DK14" s="132"/>
      </tp>
    </main>
    <main first="rtdsrv.458a5932996f485b8b1b8d7cbb3f77a6">
      <tp>
        <v>1</v>
        <stp/>
        <stp>ff71aa06-6df4-443b-a61a-f8715f9b7637</stp>
        <tr r="BW12" s="132"/>
      </tp>
    </main>
    <main first="rtdsrv.458a5932996f485b8b1b8d7cbb3f77a6">
      <tp>
        <v>1</v>
        <stp/>
        <stp>0ab01ebb-59e6-43cb-a20b-8f7238e11766</stp>
        <tr r="H82" s="130"/>
      </tp>
      <tp>
        <v>1</v>
        <stp/>
        <stp>fbada9b0-5c38-4d48-bc07-b7ddcc4c2889</stp>
        <tr r="BA78" s="130"/>
      </tp>
    </main>
    <main first="rtdsrv.458a5932996f485b8b1b8d7cbb3f77a6">
      <tp>
        <v>1</v>
        <stp/>
        <stp>3391ca7d-fa6e-406a-91ad-20537680d895</stp>
        <tr r="D33" s="130"/>
      </tp>
    </main>
    <main first="rtdsrv.458a5932996f485b8b1b8d7cbb3f77a6">
      <tp>
        <v>1</v>
        <stp/>
        <stp>574a8384-f432-411b-8410-643ed9b696fd</stp>
        <tr r="AU13" s="132"/>
      </tp>
      <tp>
        <v>1</v>
        <stp/>
        <stp>c5c13a56-87a6-4bf3-8609-40b463368f69</stp>
        <tr r="AG22" s="130"/>
      </tp>
    </main>
    <main first="rtdsrv.458a5932996f485b8b1b8d7cbb3f77a6">
      <tp>
        <v>1</v>
        <stp/>
        <stp>9058a449-be5e-485e-b62f-7319f190595c</stp>
        <tr r="AF22" s="130"/>
      </tp>
    </main>
    <main first="rtdsrv.458a5932996f485b8b1b8d7cbb3f77a6">
      <tp>
        <v>1</v>
        <stp/>
        <stp>d1e24feb-cd9e-4580-8140-c99bf00a83e4</stp>
        <tr r="K69" s="130"/>
      </tp>
    </main>
    <main first="rtdsrv.458a5932996f485b8b1b8d7cbb3f77a6">
      <tp>
        <v>1</v>
        <stp/>
        <stp>cc0f7630-b1bf-41f3-916e-0990f8ae3976</stp>
        <tr r="DJ7" s="132"/>
      </tp>
    </main>
    <main first="rtdsrv.458a5932996f485b8b1b8d7cbb3f77a6">
      <tp>
        <v>1</v>
        <stp/>
        <stp>8bc5be3c-c2c9-4832-8e1a-7d9349183028</stp>
        <tr r="C56" s="130"/>
      </tp>
    </main>
    <main first="rtdsrv.458a5932996f485b8b1b8d7cbb3f77a6">
      <tp>
        <v>1</v>
        <stp/>
        <stp>e90967a5-70ad-4676-ac7b-c3e459f16893</stp>
        <tr r="AM74" s="130"/>
      </tp>
    </main>
    <main first="rtdsrv.458a5932996f485b8b1b8d7cbb3f77a6">
      <tp>
        <v>1</v>
        <stp/>
        <stp>2e3e42a8-8ed5-40b0-beb4-eb8c6db031ca</stp>
        <tr r="AR45" s="130"/>
      </tp>
      <tp>
        <v>1</v>
        <stp/>
        <stp>95f363d2-31db-43ac-ba74-de15b9408787</stp>
        <tr r="BF8" s="132"/>
      </tp>
    </main>
    <main first="rtdsrv.458a5932996f485b8b1b8d7cbb3f77a6">
      <tp>
        <v>1</v>
        <stp/>
        <stp>88f82083-05fa-44fb-8f8e-5b58233f4923</stp>
        <tr r="AX65" s="130"/>
      </tp>
    </main>
    <main first="rtdsrv.458a5932996f485b8b1b8d7cbb3f77a6">
      <tp>
        <v>1</v>
        <stp/>
        <stp>53eb19f2-2794-4fdb-9bfc-c652408150aa</stp>
        <tr r="EH9" s="132"/>
      </tp>
    </main>
    <main first="rtdsrv.458a5932996f485b8b1b8d7cbb3f77a6">
      <tp>
        <v>1</v>
        <stp/>
        <stp>1e69409b-54e8-41b4-8a37-aacc152799f0</stp>
        <tr r="AY71" s="130"/>
      </tp>
      <tp>
        <v>1</v>
        <stp/>
        <stp>8fa6e385-c457-4c4a-bb8a-55b78dbb1471</stp>
        <tr r="GY5" s="132"/>
      </tp>
    </main>
    <main first="rtdsrv.458a5932996f485b8b1b8d7cbb3f77a6">
      <tp>
        <v>1</v>
        <stp/>
        <stp>16e43036-9739-46ed-b958-dcbe566b3162</stp>
        <tr r="U75" s="130"/>
      </tp>
      <tp>
        <v>1</v>
        <stp/>
        <stp>3653dfe4-535f-41c3-9e96-128af1015ff5</stp>
        <tr r="EZ11" s="132"/>
      </tp>
    </main>
    <main first="rtdsrv.458a5932996f485b8b1b8d7cbb3f77a6">
      <tp>
        <v>1</v>
        <stp/>
        <stp>7958b336-caf0-4e1f-a229-f67db6aec735</stp>
        <tr r="N9" s="130"/>
      </tp>
    </main>
    <main first="rtdsrv.458a5932996f485b8b1b8d7cbb3f77a6">
      <tp>
        <v>1</v>
        <stp/>
        <stp>c5789ed1-6d0c-4fd4-ab00-7c860214c955</stp>
        <tr r="AL7" s="132"/>
      </tp>
    </main>
    <main first="rtdsrv.458a5932996f485b8b1b8d7cbb3f77a6">
      <tp>
        <v>1</v>
        <stp/>
        <stp>f4448326-4b26-4786-b7fb-9c60736459b7</stp>
        <tr r="AT91" s="130"/>
      </tp>
    </main>
    <main first="rtdsrv.458a5932996f485b8b1b8d7cbb3f77a6">
      <tp>
        <v>1</v>
        <stp/>
        <stp>40c435a0-c66a-414c-ac1f-115f1804f73c</stp>
        <tr r="D93" s="130"/>
      </tp>
    </main>
    <main first="rtdsrv.458a5932996f485b8b1b8d7cbb3f77a6">
      <tp>
        <v>1</v>
        <stp/>
        <stp>d4281cb3-cc1e-4cf7-b61f-3415d9ba15b1</stp>
        <tr r="AD31" s="130"/>
      </tp>
    </main>
    <main first="rtdsrv.458a5932996f485b8b1b8d7cbb3f77a6">
      <tp>
        <v>1</v>
        <stp/>
        <stp>281e30c6-5d65-4422-b50b-9da67be25341</stp>
        <tr r="Y52" s="130"/>
        <tr r="Y47" s="130"/>
      </tp>
    </main>
    <main first="rtdsrv.458a5932996f485b8b1b8d7cbb3f77a6">
      <tp>
        <v>1</v>
        <stp/>
        <stp>466f8708-13b4-4988-b351-9e12b3c48a2e</stp>
        <tr r="K38" s="130"/>
      </tp>
    </main>
    <main first="rtdsrv.458a5932996f485b8b1b8d7cbb3f77a6">
      <tp>
        <v>1</v>
        <stp/>
        <stp>b6d39753-3bd9-401e-b5b1-026c956548fb</stp>
        <tr r="I31" s="130"/>
      </tp>
    </main>
    <main first="rtdsrv.458a5932996f485b8b1b8d7cbb3f77a6">
      <tp>
        <v>1</v>
        <stp/>
        <stp>1a789eab-8500-4bf3-a6f6-aabcfa0a6cce</stp>
        <tr r="BX13" s="132"/>
      </tp>
    </main>
    <main first="rtdsrv.458a5932996f485b8b1b8d7cbb3f77a6">
      <tp>
        <v>1</v>
        <stp/>
        <stp>d8a84df9-8f41-4f62-8543-0323c9154b5f</stp>
        <tr r="BF79" s="130"/>
      </tp>
      <tp>
        <v>1</v>
        <stp/>
        <stp>b5670abd-c0b6-4fca-8cf1-d83732fb10d2</stp>
        <tr r="O5" s="132"/>
      </tp>
      <tp>
        <v>1</v>
        <stp/>
        <stp>15f98a14-a17f-424f-8cc2-6f7afd621805</stp>
        <tr r="AW76" s="130"/>
      </tp>
      <tp>
        <v>1</v>
        <stp/>
        <stp>97eae7bc-d516-4f15-b1e6-0aba49fc3fec</stp>
        <tr r="Z88" s="130"/>
      </tp>
    </main>
    <main first="rtdsrv.458a5932996f485b8b1b8d7cbb3f77a6">
      <tp>
        <v>1</v>
        <stp/>
        <stp>8afd7acc-5333-4046-ba8c-292db86f1047</stp>
        <tr r="AQ27" s="130"/>
      </tp>
    </main>
    <main first="rtdsrv.458a5932996f485b8b1b8d7cbb3f77a6">
      <tp>
        <v>1</v>
        <stp/>
        <stp>9fcb01da-3f3f-4596-8c2f-fbcfc951c147</stp>
        <tr r="FF9" s="132"/>
      </tp>
    </main>
    <main first="rtdsrv.458a5932996f485b8b1b8d7cbb3f77a6">
      <tp>
        <v>1</v>
        <stp/>
        <stp>40a0e9c0-42eb-4294-a500-9e7ecf68a0d0</stp>
        <tr r="AC66" s="130"/>
      </tp>
    </main>
    <main first="rtdsrv.458a5932996f485b8b1b8d7cbb3f77a6">
      <tp>
        <v>1</v>
        <stp/>
        <stp>1be90f49-327c-43bb-a34a-3de747d998f2</stp>
        <tr r="BA57" s="130"/>
      </tp>
      <tp>
        <v>1</v>
        <stp/>
        <stp>54dae0b3-df44-468c-b272-58e94ca97e35</stp>
        <tr r="BI21" s="130"/>
      </tp>
    </main>
    <main first="rtdsrv.458a5932996f485b8b1b8d7cbb3f77a6">
      <tp>
        <v>1</v>
        <stp/>
        <stp>1b019db4-9049-43cd-a75d-c91f6e4b58fd</stp>
        <tr r="X64" s="130"/>
      </tp>
      <tp>
        <v>1</v>
        <stp/>
        <stp>b177aa7c-3579-4b7c-b709-4990421cc1a1</stp>
        <tr r="GY13" s="132"/>
      </tp>
      <tp>
        <v>1</v>
        <stp/>
        <stp>0809776a-f704-44cb-b047-545ee821c9dd</stp>
        <tr r="AW77" s="130"/>
      </tp>
    </main>
    <main first="rtdsrv.458a5932996f485b8b1b8d7cbb3f77a6">
      <tp>
        <v>1</v>
        <stp/>
        <stp>7068b3c1-9dce-491a-a7cb-0cd9e7ef5f7a</stp>
        <tr r="O58" s="130"/>
      </tp>
    </main>
    <main first="rtdsrv.458a5932996f485b8b1b8d7cbb3f77a6">
      <tp>
        <v>1</v>
        <stp/>
        <stp>28268c97-c5e6-4766-9a94-7894740461fa</stp>
        <tr r="AC61" s="130"/>
      </tp>
      <tp>
        <v>1</v>
        <stp/>
        <stp>8e7b0265-9465-4485-8fe6-531a46c48141</stp>
        <tr r="HA16" s="132"/>
      </tp>
    </main>
    <main first="rtdsrv.458a5932996f485b8b1b8d7cbb3f77a6">
      <tp>
        <v>1</v>
        <stp/>
        <stp>eb13a42a-d4f1-42fd-b925-abf259571576</stp>
        <tr r="EK11" s="132"/>
      </tp>
    </main>
    <main first="rtdsrv.458a5932996f485b8b1b8d7cbb3f77a6">
      <tp>
        <v>1</v>
        <stp/>
        <stp>85ca3f87-86c2-41cf-add0-279e564f8b69</stp>
        <tr r="R73" s="130"/>
      </tp>
    </main>
    <main first="rtdsrv.458a5932996f485b8b1b8d7cbb3f77a6">
      <tp>
        <v>1</v>
        <stp/>
        <stp>4b607c50-acd4-4603-bb84-e1530d0cd479</stp>
        <tr r="EO8" s="132"/>
      </tp>
    </main>
    <main first="rtdsrv.458a5932996f485b8b1b8d7cbb3f77a6">
      <tp>
        <v>1</v>
        <stp/>
        <stp>cf1cbf38-e36d-416c-81a5-fdf4f905904b</stp>
        <tr r="EH14" s="132"/>
      </tp>
    </main>
    <main first="rtdsrv.458a5932996f485b8b1b8d7cbb3f77a6">
      <tp>
        <v>1</v>
        <stp/>
        <stp>a0923452-050c-4cb9-acc2-97160ee6c691</stp>
        <tr r="M5" s="130"/>
      </tp>
    </main>
    <main first="rtdsrv.458a5932996f485b8b1b8d7cbb3f77a6">
      <tp>
        <v>1</v>
        <stp/>
        <stp>2b0d0f10-1239-4808-b6b1-723c646e4ca0</stp>
        <tr r="BD14" s="130"/>
        <tr r="BD26" s="130"/>
      </tp>
    </main>
    <main first="rtdsrv.458a5932996f485b8b1b8d7cbb3f77a6">
      <tp>
        <v>1</v>
        <stp/>
        <stp>368aa5a9-7155-45fd-9c8a-b68d8000adfc</stp>
        <tr r="L92" s="130"/>
      </tp>
      <tp>
        <v>1</v>
        <stp/>
        <stp>7de98f9c-a3e6-4f48-8c00-8ebc338037bb</stp>
        <tr r="BH57" s="130"/>
      </tp>
    </main>
    <main first="rtdsrv.458a5932996f485b8b1b8d7cbb3f77a6">
      <tp>
        <v>1</v>
        <stp/>
        <stp>89b70cdc-b017-4fa6-a251-4d123a27f4cb</stp>
        <tr r="P72" s="130"/>
      </tp>
    </main>
    <main first="rtdsrv.458a5932996f485b8b1b8d7cbb3f77a6">
      <tp>
        <v>1</v>
        <stp/>
        <stp>6cfccb0c-6371-47ca-a8cc-c5f039da83c0</stp>
        <tr r="E21" s="130"/>
      </tp>
      <tp>
        <v>1</v>
        <stp/>
        <stp>2e150a0d-8207-4a87-80a0-855187c4eb21</stp>
        <tr r="BH7" s="130"/>
      </tp>
    </main>
    <main first="rtdsrv.458a5932996f485b8b1b8d7cbb3f77a6">
      <tp>
        <v>1</v>
        <stp/>
        <stp>32112627-2db9-4b7a-8aa8-d87b309bb464</stp>
        <tr r="AT60" s="130"/>
      </tp>
    </main>
    <main first="rtdsrv.458a5932996f485b8b1b8d7cbb3f77a6">
      <tp>
        <v>1</v>
        <stp/>
        <stp>c2018aa0-1fc7-4274-968a-c7f3d2341ac0</stp>
        <tr r="E46" s="130"/>
        <tr r="E51" s="130"/>
      </tp>
    </main>
    <main first="rtdsrv.458a5932996f485b8b1b8d7cbb3f77a6">
      <tp>
        <v>1</v>
        <stp/>
        <stp>83fa28a1-840e-4b51-a74b-16a3a8a1721c</stp>
        <tr r="F5" s="130"/>
      </tp>
    </main>
    <main first="rtdsrv.458a5932996f485b8b1b8d7cbb3f77a6">
      <tp>
        <v>1</v>
        <stp/>
        <stp>ac3363a3-fb03-496f-81b4-67d3871c881a</stp>
        <tr r="EH16" s="132"/>
      </tp>
    </main>
    <main first="rtdsrv.458a5932996f485b8b1b8d7cbb3f77a6">
      <tp>
        <v>1</v>
        <stp/>
        <stp>c3e67271-937f-4514-8fa2-376c6cf3b3ce</stp>
        <tr r="AR17" s="130"/>
      </tp>
    </main>
    <main first="rtdsrv.458a5932996f485b8b1b8d7cbb3f77a6">
      <tp>
        <v>1</v>
        <stp/>
        <stp>7631e1d4-9bd8-4862-b6d3-ba48cb502afa</stp>
        <tr r="AH29" s="130"/>
      </tp>
    </main>
    <main first="rtdsrv.458a5932996f485b8b1b8d7cbb3f77a6">
      <tp>
        <v>1</v>
        <stp/>
        <stp>f3b12d63-dd35-41b4-9135-3868ae600cda</stp>
        <tr r="GY6" s="132"/>
      </tp>
    </main>
    <main first="rtdsrv.458a5932996f485b8b1b8d7cbb3f77a6">
      <tp>
        <v>1</v>
        <stp/>
        <stp>4c278a19-30a1-4b30-a075-981c557421ab</stp>
        <tr r="O8" s="132"/>
      </tp>
    </main>
    <main first="rtdsrv.458a5932996f485b8b1b8d7cbb3f77a6">
      <tp>
        <v>1</v>
        <stp/>
        <stp>be0b68bb-f196-4f93-a86a-405961f59505</stp>
        <tr r="H34" s="130"/>
      </tp>
      <tp>
        <v>1</v>
        <stp/>
        <stp>6b3fd536-eb82-4e3a-a533-28185d0b6610</stp>
        <tr r="AZ38" s="130"/>
      </tp>
      <tp>
        <v>1</v>
        <stp/>
        <stp>51d8f2dd-8d6d-4322-b07d-78c895a1f9c4</stp>
        <tr r="BZ14" s="132"/>
      </tp>
    </main>
    <main first="rtdsrv.458a5932996f485b8b1b8d7cbb3f77a6">
      <tp>
        <v>1</v>
        <stp/>
        <stp>9d37c3ac-74b6-4e28-9571-9eba2779a7c3</stp>
        <tr r="Z60" s="130"/>
      </tp>
    </main>
    <main first="rtdsrv.458a5932996f485b8b1b8d7cbb3f77a6">
      <tp>
        <v>1</v>
        <stp/>
        <stp>594194db-103b-42b7-8fa0-6fee65ab735e</stp>
        <tr r="AU13" s="130"/>
      </tp>
    </main>
    <main first="rtdsrv.458a5932996f485b8b1b8d7cbb3f77a6">
      <tp>
        <v>1</v>
        <stp/>
        <stp>bf217dcf-7d9a-4ace-be0b-3a5293f2d8f5</stp>
        <tr r="CV9" s="132"/>
      </tp>
    </main>
    <main first="rtdsrv.458a5932996f485b8b1b8d7cbb3f77a6">
      <tp>
        <v>1</v>
        <stp/>
        <stp>86042541-d909-48d2-8a9f-8f98cfa9cfa4</stp>
        <tr r="AN5" s="132"/>
      </tp>
    </main>
    <main first="rtdsrv.458a5932996f485b8b1b8d7cbb3f77a6">
      <tp>
        <v>1</v>
        <stp/>
        <stp>d84e1019-fe38-48dd-a9d1-fe7e877c7639</stp>
        <tr r="BI11" s="130"/>
      </tp>
    </main>
    <main first="rtdsrv.458a5932996f485b8b1b8d7cbb3f77a6">
      <tp>
        <v>1</v>
        <stp/>
        <stp>beb6a8d1-4781-403d-b48d-b2a64900b4fc</stp>
        <tr r="GF9" s="132"/>
      </tp>
    </main>
    <main first="rtdsrv.458a5932996f485b8b1b8d7cbb3f77a6">
      <tp>
        <v>1</v>
        <stp/>
        <stp>ed39974c-0564-45df-912f-917969b925b6</stp>
        <tr r="EX8" s="132"/>
      </tp>
    </main>
    <main first="rtdsrv.458a5932996f485b8b1b8d7cbb3f77a6">
      <tp>
        <v>1</v>
        <stp/>
        <stp>4a9b778e-8207-4816-8bf4-d45068e7384e</stp>
        <tr r="CT6" s="132"/>
      </tp>
    </main>
    <main first="rtdsrv.458a5932996f485b8b1b8d7cbb3f77a6">
      <tp>
        <v>1</v>
        <stp/>
        <stp>37114640-8334-4a35-a64f-15e0b052f7ca</stp>
        <tr r="AT7" s="130"/>
      </tp>
      <tp>
        <v>1</v>
        <stp/>
        <stp>07469d16-ead6-4d27-942e-b085f9c8a09d</stp>
        <tr r="BC65" s="130"/>
      </tp>
    </main>
    <main first="rtdsrv.458a5932996f485b8b1b8d7cbb3f77a6">
      <tp>
        <v>1</v>
        <stp/>
        <stp>efde0559-2c31-475c-be6a-8a7b7f335946</stp>
        <tr r="K8" s="132"/>
      </tp>
    </main>
    <main first="rtdsrv.458a5932996f485b8b1b8d7cbb3f77a6">
      <tp>
        <v>1</v>
        <stp/>
        <stp>e43101db-9003-4d13-997c-b538d356a4a5</stp>
        <tr r="E60" s="130"/>
      </tp>
    </main>
    <main first="rtdsrv.458a5932996f485b8b1b8d7cbb3f77a6">
      <tp>
        <v>1</v>
        <stp/>
        <stp>210a4f87-fed9-40cc-9192-e4acbd9891da</stp>
        <tr r="DI7" s="132"/>
      </tp>
    </main>
    <main first="rtdsrv.458a5932996f485b8b1b8d7cbb3f77a6">
      <tp>
        <v>1</v>
        <stp/>
        <stp>8b0ef3c8-b73f-4420-aad9-9c1be69d589a</stp>
        <tr r="GX13" s="132"/>
      </tp>
      <tp>
        <v>1</v>
        <stp/>
        <stp>0d984f0b-87f4-4ed1-810a-63af033991ad</stp>
        <tr r="BJ57" s="130"/>
      </tp>
      <tp>
        <v>1</v>
        <stp/>
        <stp>20852279-8e0e-44ab-b4b7-514a3edabda3</stp>
        <tr r="P87" s="130"/>
      </tp>
    </main>
    <main first="rtdsrv.458a5932996f485b8b1b8d7cbb3f77a6">
      <tp>
        <v>1</v>
        <stp/>
        <stp>07c179a4-2930-4681-a070-a3657f41feec</stp>
        <tr r="AG18" s="130"/>
      </tp>
    </main>
    <main first="rtdsrv.458a5932996f485b8b1b8d7cbb3f77a6">
      <tp>
        <v>1</v>
        <stp/>
        <stp>af41f834-2902-4805-8880-883491fd3b7d</stp>
        <tr r="GW14" s="132"/>
      </tp>
    </main>
    <main first="rtdsrv.458a5932996f485b8b1b8d7cbb3f77a6">
      <tp>
        <v>1</v>
        <stp/>
        <stp>73338049-5787-4fa9-9507-47a2a49ea637</stp>
        <tr r="DP16" s="132"/>
      </tp>
    </main>
    <main first="rtdsrv.458a5932996f485b8b1b8d7cbb3f77a6">
      <tp>
        <v>1</v>
        <stp/>
        <stp>4998578d-6fcb-4c9e-a233-2b066080161c</stp>
        <tr r="BG66" s="130"/>
      </tp>
    </main>
    <main first="rtdsrv.458a5932996f485b8b1b8d7cbb3f77a6">
      <tp>
        <v>1</v>
        <stp/>
        <stp>2935b3c3-6a6f-4aae-adaf-c5989cbd6dad</stp>
        <tr r="Q75" s="130"/>
      </tp>
    </main>
    <main first="rtdsrv.458a5932996f485b8b1b8d7cbb3f77a6">
      <tp>
        <v>1</v>
        <stp/>
        <stp>d1de3a0c-e2d9-4ff6-b580-a598c350e749</stp>
        <tr r="BJ94" s="130"/>
      </tp>
    </main>
    <main first="rtdsrv.458a5932996f485b8b1b8d7cbb3f77a6">
      <tp>
        <v>1</v>
        <stp/>
        <stp>aa350e0b-0c22-4572-ae86-377dbb7afa8f</stp>
        <tr r="R27" s="130"/>
      </tp>
    </main>
    <main first="rtdsrv.458a5932996f485b8b1b8d7cbb3f77a6">
      <tp>
        <v>1</v>
        <stp/>
        <stp>099c63f8-4751-475b-aff1-ef5ba7fb5adf</stp>
        <tr r="EF11" s="132"/>
      </tp>
      <tp>
        <v>1</v>
        <stp/>
        <stp>1b044a63-0fc2-48f9-be10-869c04782309</stp>
        <tr r="FA16" s="132"/>
      </tp>
    </main>
    <main first="rtdsrv.458a5932996f485b8b1b8d7cbb3f77a6">
      <tp>
        <v>1</v>
        <stp/>
        <stp>9ec8d1c8-5733-41f0-881b-261a498a1e2b</stp>
        <tr r="AN88" s="130"/>
      </tp>
    </main>
    <main first="rtdsrv.458a5932996f485b8b1b8d7cbb3f77a6">
      <tp>
        <v>1</v>
        <stp/>
        <stp>16a8ee97-0c14-453b-85db-6baa95d6b82e</stp>
        <tr r="H23" s="130"/>
      </tp>
    </main>
    <main first="rtdsrv.458a5932996f485b8b1b8d7cbb3f77a6">
      <tp>
        <v>1</v>
        <stp/>
        <stp>630d4630-f668-4ff9-840f-df9be2be94f5</stp>
        <tr r="FV16" s="132"/>
      </tp>
    </main>
    <main first="rtdsrv.458a5932996f485b8b1b8d7cbb3f77a6">
      <tp>
        <v>1</v>
        <stp/>
        <stp>d65e2d4c-4963-43bd-9583-e638d120f7ef</stp>
        <tr r="AG40" s="130"/>
      </tp>
    </main>
    <main first="rtdsrv.458a5932996f485b8b1b8d7cbb3f77a6">
      <tp>
        <v>1</v>
        <stp/>
        <stp>00f16690-5aa4-471e-beb5-49c0ebabeef5</stp>
        <tr r="BL7" s="132"/>
      </tp>
    </main>
    <main first="rtdsrv.458a5932996f485b8b1b8d7cbb3f77a6">
      <tp>
        <v>1</v>
        <stp/>
        <stp>996f3c63-60e3-4e50-96e9-1399599e79f6</stp>
        <tr r="FQ5" s="132"/>
      </tp>
      <tp>
        <v>1</v>
        <stp/>
        <stp>9f87dbc3-e47b-4b01-a1b3-a9f447f68636</stp>
        <tr r="DJ5" s="132"/>
      </tp>
    </main>
    <main first="rtdsrv.458a5932996f485b8b1b8d7cbb3f77a6">
      <tp>
        <v>1</v>
        <stp/>
        <stp>328c8329-c779-4a92-93e1-f94d0d5febb4</stp>
        <tr r="AW42" s="130"/>
      </tp>
    </main>
    <main first="rtdsrv.458a5932996f485b8b1b8d7cbb3f77a6">
      <tp>
        <v>1</v>
        <stp/>
        <stp>6a6f8d92-fbca-4e9f-9f8d-302b6d74ccc3</stp>
        <tr r="Z23" s="130"/>
      </tp>
    </main>
    <main first="rtdsrv.458a5932996f485b8b1b8d7cbb3f77a6">
      <tp>
        <v>1</v>
        <stp/>
        <stp>4d80276f-56df-41cc-b09a-bef8fac74249</stp>
        <tr r="R84" s="130"/>
      </tp>
    </main>
    <main first="rtdsrv.458a5932996f485b8b1b8d7cbb3f77a6">
      <tp>
        <v>1</v>
        <stp/>
        <stp>e94789ce-0eb8-4bca-87b9-1d6ec8081eed</stp>
        <tr r="H47" s="130"/>
        <tr r="H52" s="130"/>
      </tp>
    </main>
    <main first="rtdsrv.458a5932996f485b8b1b8d7cbb3f77a6">
      <tp>
        <v>1</v>
        <stp/>
        <stp>9032c8ca-ea59-4b4b-a4c9-5b3eb5f24152</stp>
        <tr r="U55" s="130"/>
      </tp>
    </main>
    <main first="rtdsrv.458a5932996f485b8b1b8d7cbb3f77a6">
      <tp>
        <v>1</v>
        <stp/>
        <stp>6e205883-d7cd-4f65-846b-004babd3cbf8</stp>
        <tr r="O37" s="130"/>
      </tp>
      <tp>
        <v>1</v>
        <stp/>
        <stp>e199eda8-7e4c-4043-bb9c-f9148b0f096b</stp>
        <tr r="F36" s="130"/>
      </tp>
    </main>
    <main first="rtdsrv.458a5932996f485b8b1b8d7cbb3f77a6">
      <tp>
        <v>1</v>
        <stp/>
        <stp>cb1d839f-f970-48ba-99cf-b30c599d357e</stp>
        <tr r="DO11" s="132"/>
      </tp>
    </main>
    <main first="rtdsrv.458a5932996f485b8b1b8d7cbb3f77a6">
      <tp>
        <v>1</v>
        <stp/>
        <stp>564d5889-9873-4e17-8303-b96707aa2492</stp>
        <tr r="FV8" s="132"/>
      </tp>
      <tp>
        <v>1</v>
        <stp/>
        <stp>e7adfea2-a8ab-49a4-86fc-2b7ed93d106e</stp>
        <tr r="AQ89" s="130"/>
      </tp>
    </main>
    <main first="rtdsrv.458a5932996f485b8b1b8d7cbb3f77a6">
      <tp>
        <v>1</v>
        <stp/>
        <stp>39b4f34d-5be5-4ae1-aa7e-3448ce954b5f</stp>
        <tr r="Q14" s="132"/>
      </tp>
    </main>
    <main first="rtdsrv.458a5932996f485b8b1b8d7cbb3f77a6">
      <tp>
        <v>1</v>
        <stp/>
        <stp>0e2064d3-9533-47e9-9708-6c78c82bc07c</stp>
        <tr r="P81" s="130"/>
      </tp>
    </main>
    <main first="rtdsrv.458a5932996f485b8b1b8d7cbb3f77a6">
      <tp>
        <v>1</v>
        <stp/>
        <stp>2aad486d-b974-498a-815e-4eb6bec00ec8</stp>
        <tr r="P86" s="130"/>
      </tp>
    </main>
    <main first="rtdsrv.458a5932996f485b8b1b8d7cbb3f77a6">
      <tp>
        <v>1</v>
        <stp/>
        <stp>e0983989-14a1-4244-8bcf-a8180d04b984</stp>
        <tr r="N28" s="130"/>
      </tp>
    </main>
    <main first="rtdsrv.458a5932996f485b8b1b8d7cbb3f77a6">
      <tp>
        <v>1</v>
        <stp/>
        <stp>199121cc-e700-4a24-84b1-8d67a1212d2a</stp>
        <tr r="P62" s="130"/>
      </tp>
    </main>
    <main first="rtdsrv.458a5932996f485b8b1b8d7cbb3f77a6">
      <tp>
        <v>1</v>
        <stp/>
        <stp>6f942c9c-c111-46b0-a89e-fac87aea2e82</stp>
        <tr r="DY6" s="132"/>
      </tp>
    </main>
    <main first="rtdsrv.458a5932996f485b8b1b8d7cbb3f77a6">
      <tp>
        <v>1</v>
        <stp/>
        <stp>88dad30f-29c8-4835-86a5-846a326ffa2b</stp>
        <tr r="BH11" s="132"/>
      </tp>
    </main>
    <main first="rtdsrv.458a5932996f485b8b1b8d7cbb3f77a6">
      <tp>
        <v>1</v>
        <stp/>
        <stp>88c57b93-3065-44b9-b390-8e585061d63a</stp>
        <tr r="BD60" s="130"/>
      </tp>
    </main>
    <main first="rtdsrv.458a5932996f485b8b1b8d7cbb3f77a6">
      <tp>
        <v>1</v>
        <stp/>
        <stp>f9689174-32f1-4323-bfb9-65e01fa193d7</stp>
        <tr r="AZ66" s="130"/>
      </tp>
      <tp>
        <v>1</v>
        <stp/>
        <stp>e6083e5e-6827-45ef-b6af-89ae846b9ef3</stp>
        <tr r="W56" s="130"/>
      </tp>
    </main>
    <main first="rtdsrv.458a5932996f485b8b1b8d7cbb3f77a6">
      <tp>
        <v>1</v>
        <stp/>
        <stp>10f40b70-019c-4075-bd4c-25efdd42a89f</stp>
        <tr r="DO12" s="132"/>
      </tp>
    </main>
    <main first="rtdsrv.458a5932996f485b8b1b8d7cbb3f77a6">
      <tp>
        <v>1</v>
        <stp/>
        <stp>9f47e6ea-d80f-4120-809a-55f524a846dd</stp>
        <tr r="C16" s="130"/>
      </tp>
    </main>
    <main first="rtdsrv.458a5932996f485b8b1b8d7cbb3f77a6">
      <tp>
        <v>1</v>
        <stp/>
        <stp>f60043f2-a393-44d5-ba8b-35cd8a806779</stp>
        <tr r="FJ13" s="132"/>
      </tp>
    </main>
    <main first="rtdsrv.458a5932996f485b8b1b8d7cbb3f77a6">
      <tp>
        <v>1</v>
        <stp/>
        <stp>bbdb8acb-cbea-4f0d-9694-ae0f3d35569d</stp>
        <tr r="AI14" s="130"/>
        <tr r="AI26" s="130"/>
      </tp>
    </main>
    <main first="rtdsrv.458a5932996f485b8b1b8d7cbb3f77a6">
      <tp>
        <v>1</v>
        <stp/>
        <stp>d9579e87-1ac1-46b5-b9a2-31c1ea82dd1a</stp>
        <tr r="AF79" s="130"/>
      </tp>
    </main>
    <main first="rtdsrv.458a5932996f485b8b1b8d7cbb3f77a6">
      <tp>
        <v>1</v>
        <stp/>
        <stp>d0c261ae-86de-400a-ae9f-f9381c0b96ef</stp>
        <tr r="DW6" s="132"/>
      </tp>
    </main>
    <main first="rtdsrv.458a5932996f485b8b1b8d7cbb3f77a6">
      <tp>
        <v>1</v>
        <stp/>
        <stp>cfecea4e-1ad5-4e4c-b573-a878f67bea7c</stp>
        <tr r="BK77" s="130"/>
      </tp>
      <tp>
        <v>1</v>
        <stp/>
        <stp>26cc0e67-f2a9-4ea6-9cc3-9b0316b62927</stp>
        <tr r="AJ11" s="130"/>
      </tp>
    </main>
    <main first="rtdsrv.458a5932996f485b8b1b8d7cbb3f77a6">
      <tp>
        <v>1</v>
        <stp/>
        <stp>96a3f7bc-b884-4308-b221-577d0112db86</stp>
        <tr r="BB73" s="130"/>
      </tp>
    </main>
    <main first="rtdsrv.458a5932996f485b8b1b8d7cbb3f77a6">
      <tp>
        <v>1</v>
        <stp/>
        <stp>71a52eb7-4579-4caf-9c9c-bc76feced458</stp>
        <tr r="AA7" s="130"/>
      </tp>
    </main>
    <main first="rtdsrv.458a5932996f485b8b1b8d7cbb3f77a6">
      <tp>
        <v>1</v>
        <stp/>
        <stp>efcd0177-2713-43ee-86b5-9ea0621bc826</stp>
        <tr r="AL65" s="130"/>
      </tp>
    </main>
    <main first="rtdsrv.458a5932996f485b8b1b8d7cbb3f77a6">
      <tp>
        <v>1</v>
        <stp/>
        <stp>8767078d-6a44-41f8-96a7-6bc1b073508f</stp>
        <tr r="BH42" s="130"/>
      </tp>
    </main>
    <main first="rtdsrv.458a5932996f485b8b1b8d7cbb3f77a6">
      <tp>
        <v>1</v>
        <stp/>
        <stp>47092228-1495-4bb3-a65a-7a6b28a64f59</stp>
        <tr r="K66" s="130"/>
      </tp>
    </main>
    <main first="rtdsrv.458a5932996f485b8b1b8d7cbb3f77a6">
      <tp>
        <v>1</v>
        <stp/>
        <stp>6048ce11-be5f-4543-946f-2d21b88ecc91</stp>
        <tr r="BK13" s="132"/>
      </tp>
    </main>
    <main first="rtdsrv.458a5932996f485b8b1b8d7cbb3f77a6">
      <tp>
        <v>1</v>
        <stp/>
        <stp>c11f2865-effc-43ac-b87d-71b7c333c7a0</stp>
        <tr r="DC16" s="132"/>
      </tp>
      <tp>
        <v>1</v>
        <stp/>
        <stp>69691ff8-eca6-411d-be1d-2c28f3cf3232</stp>
        <tr r="FW8" s="132"/>
      </tp>
    </main>
    <main first="rtdsrv.458a5932996f485b8b1b8d7cbb3f77a6">
      <tp>
        <v>1</v>
        <stp/>
        <stp>ef120822-a256-4799-96fa-6af2d841c47e</stp>
        <tr r="AT10" s="130"/>
      </tp>
    </main>
    <main first="rtdsrv.458a5932996f485b8b1b8d7cbb3f77a6">
      <tp>
        <v>1</v>
        <stp/>
        <stp>1e55e7ff-a0a5-4b15-aa3d-c823a19cf19f</stp>
        <tr r="AT6" s="132"/>
      </tp>
    </main>
    <main first="rtdsrv.458a5932996f485b8b1b8d7cbb3f77a6">
      <tp>
        <v>1</v>
        <stp/>
        <stp>d881b5d4-c004-4f2a-b2c1-8e637afcde8e</stp>
        <tr r="EV5" s="132"/>
      </tp>
    </main>
    <main first="rtdsrv.458a5932996f485b8b1b8d7cbb3f77a6">
      <tp>
        <v>1</v>
        <stp/>
        <stp>b8e3fd44-ab94-4b6a-b95b-93a9ed336367</stp>
        <tr r="EZ5" s="132"/>
      </tp>
    </main>
    <main first="rtdsrv.458a5932996f485b8b1b8d7cbb3f77a6">
      <tp>
        <v>1</v>
        <stp/>
        <stp>e21d8099-3a69-4298-86b6-6e9150b6331d</stp>
        <tr r="AI85" s="130"/>
      </tp>
    </main>
    <main first="rtdsrv.458a5932996f485b8b1b8d7cbb3f77a6">
      <tp>
        <v>1</v>
        <stp/>
        <stp>857c39c7-58b1-408b-80ca-833d2121f79d</stp>
        <tr r="AK32" s="130"/>
      </tp>
    </main>
    <main first="rtdsrv.458a5932996f485b8b1b8d7cbb3f77a6">
      <tp>
        <v>1</v>
        <stp/>
        <stp>b6d33abb-4046-4236-a377-3961ad0a0211</stp>
        <tr r="AA39" s="130"/>
      </tp>
      <tp>
        <v>1</v>
        <stp/>
        <stp>2826d33b-00f6-4ce7-b44a-e0607451e1ed</stp>
        <tr r="GT12" s="132"/>
      </tp>
    </main>
    <main first="rtdsrv.458a5932996f485b8b1b8d7cbb3f77a6">
      <tp>
        <v>1</v>
        <stp/>
        <stp>7948e3e1-c0ba-4aba-aaad-0dbd43b2433c</stp>
        <tr r="K19" s="130"/>
      </tp>
    </main>
    <main first="rtdsrv.458a5932996f485b8b1b8d7cbb3f77a6">
      <tp>
        <v>1</v>
        <stp/>
        <stp>48bca24f-98aa-4243-83ff-b49c79b2afee</stp>
        <tr r="AK44" s="130"/>
      </tp>
    </main>
    <main first="rtdsrv.458a5932996f485b8b1b8d7cbb3f77a6">
      <tp>
        <v>1</v>
        <stp/>
        <stp>915c58d0-e619-443c-a521-006fe02e80d8</stp>
        <tr r="P37" s="130"/>
      </tp>
      <tp>
        <v>1</v>
        <stp/>
        <stp>1694906a-8a19-4a0e-9428-bb6dee713cab</stp>
        <tr r="CW16" s="132"/>
      </tp>
    </main>
    <main first="rtdsrv.458a5932996f485b8b1b8d7cbb3f77a6">
      <tp>
        <v>1</v>
        <stp/>
        <stp>6ebae39a-d1d5-4bd9-871b-23b2328276d4</stp>
        <tr r="EQ16" s="132"/>
      </tp>
    </main>
    <main first="rtdsrv.458a5932996f485b8b1b8d7cbb3f77a6">
      <tp>
        <v>1</v>
        <stp/>
        <stp>87d4f184-c794-4769-80fa-4f314491ee7c</stp>
        <tr r="C14" s="132"/>
      </tp>
    </main>
    <main first="rtdsrv.458a5932996f485b8b1b8d7cbb3f77a6">
      <tp>
        <v>1</v>
        <stp/>
        <stp>cb57f074-06f3-4121-a99b-206f1ea61266</stp>
        <tr r="V5" s="130"/>
      </tp>
    </main>
    <main first="rtdsrv.458a5932996f485b8b1b8d7cbb3f77a6">
      <tp>
        <v>1</v>
        <stp/>
        <stp>77c35a3e-d5ec-4a20-878b-aa20ebd104f2</stp>
        <tr r="CT9" s="132"/>
      </tp>
    </main>
    <main first="rtdsrv.458a5932996f485b8b1b8d7cbb3f77a6">
      <tp>
        <v>1</v>
        <stp/>
        <stp>a641de34-f822-4890-b76a-d9d7b35dd489</stp>
        <tr r="N62" s="130"/>
      </tp>
    </main>
    <main first="rtdsrv.458a5932996f485b8b1b8d7cbb3f77a6">
      <tp>
        <v>1</v>
        <stp/>
        <stp>51685907-a884-404e-af31-59e1689473dc</stp>
        <tr r="J59" s="130"/>
      </tp>
    </main>
    <main first="rtdsrv.458a5932996f485b8b1b8d7cbb3f77a6">
      <tp>
        <v>1</v>
        <stp/>
        <stp>181c98f9-05e6-4076-99e5-684e87ccea0a</stp>
        <tr r="AP63" s="130"/>
      </tp>
    </main>
    <main first="rtdsrv.458a5932996f485b8b1b8d7cbb3f77a6">
      <tp>
        <v>1</v>
        <stp/>
        <stp>e55ee86f-2e15-425c-8d0a-82fcc10d7bae</stp>
        <tr r="FT12" s="132"/>
      </tp>
    </main>
    <main first="rtdsrv.458a5932996f485b8b1b8d7cbb3f77a6">
      <tp>
        <v>1</v>
        <stp/>
        <stp>810cdbf7-cce9-47b7-b727-5b3ae80c7b1a</stp>
        <tr r="Z18" s="130"/>
      </tp>
    </main>
    <main first="rtdsrv.458a5932996f485b8b1b8d7cbb3f77a6">
      <tp>
        <v>1</v>
        <stp/>
        <stp>2cfd8365-93d7-46ca-8e27-66d8ad021e00</stp>
        <tr r="S31" s="130"/>
      </tp>
      <tp>
        <v>1</v>
        <stp/>
        <stp>0cb34d89-75b6-4f09-aa67-e33845cfe481</stp>
        <tr r="U71" s="130"/>
      </tp>
    </main>
    <main first="rtdsrv.458a5932996f485b8b1b8d7cbb3f77a6">
      <tp>
        <v>1</v>
        <stp/>
        <stp>f2fdb07e-ad38-408e-8adb-79b45cdb65ac</stp>
        <tr r="BI22" s="130"/>
      </tp>
    </main>
    <main first="rtdsrv.458a5932996f485b8b1b8d7cbb3f77a6">
      <tp>
        <v>1</v>
        <stp/>
        <stp>ce9baf97-6cf3-4968-a147-1b169e7fd3b6</stp>
        <tr r="FI11" s="132"/>
      </tp>
    </main>
    <main first="rtdsrv.458a5932996f485b8b1b8d7cbb3f77a6">
      <tp>
        <v>1</v>
        <stp/>
        <stp>8f226354-ea9e-45aa-b08f-416e16c87cdc</stp>
        <tr r="X30" s="130"/>
      </tp>
    </main>
    <main first="rtdsrv.458a5932996f485b8b1b8d7cbb3f77a6">
      <tp>
        <v>1</v>
        <stp/>
        <stp>534503f2-d181-4ec3-a687-c94af9311bb4</stp>
        <tr r="AZ31" s="130"/>
      </tp>
      <tp>
        <v>1</v>
        <stp/>
        <stp>b8780075-82d3-4a71-9b10-04a1a9d8f06f</stp>
        <tr r="GZ15" s="132"/>
      </tp>
      <tp>
        <v>1</v>
        <stp/>
        <stp>4e5f19d6-0bc1-4e26-8843-17516e208161</stp>
        <tr r="GY8" s="132"/>
      </tp>
    </main>
    <main first="rtdsrv.458a5932996f485b8b1b8d7cbb3f77a6">
      <tp>
        <v>1</v>
        <stp/>
        <stp>d713d5e9-c14d-40b5-b99b-14b7eb5cc6ad</stp>
        <tr r="AK7" s="132"/>
      </tp>
    </main>
    <main first="rtdsrv.458a5932996f485b8b1b8d7cbb3f77a6">
      <tp>
        <v>1</v>
        <stp/>
        <stp>a3269f32-282d-4cf9-8871-ef8d156c6771</stp>
        <tr r="L63" s="130"/>
      </tp>
    </main>
    <main first="rtdsrv.458a5932996f485b8b1b8d7cbb3f77a6">
      <tp>
        <v>1</v>
        <stp/>
        <stp>9717a3e1-18b1-4f19-81f4-ce9752d8b043</stp>
        <tr r="EZ12" s="132"/>
      </tp>
    </main>
    <main first="rtdsrv.458a5932996f485b8b1b8d7cbb3f77a6">
      <tp>
        <v>1</v>
        <stp/>
        <stp>9bb6eda5-73b4-4ca2-b0fc-9fa289ff97e0</stp>
        <tr r="Q16" s="130"/>
      </tp>
    </main>
    <main first="rtdsrv.458a5932996f485b8b1b8d7cbb3f77a6">
      <tp>
        <v>1</v>
        <stp/>
        <stp>e54cfe22-7310-4992-b8af-f0456124f8d8</stp>
        <tr r="AG89" s="130"/>
      </tp>
    </main>
    <main first="rtdsrv.458a5932996f485b8b1b8d7cbb3f77a6">
      <tp>
        <v>1</v>
        <stp/>
        <stp>1eb432d8-f66c-482a-86e9-758cc862256d</stp>
        <tr r="X46" s="130"/>
        <tr r="X51" s="130"/>
      </tp>
    </main>
    <main first="rtdsrv.458a5932996f485b8b1b8d7cbb3f77a6">
      <tp>
        <v>1</v>
        <stp/>
        <stp>4891d914-e764-4519-9ee1-e030fa80cd46</stp>
        <tr r="X29" s="130"/>
      </tp>
    </main>
    <main first="rtdsrv.458a5932996f485b8b1b8d7cbb3f77a6">
      <tp>
        <v>1</v>
        <stp/>
        <stp>c487684a-6650-46ea-916d-c72d96ff0a88</stp>
        <tr r="CZ5" s="132"/>
      </tp>
      <tp>
        <v>1</v>
        <stp/>
        <stp>3890111d-36dc-43a2-a8b4-da4d618fc746</stp>
        <tr r="V39" s="130"/>
      </tp>
    </main>
    <main first="rtdsrv.458a5932996f485b8b1b8d7cbb3f77a6">
      <tp>
        <v>1</v>
        <stp/>
        <stp>c292e810-23fe-4580-a8d8-bc157523d72f</stp>
        <tr r="FN14" s="132"/>
      </tp>
    </main>
    <main first="rtdsrv.458a5932996f485b8b1b8d7cbb3f77a6">
      <tp>
        <v>1</v>
        <stp/>
        <stp>6a7539fd-64d2-4164-89cc-50cdeef54a12</stp>
        <tr r="AS9" s="132"/>
      </tp>
    </main>
    <main first="rtdsrv.458a5932996f485b8b1b8d7cbb3f77a6">
      <tp>
        <v>1</v>
        <stp/>
        <stp>d12b237f-96f4-4661-a9b1-377dcee677be</stp>
        <tr r="AH18" s="130"/>
      </tp>
      <tp>
        <v>1</v>
        <stp/>
        <stp>15f20b04-4ce9-43a8-b4e5-f8b1d231b9c0</stp>
        <tr r="AR19" s="130"/>
      </tp>
    </main>
    <main first="rtdsrv.458a5932996f485b8b1b8d7cbb3f77a6">
      <tp>
        <v>1</v>
        <stp/>
        <stp>3c48a8d1-59a2-441b-aa89-764c992416dc</stp>
        <tr r="Y86" s="130"/>
      </tp>
    </main>
    <main first="rtdsrv.458a5932996f485b8b1b8d7cbb3f77a6">
      <tp>
        <v>1</v>
        <stp/>
        <stp>8bf675ad-cd06-4490-b78a-a4e541e8a41d</stp>
        <tr r="CT13" s="132"/>
      </tp>
    </main>
    <main first="rtdsrv.458a5932996f485b8b1b8d7cbb3f77a6">
      <tp>
        <v>1</v>
        <stp/>
        <stp>236c28a8-f8b5-4940-bd53-de1d5ddced50</stp>
        <tr r="AH77" s="130"/>
      </tp>
    </main>
    <main first="rtdsrv.458a5932996f485b8b1b8d7cbb3f77a6">
      <tp>
        <v>1</v>
        <stp/>
        <stp>ede1528b-1a31-4218-8f76-41e96ce14763</stp>
        <tr r="AR39" s="130"/>
      </tp>
    </main>
    <main first="rtdsrv.458a5932996f485b8b1b8d7cbb3f77a6">
      <tp>
        <v>1</v>
        <stp/>
        <stp>af89dbfd-bb67-458a-8701-432510b149ae</stp>
        <tr r="GA6" s="132"/>
      </tp>
    </main>
    <main first="rtdsrv.458a5932996f485b8b1b8d7cbb3f77a6">
      <tp>
        <v>1</v>
        <stp/>
        <stp>273baedb-26b4-4def-b48b-a29fa8325952</stp>
        <tr r="BA45" s="130"/>
      </tp>
    </main>
    <main first="rtdsrv.458a5932996f485b8b1b8d7cbb3f77a6">
      <tp>
        <v>1</v>
        <stp/>
        <stp>1a6bc8f4-1d34-4c04-92d2-30f144e22195</stp>
        <tr r="DQ13" s="132"/>
      </tp>
    </main>
    <main first="rtdsrv.458a5932996f485b8b1b8d7cbb3f77a6">
      <tp>
        <v>1</v>
        <stp/>
        <stp>5a35e96d-7422-4052-9d61-bc1445562095</stp>
        <tr r="O62" s="130"/>
      </tp>
    </main>
    <main first="rtdsrv.458a5932996f485b8b1b8d7cbb3f77a6">
      <tp>
        <v>1</v>
        <stp/>
        <stp>2766359c-ebe4-4fed-85c7-9d014941f0c3</stp>
        <tr r="CP8" s="132"/>
      </tp>
      <tp>
        <v>1</v>
        <stp/>
        <stp>c0af2da1-70dc-43bb-8f87-22b33e9b4ca3</stp>
        <tr r="BK83" s="130"/>
      </tp>
      <tp>
        <v>1</v>
        <stp/>
        <stp>50d0bedd-9c9e-49bc-8f19-12106bf18c07</stp>
        <tr r="E9" s="132"/>
      </tp>
    </main>
    <main first="rtdsrv.458a5932996f485b8b1b8d7cbb3f77a6">
      <tp>
        <v>1</v>
        <stp/>
        <stp>fed69865-221e-4588-b582-8cd2b931588e</stp>
        <tr r="DF12" s="132"/>
      </tp>
      <tp>
        <v>1</v>
        <stp/>
        <stp>51b33f6e-38be-4d51-9789-5e900dd8fa5b</stp>
        <tr r="AL11" s="130"/>
      </tp>
    </main>
    <main first="rtdsrv.458a5932996f485b8b1b8d7cbb3f77a6">
      <tp>
        <v>1</v>
        <stp/>
        <stp>a8fcc79d-180f-45ab-8f41-389f89e87d7e</stp>
        <tr r="GG16" s="132"/>
      </tp>
    </main>
    <main first="rtdsrv.458a5932996f485b8b1b8d7cbb3f77a6">
      <tp>
        <v>1</v>
        <stp/>
        <stp>3e257c98-0c9f-4a36-b8f4-9820aee86667</stp>
        <tr r="X38" s="130"/>
      </tp>
    </main>
    <main first="rtdsrv.458a5932996f485b8b1b8d7cbb3f77a6">
      <tp>
        <v>1</v>
        <stp/>
        <stp>ecafcf8e-ada8-430f-b5b7-70faad7449e5</stp>
        <tr r="BF28" s="130"/>
      </tp>
    </main>
    <main first="rtdsrv.458a5932996f485b8b1b8d7cbb3f77a6">
      <tp>
        <v>1</v>
        <stp/>
        <stp>e37e23c2-70bb-4dd2-86ee-4494f8d14ab3</stp>
        <tr r="AC51" s="130"/>
        <tr r="AC46" s="130"/>
      </tp>
    </main>
    <main first="rtdsrv.458a5932996f485b8b1b8d7cbb3f77a6">
      <tp>
        <v>1</v>
        <stp/>
        <stp>0e5dbb07-86ff-4d24-8373-205e9384023e</stp>
        <tr r="BA12" s="130"/>
      </tp>
      <tp>
        <v>1</v>
        <stp/>
        <stp>8d12499d-5041-4e6d-9116-e63d37bd61a9</stp>
        <tr r="AK79" s="130"/>
      </tp>
    </main>
    <main first="rtdsrv.458a5932996f485b8b1b8d7cbb3f77a6">
      <tp>
        <v>1</v>
        <stp/>
        <stp>1c0dc5ca-8197-451c-825d-40b3d6be838b</stp>
        <tr r="AT38" s="130"/>
      </tp>
    </main>
    <main first="rtdsrv.458a5932996f485b8b1b8d7cbb3f77a6">
      <tp>
        <v>1</v>
        <stp/>
        <stp>32b17aee-4605-4d91-ad8e-b46c758b7be2</stp>
        <tr r="AB82" s="130"/>
      </tp>
    </main>
    <main first="rtdsrv.458a5932996f485b8b1b8d7cbb3f77a6">
      <tp>
        <v>1</v>
        <stp/>
        <stp>a2d77cc2-d83a-405d-8a23-0f93612c5983</stp>
        <tr r="BA43" s="130"/>
      </tp>
      <tp>
        <v>1</v>
        <stp/>
        <stp>9f2411f6-2b55-4bc9-a24f-bb88ca257fed</stp>
        <tr r="CO7" s="132"/>
      </tp>
    </main>
    <main first="rtdsrv.458a5932996f485b8b1b8d7cbb3f77a6">
      <tp>
        <v>1</v>
        <stp/>
        <stp>94dd3034-d199-4b5e-a8dd-68ac4b8836d5</stp>
        <tr r="J64" s="130"/>
      </tp>
    </main>
    <main first="rtdsrv.458a5932996f485b8b1b8d7cbb3f77a6">
      <tp>
        <v>1</v>
        <stp/>
        <stp>864f2dcc-58a7-4f82-99dc-874f9802b37d</stp>
        <tr r="AQ45" s="130"/>
      </tp>
    </main>
    <main first="rtdsrv.458a5932996f485b8b1b8d7cbb3f77a6">
      <tp>
        <v>1</v>
        <stp/>
        <stp>907df04c-4cfa-41f8-adfc-f9052f848849</stp>
        <tr r="U94" s="130"/>
      </tp>
    </main>
    <main first="rtdsrv.458a5932996f485b8b1b8d7cbb3f77a6">
      <tp>
        <v>1</v>
        <stp/>
        <stp>9f69e81c-b9c4-446c-bd6d-af8e21cc8396</stp>
        <tr r="J43" s="130"/>
      </tp>
    </main>
    <main first="rtdsrv.458a5932996f485b8b1b8d7cbb3f77a6">
      <tp>
        <v>1</v>
        <stp/>
        <stp>1395cd94-0ca8-47d0-8898-2b68906c81c2</stp>
        <tr r="AJ9" s="130"/>
      </tp>
      <tp>
        <v>1</v>
        <stp/>
        <stp>d77c2415-98d6-40b0-b51b-d2f84218963d</stp>
        <tr r="Q23" s="130"/>
      </tp>
    </main>
    <main first="rtdsrv.458a5932996f485b8b1b8d7cbb3f77a6">
      <tp>
        <v>1</v>
        <stp/>
        <stp>16632e00-1161-4c86-a8a2-c9a5878ba6da</stp>
        <tr r="AL15" s="132"/>
      </tp>
    </main>
    <main first="rtdsrv.458a5932996f485b8b1b8d7cbb3f77a6">
      <tp>
        <v>1</v>
        <stp/>
        <stp>57ea3191-ec25-4d51-8660-695b6d63b44d</stp>
        <tr r="DQ14" s="132"/>
      </tp>
    </main>
    <main first="rtdsrv.458a5932996f485b8b1b8d7cbb3f77a6">
      <tp>
        <v>1</v>
        <stp/>
        <stp>ffc3bc17-0d4f-4ff7-8ad6-1eb8968bb8ce</stp>
        <tr r="AZ13" s="132"/>
      </tp>
    </main>
    <main first="rtdsrv.458a5932996f485b8b1b8d7cbb3f77a6">
      <tp>
        <v>1</v>
        <stp/>
        <stp>99220675-b942-42b0-97e3-5d20df26676e</stp>
        <tr r="AA63" s="130"/>
      </tp>
    </main>
    <main first="rtdsrv.458a5932996f485b8b1b8d7cbb3f77a6">
      <tp>
        <v>1</v>
        <stp/>
        <stp>249b1663-766a-4833-97d6-89190d7cb20d</stp>
        <tr r="FE13" s="132"/>
      </tp>
    </main>
    <main first="rtdsrv.458a5932996f485b8b1b8d7cbb3f77a6">
      <tp>
        <v>1</v>
        <stp/>
        <stp>bd277a9c-3191-4bfd-8d6e-d97a6bafa203</stp>
        <tr r="DA14" s="132"/>
      </tp>
    </main>
    <main first="rtdsrv.458a5932996f485b8b1b8d7cbb3f77a6">
      <tp>
        <v>1</v>
        <stp/>
        <stp>f36ff0de-82d3-4d3a-ad09-33bc2fa9f2c7</stp>
        <tr r="AD94" s="130"/>
      </tp>
    </main>
    <main first="rtdsrv.458a5932996f485b8b1b8d7cbb3f77a6">
      <tp>
        <v>1</v>
        <stp/>
        <stp>2c9691ee-ea2b-4c28-8147-eb050d0be009</stp>
        <tr r="E71" s="130"/>
      </tp>
    </main>
    <main first="rtdsrv.458a5932996f485b8b1b8d7cbb3f77a6">
      <tp>
        <v>1</v>
        <stp/>
        <stp>30476b81-a7a6-4fa9-b6ac-cad42a08ef66</stp>
        <tr r="EJ12" s="132"/>
      </tp>
    </main>
    <main first="rtdsrv.458a5932996f485b8b1b8d7cbb3f77a6">
      <tp>
        <v>1</v>
        <stp/>
        <stp>9bc7bc04-044c-4c1b-a9f2-c1a0d8677187</stp>
        <tr r="AU32" s="130"/>
      </tp>
    </main>
    <main first="rtdsrv.458a5932996f485b8b1b8d7cbb3f77a6">
      <tp>
        <v>1</v>
        <stp/>
        <stp>1364f37a-289d-497a-adb4-156fa940a05a</stp>
        <tr r="AK23" s="130"/>
      </tp>
    </main>
    <main first="rtdsrv.458a5932996f485b8b1b8d7cbb3f77a6">
      <tp>
        <v>1</v>
        <stp/>
        <stp>fe46a89d-66ed-4334-8c51-8744b3a79ce3</stp>
        <tr r="F7" s="132"/>
      </tp>
    </main>
    <main first="rtdsrv.458a5932996f485b8b1b8d7cbb3f77a6">
      <tp>
        <v>1</v>
        <stp/>
        <stp>12d1b86b-4d1a-4400-8bee-0def2a440c84</stp>
        <tr r="BF69" s="130"/>
      </tp>
      <tp>
        <v>1</v>
        <stp/>
        <stp>4fb0dbe9-dfdf-44d5-88c4-805f39c3828c</stp>
        <tr r="CF12" s="132"/>
      </tp>
    </main>
    <main first="rtdsrv.458a5932996f485b8b1b8d7cbb3f77a6">
      <tp>
        <v>1</v>
        <stp/>
        <stp>8af2654a-975d-44a4-82d0-65b526824341</stp>
        <tr r="GO5" s="132"/>
      </tp>
      <tp>
        <v>1</v>
        <stp/>
        <stp>4a31799b-b3ed-4fd3-9134-8ebb1a0d23d4</stp>
        <tr r="AP72" s="130"/>
      </tp>
    </main>
    <main first="rtdsrv.458a5932996f485b8b1b8d7cbb3f77a6">
      <tp>
        <v>1</v>
        <stp/>
        <stp>339f4ef6-874d-43d4-aba5-ca28fb0e35de</stp>
        <tr r="BI13" s="132"/>
      </tp>
    </main>
    <main first="rtdsrv.458a5932996f485b8b1b8d7cbb3f77a6">
      <tp>
        <v>1</v>
        <stp/>
        <stp>94d909d7-d19a-4997-beb9-9dc200410edb</stp>
        <tr r="W73" s="130"/>
      </tp>
    </main>
    <main first="rtdsrv.458a5932996f485b8b1b8d7cbb3f77a6">
      <tp>
        <v>1</v>
        <stp/>
        <stp>bdc6ddb7-d73b-4ff3-b56a-e8b7bf2ff2c9</stp>
        <tr r="AR80" s="130"/>
      </tp>
    </main>
    <main first="rtdsrv.458a5932996f485b8b1b8d7cbb3f77a6">
      <tp>
        <v>1</v>
        <stp/>
        <stp>cd8ea516-b8c0-4080-97e3-40dfbc5bb87d</stp>
        <tr r="AO20" s="130"/>
      </tp>
    </main>
    <main first="rtdsrv.458a5932996f485b8b1b8d7cbb3f77a6">
      <tp>
        <v>1</v>
        <stp/>
        <stp>ee27a86a-ceea-42af-8406-d328138d2e9d</stp>
        <tr r="W90" s="130"/>
      </tp>
    </main>
    <main first="rtdsrv.458a5932996f485b8b1b8d7cbb3f77a6">
      <tp>
        <v>1</v>
        <stp/>
        <stp>e2cd35ba-dee3-44f5-8342-4d691229b96c</stp>
        <tr r="F68" s="130"/>
      </tp>
      <tp>
        <v>1</v>
        <stp/>
        <stp>d24a2668-c47f-4b58-bcaf-827874aa65b8</stp>
        <tr r="BC74" s="130"/>
      </tp>
      <tp>
        <v>1</v>
        <stp/>
        <stp>56f54c5e-0441-420d-9ee2-385ca21dfc5e</stp>
        <tr r="I83" s="130"/>
      </tp>
    </main>
    <main first="rtdsrv.458a5932996f485b8b1b8d7cbb3f77a6">
      <tp>
        <v>1</v>
        <stp/>
        <stp>12eb3db4-f0c2-4430-ae94-0efff5690d6d</stp>
        <tr r="HH6" s="132"/>
      </tp>
      <tp>
        <v>1</v>
        <stp/>
        <stp>20be1b98-8830-4d92-b8fe-b407b7c31006</stp>
        <tr r="GR6" s="132"/>
      </tp>
    </main>
    <main first="rtdsrv.458a5932996f485b8b1b8d7cbb3f77a6">
      <tp>
        <v>1</v>
        <stp/>
        <stp>83144437-c2c2-4a31-918c-60119b144264</stp>
        <tr r="AT69" s="130"/>
      </tp>
      <tp>
        <v>1</v>
        <stp/>
        <stp>c9fc2b44-a40f-4d8c-a6ca-a1a477184118</stp>
        <tr r="G19" s="130"/>
      </tp>
    </main>
    <main first="rtdsrv.458a5932996f485b8b1b8d7cbb3f77a6">
      <tp>
        <v>1</v>
        <stp/>
        <stp>edd8c56c-914e-4db3-82f7-ac2e36ff8efc</stp>
        <tr r="BK14" s="132"/>
      </tp>
    </main>
    <main first="rtdsrv.458a5932996f485b8b1b8d7cbb3f77a6">
      <tp>
        <v>1</v>
        <stp/>
        <stp>103c0ab8-ea58-421a-b6b2-f2c120a268fb</stp>
        <tr r="F23" s="130"/>
      </tp>
      <tp>
        <v>1</v>
        <stp/>
        <stp>88be80f3-b4f5-4174-83ec-e436d0bad2d0</stp>
        <tr r="CW6" s="132"/>
      </tp>
    </main>
    <main first="rtdsrv.458a5932996f485b8b1b8d7cbb3f77a6">
      <tp>
        <v>1</v>
        <stp/>
        <stp>b454f155-9222-4086-87d7-d29135b2cd8d</stp>
        <tr r="I59" s="130"/>
      </tp>
    </main>
    <main first="rtdsrv.458a5932996f485b8b1b8d7cbb3f77a6">
      <tp>
        <v>1</v>
        <stp/>
        <stp>5fb77f91-8c09-4b38-9290-26965758f5b8</stp>
        <tr r="FO9" s="132"/>
      </tp>
    </main>
    <main first="rtdsrv.458a5932996f485b8b1b8d7cbb3f77a6">
      <tp>
        <v>1</v>
        <stp/>
        <stp>4808fb95-4c10-472a-9d56-0600b296c331</stp>
        <tr r="W15" s="132"/>
      </tp>
      <tp>
        <v>1</v>
        <stp/>
        <stp>8f0938f7-cbd9-4da3-91c6-0a12b9cce86e</stp>
        <tr r="AZ22" s="130"/>
      </tp>
    </main>
    <main first="rtdsrv.458a5932996f485b8b1b8d7cbb3f77a6">
      <tp>
        <v>1</v>
        <stp/>
        <stp>cdfdbd4a-d775-4f03-93af-7c645a38b9a7</stp>
        <tr r="CY5" s="132"/>
      </tp>
    </main>
    <main first="rtdsrv.458a5932996f485b8b1b8d7cbb3f77a6">
      <tp>
        <v>1</v>
        <stp/>
        <stp>a7239dc4-3bfb-42c6-98c4-14da546d3823</stp>
        <tr r="BD37" s="130"/>
      </tp>
    </main>
    <main first="rtdsrv.458a5932996f485b8b1b8d7cbb3f77a6">
      <tp>
        <v>1</v>
        <stp/>
        <stp>3f935df1-5b8f-4f59-bbec-279b20afbaa0</stp>
        <tr r="K8" s="130"/>
      </tp>
    </main>
    <main first="rtdsrv.458a5932996f485b8b1b8d7cbb3f77a6">
      <tp>
        <v>1</v>
        <stp/>
        <stp>01642a7f-9113-46a4-96ef-8d795a1cb00b</stp>
        <tr r="J15" s="130"/>
      </tp>
      <tp>
        <v>1</v>
        <stp/>
        <stp>82be297b-be51-4637-a530-f435e01c7dba</stp>
        <tr r="AD64" s="130"/>
      </tp>
    </main>
    <main first="rtdsrv.458a5932996f485b8b1b8d7cbb3f77a6">
      <tp>
        <v>1</v>
        <stp/>
        <stp>b9796096-7801-4215-91ee-403eead612d9</stp>
        <tr r="AB78" s="130"/>
      </tp>
    </main>
    <main first="rtdsrv.458a5932996f485b8b1b8d7cbb3f77a6">
      <tp>
        <v>1</v>
        <stp/>
        <stp>171691c0-779d-4da4-8a7d-975c010729d1</stp>
        <tr r="GT9" s="132"/>
      </tp>
      <tp>
        <v>1</v>
        <stp/>
        <stp>e82e0af8-2aca-437d-89b6-99be6a8d6892</stp>
        <tr r="Z61" s="130"/>
      </tp>
    </main>
    <main first="rtdsrv.458a5932996f485b8b1b8d7cbb3f77a6">
      <tp>
        <v>1</v>
        <stp/>
        <stp>b224599b-b803-4c1e-bd1b-3344a4c237fe</stp>
        <tr r="BK25" s="130"/>
      </tp>
    </main>
    <main first="rtdsrv.458a5932996f485b8b1b8d7cbb3f77a6">
      <tp>
        <v>1</v>
        <stp/>
        <stp>e0bc4793-bb83-49cf-9066-ff37df9868d0</stp>
        <tr r="L11" s="132"/>
      </tp>
    </main>
    <main first="rtdsrv.458a5932996f485b8b1b8d7cbb3f77a6">
      <tp>
        <v>1</v>
        <stp/>
        <stp>8670aecb-8a1a-4c5b-8070-308cf3e35095</stp>
        <tr r="AZ32" s="130"/>
      </tp>
      <tp>
        <v>1</v>
        <stp/>
        <stp>9860acd6-5589-4bd6-b29b-990da05eceac</stp>
        <tr r="FS15" s="132"/>
      </tp>
    </main>
    <main first="rtdsrv.458a5932996f485b8b1b8d7cbb3f77a6">
      <tp>
        <v>1</v>
        <stp/>
        <stp>a80d4f90-52df-47d6-82a7-c18b00cf906b</stp>
        <tr r="AY67" s="130"/>
      </tp>
    </main>
    <main first="rtdsrv.458a5932996f485b8b1b8d7cbb3f77a6">
      <tp>
        <v>1</v>
        <stp/>
        <stp>88de8985-59e3-4f49-a41d-3e6d6eea5131</stp>
        <tr r="AK67" s="130"/>
      </tp>
    </main>
    <main first="rtdsrv.458a5932996f485b8b1b8d7cbb3f77a6">
      <tp>
        <v>1</v>
        <stp/>
        <stp>f743f34b-0453-41d8-8b94-abb869f68ceb</stp>
        <tr r="K93" s="130"/>
      </tp>
    </main>
    <main first="rtdsrv.458a5932996f485b8b1b8d7cbb3f77a6">
      <tp>
        <v>1</v>
        <stp/>
        <stp>b79321c4-9883-4871-8bc0-cc21bede2ff8</stp>
        <tr r="AH20" s="130"/>
      </tp>
      <tp>
        <v>1</v>
        <stp/>
        <stp>78b290ab-1287-477c-8ff9-8782d165e7d2</stp>
        <tr r="U90" s="130"/>
      </tp>
      <tp>
        <v>1</v>
        <stp/>
        <stp>f0e58f10-27d3-4446-bd79-b09a49507a44</stp>
        <tr r="CK13" s="132"/>
      </tp>
    </main>
    <main first="rtdsrv.458a5932996f485b8b1b8d7cbb3f77a6">
      <tp>
        <v>1</v>
        <stp/>
        <stp>946d70a1-fd3a-4812-85fd-0809037fb02c</stp>
        <tr r="AP33" s="130"/>
      </tp>
    </main>
    <main first="rtdsrv.458a5932996f485b8b1b8d7cbb3f77a6">
      <tp>
        <v>1</v>
        <stp/>
        <stp>6b185dcd-6d9a-44f9-b7ce-54ccc16ffbd7</stp>
        <tr r="AO60" s="130"/>
      </tp>
    </main>
    <main first="rtdsrv.458a5932996f485b8b1b8d7cbb3f77a6">
      <tp>
        <v>1</v>
        <stp/>
        <stp>380365c3-f982-4c6e-8507-96980334965d</stp>
        <tr r="CS7" s="132"/>
      </tp>
    </main>
    <main first="rtdsrv.458a5932996f485b8b1b8d7cbb3f77a6">
      <tp>
        <v>1</v>
        <stp/>
        <stp>75969258-1ce1-41ff-8573-2ec1198ad6de</stp>
        <tr r="BF87" s="130"/>
      </tp>
      <tp>
        <v>1</v>
        <stp/>
        <stp>46bf3bf5-8eea-4065-ae63-345bcf7e0036</stp>
        <tr r="EQ12" s="132"/>
      </tp>
    </main>
    <main first="rtdsrv.458a5932996f485b8b1b8d7cbb3f77a6">
      <tp>
        <v>1</v>
        <stp/>
        <stp>b415250d-aefc-4cac-8ef4-0de8180304f5</stp>
        <tr r="EE13" s="132"/>
      </tp>
      <tp>
        <v>1</v>
        <stp/>
        <stp>463db625-c506-4858-84bb-3ed92a33e0b9</stp>
        <tr r="AN43" s="130"/>
      </tp>
    </main>
    <main first="rtdsrv.458a5932996f485b8b1b8d7cbb3f77a6">
      <tp>
        <v>1</v>
        <stp/>
        <stp>5306c11d-bbbe-4e6d-999d-122446cd945c</stp>
        <tr r="AM8" s="132"/>
      </tp>
    </main>
    <main first="rtdsrv.458a5932996f485b8b1b8d7cbb3f77a6">
      <tp>
        <v>1</v>
        <stp/>
        <stp>56865990-da90-4f69-b35c-a16fdc2058d0</stp>
        <tr r="BA40" s="130"/>
      </tp>
    </main>
    <main first="rtdsrv.458a5932996f485b8b1b8d7cbb3f77a6">
      <tp>
        <v>1</v>
        <stp/>
        <stp>daa2916b-e7a3-4418-b05b-1321922aa4a7</stp>
        <tr r="HF8" s="132"/>
      </tp>
    </main>
    <main first="rtdsrv.458a5932996f485b8b1b8d7cbb3f77a6">
      <tp>
        <v>1</v>
        <stp/>
        <stp>dbd96f3b-65e5-4056-b210-263e87f369d1</stp>
        <tr r="J88" s="130"/>
      </tp>
    </main>
    <main first="rtdsrv.458a5932996f485b8b1b8d7cbb3f77a6">
      <tp>
        <v>1</v>
        <stp/>
        <stp>8093f07c-8707-4428-b6f9-d8df21097b7b</stp>
        <tr r="AN11" s="132"/>
      </tp>
    </main>
    <main first="rtdsrv.458a5932996f485b8b1b8d7cbb3f77a6">
      <tp>
        <v>1</v>
        <stp/>
        <stp>b9d09a80-037e-4f55-b1ce-458a278541f1</stp>
        <tr r="L60" s="130"/>
      </tp>
    </main>
    <main first="rtdsrv.458a5932996f485b8b1b8d7cbb3f77a6">
      <tp>
        <v>1</v>
        <stp/>
        <stp>07f3f7f4-882e-4605-8f25-fdb43d7ba249</stp>
        <tr r="AN18" s="130"/>
      </tp>
    </main>
    <main first="rtdsrv.458a5932996f485b8b1b8d7cbb3f77a6">
      <tp>
        <v>1</v>
        <stp/>
        <stp>a8be540f-199a-4f4e-8568-fc7a12872205</stp>
        <tr r="BK8" s="132"/>
      </tp>
      <tp>
        <v>1</v>
        <stp/>
        <stp>aeff9812-86c4-4258-b1df-6d9d5ad37164</stp>
        <tr r="H84" s="130"/>
      </tp>
    </main>
    <main first="rtdsrv.458a5932996f485b8b1b8d7cbb3f77a6">
      <tp>
        <v>1</v>
        <stp/>
        <stp>1a210c2a-980a-4a66-9456-eacb0e5ac145</stp>
        <tr r="GW5" s="132"/>
      </tp>
    </main>
    <main first="rtdsrv.458a5932996f485b8b1b8d7cbb3f77a6">
      <tp>
        <v>1</v>
        <stp/>
        <stp>1b5c15cc-a8e3-4be2-8b7f-3655490361a5</stp>
        <tr r="AB79" s="130"/>
      </tp>
    </main>
    <main first="rtdsrv.458a5932996f485b8b1b8d7cbb3f77a6">
      <tp>
        <v>1</v>
        <stp/>
        <stp>35dfbf4b-28d4-4334-bf83-c6f7c3e4ae5d</stp>
        <tr r="L78" s="130"/>
      </tp>
    </main>
    <main first="rtdsrv.458a5932996f485b8b1b8d7cbb3f77a6">
      <tp>
        <v>1</v>
        <stp/>
        <stp>5f3a89c8-17bd-41c5-9d1f-9c9cc4e9e009</stp>
        <tr r="BX5" s="132"/>
      </tp>
      <tp>
        <v>1</v>
        <stp/>
        <stp>e08a3847-cff3-4d8b-866d-6cb4e05d3a4c</stp>
        <tr r="L71" s="130"/>
      </tp>
      <tp>
        <v>1</v>
        <stp/>
        <stp>74161592-fcd7-477d-a0c6-c9c95052bdfc</stp>
        <tr r="FO8" s="132"/>
      </tp>
    </main>
    <main first="rtdsrv.458a5932996f485b8b1b8d7cbb3f77a6">
      <tp>
        <v>1</v>
        <stp/>
        <stp>fd535838-40a8-40e3-856e-e1844463ee0b</stp>
        <tr r="E12" s="130"/>
      </tp>
    </main>
    <main first="rtdsrv.458a5932996f485b8b1b8d7cbb3f77a6">
      <tp>
        <v>1</v>
        <stp/>
        <stp>f09ce00f-31f5-4e0c-afe6-e3ce32111915</stp>
        <tr r="H70" s="130"/>
      </tp>
    </main>
    <main first="rtdsrv.458a5932996f485b8b1b8d7cbb3f77a6">
      <tp>
        <v>1</v>
        <stp/>
        <stp>eb0fe923-39ea-44fc-bdca-08e19ddfa969</stp>
        <tr r="AX82" s="130"/>
      </tp>
    </main>
    <main first="rtdsrv.458a5932996f485b8b1b8d7cbb3f77a6">
      <tp>
        <v>1</v>
        <stp/>
        <stp>0487f256-124c-46c6-9575-ca0b08aefb5c</stp>
        <tr r="CL16" s="132"/>
      </tp>
    </main>
    <main first="rtdsrv.458a5932996f485b8b1b8d7cbb3f77a6">
      <tp>
        <v>1</v>
        <stp/>
        <stp>77e6a214-b24d-4a68-b5d7-346bbf038d98</stp>
        <tr r="N58" s="130"/>
      </tp>
    </main>
    <main first="rtdsrv.458a5932996f485b8b1b8d7cbb3f77a6">
      <tp>
        <v>1</v>
        <stp/>
        <stp>5b1d83da-8f7f-492c-8c09-72c1bca3bff4</stp>
        <tr r="BE8" s="132"/>
      </tp>
      <tp>
        <v>1</v>
        <stp/>
        <stp>a19a2777-cc33-4650-b343-c97bcf7db304</stp>
        <tr r="EE7" s="132"/>
      </tp>
      <tp>
        <v>1</v>
        <stp/>
        <stp>def64833-d899-411a-88a2-c760ae64af10</stp>
        <tr r="CW12" s="132"/>
      </tp>
    </main>
    <main first="rtdsrv.458a5932996f485b8b1b8d7cbb3f77a6">
      <tp>
        <v>1</v>
        <stp/>
        <stp>e709f3fe-790c-491a-9f8e-815f47ea2a55</stp>
        <tr r="C37" s="130"/>
      </tp>
      <tp>
        <v>1</v>
        <stp/>
        <stp>0824c8e1-2189-4120-ab25-d576e09e682e</stp>
        <tr r="I79" s="130"/>
      </tp>
    </main>
    <main first="rtdsrv.458a5932996f485b8b1b8d7cbb3f77a6">
      <tp>
        <v>1</v>
        <stp/>
        <stp>56fbde9a-8ba9-4b37-94c1-cda073714e57</stp>
        <tr r="AG94" s="130"/>
      </tp>
    </main>
    <main first="rtdsrv.458a5932996f485b8b1b8d7cbb3f77a6">
      <tp>
        <v>1</v>
        <stp/>
        <stp>d92f3803-6fc8-4738-939c-a3d2218c394b</stp>
        <tr r="BJ89" s="130"/>
      </tp>
      <tp>
        <v>1</v>
        <stp/>
        <stp>a5696c64-6c24-4f3b-966d-01d94152799a</stp>
        <tr r="AX24" s="130"/>
      </tp>
    </main>
    <main first="rtdsrv.458a5932996f485b8b1b8d7cbb3f77a6">
      <tp>
        <v>1</v>
        <stp/>
        <stp>11bddf2d-46e8-48d5-96d4-e792992b811b</stp>
        <tr r="BG42" s="130"/>
      </tp>
    </main>
    <main first="rtdsrv.458a5932996f485b8b1b8d7cbb3f77a6">
      <tp>
        <v>1</v>
        <stp/>
        <stp>026d994f-66cb-4fa6-be29-9d77c1a3aa34</stp>
        <tr r="X21" s="130"/>
      </tp>
    </main>
    <main first="rtdsrv.458a5932996f485b8b1b8d7cbb3f77a6">
      <tp>
        <v>1</v>
        <stp/>
        <stp>25798936-0f57-4265-81e8-347cfb10a741</stp>
        <tr r="AF84" s="130"/>
      </tp>
    </main>
    <main first="rtdsrv.458a5932996f485b8b1b8d7cbb3f77a6">
      <tp>
        <v>1</v>
        <stp/>
        <stp>7282eec6-ef34-476b-8fbe-f86b5300d467</stp>
        <tr r="AH32" s="130"/>
      </tp>
    </main>
    <main first="rtdsrv.458a5932996f485b8b1b8d7cbb3f77a6">
      <tp>
        <v>1</v>
        <stp/>
        <stp>7a3afca7-2c59-4ea6-8909-68ab2f211e31</stp>
        <tr r="BA59" s="130"/>
      </tp>
      <tp>
        <v>1</v>
        <stp/>
        <stp>5200d0e8-dabe-4f4b-b09a-4e6c77315b8f</stp>
        <tr r="BG15" s="130"/>
      </tp>
      <tp>
        <v>1</v>
        <stp/>
        <stp>73e87283-c476-469e-a195-19db69dc8343</stp>
        <tr r="AQ67" s="130"/>
      </tp>
    </main>
    <main first="rtdsrv.458a5932996f485b8b1b8d7cbb3f77a6">
      <tp>
        <v>1</v>
        <stp/>
        <stp>256784a9-166e-4e24-aaa1-a58bfd19691d</stp>
        <tr r="K31" s="130"/>
      </tp>
    </main>
    <main first="rtdsrv.458a5932996f485b8b1b8d7cbb3f77a6">
      <tp>
        <v>1</v>
        <stp/>
        <stp>90998545-fb6c-4c3d-8c83-80a277c05576</stp>
        <tr r="CS11" s="132"/>
      </tp>
    </main>
    <main first="rtdsrv.458a5932996f485b8b1b8d7cbb3f77a6">
      <tp>
        <v>1</v>
        <stp/>
        <stp>fabdf36e-91a4-4dc1-b638-2b7b85a783bc</stp>
        <tr r="HF6" s="132"/>
      </tp>
    </main>
    <main first="rtdsrv.458a5932996f485b8b1b8d7cbb3f77a6">
      <tp>
        <v>1</v>
        <stp/>
        <stp>6580319c-87da-4e40-a630-8c16e2f68c86</stp>
        <tr r="AQ98" s="130"/>
      </tp>
      <tp>
        <v>1</v>
        <stp/>
        <stp>46d5091a-8339-4788-ab2f-b54f5d9f4ad4</stp>
        <tr r="AS62" s="130"/>
      </tp>
      <tp>
        <v>1</v>
        <stp/>
        <stp>488a8c83-3763-48ac-89d0-5bbb8640a685</stp>
        <tr r="GU14" s="132"/>
      </tp>
    </main>
    <main first="rtdsrv.458a5932996f485b8b1b8d7cbb3f77a6">
      <tp>
        <v>1</v>
        <stp/>
        <stp>bcbddc62-c97b-4cfc-ba5a-604cc9f35172</stp>
        <tr r="DH11" s="132"/>
      </tp>
      <tp>
        <v>1</v>
        <stp/>
        <stp>e954887a-ec77-4e0c-9f79-e84767fb52cf</stp>
        <tr r="GT6" s="132"/>
      </tp>
    </main>
    <main first="rtdsrv.458a5932996f485b8b1b8d7cbb3f77a6">
      <tp>
        <v>1</v>
        <stp/>
        <stp>85e2f522-623b-4c63-8e29-f60d596ea53a</stp>
        <tr r="FT14" s="132"/>
      </tp>
    </main>
    <main first="rtdsrv.458a5932996f485b8b1b8d7cbb3f77a6">
      <tp>
        <v>1</v>
        <stp/>
        <stp>91a6b584-90cc-420e-8eb6-82bc7c1f4ff5</stp>
        <tr r="BB16" s="130"/>
      </tp>
      <tp>
        <v>1</v>
        <stp/>
        <stp>beb6bb8c-9d9c-4a32-a1f7-ee7b4a1f3ce1</stp>
        <tr r="GL15" s="132"/>
      </tp>
    </main>
    <main first="rtdsrv.458a5932996f485b8b1b8d7cbb3f77a6">
      <tp>
        <v>1</v>
        <stp/>
        <stp>6d95fcad-4829-4951-8d8a-2e81ff6f34e4</stp>
        <tr r="V81" s="130"/>
      </tp>
    </main>
    <main first="rtdsrv.458a5932996f485b8b1b8d7cbb3f77a6">
      <tp>
        <v>1</v>
        <stp/>
        <stp>ab7c00c4-bf98-42e8-a069-438f198529aa</stp>
        <tr r="BI62" s="130"/>
      </tp>
    </main>
    <main first="rtdsrv.458a5932996f485b8b1b8d7cbb3f77a6">
      <tp>
        <v>1</v>
        <stp/>
        <stp>963a2491-c477-4af5-9a63-9a42c8ed0675</stp>
        <tr r="AW51" s="130"/>
        <tr r="AW46" s="130"/>
      </tp>
      <tp>
        <v>1</v>
        <stp/>
        <stp>aeb6c090-b375-4b9d-93f5-d8236502e547</stp>
        <tr r="D15" s="132"/>
      </tp>
    </main>
    <main first="rtdsrv.458a5932996f485b8b1b8d7cbb3f77a6">
      <tp>
        <v>1</v>
        <stp/>
        <stp>d9eb2c11-5042-40d2-b53c-4686b7c32b74</stp>
        <tr r="AF5" s="132"/>
      </tp>
      <tp>
        <v>1</v>
        <stp/>
        <stp>3dda77b2-f34a-46a5-bdc9-f97ee21d5ea1</stp>
        <tr r="I55" s="130"/>
      </tp>
      <tp>
        <v>1</v>
        <stp/>
        <stp>b49be502-34a7-479d-afb4-033ba3b0e936</stp>
        <tr r="V77" s="130"/>
      </tp>
    </main>
    <main first="rtdsrv.458a5932996f485b8b1b8d7cbb3f77a6">
      <tp>
        <v>1</v>
        <stp/>
        <stp>49f6bbfb-70f2-4807-a0ab-23016e96ba0c</stp>
        <tr r="AP79" s="130"/>
      </tp>
    </main>
    <main first="rtdsrv.458a5932996f485b8b1b8d7cbb3f77a6">
      <tp>
        <v>1</v>
        <stp/>
        <stp>e9b4f689-f96e-4f14-9076-3d29cb90ba5f</stp>
        <tr r="AV65" s="130"/>
      </tp>
    </main>
    <main first="rtdsrv.458a5932996f485b8b1b8d7cbb3f77a6">
      <tp>
        <v>1</v>
        <stp/>
        <stp>77406030-9477-4d5f-9643-cb4cbf7c4d79</stp>
        <tr r="N55" s="130"/>
      </tp>
      <tp>
        <v>1</v>
        <stp/>
        <stp>471166ed-f7bd-469b-a421-f040f27e59ed</stp>
        <tr r="BJ21" s="130"/>
      </tp>
      <tp>
        <v>1</v>
        <stp/>
        <stp>9d5ab512-5d43-4569-bdec-548f0775a782</stp>
        <tr r="CB12" s="132"/>
      </tp>
    </main>
    <main first="rtdsrv.458a5932996f485b8b1b8d7cbb3f77a6">
      <tp>
        <v>1</v>
        <stp/>
        <stp>3bf73d39-90e6-4375-8df1-42fcc73bae5e</stp>
        <tr r="AX97" s="130"/>
      </tp>
    </main>
    <main first="rtdsrv.458a5932996f485b8b1b8d7cbb3f77a6">
      <tp>
        <v>1</v>
        <stp/>
        <stp>2f3b927d-7ec7-4747-8b33-56523edb0874</stp>
        <tr r="AQ59" s="130"/>
      </tp>
    </main>
    <main first="rtdsrv.458a5932996f485b8b1b8d7cbb3f77a6">
      <tp>
        <v>1</v>
        <stp/>
        <stp>7445363c-f194-45cf-86d0-f857cf258442</stp>
        <tr r="FK11" s="132"/>
      </tp>
    </main>
    <main first="rtdsrv.458a5932996f485b8b1b8d7cbb3f77a6">
      <tp>
        <v>1</v>
        <stp/>
        <stp>a97c8ff2-a602-4bdc-99c0-50b7213e2337</stp>
        <tr r="BB41" s="130"/>
      </tp>
      <tp>
        <v>1</v>
        <stp/>
        <stp>d1c0e08e-9cc0-43c8-839a-b78067e1751c</stp>
        <tr r="DU5" s="132"/>
      </tp>
    </main>
    <main first="rtdsrv.458a5932996f485b8b1b8d7cbb3f77a6">
      <tp>
        <v>1</v>
        <stp/>
        <stp>f0dcf2e1-53d6-4991-989b-50c19f684e0c</stp>
        <tr r="BD94" s="130"/>
      </tp>
    </main>
    <main first="rtdsrv.458a5932996f485b8b1b8d7cbb3f77a6">
      <tp>
        <v>1</v>
        <stp/>
        <stp>e74afffd-b469-412b-b0ea-c969aef53db6</stp>
        <tr r="AU43" s="130"/>
      </tp>
    </main>
    <main first="rtdsrv.458a5932996f485b8b1b8d7cbb3f77a6">
      <tp>
        <v>1</v>
        <stp/>
        <stp>994a61f0-16ac-4dc6-be35-b34446b77527</stp>
        <tr r="DL13" s="132"/>
      </tp>
    </main>
    <main first="rtdsrv.458a5932996f485b8b1b8d7cbb3f77a6">
      <tp>
        <v>1</v>
        <stp/>
        <stp>6a5311b9-83b5-43de-a582-0981bbc69b80</stp>
        <tr r="AQ36" s="130"/>
      </tp>
    </main>
    <main first="rtdsrv.458a5932996f485b8b1b8d7cbb3f77a6">
      <tp>
        <v>1</v>
        <stp/>
        <stp>e7842faa-5f0d-4658-bf8d-18e304957d1c</stp>
        <tr r="DV14" s="132"/>
      </tp>
    </main>
    <main first="rtdsrv.458a5932996f485b8b1b8d7cbb3f77a6">
      <tp>
        <v>1</v>
        <stp/>
        <stp>9b5d97f0-234f-4794-8f36-881811f6ae7e</stp>
        <tr r="BE12" s="132"/>
      </tp>
    </main>
    <main first="rtdsrv.458a5932996f485b8b1b8d7cbb3f77a6">
      <tp>
        <v>1</v>
        <stp/>
        <stp>408b2397-1e84-47c0-a610-6251c5bae85f</stp>
        <tr r="AI55" s="130"/>
      </tp>
    </main>
    <main first="rtdsrv.458a5932996f485b8b1b8d7cbb3f77a6">
      <tp>
        <v>1</v>
        <stp/>
        <stp>b1b170e5-ec4c-4607-9d1f-28bab2239dda</stp>
        <tr r="BK59" s="130"/>
      </tp>
    </main>
    <main first="rtdsrv.458a5932996f485b8b1b8d7cbb3f77a6">
      <tp>
        <v>1</v>
        <stp/>
        <stp>10830ee3-1465-4c60-9f33-5d9bc75978ac</stp>
        <tr r="FM11" s="132"/>
      </tp>
    </main>
    <main first="rtdsrv.458a5932996f485b8b1b8d7cbb3f77a6">
      <tp>
        <v>1</v>
        <stp/>
        <stp>749868f3-082d-47c9-97a0-55ec6d77a92a</stp>
        <tr r="BC38" s="130"/>
      </tp>
    </main>
    <main first="rtdsrv.458a5932996f485b8b1b8d7cbb3f77a6">
      <tp>
        <v>1</v>
        <stp/>
        <stp>c5a6ac0d-842d-4ece-b8d8-9a9d57d66578</stp>
        <tr r="BH60" s="130"/>
      </tp>
    </main>
    <main first="rtdsrv.458a5932996f485b8b1b8d7cbb3f77a6">
      <tp>
        <v>1</v>
        <stp/>
        <stp>090c9f51-3e65-42d3-b029-4441a0c62e98</stp>
        <tr r="S22" s="130"/>
      </tp>
    </main>
    <main first="rtdsrv.458a5932996f485b8b1b8d7cbb3f77a6">
      <tp>
        <v>1</v>
        <stp/>
        <stp>7c471b7f-b8a3-44e8-b354-84558f58c08a</stp>
        <tr r="C45" s="130"/>
      </tp>
    </main>
    <main first="rtdsrv.458a5932996f485b8b1b8d7cbb3f77a6">
      <tp>
        <v>1</v>
        <stp/>
        <stp>d4e0686f-4146-4160-903c-9a3532396d15</stp>
        <tr r="AJ37" s="130"/>
      </tp>
    </main>
    <main first="rtdsrv.458a5932996f485b8b1b8d7cbb3f77a6">
      <tp>
        <v>1</v>
        <stp/>
        <stp>c232b441-dd1f-4322-bb73-e8db02ec8aa3</stp>
        <tr r="H12" s="130"/>
      </tp>
    </main>
    <main first="rtdsrv.458a5932996f485b8b1b8d7cbb3f77a6">
      <tp>
        <v>1</v>
        <stp/>
        <stp>61bd724d-b490-40dc-af83-b63e69feb944</stp>
        <tr r="AT16" s="130"/>
      </tp>
    </main>
    <main first="rtdsrv.458a5932996f485b8b1b8d7cbb3f77a6">
      <tp>
        <v>1</v>
        <stp/>
        <stp>8f1f86c7-98be-4a53-9f39-f52881bd8a32</stp>
        <tr r="AO76" s="130"/>
      </tp>
    </main>
    <main first="rtdsrv.458a5932996f485b8b1b8d7cbb3f77a6">
      <tp>
        <v>1</v>
        <stp/>
        <stp>a0a20178-b14a-4a4f-a894-5806f06608e4</stp>
        <tr r="BA12" s="132"/>
      </tp>
      <tp>
        <v>1</v>
        <stp/>
        <stp>cb465ed0-b78e-472f-ba23-946a8860a1d0</stp>
        <tr r="Y74" s="130"/>
      </tp>
    </main>
    <main first="rtdsrv.458a5932996f485b8b1b8d7cbb3f77a6">
      <tp>
        <v>1</v>
        <stp/>
        <stp>a0004921-f17e-4eef-aaa1-41a48457eaf9</stp>
        <tr r="L75" s="130"/>
      </tp>
    </main>
    <main first="rtdsrv.458a5932996f485b8b1b8d7cbb3f77a6">
      <tp>
        <v>1</v>
        <stp/>
        <stp>96babb0d-e7c4-4758-b3ac-ef95ff619d8f</stp>
        <tr r="AF36" s="130"/>
      </tp>
    </main>
    <main first="rtdsrv.458a5932996f485b8b1b8d7cbb3f77a6">
      <tp>
        <v>1</v>
        <stp/>
        <stp>111a6807-7aad-4d30-8852-fc4f6f2b82e5</stp>
        <tr r="U84" s="130"/>
      </tp>
      <tp>
        <v>1</v>
        <stp/>
        <stp>ca35a266-62f3-43a6-815a-6551d9df8f6c</stp>
        <tr r="FS9" s="132"/>
      </tp>
    </main>
    <main first="rtdsrv.458a5932996f485b8b1b8d7cbb3f77a6">
      <tp>
        <v>1</v>
        <stp/>
        <stp>96f16820-4736-426e-bb2d-71c166cf1f61</stp>
        <tr r="Z21" s="130"/>
      </tp>
    </main>
    <main first="rtdsrv.458a5932996f485b8b1b8d7cbb3f77a6">
      <tp>
        <v>1</v>
        <stp/>
        <stp>0a44f9e0-79b6-414f-a328-9ed851737c22</stp>
        <tr r="BC25" s="130"/>
      </tp>
    </main>
    <main first="rtdsrv.458a5932996f485b8b1b8d7cbb3f77a6">
      <tp>
        <v>1</v>
        <stp/>
        <stp>e5d4f403-9ffb-4a03-9f47-0d367c0c147a</stp>
        <tr r="AE76" s="130"/>
      </tp>
    </main>
    <main first="rtdsrv.458a5932996f485b8b1b8d7cbb3f77a6">
      <tp>
        <v>1</v>
        <stp/>
        <stp>44415445-dc65-41b4-8fbc-2ce788007ed7</stp>
        <tr r="BA60" s="130"/>
      </tp>
      <tp>
        <v>1</v>
        <stp/>
        <stp>e2a94932-52b8-4baa-9b93-867c3ee9690b</stp>
        <tr r="L84" s="130"/>
      </tp>
    </main>
    <main first="rtdsrv.458a5932996f485b8b1b8d7cbb3f77a6">
      <tp>
        <v>1</v>
        <stp/>
        <stp>bbbe81d8-33dd-4740-a943-5f2d56399868</stp>
        <tr r="AE69" s="130"/>
      </tp>
    </main>
    <main first="rtdsrv.458a5932996f485b8b1b8d7cbb3f77a6">
      <tp>
        <v>1</v>
        <stp/>
        <stp>ab4136d8-7f03-4029-b78f-6bde99d6a5a1</stp>
        <tr r="AH6" s="132"/>
      </tp>
      <tp>
        <v>1</v>
        <stp/>
        <stp>9511c911-465c-4aba-a376-65b84b77b5d2</stp>
        <tr r="H60" s="130"/>
      </tp>
    </main>
    <main first="rtdsrv.458a5932996f485b8b1b8d7cbb3f77a6">
      <tp>
        <v>1</v>
        <stp/>
        <stp>f19bded8-ab5a-4d98-b2bb-7a23a6e7c489</stp>
        <tr r="AG64" s="130"/>
      </tp>
    </main>
    <main first="rtdsrv.458a5932996f485b8b1b8d7cbb3f77a6">
      <tp>
        <v>1</v>
        <stp/>
        <stp>0f66a8f7-0713-48c6-823e-e40b5b34c134</stp>
        <tr r="AX86" s="130"/>
      </tp>
    </main>
    <main first="rtdsrv.458a5932996f485b8b1b8d7cbb3f77a6">
      <tp>
        <v>1</v>
        <stp/>
        <stp>82265734-c5d7-440f-ad0f-7d6efa53a9c8</stp>
        <tr r="CB11" s="132"/>
      </tp>
    </main>
    <main first="rtdsrv.458a5932996f485b8b1b8d7cbb3f77a6">
      <tp>
        <v>1</v>
        <stp/>
        <stp>d4e4c06c-3268-4a4a-a9ef-2962fd493b71</stp>
        <tr r="AD16" s="132"/>
      </tp>
    </main>
    <main first="rtdsrv.458a5932996f485b8b1b8d7cbb3f77a6">
      <tp>
        <v>1</v>
        <stp/>
        <stp>c90a48b1-ba60-4c6d-a08f-2cc94ef2a5b6</stp>
        <tr r="P60" s="130"/>
      </tp>
    </main>
    <main first="rtdsrv.458a5932996f485b8b1b8d7cbb3f77a6">
      <tp>
        <v>1</v>
        <stp/>
        <stp>a4599770-b10d-4c4b-8984-f0e37abedf21</stp>
        <tr r="CZ8" s="132"/>
      </tp>
      <tp>
        <v>1</v>
        <stp/>
        <stp>a85157c7-9ee3-4e50-8a40-6979b5c4c2e2</stp>
        <tr r="AM46" s="130"/>
        <tr r="AM51" s="130"/>
      </tp>
    </main>
    <main first="rtdsrv.458a5932996f485b8b1b8d7cbb3f77a6">
      <tp>
        <v>1</v>
        <stp/>
        <stp>e1470c7f-23ac-40ad-a3bb-a00ae9e89c55</stp>
        <tr r="GZ8" s="132"/>
      </tp>
      <tp>
        <v>1</v>
        <stp/>
        <stp>682aad48-06af-4283-bfcf-6a7befd37774</stp>
        <tr r="BB37" s="130"/>
      </tp>
    </main>
    <main first="rtdsrv.458a5932996f485b8b1b8d7cbb3f77a6">
      <tp>
        <v>1</v>
        <stp/>
        <stp>d0eaeaa4-2e74-422b-9ce5-5ce76957b26c</stp>
        <tr r="BC15" s="130"/>
      </tp>
    </main>
    <main first="rtdsrv.458a5932996f485b8b1b8d7cbb3f77a6">
      <tp>
        <v>1</v>
        <stp/>
        <stp>e6d4ab2a-40c3-4397-8d86-924d1ba96363</stp>
        <tr r="AA25" s="130"/>
      </tp>
    </main>
    <main first="rtdsrv.458a5932996f485b8b1b8d7cbb3f77a6">
      <tp>
        <v>1</v>
        <stp/>
        <stp>cbc273af-af48-44b9-b44a-170d0be51dc4</stp>
        <tr r="BV11" s="132"/>
      </tp>
    </main>
    <main first="rtdsrv.458a5932996f485b8b1b8d7cbb3f77a6">
      <tp>
        <v>1</v>
        <stp/>
        <stp>b0782d22-7ee4-4d73-9b92-5ffbf77c8402</stp>
        <tr r="AG27" s="130"/>
      </tp>
    </main>
    <main first="rtdsrv.458a5932996f485b8b1b8d7cbb3f77a6">
      <tp>
        <v>1</v>
        <stp/>
        <stp>04e4ace8-0aeb-47ca-8a52-f84837d3300c</stp>
        <tr r="F29" s="130"/>
      </tp>
      <tp>
        <v>1</v>
        <stp/>
        <stp>321b9500-95a0-40df-9573-0fcc8dab9a65</stp>
        <tr r="L67" s="130"/>
      </tp>
    </main>
    <main first="rtdsrv.458a5932996f485b8b1b8d7cbb3f77a6">
      <tp>
        <v>1</v>
        <stp/>
        <stp>cb74fe84-2c12-4aa6-9b92-21b20696216a</stp>
        <tr r="AX42" s="130"/>
      </tp>
    </main>
    <main first="rtdsrv.458a5932996f485b8b1b8d7cbb3f77a6">
      <tp>
        <v>1</v>
        <stp/>
        <stp>c5dd656d-5c22-4af0-907e-55fc9968d28b</stp>
        <tr r="G55" s="130"/>
      </tp>
    </main>
    <main first="rtdsrv.458a5932996f485b8b1b8d7cbb3f77a6">
      <tp>
        <v>1</v>
        <stp/>
        <stp>1fc7de62-64bf-42ff-8e5f-f6a229c65e99</stp>
        <tr r="AT80" s="130"/>
      </tp>
    </main>
    <main first="rtdsrv.458a5932996f485b8b1b8d7cbb3f77a6">
      <tp>
        <v>1</v>
        <stp/>
        <stp>544bf7bf-ac6e-404a-8c59-58c2ac73eada</stp>
        <tr r="AQ32" s="130"/>
      </tp>
    </main>
    <main first="rtdsrv.458a5932996f485b8b1b8d7cbb3f77a6">
      <tp>
        <v>1</v>
        <stp/>
        <stp>be4ffe85-605d-46ea-818b-e23b4cbbb230</stp>
        <tr r="U43" s="130"/>
      </tp>
    </main>
    <main first="rtdsrv.458a5932996f485b8b1b8d7cbb3f77a6">
      <tp>
        <v>1</v>
        <stp/>
        <stp>285dcd47-f36c-4c35-a8a8-b61ebae3a5b2</stp>
        <tr r="AK87" s="130"/>
      </tp>
    </main>
    <main first="rtdsrv.458a5932996f485b8b1b8d7cbb3f77a6">
      <tp>
        <v>1</v>
        <stp/>
        <stp>a65ad62e-7941-4169-b7b8-a29f5f713445</stp>
        <tr r="FG11" s="132"/>
      </tp>
    </main>
    <main first="rtdsrv.458a5932996f485b8b1b8d7cbb3f77a6">
      <tp>
        <v>1</v>
        <stp/>
        <stp>754554c5-406b-4637-a198-f14dde203cde</stp>
        <tr r="F9" s="132"/>
      </tp>
    </main>
    <main first="rtdsrv.458a5932996f485b8b1b8d7cbb3f77a6">
      <tp>
        <v>1</v>
        <stp/>
        <stp>09111254-13e5-4d61-baed-001be39abaf8</stp>
        <tr r="AD6" s="132"/>
      </tp>
    </main>
    <main first="rtdsrv.458a5932996f485b8b1b8d7cbb3f77a6">
      <tp>
        <v>1</v>
        <stp/>
        <stp>ecd0db20-99fa-4e04-975d-761a54ff37af</stp>
        <tr r="BI55" s="130"/>
      </tp>
    </main>
    <main first="rtdsrv.458a5932996f485b8b1b8d7cbb3f77a6">
      <tp>
        <v>1</v>
        <stp/>
        <stp>dac39969-7743-42c6-9aba-72e0459ca0bb</stp>
        <tr r="E80" s="130"/>
      </tp>
      <tp>
        <v>1</v>
        <stp/>
        <stp>78210c69-aa7e-45a4-b67d-3fb92af6128d</stp>
        <tr r="GO6" s="132"/>
      </tp>
    </main>
    <main first="rtdsrv.458a5932996f485b8b1b8d7cbb3f77a6">
      <tp>
        <v>1</v>
        <stp/>
        <stp>d28fe144-b603-405c-ac7d-c643a72648e8</stp>
        <tr r="AZ69" s="130"/>
      </tp>
    </main>
    <main first="rtdsrv.458a5932996f485b8b1b8d7cbb3f77a6">
      <tp>
        <v>1</v>
        <stp/>
        <stp>ffee66c9-2174-4746-ba80-efbc339585af</stp>
        <tr r="AT28" s="130"/>
      </tp>
      <tp>
        <v>1</v>
        <stp/>
        <stp>f932053b-55f3-4979-bebc-aecfb3824807</stp>
        <tr r="BA62" s="130"/>
      </tp>
      <tp>
        <v>1</v>
        <stp/>
        <stp>1d9b5b73-9b48-444c-8d4c-b12cc4439a45</stp>
        <tr r="CS16" s="132"/>
      </tp>
    </main>
    <main first="rtdsrv.458a5932996f485b8b1b8d7cbb3f77a6">
      <tp>
        <v>1</v>
        <stp/>
        <stp>3ec07d9a-fa86-4128-9757-e2b7f6358bc9</stp>
        <tr r="BG67" s="130"/>
      </tp>
    </main>
    <main first="rtdsrv.458a5932996f485b8b1b8d7cbb3f77a6">
      <tp>
        <v>1</v>
        <stp/>
        <stp>65d98a38-e6f6-42d2-8015-2b917ef0195a</stp>
        <tr r="G84" s="130"/>
      </tp>
    </main>
    <main first="rtdsrv.458a5932996f485b8b1b8d7cbb3f77a6">
      <tp>
        <v>1</v>
        <stp/>
        <stp>986b2b1a-b3bd-4882-9d26-dfa2cadfe38a</stp>
        <tr r="J8" s="130"/>
      </tp>
    </main>
    <main first="rtdsrv.458a5932996f485b8b1b8d7cbb3f77a6">
      <tp>
        <v>1</v>
        <stp/>
        <stp>0849425e-4cce-401f-8356-a7c39e9d4310</stp>
        <tr r="AZ18" s="130"/>
      </tp>
      <tp>
        <v>1</v>
        <stp/>
        <stp>dbe91c9f-6e3f-44ff-b74e-08af5c772256</stp>
        <tr r="AI76" s="130"/>
      </tp>
    </main>
    <main first="rtdsrv.458a5932996f485b8b1b8d7cbb3f77a6">
      <tp>
        <v>1</v>
        <stp/>
        <stp>e3fe7fc4-02fb-46db-9bd8-e40b187b0c7d</stp>
        <tr r="BK29" s="130"/>
      </tp>
    </main>
    <main first="rtdsrv.458a5932996f485b8b1b8d7cbb3f77a6">
      <tp>
        <v>1</v>
        <stp/>
        <stp>b2b7d58e-93c9-425c-b21c-4619301faf5f</stp>
        <tr r="P38" s="130"/>
      </tp>
    </main>
    <main first="rtdsrv.458a5932996f485b8b1b8d7cbb3f77a6">
      <tp>
        <v>1</v>
        <stp/>
        <stp>ae3bee29-3423-4d8e-90fa-328b385216fa</stp>
        <tr r="AU39" s="130"/>
      </tp>
    </main>
    <main first="rtdsrv.458a5932996f485b8b1b8d7cbb3f77a6">
      <tp>
        <v>1</v>
        <stp/>
        <stp>b9a9a6ba-a280-4c43-b8a4-986a898a914b</stp>
        <tr r="Z89" s="130"/>
      </tp>
    </main>
    <main first="rtdsrv.458a5932996f485b8b1b8d7cbb3f77a6">
      <tp>
        <v>1</v>
        <stp/>
        <stp>cfe3397b-8960-4be2-9074-8a18787777f3</stp>
        <tr r="AN61" s="130"/>
      </tp>
      <tp>
        <v>1</v>
        <stp/>
        <stp>cc3ceff9-b8cf-4f6a-a5ba-8a3449ffd0fc</stp>
        <tr r="D45" s="130"/>
      </tp>
    </main>
    <main first="rtdsrv.458a5932996f485b8b1b8d7cbb3f77a6">
      <tp>
        <v>1</v>
        <stp/>
        <stp>b565bc92-9f95-4491-a935-c461aef5d03b</stp>
        <tr r="BL15" s="132"/>
      </tp>
    </main>
    <main first="rtdsrv.458a5932996f485b8b1b8d7cbb3f77a6">
      <tp>
        <v>1</v>
        <stp/>
        <stp>85d864d1-a92e-404d-9a05-f66387f199de</stp>
        <tr r="AC21" s="130"/>
      </tp>
    </main>
    <main first="rtdsrv.458a5932996f485b8b1b8d7cbb3f77a6">
      <tp>
        <v>1</v>
        <stp/>
        <stp>dafd2981-d26e-4c5b-b32c-35baf3409fac</stp>
        <tr r="BF21" s="130"/>
      </tp>
    </main>
    <main first="rtdsrv.458a5932996f485b8b1b8d7cbb3f77a6">
      <tp>
        <v>1</v>
        <stp/>
        <stp>f6d6298f-b19f-4812-900d-bf3b8045e56d</stp>
        <tr r="FO15" s="132"/>
      </tp>
    </main>
    <main first="rtdsrv.458a5932996f485b8b1b8d7cbb3f77a6">
      <tp>
        <v>1</v>
        <stp/>
        <stp>5c4e7900-6e5d-43ee-8535-11a65e419b94</stp>
        <tr r="CG12" s="132"/>
      </tp>
    </main>
    <main first="rtdsrv.458a5932996f485b8b1b8d7cbb3f77a6">
      <tp>
        <v>1</v>
        <stp/>
        <stp>c81d717f-de0c-4219-bd78-c4ecfce958c2</stp>
        <tr r="AJ94" s="130"/>
      </tp>
    </main>
    <main first="rtdsrv.458a5932996f485b8b1b8d7cbb3f77a6">
      <tp>
        <v>1</v>
        <stp/>
        <stp>afcd273b-89c8-4424-9c6b-2e15b0108220</stp>
        <tr r="AT97" s="130"/>
      </tp>
    </main>
    <main first="rtdsrv.458a5932996f485b8b1b8d7cbb3f77a6">
      <tp>
        <v>1</v>
        <stp/>
        <stp>fcdd73b9-e965-4e83-bc27-9de8a8a81d5b</stp>
        <tr r="AP57" s="130"/>
      </tp>
    </main>
    <main first="rtdsrv.458a5932996f485b8b1b8d7cbb3f77a6">
      <tp>
        <v>1</v>
        <stp/>
        <stp>b93f1e09-0c85-41db-95cd-ef1b8c8cdd4e</stp>
        <tr r="AL84" s="130"/>
      </tp>
    </main>
    <main first="rtdsrv.458a5932996f485b8b1b8d7cbb3f77a6">
      <tp>
        <v>1</v>
        <stp/>
        <stp>7959a41e-e394-41d1-8e28-ec698eeedafd</stp>
        <tr r="BK95" s="130"/>
      </tp>
    </main>
    <main first="rtdsrv.458a5932996f485b8b1b8d7cbb3f77a6">
      <tp>
        <v>1</v>
        <stp/>
        <stp>c70b95e4-9b74-4d32-bcfe-5ca3e58c151f</stp>
        <tr r="DR15" s="132"/>
      </tp>
    </main>
    <main first="rtdsrv.458a5932996f485b8b1b8d7cbb3f77a6">
      <tp>
        <v>1</v>
        <stp/>
        <stp>463fd98f-ac8c-48da-9379-a7a2aa82eb2e</stp>
        <tr r="T39" s="130"/>
      </tp>
    </main>
    <main first="rtdsrv.458a5932996f485b8b1b8d7cbb3f77a6">
      <tp>
        <v>1</v>
        <stp/>
        <stp>6b9d5b8e-bae8-475a-a169-3ed0b9e56eb7</stp>
        <tr r="CH16" s="132"/>
      </tp>
    </main>
    <main first="rtdsrv.458a5932996f485b8b1b8d7cbb3f77a6">
      <tp>
        <v>1</v>
        <stp/>
        <stp>fba49d37-59cd-4c66-bd6e-01aa967758b9</stp>
        <tr r="EA12" s="132"/>
      </tp>
    </main>
    <main first="rtdsrv.458a5932996f485b8b1b8d7cbb3f77a6">
      <tp>
        <v>1</v>
        <stp/>
        <stp>adcf50ca-3169-4980-af92-5c66c29ad366</stp>
        <tr r="AF62" s="130"/>
      </tp>
      <tp>
        <v>1</v>
        <stp/>
        <stp>9c6504e6-001f-45a2-a825-597eb39c7ac6</stp>
        <tr r="DV11" s="132"/>
      </tp>
    </main>
    <main first="rtdsrv.458a5932996f485b8b1b8d7cbb3f77a6">
      <tp>
        <v>1</v>
        <stp/>
        <stp>2365a787-2110-49d3-a359-672a426bb999</stp>
        <tr r="F10" s="130"/>
      </tp>
      <tp>
        <v>1</v>
        <stp/>
        <stp>03f8bb98-b941-4ee4-b788-ff34cb7047af</stp>
        <tr r="DM6" s="132"/>
      </tp>
    </main>
    <main first="rtdsrv.458a5932996f485b8b1b8d7cbb3f77a6">
      <tp>
        <v>1</v>
        <stp/>
        <stp>f19af8fc-1a97-4014-893c-4b8ce3fc6b81</stp>
        <tr r="BD65" s="130"/>
      </tp>
    </main>
    <main first="rtdsrv.458a5932996f485b8b1b8d7cbb3f77a6">
      <tp>
        <v>1</v>
        <stp/>
        <stp>0c6dae22-fa4c-46c5-a628-09dfb617cd3d</stp>
        <tr r="BB28" s="130"/>
      </tp>
    </main>
    <main first="rtdsrv.458a5932996f485b8b1b8d7cbb3f77a6">
      <tp>
        <v>1</v>
        <stp/>
        <stp>8214a18e-f3bc-4e69-8d69-9d2d1f95ed32</stp>
        <tr r="AV5" s="130"/>
      </tp>
    </main>
    <main first="rtdsrv.458a5932996f485b8b1b8d7cbb3f77a6">
      <tp>
        <v>1</v>
        <stp/>
        <stp>7ac1181e-018c-4fe1-9af0-2af3410c6ba0</stp>
        <tr r="H5" s="130"/>
      </tp>
    </main>
    <main first="rtdsrv.458a5932996f485b8b1b8d7cbb3f77a6">
      <tp>
        <v>1</v>
        <stp/>
        <stp>d22a11cc-84a5-435c-92ef-afc36ea3a2e4</stp>
        <tr r="BJ9" s="132"/>
      </tp>
      <tp>
        <v>1</v>
        <stp/>
        <stp>00145841-4dca-482e-bfb5-ee44fb10005e</stp>
        <tr r="L13" s="132"/>
      </tp>
      <tp>
        <v>1</v>
        <stp/>
        <stp>ce2c9766-f77a-4ef9-9772-df78fa0831be</stp>
        <tr r="BC69" s="130"/>
      </tp>
    </main>
    <main first="rtdsrv.458a5932996f485b8b1b8d7cbb3f77a6">
      <tp>
        <v>1</v>
        <stp/>
        <stp>7e6f5f2a-7417-4fb8-97d1-63733cd1a461</stp>
        <tr r="AG34" s="130"/>
      </tp>
    </main>
    <main first="rtdsrv.458a5932996f485b8b1b8d7cbb3f77a6">
      <tp>
        <v>1</v>
        <stp/>
        <stp>746377d8-c002-4044-98de-690046aba32a</stp>
        <tr r="AD33" s="130"/>
      </tp>
    </main>
    <main first="rtdsrv.458a5932996f485b8b1b8d7cbb3f77a6">
      <tp>
        <v>1</v>
        <stp/>
        <stp>2a0ef8f3-77d0-46c4-8684-237f1910bd7d</stp>
        <tr r="BP5" s="132"/>
      </tp>
    </main>
    <main first="rtdsrv.458a5932996f485b8b1b8d7cbb3f77a6">
      <tp>
        <v>1</v>
        <stp/>
        <stp>58eccf32-dcea-4521-a6d5-bc4ce73f47b2</stp>
        <tr r="BC7" s="130"/>
      </tp>
      <tp>
        <v>1</v>
        <stp/>
        <stp>cd76b894-d9f3-4bd5-b67b-640c7d378f3f</stp>
        <tr r="EA5" s="132"/>
      </tp>
      <tp>
        <v>1</v>
        <stp/>
        <stp>5b5f9d99-194d-497b-bcfc-78276396448d</stp>
        <tr r="G27" s="130"/>
      </tp>
    </main>
    <main first="rtdsrv.458a5932996f485b8b1b8d7cbb3f77a6">
      <tp>
        <v>1</v>
        <stp/>
        <stp>e1bf1cba-b57c-4518-aa69-b756e091d5e0</stp>
        <tr r="AG37" s="130"/>
      </tp>
    </main>
    <main first="rtdsrv.458a5932996f485b8b1b8d7cbb3f77a6">
      <tp>
        <v>1</v>
        <stp/>
        <stp>c2fd95ae-8120-4f31-99fd-950fee7c840c</stp>
        <tr r="AF9" s="132"/>
      </tp>
    </main>
    <main first="rtdsrv.458a5932996f485b8b1b8d7cbb3f77a6">
      <tp>
        <v>1</v>
        <stp/>
        <stp>b03feafb-f2d1-4b7c-ad49-4a834524d822</stp>
        <tr r="BJ44" s="130"/>
      </tp>
      <tp>
        <v>1</v>
        <stp/>
        <stp>9b5aea74-a778-4359-b1f4-5301d6bf3450</stp>
        <tr r="ET12" s="132"/>
      </tp>
      <tp>
        <v>1</v>
        <stp/>
        <stp>9d2a570d-9e75-4f53-a8d4-0c7c3dc456a6</stp>
        <tr r="GG11" s="132"/>
      </tp>
    </main>
    <main first="rtdsrv.458a5932996f485b8b1b8d7cbb3f77a6">
      <tp>
        <v>1</v>
        <stp/>
        <stp>d5a06d59-e121-4579-95a0-03be813e1bbf</stp>
        <tr r="G41" s="130"/>
      </tp>
    </main>
    <main first="rtdsrv.458a5932996f485b8b1b8d7cbb3f77a6">
      <tp>
        <v>1</v>
        <stp/>
        <stp>c882f38b-7fe7-48fe-92c7-eba326faab06</stp>
        <tr r="Q33" s="130"/>
      </tp>
      <tp>
        <v>1</v>
        <stp/>
        <stp>88349435-08aa-4309-bf41-387a32a70797</stp>
        <tr r="CW13" s="132"/>
      </tp>
    </main>
    <main first="rtdsrv.458a5932996f485b8b1b8d7cbb3f77a6">
      <tp>
        <v>1</v>
        <stp/>
        <stp>63c3c657-8759-474c-8d73-65cc42141bf3</stp>
        <tr r="CY9" s="132"/>
      </tp>
    </main>
    <main first="rtdsrv.458a5932996f485b8b1b8d7cbb3f77a6">
      <tp>
        <v>1</v>
        <stp/>
        <stp>fd34eeb0-e471-48f6-a0bd-457bc1a5b818</stp>
        <tr r="CS5" s="132"/>
      </tp>
    </main>
    <main first="rtdsrv.458a5932996f485b8b1b8d7cbb3f77a6">
      <tp>
        <v>1</v>
        <stp/>
        <stp>3652b573-72dc-4c19-84d1-3d4bd9c6880d</stp>
        <tr r="AV60" s="130"/>
      </tp>
    </main>
    <main first="rtdsrv.458a5932996f485b8b1b8d7cbb3f77a6">
      <tp>
        <v>1</v>
        <stp/>
        <stp>3926417e-bfdf-4c59-bb85-152e3ba370b3</stp>
        <tr r="K63" s="130"/>
      </tp>
    </main>
    <main first="rtdsrv.458a5932996f485b8b1b8d7cbb3f77a6">
      <tp>
        <v>1</v>
        <stp/>
        <stp>54c4a8f3-fd55-4b77-b4e1-9eb5a2a1ac4f</stp>
        <tr r="AF37" s="130"/>
      </tp>
    </main>
    <main first="rtdsrv.458a5932996f485b8b1b8d7cbb3f77a6">
      <tp>
        <v>1</v>
        <stp/>
        <stp>680a02d7-d767-4973-be54-066e1c1a217f</stp>
        <tr r="DU13" s="132"/>
      </tp>
      <tp>
        <v>1</v>
        <stp/>
        <stp>61ab6823-4049-499b-a6eb-b2f3f3c467cb</stp>
        <tr r="AD95" s="130"/>
      </tp>
    </main>
    <main first="rtdsrv.458a5932996f485b8b1b8d7cbb3f77a6">
      <tp>
        <v>1</v>
        <stp/>
        <stp>e8c3f5f6-6b6e-4692-b8f7-bdaa12ff250c</stp>
        <tr r="AO59" s="130"/>
      </tp>
    </main>
    <main first="rtdsrv.458a5932996f485b8b1b8d7cbb3f77a6">
      <tp>
        <v>1</v>
        <stp/>
        <stp>4fa5822e-74d3-4f23-a7b3-376a4121987c</stp>
        <tr r="BE55" s="130"/>
      </tp>
    </main>
    <main first="rtdsrv.458a5932996f485b8b1b8d7cbb3f77a6">
      <tp>
        <v>1</v>
        <stp/>
        <stp>cc05294a-2ae4-4a92-be06-ba49df7fea7c</stp>
        <tr r="EI5" s="132"/>
      </tp>
      <tp>
        <v>1</v>
        <stp/>
        <stp>a1422621-599f-4cda-b2b8-e9cf9565f15b</stp>
        <tr r="S9" s="132"/>
      </tp>
    </main>
    <main first="rtdsrv.458a5932996f485b8b1b8d7cbb3f77a6">
      <tp>
        <v>1</v>
        <stp/>
        <stp>2b4b8b97-8ff7-41f5-8636-cca28c8e52ce</stp>
        <tr r="DY16" s="132"/>
      </tp>
      <tp>
        <v>1</v>
        <stp/>
        <stp>4a840e4b-5b79-4df8-9ebb-8796e6d95f1d</stp>
        <tr r="AJ72" s="130"/>
      </tp>
    </main>
    <main first="rtdsrv.458a5932996f485b8b1b8d7cbb3f77a6">
      <tp>
        <v>1</v>
        <stp/>
        <stp>fccf3b98-a73b-4f56-a7d9-2b4c698e5e89</stp>
        <tr r="BA52" s="130"/>
        <tr r="BA47" s="130"/>
      </tp>
    </main>
    <main first="rtdsrv.458a5932996f485b8b1b8d7cbb3f77a6">
      <tp>
        <v>1</v>
        <stp/>
        <stp>9953592b-3346-4eb5-a0ec-6ebca23c48f3</stp>
        <tr r="DJ14" s="132"/>
      </tp>
    </main>
    <main first="rtdsrv.458a5932996f485b8b1b8d7cbb3f77a6">
      <tp>
        <v>1</v>
        <stp/>
        <stp>b6a45145-66ff-466c-9685-2a0a64cdd3e0</stp>
        <tr r="Q59" s="130"/>
      </tp>
      <tp>
        <v>1</v>
        <stp/>
        <stp>11ae16e8-4d4d-4b49-a0b1-da222d510a64</stp>
        <tr r="H72" s="130"/>
      </tp>
      <tp>
        <v>1</v>
        <stp/>
        <stp>b9ade196-894f-4b75-8c7d-4a26bf25e9ec</stp>
        <tr r="AT7" s="132"/>
      </tp>
    </main>
    <main first="rtdsrv.458a5932996f485b8b1b8d7cbb3f77a6">
      <tp>
        <v>1</v>
        <stp/>
        <stp>60178413-cf93-4f8a-b3e3-112def70c805</stp>
        <tr r="BC78" s="130"/>
      </tp>
    </main>
    <main first="rtdsrv.458a5932996f485b8b1b8d7cbb3f77a6">
      <tp>
        <v>1</v>
        <stp/>
        <stp>6f2d0824-c3c5-43aa-a52b-3226bffa46e0</stp>
        <tr r="BI79" s="130"/>
      </tp>
    </main>
    <main first="rtdsrv.458a5932996f485b8b1b8d7cbb3f77a6">
      <tp>
        <v>1</v>
        <stp/>
        <stp>6d6a3b1f-a614-4879-a66d-ce9e9543c489</stp>
        <tr r="BD24" s="130"/>
      </tp>
    </main>
    <main first="rtdsrv.458a5932996f485b8b1b8d7cbb3f77a6">
      <tp>
        <v>1</v>
        <stp/>
        <stp>c71b0d32-e3ec-4cf9-aea2-4bce215dd158</stp>
        <tr r="T77" s="130"/>
      </tp>
      <tp>
        <v>1</v>
        <stp/>
        <stp>d76befd1-44a0-4a10-90b7-84574915e65c</stp>
        <tr r="AO81" s="130"/>
      </tp>
      <tp>
        <v>1</v>
        <stp/>
        <stp>63f515c3-57a4-43fc-b6db-7be97cbc697f</stp>
        <tr r="AA46" s="130"/>
        <tr r="AA51" s="130"/>
      </tp>
    </main>
    <main first="rtdsrv.458a5932996f485b8b1b8d7cbb3f77a6">
      <tp>
        <v>1</v>
        <stp/>
        <stp>49378d71-e7aa-4223-ba1c-03672572a00e</stp>
        <tr r="S28" s="130"/>
      </tp>
    </main>
    <main first="rtdsrv.458a5932996f485b8b1b8d7cbb3f77a6">
      <tp>
        <v>1</v>
        <stp/>
        <stp>c373b297-a8fe-4024-919c-10694c656242</stp>
        <tr r="L5" s="130"/>
      </tp>
    </main>
    <main first="rtdsrv.458a5932996f485b8b1b8d7cbb3f77a6">
      <tp>
        <v>1</v>
        <stp/>
        <stp>c062e660-bccd-4fc1-b406-bab9f921e1d6</stp>
        <tr r="CW7" s="132"/>
      </tp>
    </main>
    <main first="rtdsrv.458a5932996f485b8b1b8d7cbb3f77a6">
      <tp>
        <v>1</v>
        <stp/>
        <stp>58c68170-45d9-4b62-a0d7-232e6b031651</stp>
        <tr r="BD66" s="130"/>
      </tp>
    </main>
    <main first="rtdsrv.458a5932996f485b8b1b8d7cbb3f77a6">
      <tp>
        <v>1</v>
        <stp/>
        <stp>ebe718f6-c14d-42ff-8b2b-4eb3ea56cef9</stp>
        <tr r="D52" s="130"/>
        <tr r="D47" s="130"/>
      </tp>
      <tp>
        <v>1</v>
        <stp/>
        <stp>68c53c14-ad78-4938-9b16-ce3248144bc1</stp>
        <tr r="AK20" s="130"/>
      </tp>
    </main>
    <main first="rtdsrv.458a5932996f485b8b1b8d7cbb3f77a6">
      <tp>
        <v>1</v>
        <stp/>
        <stp>1068b8f6-7130-4de7-b337-346d0735b42d</stp>
        <tr r="Y24" s="130"/>
      </tp>
    </main>
    <main first="rtdsrv.458a5932996f485b8b1b8d7cbb3f77a6">
      <tp>
        <v>1</v>
        <stp/>
        <stp>63daa39d-0885-49b9-af23-65c9bf53cdaf</stp>
        <tr r="AS43" s="130"/>
      </tp>
    </main>
    <main first="rtdsrv.458a5932996f485b8b1b8d7cbb3f77a6">
      <tp>
        <v>1</v>
        <stp/>
        <stp>66505fdb-28a7-4711-af9c-329dc1318ebd</stp>
        <tr r="AS8" s="132"/>
      </tp>
      <tp>
        <v>1</v>
        <stp/>
        <stp>efad9300-2432-4e69-a757-ea01ed0eab0c</stp>
        <tr r="AN37" s="130"/>
      </tp>
    </main>
    <main first="rtdsrv.458a5932996f485b8b1b8d7cbb3f77a6">
      <tp>
        <v>1</v>
        <stp/>
        <stp>efdd7817-e245-445d-a295-6894ff107480</stp>
        <tr r="AJ28" s="130"/>
      </tp>
    </main>
    <main first="rtdsrv.458a5932996f485b8b1b8d7cbb3f77a6">
      <tp>
        <v>1</v>
        <stp/>
        <stp>31f49d4a-254b-4238-a052-9a348fa0aae7</stp>
        <tr r="BB77" s="130"/>
      </tp>
    </main>
    <main first="rtdsrv.458a5932996f485b8b1b8d7cbb3f77a6">
      <tp>
        <v>1</v>
        <stp/>
        <stp>5e17efcf-3128-4488-ae17-7c0a6c3f354f</stp>
        <tr r="EU14" s="132"/>
      </tp>
    </main>
    <main first="rtdsrv.458a5932996f485b8b1b8d7cbb3f77a6">
      <tp>
        <v>1</v>
        <stp/>
        <stp>6745892a-c735-497a-bfb1-beff7218a546</stp>
        <tr r="BG14" s="130"/>
        <tr r="BG26" s="130"/>
      </tp>
    </main>
    <main first="rtdsrv.458a5932996f485b8b1b8d7cbb3f77a6">
      <tp>
        <v>1</v>
        <stp/>
        <stp>17722732-d6c7-417c-90c7-7a5fc9f5905e</stp>
        <tr r="AA15" s="132"/>
      </tp>
    </main>
    <main first="rtdsrv.458a5932996f485b8b1b8d7cbb3f77a6">
      <tp>
        <v>1</v>
        <stp/>
        <stp>b2eaf35d-9e2a-44db-9246-fa7c81ea922b</stp>
        <tr r="E9" s="130"/>
      </tp>
    </main>
    <main first="rtdsrv.458a5932996f485b8b1b8d7cbb3f77a6">
      <tp>
        <v>1</v>
        <stp/>
        <stp>a842efbc-a5f3-4a9d-a352-5531ad751365</stp>
        <tr r="CU12" s="132"/>
      </tp>
    </main>
    <main first="rtdsrv.458a5932996f485b8b1b8d7cbb3f77a6">
      <tp>
        <v>1</v>
        <stp/>
        <stp>4ad26dff-6795-46f2-8d2d-eb7c2dd2f9a7</stp>
        <tr r="DN6" s="132"/>
      </tp>
    </main>
    <main first="rtdsrv.458a5932996f485b8b1b8d7cbb3f77a6">
      <tp>
        <v>1</v>
        <stp/>
        <stp>a0ca652a-3650-43fc-b62a-6b5761cb2835</stp>
        <tr r="AW66" s="130"/>
      </tp>
      <tp>
        <v>1</v>
        <stp/>
        <stp>a6393fbe-bcd4-4c64-9c87-ac13d7c08f4b</stp>
        <tr r="J31" s="130"/>
      </tp>
    </main>
    <main first="rtdsrv.458a5932996f485b8b1b8d7cbb3f77a6">
      <tp>
        <v>1</v>
        <stp/>
        <stp>1ac6d346-0d18-440f-a48e-104f683f682d</stp>
        <tr r="BA37" s="130"/>
      </tp>
    </main>
    <main first="rtdsrv.458a5932996f485b8b1b8d7cbb3f77a6">
      <tp>
        <v>1</v>
        <stp/>
        <stp>6ce5be09-ca8b-4bd1-a2ae-982e60ee71e9</stp>
        <tr r="L38" s="130"/>
      </tp>
    </main>
    <main first="rtdsrv.458a5932996f485b8b1b8d7cbb3f77a6">
      <tp>
        <v>1</v>
        <stp/>
        <stp>4845f75a-9e9c-4e76-bc1c-23a2c96f9737</stp>
        <tr r="AT21" s="130"/>
      </tp>
      <tp>
        <v>1</v>
        <stp/>
        <stp>b39118fd-958c-4ee8-ada3-3e936fb58daf</stp>
        <tr r="AA65" s="130"/>
      </tp>
      <tp>
        <v>1</v>
        <stp/>
        <stp>32e145e4-fb12-4072-ad90-330a80749e68</stp>
        <tr r="R19" s="130"/>
      </tp>
    </main>
    <main first="rtdsrv.458a5932996f485b8b1b8d7cbb3f77a6">
      <tp>
        <v>1</v>
        <stp/>
        <stp>19d19f58-4ee3-4d7f-9646-fd20aded1590</stp>
        <tr r="CE5" s="132"/>
      </tp>
    </main>
    <main first="rtdsrv.458a5932996f485b8b1b8d7cbb3f77a6">
      <tp>
        <v>1</v>
        <stp/>
        <stp>71946ae7-9d94-46a0-ba0e-91e60166aeb5</stp>
        <tr r="CR5" s="132"/>
      </tp>
    </main>
    <main first="rtdsrv.458a5932996f485b8b1b8d7cbb3f77a6">
      <tp>
        <v>1</v>
        <stp/>
        <stp>10ad0f33-a668-46ba-a6db-f81794c99283</stp>
        <tr r="W91" s="130"/>
      </tp>
    </main>
    <main first="rtdsrv.458a5932996f485b8b1b8d7cbb3f77a6">
      <tp>
        <v>1</v>
        <stp/>
        <stp>772503f0-eb28-4239-9bb6-9fd60304ac84</stp>
        <tr r="U66" s="130"/>
      </tp>
      <tp>
        <v>1</v>
        <stp/>
        <stp>d5ab4c2e-ce7f-4285-83eb-bae36882d0e3</stp>
        <tr r="M26" s="130"/>
        <tr r="M14" s="130"/>
      </tp>
      <tp>
        <v>1</v>
        <stp/>
        <stp>ffbd8ac2-f2ee-4e52-90f2-e28f73ff1829</stp>
        <tr r="BQ12" s="132"/>
      </tp>
    </main>
    <main first="rtdsrv.458a5932996f485b8b1b8d7cbb3f77a6">
      <tp>
        <v>1</v>
        <stp/>
        <stp>33de0e63-130b-457d-8184-4fbe2dcd6592</stp>
        <tr r="AE11" s="130"/>
      </tp>
    </main>
    <main first="rtdsrv.458a5932996f485b8b1b8d7cbb3f77a6">
      <tp>
        <v>1</v>
        <stp/>
        <stp>7f3bd818-c83b-463d-b5c5-7ff62daa94ee</stp>
        <tr r="T12" s="130"/>
      </tp>
    </main>
    <main first="rtdsrv.458a5932996f485b8b1b8d7cbb3f77a6">
      <tp>
        <v>1</v>
        <stp/>
        <stp>8af33bb3-49bb-4f4e-a193-0b3c0a21bdb8</stp>
        <tr r="E84" s="130"/>
      </tp>
    </main>
    <main first="rtdsrv.458a5932996f485b8b1b8d7cbb3f77a6">
      <tp>
        <v>1</v>
        <stp/>
        <stp>ea70c104-3b55-4203-8e45-c32a9b86a97f</stp>
        <tr r="O83" s="130"/>
      </tp>
    </main>
    <main first="rtdsrv.458a5932996f485b8b1b8d7cbb3f77a6">
      <tp>
        <v>1</v>
        <stp/>
        <stp>0f07523e-502b-4808-aabc-9b319b908770</stp>
        <tr r="I45" s="130"/>
      </tp>
    </main>
    <main first="rtdsrv.458a5932996f485b8b1b8d7cbb3f77a6">
      <tp>
        <v>1</v>
        <stp/>
        <stp>1d720a11-e023-4c42-ba90-74c3f63c0e85</stp>
        <tr r="AK74" s="130"/>
      </tp>
      <tp>
        <v>1</v>
        <stp/>
        <stp>cf9fc91d-ffc3-4ae4-baa4-7ac2394f48cb</stp>
        <tr r="E25" s="130"/>
      </tp>
    </main>
    <main first="rtdsrv.458a5932996f485b8b1b8d7cbb3f77a6">
      <tp>
        <v>1</v>
        <stp/>
        <stp>edd9e8cb-1b82-489f-aa13-ac839693ec9e</stp>
        <tr r="L12" s="130"/>
      </tp>
      <tp>
        <v>1</v>
        <stp/>
        <stp>05503897-fa1e-4bed-8671-f1b4965fc3ec</stp>
        <tr r="CS12" s="132"/>
      </tp>
    </main>
    <main first="rtdsrv.458a5932996f485b8b1b8d7cbb3f77a6">
      <tp>
        <v>1</v>
        <stp/>
        <stp>0b87834b-6a48-4c07-9e0e-a2f3083c7f37</stp>
        <tr r="G15" s="130"/>
      </tp>
    </main>
    <main first="rtdsrv.458a5932996f485b8b1b8d7cbb3f77a6">
      <tp>
        <v>1</v>
        <stp/>
        <stp>f446612b-0d95-4d39-8360-447aa196d32a</stp>
        <tr r="GG9" s="132"/>
      </tp>
      <tp>
        <v>1</v>
        <stp/>
        <stp>72a30251-e8fa-4800-845a-2bcfd8587659</stp>
        <tr r="U5" s="132"/>
      </tp>
    </main>
    <main first="rtdsrv.458a5932996f485b8b1b8d7cbb3f77a6">
      <tp>
        <v>1</v>
        <stp/>
        <stp>65ce050f-2837-462f-9af2-e11608208744</stp>
        <tr r="U22" s="130"/>
      </tp>
      <tp>
        <v>1</v>
        <stp/>
        <stp>2f678872-a2a0-44e3-8f7e-cf50029bac46</stp>
        <tr r="H86" s="130"/>
      </tp>
    </main>
    <main first="rtdsrv.458a5932996f485b8b1b8d7cbb3f77a6">
      <tp>
        <v>1</v>
        <stp/>
        <stp>4203f779-aabd-4e29-936a-3c800fb45b39</stp>
        <tr r="BC8" s="130"/>
      </tp>
    </main>
    <main first="rtdsrv.458a5932996f485b8b1b8d7cbb3f77a6">
      <tp>
        <v>1</v>
        <stp/>
        <stp>1767a1f7-25d1-494d-a208-563988cabbb3</stp>
        <tr r="DF16" s="132"/>
      </tp>
    </main>
    <main first="rtdsrv.458a5932996f485b8b1b8d7cbb3f77a6">
      <tp>
        <v>1</v>
        <stp/>
        <stp>13c8992e-99cf-437a-bfb3-b3660720e805</stp>
        <tr r="P9" s="132"/>
      </tp>
    </main>
    <main first="rtdsrv.458a5932996f485b8b1b8d7cbb3f77a6">
      <tp>
        <v>1</v>
        <stp/>
        <stp>bb97e7bc-da41-49f7-869b-3b7f4de395e2</stp>
        <tr r="BF83" s="130"/>
      </tp>
    </main>
    <main first="rtdsrv.458a5932996f485b8b1b8d7cbb3f77a6">
      <tp>
        <v>1</v>
        <stp/>
        <stp>a82d5995-3dc4-4496-9695-fdc1677acbac</stp>
        <tr r="G86" s="130"/>
      </tp>
    </main>
    <main first="rtdsrv.458a5932996f485b8b1b8d7cbb3f77a6">
      <tp>
        <v>1</v>
        <stp/>
        <stp>9923b49b-8f8b-4261-b2c8-6883ef42651c</stp>
        <tr r="T22" s="130"/>
      </tp>
    </main>
    <main first="rtdsrv.458a5932996f485b8b1b8d7cbb3f77a6">
      <tp>
        <v>1</v>
        <stp/>
        <stp>b3f8fd29-8b01-4364-89d4-bf0b66842cb6</stp>
        <tr r="BC75" s="130"/>
      </tp>
    </main>
    <main first="rtdsrv.458a5932996f485b8b1b8d7cbb3f77a6">
      <tp>
        <v>1</v>
        <stp/>
        <stp>a6b23720-403f-444f-a4fb-eb93d8100cbb</stp>
        <tr r="H80" s="130"/>
      </tp>
      <tp>
        <v>1</v>
        <stp/>
        <stp>2283333c-d8f2-4da4-a2ae-e99c521d9766</stp>
        <tr r="I19" s="130"/>
      </tp>
      <tp>
        <v>1</v>
        <stp/>
        <stp>d9aea688-320b-46c5-ada0-bbfc3e0a9ce8</stp>
        <tr r="CO11" s="132"/>
      </tp>
    </main>
    <main first="rtdsrv.458a5932996f485b8b1b8d7cbb3f77a6">
      <tp>
        <v>1</v>
        <stp/>
        <stp>5d8196b6-619f-4055-9d91-66f7201c0bd1</stp>
        <tr r="AV67" s="130"/>
      </tp>
    </main>
    <main first="rtdsrv.458a5932996f485b8b1b8d7cbb3f77a6">
      <tp>
        <v>1</v>
        <stp/>
        <stp>00939f8b-cf41-4949-adb2-738b3b69b328</stp>
        <tr r="AI69" s="130"/>
      </tp>
    </main>
    <main first="rtdsrv.458a5932996f485b8b1b8d7cbb3f77a6">
      <tp>
        <v>1</v>
        <stp/>
        <stp>a46dc344-dd89-45f4-8a82-42d72dcd959d</stp>
        <tr r="AN77" s="130"/>
      </tp>
    </main>
    <main first="rtdsrv.458a5932996f485b8b1b8d7cbb3f77a6">
      <tp>
        <v>1</v>
        <stp/>
        <stp>9f5d7a69-e003-44ec-a42f-9baafe8dd8f8</stp>
        <tr r="E11" s="132"/>
      </tp>
    </main>
    <main first="rtdsrv.458a5932996f485b8b1b8d7cbb3f77a6">
      <tp>
        <v>1</v>
        <stp/>
        <stp>c78bc9d0-4c5c-4736-aea8-ab514799d4a8</stp>
        <tr r="X67" s="130"/>
      </tp>
    </main>
    <main first="rtdsrv.458a5932996f485b8b1b8d7cbb3f77a6">
      <tp>
        <v>1</v>
        <stp/>
        <stp>3917e026-ff4e-4ac6-b12a-666a1c8fd2ad</stp>
        <tr r="AL8" s="132"/>
      </tp>
    </main>
    <main first="rtdsrv.458a5932996f485b8b1b8d7cbb3f77a6">
      <tp>
        <v>1</v>
        <stp/>
        <stp>a20867be-c42e-4a69-b01a-4df8c7367190</stp>
        <tr r="V16" s="130"/>
      </tp>
    </main>
    <main first="rtdsrv.458a5932996f485b8b1b8d7cbb3f77a6">
      <tp>
        <v>1</v>
        <stp/>
        <stp>2cc741bb-b628-4dd4-b28a-4c295c9b006c</stp>
        <tr r="GF8" s="132"/>
      </tp>
      <tp>
        <v>1</v>
        <stp/>
        <stp>5300edf4-43d0-446e-978f-ee892ca6741e</stp>
        <tr r="AD71" s="130"/>
      </tp>
    </main>
    <main first="rtdsrv.458a5932996f485b8b1b8d7cbb3f77a6">
      <tp>
        <v>1</v>
        <stp/>
        <stp>6b67be8f-8db4-447d-b56d-51d1f57a0e64</stp>
        <tr r="AV86" s="130"/>
      </tp>
    </main>
    <main first="rtdsrv.458a5932996f485b8b1b8d7cbb3f77a6">
      <tp>
        <v>1</v>
        <stp/>
        <stp>8336ea85-e730-4dbf-8224-785d543fbcea</stp>
        <tr r="AY7" s="132"/>
      </tp>
    </main>
    <main first="rtdsrv.458a5932996f485b8b1b8d7cbb3f77a6">
      <tp>
        <v>1</v>
        <stp/>
        <stp>93c362fa-1a3f-43df-9cdb-1a2c79945ff0</stp>
        <tr r="DR11" s="132"/>
      </tp>
      <tp>
        <v>1</v>
        <stp/>
        <stp>e861be0d-d5b7-4735-bc81-d893febb4e29</stp>
        <tr r="N79" s="130"/>
      </tp>
    </main>
    <main first="rtdsrv.458a5932996f485b8b1b8d7cbb3f77a6">
      <tp>
        <v>1</v>
        <stp/>
        <stp>af179834-585f-4ed9-a887-fc31519f3737</stp>
        <tr r="BH69" s="130"/>
      </tp>
    </main>
    <main first="rtdsrv.458a5932996f485b8b1b8d7cbb3f77a6">
      <tp>
        <v>1</v>
        <stp/>
        <stp>5f710fb5-2384-4cec-af61-9138dadc984b</stp>
        <tr r="AX70" s="130"/>
      </tp>
    </main>
    <main first="rtdsrv.458a5932996f485b8b1b8d7cbb3f77a6">
      <tp>
        <v>1</v>
        <stp/>
        <stp>f937c9e9-369a-4606-b71d-ff0df973fd77</stp>
        <tr r="AL7" s="130"/>
      </tp>
    </main>
    <main first="rtdsrv.458a5932996f485b8b1b8d7cbb3f77a6">
      <tp>
        <v>1</v>
        <stp/>
        <stp>cb3ae952-6082-47f0-8391-59f1eef32721</stp>
        <tr r="FV5" s="132"/>
      </tp>
    </main>
    <main first="rtdsrv.458a5932996f485b8b1b8d7cbb3f77a6">
      <tp>
        <v>1</v>
        <stp/>
        <stp>41fab19a-f449-4b70-abdd-d14fd56aa98b</stp>
        <tr r="AU38" s="130"/>
      </tp>
    </main>
    <main first="rtdsrv.458a5932996f485b8b1b8d7cbb3f77a6">
      <tp>
        <v>1</v>
        <stp/>
        <stp>667dc7a2-b4a9-4713-81a0-9c265efdd837</stp>
        <tr r="FC14" s="132"/>
      </tp>
    </main>
    <main first="rtdsrv.458a5932996f485b8b1b8d7cbb3f77a6">
      <tp>
        <v>1</v>
        <stp/>
        <stp>603c67a1-624f-4058-9cb0-87cafacbc2e6</stp>
        <tr r="DQ16" s="132"/>
      </tp>
      <tp>
        <v>1</v>
        <stp/>
        <stp>f6511771-5d1a-4c7e-8ebb-a244d63bc86e</stp>
        <tr r="AL10" s="130"/>
      </tp>
    </main>
    <main first="rtdsrv.458a5932996f485b8b1b8d7cbb3f77a6">
      <tp>
        <v>1</v>
        <stp/>
        <stp>176ba125-c5e8-4431-a352-4842302b5f00</stp>
        <tr r="AZ45" s="130"/>
      </tp>
    </main>
    <main first="rtdsrv.458a5932996f485b8b1b8d7cbb3f77a6">
      <tp>
        <v>1</v>
        <stp/>
        <stp>3f0b269e-5409-4a5e-9f05-66138988204b</stp>
        <tr r="GI16" s="132"/>
      </tp>
      <tp>
        <v>1</v>
        <stp/>
        <stp>f2226b03-3cf5-4eac-b496-8516cf06bece</stp>
        <tr r="BK28" s="130"/>
      </tp>
    </main>
    <main first="rtdsrv.458a5932996f485b8b1b8d7cbb3f77a6">
      <tp>
        <v>1</v>
        <stp/>
        <stp>abc11bca-745a-4efc-9e48-a8e55de15393</stp>
        <tr r="V9" s="132"/>
      </tp>
    </main>
    <main first="rtdsrv.458a5932996f485b8b1b8d7cbb3f77a6">
      <tp>
        <v>1</v>
        <stp/>
        <stp>d79de918-7d7d-4ee0-aae0-e99e89d76c44</stp>
        <tr r="AE45" s="130"/>
      </tp>
    </main>
    <main first="rtdsrv.458a5932996f485b8b1b8d7cbb3f77a6">
      <tp>
        <v>1</v>
        <stp/>
        <stp>aeee6dde-dfc5-4b8f-bc97-85b846a226e9</stp>
        <tr r="R16" s="130"/>
      </tp>
    </main>
    <main first="rtdsrv.458a5932996f485b8b1b8d7cbb3f77a6">
      <tp>
        <v>1</v>
        <stp/>
        <stp>e4b30380-d892-4e29-b46a-1c545617561c</stp>
        <tr r="GI7" s="132"/>
      </tp>
    </main>
    <main first="rtdsrv.458a5932996f485b8b1b8d7cbb3f77a6">
      <tp>
        <v>1</v>
        <stp/>
        <stp>836a3fff-96a7-4fa7-8812-aaaeeb590f68</stp>
        <tr r="AW58" s="130"/>
      </tp>
    </main>
    <main first="rtdsrv.458a5932996f485b8b1b8d7cbb3f77a6">
      <tp>
        <v>1</v>
        <stp/>
        <stp>16335c8f-0c1b-4a99-a656-83567485faea</stp>
        <tr r="BI27" s="130"/>
      </tp>
    </main>
    <main first="rtdsrv.458a5932996f485b8b1b8d7cbb3f77a6">
      <tp>
        <v>1</v>
        <stp/>
        <stp>e9478ff8-4c80-4e2e-9ff5-e06baea002e2</stp>
        <tr r="Y81" s="130"/>
      </tp>
    </main>
    <main first="rtdsrv.458a5932996f485b8b1b8d7cbb3f77a6">
      <tp>
        <v>1</v>
        <stp/>
        <stp>4ee2e9d0-e91e-421f-9872-16935a700021</stp>
        <tr r="AE57" s="130"/>
      </tp>
      <tp>
        <v>1</v>
        <stp/>
        <stp>548f1a61-473f-4996-9c17-c711a81eef9b</stp>
        <tr r="Q13" s="132"/>
      </tp>
      <tp>
        <v>1</v>
        <stp/>
        <stp>8a4c93cf-8dde-4cae-abfc-9737ae0004d5</stp>
        <tr r="FG5" s="132"/>
      </tp>
    </main>
    <main first="rtdsrv.458a5932996f485b8b1b8d7cbb3f77a6">
      <tp>
        <v>1</v>
        <stp/>
        <stp>b7bdb975-ac13-4556-bfd2-ce37c3437d49</stp>
        <tr r="BJ39" s="130"/>
      </tp>
    </main>
    <main first="rtdsrv.458a5932996f485b8b1b8d7cbb3f77a6">
      <tp>
        <v>1</v>
        <stp/>
        <stp>d682a8d4-c83e-452e-a174-f8b030f968cb</stp>
        <tr r="Z83" s="130"/>
      </tp>
    </main>
    <main first="rtdsrv.458a5932996f485b8b1b8d7cbb3f77a6">
      <tp>
        <v>1</v>
        <stp/>
        <stp>f07eae59-fe7e-46dc-be1c-e9212f77b161</stp>
        <tr r="I21" s="130"/>
      </tp>
    </main>
    <main first="rtdsrv.458a5932996f485b8b1b8d7cbb3f77a6">
      <tp>
        <v>1</v>
        <stp/>
        <stp>4de4d63f-47ed-4861-98b6-4f70c94eaed6</stp>
        <tr r="BV14" s="132"/>
      </tp>
    </main>
    <main first="rtdsrv.458a5932996f485b8b1b8d7cbb3f77a6">
      <tp>
        <v>1</v>
        <stp/>
        <stp>d638feb2-1b31-4e58-9936-c7e8f26c7cfa</stp>
        <tr r="DZ7" s="132"/>
      </tp>
    </main>
    <main first="rtdsrv.458a5932996f485b8b1b8d7cbb3f77a6">
      <tp>
        <v>1</v>
        <stp/>
        <stp>a0dbadcc-a14f-41b5-a80c-570a58a63041</stp>
        <tr r="AX11" s="132"/>
      </tp>
    </main>
    <main first="rtdsrv.458a5932996f485b8b1b8d7cbb3f77a6">
      <tp>
        <v>1</v>
        <stp/>
        <stp>55dcdeb7-c68c-4fe4-8c49-5099c81ec41d</stp>
        <tr r="FX7" s="132"/>
      </tp>
    </main>
    <main first="rtdsrv.458a5932996f485b8b1b8d7cbb3f77a6">
      <tp>
        <v>1</v>
        <stp/>
        <stp>013ad616-b14e-4744-b38c-7d506d562fab</stp>
        <tr r="BD62" s="130"/>
      </tp>
    </main>
    <main first="rtdsrv.458a5932996f485b8b1b8d7cbb3f77a6">
      <tp>
        <v>1</v>
        <stp/>
        <stp>79c6f410-cc03-49fd-b3dd-dbe073663070</stp>
        <tr r="GL8" s="132"/>
      </tp>
    </main>
    <main first="rtdsrv.458a5932996f485b8b1b8d7cbb3f77a6">
      <tp>
        <v>1</v>
        <stp/>
        <stp>e4f609e9-ca3d-4c76-8af1-25b30242a64f</stp>
        <tr r="J68" s="130"/>
      </tp>
    </main>
    <main first="rtdsrv.458a5932996f485b8b1b8d7cbb3f77a6">
      <tp>
        <v>1</v>
        <stp/>
        <stp>98c4f793-ad10-4905-8f16-ce86de23de39</stp>
        <tr r="AJ67" s="130"/>
      </tp>
    </main>
    <main first="rtdsrv.458a5932996f485b8b1b8d7cbb3f77a6">
      <tp>
        <v>1</v>
        <stp/>
        <stp>754e8371-809f-43d0-825e-3bb7350f4c6a</stp>
        <tr r="AI61" s="130"/>
      </tp>
    </main>
    <main first="rtdsrv.458a5932996f485b8b1b8d7cbb3f77a6">
      <tp>
        <v>1</v>
        <stp/>
        <stp>3db57727-1a05-4242-aa8c-fa7121eb872d</stp>
        <tr r="CX9" s="132"/>
      </tp>
    </main>
    <main first="rtdsrv.458a5932996f485b8b1b8d7cbb3f77a6">
      <tp>
        <v>1</v>
        <stp/>
        <stp>4eedb31d-80d9-4dcf-a94f-c347f5233566</stp>
        <tr r="AB59" s="130"/>
      </tp>
    </main>
    <main first="rtdsrv.458a5932996f485b8b1b8d7cbb3f77a6">
      <tp>
        <v>1</v>
        <stp/>
        <stp>1bf6ec6f-814f-4384-854a-935945468032</stp>
        <tr r="GA5" s="132"/>
      </tp>
      <tp>
        <v>1</v>
        <stp/>
        <stp>fbe6c2bf-b56b-4529-b343-46af013687a0</stp>
        <tr r="E87" s="130"/>
      </tp>
      <tp>
        <v>1</v>
        <stp/>
        <stp>c918eedd-632b-4b53-98fe-9e6fbcdf16cd</stp>
        <tr r="V66" s="130"/>
      </tp>
    </main>
    <main first="rtdsrv.458a5932996f485b8b1b8d7cbb3f77a6">
      <tp>
        <v>1</v>
        <stp/>
        <stp>83525921-3bf7-4ead-bc3c-aff43c613dd9</stp>
        <tr r="BF82" s="130"/>
      </tp>
      <tp>
        <v>1</v>
        <stp/>
        <stp>56b9a85a-014a-4bec-8a51-8f9c9b89bcd1</stp>
        <tr r="BD70" s="130"/>
      </tp>
    </main>
    <main first="rtdsrv.458a5932996f485b8b1b8d7cbb3f77a6">
      <tp>
        <v>1</v>
        <stp/>
        <stp>1e089ff8-ff3f-486e-be54-114018a2e3c0</stp>
        <tr r="DL7" s="132"/>
      </tp>
    </main>
    <main first="rtdsrv.458a5932996f485b8b1b8d7cbb3f77a6">
      <tp>
        <v>1</v>
        <stp/>
        <stp>c27968ee-46ed-478f-8f1e-b63fe30a4c07</stp>
        <tr r="AX83" s="130"/>
      </tp>
    </main>
    <main first="rtdsrv.458a5932996f485b8b1b8d7cbb3f77a6">
      <tp>
        <v>1</v>
        <stp/>
        <stp>39c3296b-87ee-410e-bd19-902fd6c2be83</stp>
        <tr r="AV75" s="130"/>
      </tp>
    </main>
    <main first="rtdsrv.458a5932996f485b8b1b8d7cbb3f77a6">
      <tp>
        <v>1</v>
        <stp/>
        <stp>37c0c3c9-653e-40d9-bbda-32706f55b4dc</stp>
        <tr r="K29" s="130"/>
      </tp>
    </main>
    <main first="rtdsrv.458a5932996f485b8b1b8d7cbb3f77a6">
      <tp>
        <v>1</v>
        <stp/>
        <stp>e9b3b518-3c2e-422b-ab20-052e3b225726</stp>
        <tr r="BE57" s="130"/>
      </tp>
    </main>
    <main first="rtdsrv.458a5932996f485b8b1b8d7cbb3f77a6">
      <tp>
        <v>1</v>
        <stp/>
        <stp>8306e6c2-94a4-4a06-abbc-9dfeb5fe0673</stp>
        <tr r="E16" s="130"/>
      </tp>
    </main>
    <main first="rtdsrv.458a5932996f485b8b1b8d7cbb3f77a6">
      <tp>
        <v>1</v>
        <stp/>
        <stp>bc3fe9e7-a505-40b6-9171-3302fbac6d0b</stp>
        <tr r="DC7" s="132"/>
      </tp>
    </main>
    <main first="rtdsrv.458a5932996f485b8b1b8d7cbb3f77a6">
      <tp>
        <v>1</v>
        <stp/>
        <stp>69531074-24a3-4236-a165-a4d612b2d267</stp>
        <tr r="DD6" s="132"/>
      </tp>
    </main>
    <main first="rtdsrv.458a5932996f485b8b1b8d7cbb3f77a6">
      <tp>
        <v>1</v>
        <stp/>
        <stp>f1a61443-aae2-4a2b-9ea3-980c33fdfcb4</stp>
        <tr r="J7" s="132"/>
      </tp>
      <tp>
        <v>1</v>
        <stp/>
        <stp>fd7f64e3-d283-45a4-ae62-38254e5dbdfc</stp>
        <tr r="BP13" s="132"/>
      </tp>
      <tp>
        <v>1</v>
        <stp/>
        <stp>87c59c4c-1596-4eec-aff4-2abc58c1c6d0</stp>
        <tr r="AK9" s="130"/>
      </tp>
    </main>
    <main first="rtdsrv.458a5932996f485b8b1b8d7cbb3f77a6">
      <tp>
        <v>1</v>
        <stp/>
        <stp>d3b17c65-c871-44b9-8fc6-e4afd7199e64</stp>
        <tr r="FD15" s="132"/>
      </tp>
      <tp>
        <v>1</v>
        <stp/>
        <stp>d251f78a-adbe-49c2-a96f-be0599388304</stp>
        <tr r="K88" s="130"/>
      </tp>
    </main>
    <main first="rtdsrv.458a5932996f485b8b1b8d7cbb3f77a6">
      <tp>
        <v>1</v>
        <stp/>
        <stp>e6925149-b7f0-4838-85bf-847b3acf0e43</stp>
        <tr r="S23" s="130"/>
      </tp>
    </main>
    <main first="rtdsrv.458a5932996f485b8b1b8d7cbb3f77a6">
      <tp>
        <v>1</v>
        <stp/>
        <stp>fa0dbea8-2821-4cc0-ac3a-2b5a59011a12</stp>
        <tr r="AG43" s="130"/>
      </tp>
    </main>
    <main first="rtdsrv.458a5932996f485b8b1b8d7cbb3f77a6">
      <tp>
        <v>1</v>
        <stp/>
        <stp>04c6de7a-8b56-4be3-98ee-138d56ca8544</stp>
        <tr r="AH10" s="130"/>
      </tp>
    </main>
    <main first="rtdsrv.458a5932996f485b8b1b8d7cbb3f77a6">
      <tp>
        <v>1</v>
        <stp/>
        <stp>1eaf8e6d-9976-409c-acaf-f7d570da8356</stp>
        <tr r="AY26" s="130"/>
        <tr r="AY14" s="130"/>
      </tp>
    </main>
    <main first="rtdsrv.458a5932996f485b8b1b8d7cbb3f77a6">
      <tp>
        <v>1</v>
        <stp/>
        <stp>b76a3bb1-ad5a-438e-a329-5872b0324d02</stp>
        <tr r="EU15" s="132"/>
      </tp>
    </main>
    <main first="rtdsrv.458a5932996f485b8b1b8d7cbb3f77a6">
      <tp>
        <v>1</v>
        <stp/>
        <stp>ff7d527f-af34-4f90-8d65-6ea16a6f7894</stp>
        <tr r="S44" s="130"/>
      </tp>
    </main>
    <main first="rtdsrv.458a5932996f485b8b1b8d7cbb3f77a6">
      <tp>
        <v>1</v>
        <stp/>
        <stp>d276ab30-ca14-4a00-9b5c-224b08870370</stp>
        <tr r="AI89" s="130"/>
      </tp>
    </main>
    <main first="rtdsrv.458a5932996f485b8b1b8d7cbb3f77a6">
      <tp>
        <v>1</v>
        <stp/>
        <stp>56c4a3d6-7dbd-4af9-ba44-f391b4ac071e</stp>
        <tr r="AI20" s="130"/>
      </tp>
    </main>
    <main first="rtdsrv.458a5932996f485b8b1b8d7cbb3f77a6">
      <tp>
        <v>1</v>
        <stp/>
        <stp>8001840e-3911-4bf5-a97d-8857533841e3</stp>
        <tr r="K24" s="130"/>
      </tp>
    </main>
    <main first="rtdsrv.458a5932996f485b8b1b8d7cbb3f77a6">
      <tp>
        <v>1</v>
        <stp/>
        <stp>776e3998-1015-4f94-9b1d-7fae4f2d7563</stp>
        <tr r="U58" s="130"/>
      </tp>
    </main>
    <main first="rtdsrv.458a5932996f485b8b1b8d7cbb3f77a6">
      <tp>
        <v>1</v>
        <stp/>
        <stp>cc0a7231-06af-4452-b7c9-79e3c0c3d653</stp>
        <tr r="HH12" s="132"/>
      </tp>
    </main>
    <main first="rtdsrv.458a5932996f485b8b1b8d7cbb3f77a6">
      <tp>
        <v>1</v>
        <stp/>
        <stp>1feb86f9-50dd-4b24-a4c8-81b5c95005ce</stp>
        <tr r="Q72" s="130"/>
      </tp>
    </main>
    <main first="rtdsrv.458a5932996f485b8b1b8d7cbb3f77a6">
      <tp>
        <v>1</v>
        <stp/>
        <stp>20d0bfe1-c42c-4d36-be44-e92a7885594f</stp>
        <tr r="S10" s="130"/>
      </tp>
    </main>
    <main first="rtdsrv.458a5932996f485b8b1b8d7cbb3f77a6">
      <tp>
        <v>1</v>
        <stp/>
        <stp>92b65173-1521-4199-9e72-d0f41f2b3e9b</stp>
        <tr r="AR97" s="130"/>
      </tp>
    </main>
    <main first="rtdsrv.458a5932996f485b8b1b8d7cbb3f77a6">
      <tp>
        <v>1</v>
        <stp/>
        <stp>769199af-0da2-436a-b3a0-52e83cecda34</stp>
        <tr r="AB91" s="130"/>
      </tp>
      <tp>
        <v>1</v>
        <stp/>
        <stp>c5a7a7ab-c239-4e1e-ae99-1ab0d72d5dca</stp>
        <tr r="EG11" s="132"/>
      </tp>
    </main>
    <main first="rtdsrv.458a5932996f485b8b1b8d7cbb3f77a6">
      <tp>
        <v>1</v>
        <stp/>
        <stp>41291c36-b7e6-4b35-bab8-d3a8acfa081c</stp>
        <tr r="BK19" s="130"/>
      </tp>
    </main>
    <main first="rtdsrv.458a5932996f485b8b1b8d7cbb3f77a6">
      <tp>
        <v>1</v>
        <stp/>
        <stp>c7fcf61a-887d-4b1b-8fce-49ec49c1a74f</stp>
        <tr r="AN24" s="130"/>
      </tp>
    </main>
    <main first="rtdsrv.458a5932996f485b8b1b8d7cbb3f77a6">
      <tp>
        <v>1</v>
        <stp/>
        <stp>916ce21d-879c-4a19-80e9-29bd6e0614c3</stp>
        <tr r="ED7" s="132"/>
      </tp>
    </main>
    <main first="rtdsrv.458a5932996f485b8b1b8d7cbb3f77a6">
      <tp>
        <v>1</v>
        <stp/>
        <stp>c36f8a7d-903f-4d68-a786-8c4c2a221f9a</stp>
        <tr r="AV12" s="130"/>
      </tp>
    </main>
    <main first="rtdsrv.458a5932996f485b8b1b8d7cbb3f77a6">
      <tp>
        <v>1</v>
        <stp/>
        <stp>735322ac-891a-48e6-9bcd-aaed7fa45d53</stp>
        <tr r="CL14" s="132"/>
      </tp>
    </main>
    <main first="rtdsrv.458a5932996f485b8b1b8d7cbb3f77a6">
      <tp>
        <v>1</v>
        <stp/>
        <stp>6e2eb9c9-b7dc-45b5-b04a-7f5a6e35d396</stp>
        <tr r="AA73" s="130"/>
      </tp>
    </main>
    <main first="rtdsrv.458a5932996f485b8b1b8d7cbb3f77a6">
      <tp>
        <v>1</v>
        <stp/>
        <stp>c66ceec4-7da3-4d16-89d5-799608f418cd</stp>
        <tr r="N98" s="130"/>
      </tp>
    </main>
    <main first="rtdsrv.458a5932996f485b8b1b8d7cbb3f77a6">
      <tp>
        <v>1</v>
        <stp/>
        <stp>2b98d866-3082-41d2-b7db-61319e572db6</stp>
        <tr r="BK71" s="130"/>
      </tp>
    </main>
    <main first="rtdsrv.458a5932996f485b8b1b8d7cbb3f77a6">
      <tp>
        <v>1</v>
        <stp/>
        <stp>62cca1ee-1298-499d-a67f-791ece9172cc</stp>
        <tr r="BF58" s="130"/>
      </tp>
    </main>
    <main first="rtdsrv.458a5932996f485b8b1b8d7cbb3f77a6">
      <tp>
        <v>1</v>
        <stp/>
        <stp>2e13ef92-7fb0-42b0-a755-9b0409d3be60</stp>
        <tr r="S13" s="130"/>
      </tp>
    </main>
    <main first="rtdsrv.458a5932996f485b8b1b8d7cbb3f77a6">
      <tp>
        <v>1</v>
        <stp/>
        <stp>b03cb59a-18c3-4c68-89c6-db56161b049d</stp>
        <tr r="R12" s="130"/>
      </tp>
    </main>
    <main first="rtdsrv.458a5932996f485b8b1b8d7cbb3f77a6">
      <tp>
        <v>1</v>
        <stp/>
        <stp>2dedf8b5-28db-4cec-b03d-8f52bb0d05d3</stp>
        <tr r="T72" s="130"/>
      </tp>
    </main>
    <main first="rtdsrv.458a5932996f485b8b1b8d7cbb3f77a6">
      <tp>
        <v>1</v>
        <stp/>
        <stp>2e365780-8314-4f52-9ede-42b1ed716e37</stp>
        <tr r="DC5" s="132"/>
      </tp>
    </main>
    <main first="rtdsrv.458a5932996f485b8b1b8d7cbb3f77a6">
      <tp>
        <v>1</v>
        <stp/>
        <stp>0e7cd9c5-3cfa-4a05-8a5b-ff9c4ebc2c53</stp>
        <tr r="AA24" s="130"/>
      </tp>
      <tp>
        <v>1</v>
        <stp/>
        <stp>89d185a0-6933-44b1-90d4-bb6ba2f090c4</stp>
        <tr r="BG11" s="132"/>
      </tp>
    </main>
    <main first="rtdsrv.458a5932996f485b8b1b8d7cbb3f77a6">
      <tp>
        <v>1</v>
        <stp/>
        <stp>9fa9dc14-a38d-438b-9181-35f46e284abd</stp>
        <tr r="T57" s="130"/>
      </tp>
    </main>
    <main first="rtdsrv.458a5932996f485b8b1b8d7cbb3f77a6">
      <tp>
        <v>1</v>
        <stp/>
        <stp>257d1ec3-7298-4396-911c-94c369112b31</stp>
        <tr r="BJ79" s="130"/>
      </tp>
    </main>
    <main first="rtdsrv.458a5932996f485b8b1b8d7cbb3f77a6">
      <tp>
        <v>1</v>
        <stp/>
        <stp>48bbfbd5-1405-4c5c-96b1-746880cc8a22</stp>
        <tr r="Z32" s="130"/>
      </tp>
    </main>
    <main first="rtdsrv.458a5932996f485b8b1b8d7cbb3f77a6">
      <tp>
        <v>1</v>
        <stp/>
        <stp>9feab009-1e44-4a5a-b8cd-7178c93feb40</stp>
        <tr r="BI38" s="130"/>
      </tp>
      <tp>
        <v>1</v>
        <stp/>
        <stp>82bc8259-8c68-47a2-a9c1-cba84b02af00</stp>
        <tr r="Y71" s="130"/>
      </tp>
      <tp>
        <v>1</v>
        <stp/>
        <stp>cf2f6a84-1d1b-4888-8833-69e6d89be3e7</stp>
        <tr r="AN83" s="130"/>
      </tp>
      <tp>
        <v>1</v>
        <stp/>
        <stp>b3680e43-1b5f-476e-b88c-20ee2639a318</stp>
        <tr r="HH15" s="132"/>
      </tp>
      <tp>
        <v>1</v>
        <stp/>
        <stp>e9cce0e1-542a-4e3f-87bc-e0baaeb2eb5a</stp>
        <tr r="D73" s="130"/>
      </tp>
    </main>
    <main first="rtdsrv.458a5932996f485b8b1b8d7cbb3f77a6">
      <tp>
        <v>1</v>
        <stp/>
        <stp>36d5c5a3-a574-4837-a36b-565b2c135927</stp>
        <tr r="AH36" s="130"/>
      </tp>
    </main>
    <main first="rtdsrv.458a5932996f485b8b1b8d7cbb3f77a6">
      <tp>
        <v>1</v>
        <stp/>
        <stp>454c1bc3-3073-494a-ae82-bc2f03ba5ba5</stp>
        <tr r="AU86" s="130"/>
      </tp>
    </main>
    <main first="rtdsrv.458a5932996f485b8b1b8d7cbb3f77a6">
      <tp>
        <v>1</v>
        <stp/>
        <stp>f07f18f2-5a81-49bf-99de-9143f1cb00f4</stp>
        <tr r="DW7" s="132"/>
      </tp>
    </main>
    <main first="rtdsrv.458a5932996f485b8b1b8d7cbb3f77a6">
      <tp>
        <v>1</v>
        <stp/>
        <stp>c9756931-1a37-43f8-a8a5-2b6082450774</stp>
        <tr r="AE13" s="130"/>
      </tp>
    </main>
    <main first="rtdsrv.458a5932996f485b8b1b8d7cbb3f77a6">
      <tp>
        <v>1</v>
        <stp/>
        <stp>19b88b2b-a297-4760-911c-ce750f13d7b7</stp>
        <tr r="AE15" s="132"/>
      </tp>
    </main>
    <main first="rtdsrv.458a5932996f485b8b1b8d7cbb3f77a6">
      <tp>
        <v>1</v>
        <stp/>
        <stp>16e41823-e1cf-4a97-9a6c-b74fe101fcd1</stp>
        <tr r="BJ78" s="130"/>
      </tp>
      <tp>
        <v>1</v>
        <stp/>
        <stp>8d948a31-1da4-4f7a-9698-a2ae030b2bbe</stp>
        <tr r="P6" s="132"/>
      </tp>
    </main>
    <main first="rtdsrv.458a5932996f485b8b1b8d7cbb3f77a6">
      <tp>
        <v>1</v>
        <stp/>
        <stp>acb59bec-84aa-476a-ab55-ef0e000314c4</stp>
        <tr r="AG62" s="130"/>
      </tp>
    </main>
    <main first="rtdsrv.458a5932996f485b8b1b8d7cbb3f77a6">
      <tp>
        <v>1</v>
        <stp/>
        <stp>baf7c20e-60bf-4840-a594-c18121804c7d</stp>
        <tr r="CX8" s="132"/>
      </tp>
    </main>
    <main first="rtdsrv.458a5932996f485b8b1b8d7cbb3f77a6">
      <tp>
        <v>1</v>
        <stp/>
        <stp>fa53e17a-0383-43ed-8ebb-4952df344630</stp>
        <tr r="BE8" s="130"/>
      </tp>
    </main>
    <main first="rtdsrv.458a5932996f485b8b1b8d7cbb3f77a6">
      <tp>
        <v>1</v>
        <stp/>
        <stp>035c1b5f-658c-4824-9616-a71d7c2969f7</stp>
        <tr r="FY12" s="132"/>
      </tp>
    </main>
    <main first="rtdsrv.458a5932996f485b8b1b8d7cbb3f77a6">
      <tp>
        <v>1</v>
        <stp/>
        <stp>0def5ea6-71a2-4328-b4d7-564660d62c44</stp>
        <tr r="CL13" s="132"/>
      </tp>
    </main>
    <main first="rtdsrv.458a5932996f485b8b1b8d7cbb3f77a6">
      <tp>
        <v>1</v>
        <stp/>
        <stp>087b3089-d7e4-46eb-a6ec-06cb8f8974fc</stp>
        <tr r="BF63" s="130"/>
      </tp>
    </main>
    <main first="rtdsrv.458a5932996f485b8b1b8d7cbb3f77a6">
      <tp>
        <v>1</v>
        <stp/>
        <stp>881005bf-1516-4ea6-a42d-fcd2c7433c4a</stp>
        <tr r="AI7" s="132"/>
      </tp>
    </main>
    <main first="rtdsrv.458a5932996f485b8b1b8d7cbb3f77a6">
      <tp>
        <v>1</v>
        <stp/>
        <stp>97aba138-f5d9-4d4b-a600-19c7e6a98234</stp>
        <tr r="BD11" s="130"/>
      </tp>
    </main>
    <main first="rtdsrv.458a5932996f485b8b1b8d7cbb3f77a6">
      <tp>
        <v>1</v>
        <stp/>
        <stp>a53deb4a-5dab-4aba-9332-0ca27d4f18bf</stp>
        <tr r="AS95" s="130"/>
      </tp>
    </main>
    <main first="rtdsrv.458a5932996f485b8b1b8d7cbb3f77a6">
      <tp>
        <v>1</v>
        <stp/>
        <stp>00f77229-7a73-487d-ac9b-d2ba3c4af6f6</stp>
        <tr r="EN11" s="132"/>
      </tp>
    </main>
    <main first="rtdsrv.458a5932996f485b8b1b8d7cbb3f77a6">
      <tp>
        <v>1</v>
        <stp/>
        <stp>5d716eff-c1ee-471b-bb9b-6466751d97ba</stp>
        <tr r="AL18" s="130"/>
      </tp>
    </main>
    <main first="rtdsrv.458a5932996f485b8b1b8d7cbb3f77a6">
      <tp>
        <v>1</v>
        <stp/>
        <stp>a488ac2d-f7de-49de-9f92-44a4328c1d12</stp>
        <tr r="H28" s="130"/>
      </tp>
    </main>
    <main first="rtdsrv.458a5932996f485b8b1b8d7cbb3f77a6">
      <tp>
        <v>1</v>
        <stp/>
        <stp>2ef55fb4-d794-432f-92cb-4e7d780e7010</stp>
        <tr r="K33" s="130"/>
      </tp>
    </main>
    <main first="rtdsrv.458a5932996f485b8b1b8d7cbb3f77a6">
      <tp>
        <v>1</v>
        <stp/>
        <stp>6e150e6a-d1d8-486b-a7be-7b61210aa826</stp>
        <tr r="S14" s="132"/>
      </tp>
    </main>
    <main first="rtdsrv.458a5932996f485b8b1b8d7cbb3f77a6">
      <tp>
        <v>1</v>
        <stp/>
        <stp>57047c37-c2d7-4074-9696-1aaeb707dc12</stp>
        <tr r="AH16" s="132"/>
      </tp>
      <tp>
        <v>1</v>
        <stp/>
        <stp>9f380d36-5e4e-456a-b1ca-b8bafc7e3a6d</stp>
        <tr r="Z33" s="130"/>
      </tp>
    </main>
    <main first="rtdsrv.458a5932996f485b8b1b8d7cbb3f77a6">
      <tp>
        <v>1</v>
        <stp/>
        <stp>a2f56550-2646-46a2-85b8-b68a3dced8a7</stp>
        <tr r="BE81" s="130"/>
      </tp>
    </main>
    <main first="rtdsrv.458a5932996f485b8b1b8d7cbb3f77a6">
      <tp>
        <v>1</v>
        <stp/>
        <stp>c4d48438-2410-4ee4-bd8f-ba238da0c410</stp>
        <tr r="U9" s="130"/>
      </tp>
    </main>
    <main first="rtdsrv.458a5932996f485b8b1b8d7cbb3f77a6">
      <tp>
        <v>1</v>
        <stp/>
        <stp>27c3c6d6-2037-4e83-b663-fe3fb9527eb0</stp>
        <tr r="EY15" s="132"/>
      </tp>
    </main>
    <main first="rtdsrv.458a5932996f485b8b1b8d7cbb3f77a6">
      <tp>
        <v>1</v>
        <stp/>
        <stp>57797f39-c3ba-4248-a1ae-ca5a430f367e</stp>
        <tr r="BA90" s="130"/>
      </tp>
      <tp>
        <v>1</v>
        <stp/>
        <stp>788ff930-1f88-4e16-9841-fc41381b0f92</stp>
        <tr r="HC13" s="132"/>
      </tp>
    </main>
    <main first="rtdsrv.458a5932996f485b8b1b8d7cbb3f77a6">
      <tp>
        <v>1</v>
        <stp/>
        <stp>f462cf09-5738-4e7f-9e9d-3932d9418725</stp>
        <tr r="BY15" s="132"/>
      </tp>
      <tp>
        <v>1</v>
        <stp/>
        <stp>793b9bfd-c7c0-4b1e-b6bc-94041704b3a4</stp>
        <tr r="V14" s="132"/>
      </tp>
      <tp>
        <v>1</v>
        <stp/>
        <stp>d70264d9-9087-468d-8263-b9d5e8782fda</stp>
        <tr r="T34" s="130"/>
      </tp>
    </main>
    <main first="rtdsrv.458a5932996f485b8b1b8d7cbb3f77a6">
      <tp>
        <v>1</v>
        <stp/>
        <stp>81a8661b-67f7-42f1-859d-372f577016f0</stp>
        <tr r="S51" s="130"/>
        <tr r="S46" s="130"/>
      </tp>
    </main>
    <main first="rtdsrv.458a5932996f485b8b1b8d7cbb3f77a6">
      <tp>
        <v>1</v>
        <stp/>
        <stp>d9e9158e-1932-42dc-ba2b-5df05393e49b</stp>
        <tr r="AH12" s="130"/>
      </tp>
    </main>
    <main first="rtdsrv.458a5932996f485b8b1b8d7cbb3f77a6">
      <tp>
        <v>1</v>
        <stp/>
        <stp>d0056a03-81bc-4c16-936f-c45e7d6f364a</stp>
        <tr r="AN70" s="130"/>
      </tp>
    </main>
    <main first="rtdsrv.458a5932996f485b8b1b8d7cbb3f77a6">
      <tp>
        <v>1</v>
        <stp/>
        <stp>3c989a7b-355d-43d2-b5eb-bedc899745d0</stp>
        <tr r="AU63" s="130"/>
      </tp>
    </main>
    <main first="rtdsrv.458a5932996f485b8b1b8d7cbb3f77a6">
      <tp>
        <v>1</v>
        <stp/>
        <stp>a7880754-9ee7-4958-b587-0d6cce9e6700</stp>
        <tr r="R9" s="130"/>
      </tp>
    </main>
    <main first="rtdsrv.458a5932996f485b8b1b8d7cbb3f77a6">
      <tp>
        <v>1</v>
        <stp/>
        <stp>c653e0e5-efdb-4100-9d07-ef04890993af</stp>
        <tr r="AG65" s="130"/>
      </tp>
      <tp>
        <v>1</v>
        <stp/>
        <stp>fcbb60f1-cbbd-4dda-ad84-b4ba8fd7244c</stp>
        <tr r="AD44" s="130"/>
      </tp>
    </main>
    <main first="rtdsrv.458a5932996f485b8b1b8d7cbb3f77a6">
      <tp>
        <v>1</v>
        <stp/>
        <stp>879a337e-8962-4956-9e2b-31b5ae699ca1</stp>
        <tr r="N47" s="130"/>
        <tr r="N52" s="130"/>
      </tp>
    </main>
    <main first="rtdsrv.458a5932996f485b8b1b8d7cbb3f77a6">
      <tp>
        <v>1</v>
        <stp/>
        <stp>362f5df7-8e1b-4c0e-9eff-3b342e509a17</stp>
        <tr r="DB11" s="132"/>
      </tp>
      <tp>
        <v>1</v>
        <stp/>
        <stp>83b00bea-db5b-44f9-9b60-74bba832f9d1</stp>
        <tr r="E59" s="130"/>
      </tp>
    </main>
    <main first="rtdsrv.458a5932996f485b8b1b8d7cbb3f77a6">
      <tp>
        <v>1</v>
        <stp/>
        <stp>5980ea95-cd26-4373-9ab1-33e9fa5f87e4</stp>
        <tr r="AS74" s="130"/>
      </tp>
    </main>
    <main first="rtdsrv.458a5932996f485b8b1b8d7cbb3f77a6">
      <tp>
        <v>1</v>
        <stp/>
        <stp>f3c44b44-c414-4709-b459-3f22f50f7b9b</stp>
        <tr r="U18" s="130"/>
      </tp>
    </main>
    <main first="rtdsrv.458a5932996f485b8b1b8d7cbb3f77a6">
      <tp>
        <v>1</v>
        <stp/>
        <stp>84a9a883-9350-41ea-a81e-008178b32b42</stp>
        <tr r="AR98" s="130"/>
      </tp>
    </main>
    <main first="rtdsrv.458a5932996f485b8b1b8d7cbb3f77a6">
      <tp>
        <v>1</v>
        <stp/>
        <stp>602cf2b6-d40b-4a29-91ad-6ea1bc23672d</stp>
        <tr r="AO79" s="130"/>
      </tp>
      <tp>
        <v>1</v>
        <stp/>
        <stp>96090ac5-1cf9-4d55-bce4-b29243d43881</stp>
        <tr r="GT15" s="132"/>
      </tp>
    </main>
    <main first="rtdsrv.458a5932996f485b8b1b8d7cbb3f77a6">
      <tp>
        <v>1</v>
        <stp/>
        <stp>723048db-5eb4-4113-b5af-1d225dc57bda</stp>
        <tr r="AR9" s="132"/>
      </tp>
      <tp>
        <v>1</v>
        <stp/>
        <stp>b85b1494-48d4-4260-8344-f46cf659b1ba</stp>
        <tr r="BG37" s="130"/>
      </tp>
    </main>
    <main first="rtdsrv.458a5932996f485b8b1b8d7cbb3f77a6">
      <tp>
        <v>1</v>
        <stp/>
        <stp>f5c41672-0618-4e7d-ab70-a86cd3230d7a</stp>
        <tr r="AM35" s="130"/>
      </tp>
    </main>
    <main first="rtdsrv.458a5932996f485b8b1b8d7cbb3f77a6">
      <tp>
        <v>1</v>
        <stp/>
        <stp>0aa805ec-693a-402e-a60d-e81d038aa313</stp>
        <tr r="Z70" s="130"/>
      </tp>
    </main>
    <main first="rtdsrv.458a5932996f485b8b1b8d7cbb3f77a6">
      <tp>
        <v>1</v>
        <stp/>
        <stp>01186cbb-47ad-4b3f-b196-0c231d0e311d</stp>
        <tr r="CI9" s="132"/>
      </tp>
      <tp>
        <v>1</v>
        <stp/>
        <stp>dc88769b-81a6-4e52-af07-6310bdfe771c</stp>
        <tr r="AZ84" s="130"/>
      </tp>
    </main>
    <main first="rtdsrv.458a5932996f485b8b1b8d7cbb3f77a6">
      <tp>
        <v>1</v>
        <stp/>
        <stp>2bb438e7-15ac-4de6-bc29-ad8ad1e1154b</stp>
        <tr r="BJ12" s="132"/>
      </tp>
    </main>
    <main first="rtdsrv.458a5932996f485b8b1b8d7cbb3f77a6">
      <tp>
        <v>1</v>
        <stp/>
        <stp>87cf1f5f-2ab9-47d0-a1bb-e84fd33c950c</stp>
        <tr r="F79" s="130"/>
      </tp>
    </main>
    <main first="rtdsrv.458a5932996f485b8b1b8d7cbb3f77a6">
      <tp>
        <v>1</v>
        <stp/>
        <stp>71c87225-66c9-46d7-9184-5ea08d5084e1</stp>
        <tr r="AB17" s="130"/>
      </tp>
    </main>
    <main first="rtdsrv.458a5932996f485b8b1b8d7cbb3f77a6">
      <tp>
        <v>1</v>
        <stp/>
        <stp>b35735e2-cd2c-4773-8ac4-211a28c31305</stp>
        <tr r="BH34" s="130"/>
      </tp>
    </main>
    <main first="rtdsrv.458a5932996f485b8b1b8d7cbb3f77a6">
      <tp>
        <v>1</v>
        <stp/>
        <stp>28bcaa7c-7c8a-48e4-8c4b-9ac40a7fcab3</stp>
        <tr r="K28" s="130"/>
      </tp>
    </main>
    <main first="rtdsrv.458a5932996f485b8b1b8d7cbb3f77a6">
      <tp>
        <v>1</v>
        <stp/>
        <stp>3537c856-84b0-4da5-8f75-39b529419830</stp>
        <tr r="FO6" s="132"/>
      </tp>
      <tp>
        <v>1</v>
        <stp/>
        <stp>accd52ed-3577-4ddc-a405-1ecf39c92bdf</stp>
        <tr r="S92" s="130"/>
      </tp>
    </main>
    <main first="rtdsrv.458a5932996f485b8b1b8d7cbb3f77a6">
      <tp>
        <v>1</v>
        <stp/>
        <stp>a3413905-c353-4a4a-802f-70688f5dac1c</stp>
        <tr r="P7" s="130"/>
      </tp>
    </main>
    <main first="rtdsrv.458a5932996f485b8b1b8d7cbb3f77a6">
      <tp>
        <v>1</v>
        <stp/>
        <stp>30b861d4-5e2b-48db-bee2-280da533111e</stp>
        <tr r="CC15" s="132"/>
      </tp>
    </main>
    <main first="rtdsrv.458a5932996f485b8b1b8d7cbb3f77a6">
      <tp>
        <v>1</v>
        <stp/>
        <stp>b909e7a4-4958-4d8e-862d-663687e22c94</stp>
        <tr r="CT16" s="132"/>
      </tp>
    </main>
    <main first="rtdsrv.458a5932996f485b8b1b8d7cbb3f77a6">
      <tp>
        <v>1</v>
        <stp/>
        <stp>a0a0c614-5a47-4fc3-852a-075cb90b5362</stp>
        <tr r="AY24" s="130"/>
      </tp>
    </main>
    <main first="rtdsrv.458a5932996f485b8b1b8d7cbb3f77a6">
      <tp>
        <v>1</v>
        <stp/>
        <stp>782c6c55-167f-410d-90ed-8d78f69c3682</stp>
        <tr r="DP6" s="132"/>
      </tp>
    </main>
    <main first="rtdsrv.458a5932996f485b8b1b8d7cbb3f77a6">
      <tp>
        <v>1</v>
        <stp/>
        <stp>1ebfcc65-0c65-41b9-9a01-c14fb3dd525c</stp>
        <tr r="BH22" s="130"/>
      </tp>
    </main>
    <main first="rtdsrv.458a5932996f485b8b1b8d7cbb3f77a6">
      <tp>
        <v>1</v>
        <stp/>
        <stp>125f9918-c931-4f3a-af22-4a804c5b06a2</stp>
        <tr r="S91" s="130"/>
      </tp>
    </main>
    <main first="rtdsrv.458a5932996f485b8b1b8d7cbb3f77a6">
      <tp>
        <v>1</v>
        <stp/>
        <stp>d5e8d223-85c0-4ca2-9057-f3b53097a4bb</stp>
        <tr r="AH88" s="130"/>
      </tp>
    </main>
    <main first="rtdsrv.458a5932996f485b8b1b8d7cbb3f77a6">
      <tp>
        <v>1</v>
        <stp/>
        <stp>b5f471eb-47e2-4ef9-85a9-a5e17e43b706</stp>
        <tr r="CQ7" s="132"/>
      </tp>
      <tp>
        <v>1</v>
        <stp/>
        <stp>318de1e0-d51e-4679-9fea-57abf3f063bb</stp>
        <tr r="AP84" s="130"/>
      </tp>
    </main>
    <main first="rtdsrv.458a5932996f485b8b1b8d7cbb3f77a6">
      <tp>
        <v>1</v>
        <stp/>
        <stp>b64190ce-f356-43c3-874e-292a8b94d3ff</stp>
        <tr r="AP30" s="130"/>
      </tp>
    </main>
    <main first="rtdsrv.458a5932996f485b8b1b8d7cbb3f77a6">
      <tp>
        <v>1</v>
        <stp/>
        <stp>b3b630b2-1d97-4395-b8fc-c29879b38e10</stp>
        <tr r="I75" s="130"/>
      </tp>
    </main>
    <main first="rtdsrv.458a5932996f485b8b1b8d7cbb3f77a6">
      <tp>
        <v>1</v>
        <stp/>
        <stp>41ef4828-63b1-43b5-bc2a-43c375247193</stp>
        <tr r="AJ22" s="130"/>
      </tp>
    </main>
    <main first="rtdsrv.458a5932996f485b8b1b8d7cbb3f77a6">
      <tp>
        <v>1</v>
        <stp/>
        <stp>a7c97e99-1ea0-40bb-9245-c0b068387268</stp>
        <tr r="DN14" s="132"/>
      </tp>
    </main>
    <main first="rtdsrv.458a5932996f485b8b1b8d7cbb3f77a6">
      <tp>
        <v>1</v>
        <stp/>
        <stp>4573e7a1-54b5-4c27-b943-a2d39898a1af</stp>
        <tr r="ER5" s="132"/>
      </tp>
      <tp>
        <v>1</v>
        <stp/>
        <stp>a8a16c2c-bf66-4125-9a28-905340c5d16f</stp>
        <tr r="I29" s="130"/>
      </tp>
    </main>
    <main first="rtdsrv.458a5932996f485b8b1b8d7cbb3f77a6">
      <tp>
        <v>1</v>
        <stp/>
        <stp>50f76699-f6ba-4205-89d0-1fd11a58e9ef</stp>
        <tr r="U73" s="130"/>
      </tp>
    </main>
    <main first="rtdsrv.458a5932996f485b8b1b8d7cbb3f77a6">
      <tp>
        <v>1</v>
        <stp/>
        <stp>90fba9e4-5e28-4275-9229-0cf5c4b9ec55</stp>
        <tr r="BA56" s="130"/>
      </tp>
    </main>
    <main first="rtdsrv.458a5932996f485b8b1b8d7cbb3f77a6">
      <tp>
        <v>1</v>
        <stp/>
        <stp>2c37f7be-a13e-4930-b4e8-6eb8631509ed</stp>
        <tr r="AK94" s="130"/>
      </tp>
    </main>
    <main first="rtdsrv.458a5932996f485b8b1b8d7cbb3f77a6">
      <tp>
        <v>1</v>
        <stp/>
        <stp>bc164a46-b93d-40e1-88ab-a3011850845d</stp>
        <tr r="FS16" s="132"/>
      </tp>
      <tp>
        <v>1</v>
        <stp/>
        <stp>e2c16103-6b0e-40ee-99d8-d3df5952b162</stp>
        <tr r="DY9" s="132"/>
      </tp>
      <tp>
        <v>1</v>
        <stp/>
        <stp>7e9f5a19-77d8-4250-856d-59b5ee199ffa</stp>
        <tr r="BI13" s="130"/>
      </tp>
    </main>
    <main first="rtdsrv.458a5932996f485b8b1b8d7cbb3f77a6">
      <tp>
        <v>1</v>
        <stp/>
        <stp>1195bd51-0772-4e78-81aa-bb227fdca7be</stp>
        <tr r="EM15" s="132"/>
      </tp>
    </main>
    <main first="rtdsrv.458a5932996f485b8b1b8d7cbb3f77a6">
      <tp>
        <v>1</v>
        <stp/>
        <stp>bbf1f2d9-c14c-4d59-a179-1968b36488d5</stp>
        <tr r="BT11" s="132"/>
      </tp>
    </main>
    <main first="rtdsrv.458a5932996f485b8b1b8d7cbb3f77a6">
      <tp>
        <v>1</v>
        <stp/>
        <stp>969e3247-9d21-481a-b32d-3f7ba1c5a67e</stp>
        <tr r="AP80" s="130"/>
      </tp>
    </main>
    <main first="rtdsrv.458a5932996f485b8b1b8d7cbb3f77a6">
      <tp>
        <v>1</v>
        <stp/>
        <stp>8a105bff-d755-49cf-a192-de23dd9e8667</stp>
        <tr r="J65" s="130"/>
      </tp>
    </main>
    <main first="rtdsrv.458a5932996f485b8b1b8d7cbb3f77a6">
      <tp>
        <v>1</v>
        <stp/>
        <stp>bd962dfb-f38e-4671-9797-bcddd510a7a3</stp>
        <tr r="BA27" s="130"/>
      </tp>
    </main>
    <main first="rtdsrv.458a5932996f485b8b1b8d7cbb3f77a6">
      <tp>
        <v>1</v>
        <stp/>
        <stp>4300d8cd-706b-4e2b-9042-6384c4deabbc</stp>
        <tr r="EN12" s="132"/>
      </tp>
      <tp>
        <v>1</v>
        <stp/>
        <stp>e194567d-2015-4a98-8a3f-40d44e0b7dcb</stp>
        <tr r="AI41" s="130"/>
      </tp>
    </main>
    <main first="rtdsrv.458a5932996f485b8b1b8d7cbb3f77a6">
      <tp>
        <v>1</v>
        <stp/>
        <stp>7631cd88-ab79-476b-a33d-4d55b95830e5</stp>
        <tr r="AR11" s="130"/>
      </tp>
    </main>
    <main first="rtdsrv.458a5932996f485b8b1b8d7cbb3f77a6">
      <tp>
        <v>1</v>
        <stp/>
        <stp>4886ea04-c107-439f-a6f0-0a4a5b1136d4</stp>
        <tr r="AQ33" s="130"/>
      </tp>
    </main>
    <main first="rtdsrv.458a5932996f485b8b1b8d7cbb3f77a6">
      <tp>
        <v>1</v>
        <stp/>
        <stp>d46fbc36-5862-41d2-a9ff-185bd63e0750</stp>
        <tr r="L68" s="130"/>
      </tp>
    </main>
    <main first="rtdsrv.458a5932996f485b8b1b8d7cbb3f77a6">
      <tp>
        <v>1</v>
        <stp/>
        <stp>8cd82c09-163e-4de5-9a54-8999a4a973fb</stp>
        <tr r="AE7" s="130"/>
      </tp>
      <tp>
        <v>1</v>
        <stp/>
        <stp>94e585da-486a-4b79-985e-f62a9201926d</stp>
        <tr r="BD40" s="130"/>
      </tp>
    </main>
    <main first="rtdsrv.458a5932996f485b8b1b8d7cbb3f77a6">
      <tp>
        <v>1</v>
        <stp/>
        <stp>9214c5b3-483c-4580-9700-5f30690a8c13</stp>
        <tr r="DQ11" s="132"/>
      </tp>
      <tp>
        <v>1</v>
        <stp/>
        <stp>cea01cb9-b8b6-4516-b4d7-8a036aef6900</stp>
        <tr r="Y73" s="130"/>
      </tp>
    </main>
    <main first="rtdsrv.458a5932996f485b8b1b8d7cbb3f77a6">
      <tp>
        <v>1</v>
        <stp/>
        <stp>c9b6a3f9-f824-45ef-97c7-46d1a2663b02</stp>
        <tr r="BK52" s="130"/>
        <tr r="BK47" s="130"/>
      </tp>
    </main>
    <main first="rtdsrv.458a5932996f485b8b1b8d7cbb3f77a6">
      <tp>
        <v>1</v>
        <stp/>
        <stp>cb6bdc3c-20f1-48e9-8803-dd608a8980ae</stp>
        <tr r="BA64" s="130"/>
      </tp>
    </main>
    <main first="rtdsrv.458a5932996f485b8b1b8d7cbb3f77a6">
      <tp>
        <v>1</v>
        <stp/>
        <stp>e3f616c2-971e-4332-b476-3783783319e6</stp>
        <tr r="AI5" s="130"/>
      </tp>
      <tp>
        <v>1</v>
        <stp/>
        <stp>7a98841e-a682-4d81-9093-b27128e8495a</stp>
        <tr r="AF25" s="130"/>
      </tp>
    </main>
    <main first="rtdsrv.458a5932996f485b8b1b8d7cbb3f77a6">
      <tp>
        <v>1</v>
        <stp/>
        <stp>712d0143-116c-4c55-8398-120d38a64843</stp>
        <tr r="N15" s="132"/>
      </tp>
    </main>
    <main first="rtdsrv.458a5932996f485b8b1b8d7cbb3f77a6">
      <tp>
        <v>1</v>
        <stp/>
        <stp>99eb98a2-0f43-4d9b-8094-ce8be15c611c</stp>
        <tr r="X36" s="130"/>
      </tp>
      <tp>
        <v>1</v>
        <stp/>
        <stp>01df0ce6-4afb-4b29-97f8-e24783b387d0</stp>
        <tr r="FI16" s="132"/>
      </tp>
    </main>
    <main first="rtdsrv.458a5932996f485b8b1b8d7cbb3f77a6">
      <tp>
        <v>1</v>
        <stp/>
        <stp>8974c0bf-4877-4a66-b491-6d2faa67a829</stp>
        <tr r="BK5" s="132"/>
      </tp>
      <tp>
        <v>1</v>
        <stp/>
        <stp>50c3fab0-29fd-4bac-9a5a-031c6921600b</stp>
        <tr r="AY83" s="130"/>
      </tp>
    </main>
    <main first="rtdsrv.458a5932996f485b8b1b8d7cbb3f77a6">
      <tp>
        <v>1</v>
        <stp/>
        <stp>eaca9084-860a-4a7b-baf7-24fd6f3950e2</stp>
        <tr r="GM8" s="132"/>
      </tp>
    </main>
    <main first="rtdsrv.458a5932996f485b8b1b8d7cbb3f77a6">
      <tp>
        <v>1</v>
        <stp/>
        <stp>dca90ad7-f976-4b7d-961e-761649b671a4</stp>
        <tr r="BE23" s="130"/>
      </tp>
    </main>
    <main first="rtdsrv.458a5932996f485b8b1b8d7cbb3f77a6">
      <tp>
        <v>1</v>
        <stp/>
        <stp>3e1cf28a-1f45-4408-b815-81d142661cc6</stp>
        <tr r="AT29" s="130"/>
      </tp>
      <tp>
        <v>1</v>
        <stp/>
        <stp>9a887b81-f99c-4ac8-a352-cef7d562170d</stp>
        <tr r="BP12" s="132"/>
      </tp>
    </main>
    <main first="rtdsrv.458a5932996f485b8b1b8d7cbb3f77a6">
      <tp>
        <v>1</v>
        <stp/>
        <stp>3a0ea882-5b15-4599-af12-986feedad6a0</stp>
        <tr r="O9" s="132"/>
      </tp>
      <tp>
        <v>1</v>
        <stp/>
        <stp>6481677f-43a9-41ed-920e-37ecd818acff</stp>
        <tr r="BA87" s="130"/>
      </tp>
    </main>
    <main first="rtdsrv.458a5932996f485b8b1b8d7cbb3f77a6">
      <tp>
        <v>1</v>
        <stp/>
        <stp>f487bd69-d274-4464-93de-4e53c6764801</stp>
        <tr r="BQ8" s="132"/>
      </tp>
    </main>
    <main first="rtdsrv.458a5932996f485b8b1b8d7cbb3f77a6">
      <tp>
        <v>1</v>
        <stp/>
        <stp>1537597d-1938-41cb-92c6-f5dab45ef21c</stp>
        <tr r="AO61" s="130"/>
      </tp>
    </main>
    <main first="rtdsrv.458a5932996f485b8b1b8d7cbb3f77a6">
      <tp>
        <v>1</v>
        <stp/>
        <stp>b32d423a-b151-488a-9e3e-38b8b7fd50e1</stp>
        <tr r="GV6" s="132"/>
      </tp>
      <tp>
        <v>1</v>
        <stp/>
        <stp>323f8e82-a4f9-4699-886b-6591addfcf47</stp>
        <tr r="DW11" s="132"/>
      </tp>
    </main>
    <main first="rtdsrv.458a5932996f485b8b1b8d7cbb3f77a6">
      <tp>
        <v>1</v>
        <stp/>
        <stp>93b7f68e-84d4-4e40-b668-ac969dcee28e</stp>
        <tr r="K45" s="130"/>
      </tp>
    </main>
    <main first="rtdsrv.458a5932996f485b8b1b8d7cbb3f77a6">
      <tp>
        <v>1</v>
        <stp/>
        <stp>c068af0b-d28d-4122-ad46-0fa219b3be56</stp>
        <tr r="GI12" s="132"/>
      </tp>
    </main>
    <main first="rtdsrv.458a5932996f485b8b1b8d7cbb3f77a6">
      <tp>
        <v>1</v>
        <stp/>
        <stp>95f94d21-2d83-40ca-9e5e-f32c99bf8318</stp>
        <tr r="BR13" s="132"/>
      </tp>
    </main>
    <main first="rtdsrv.458a5932996f485b8b1b8d7cbb3f77a6">
      <tp>
        <v>1</v>
        <stp/>
        <stp>0d17aac0-8bc1-4d27-add1-2a39dccb5be4</stp>
        <tr r="R57" s="130"/>
      </tp>
    </main>
    <main first="rtdsrv.458a5932996f485b8b1b8d7cbb3f77a6">
      <tp>
        <v>1</v>
        <stp/>
        <stp>075c58be-0b8a-4f53-aa77-314c541c0034</stp>
        <tr r="R58" s="130"/>
      </tp>
    </main>
    <main first="rtdsrv.458a5932996f485b8b1b8d7cbb3f77a6">
      <tp>
        <v>1</v>
        <stp/>
        <stp>2911a83d-f565-4ea8-b373-8a6c1d38fc53</stp>
        <tr r="BB81" s="130"/>
      </tp>
    </main>
    <main first="rtdsrv.458a5932996f485b8b1b8d7cbb3f77a6">
      <tp>
        <v>1</v>
        <stp/>
        <stp>26af487b-aede-4099-8e25-89861f2b2584</stp>
        <tr r="X33" s="130"/>
      </tp>
      <tp>
        <v>1</v>
        <stp/>
        <stp>61fef2ab-7caf-422a-be16-48fb3dda26eb</stp>
        <tr r="C69" s="130"/>
      </tp>
    </main>
    <main first="rtdsrv.458a5932996f485b8b1b8d7cbb3f77a6">
      <tp>
        <v>1</v>
        <stp/>
        <stp>afb8696d-c11e-4170-90fa-81ec6edd2005</stp>
        <tr r="AE71" s="130"/>
      </tp>
    </main>
    <main first="rtdsrv.458a5932996f485b8b1b8d7cbb3f77a6">
      <tp>
        <v>1</v>
        <stp/>
        <stp>c40a194f-e523-4f93-a774-638b0f9dd71a</stp>
        <tr r="FA7" s="132"/>
      </tp>
    </main>
    <main first="rtdsrv.458a5932996f485b8b1b8d7cbb3f77a6">
      <tp>
        <v>1</v>
        <stp/>
        <stp>de592f9a-e918-4abd-b09e-2eb0aeeb85bc</stp>
        <tr r="AQ95" s="130"/>
      </tp>
    </main>
    <main first="rtdsrv.458a5932996f485b8b1b8d7cbb3f77a6">
      <tp>
        <v>1</v>
        <stp/>
        <stp>d6bc2058-b770-45a7-8e0b-4c58c6d138f2</stp>
        <tr r="V7" s="130"/>
      </tp>
      <tp>
        <v>1</v>
        <stp/>
        <stp>40707e37-94da-46fd-9db2-8337ae071246</stp>
        <tr r="AQ64" s="130"/>
      </tp>
    </main>
    <main first="rtdsrv.458a5932996f485b8b1b8d7cbb3f77a6">
      <tp>
        <v>1</v>
        <stp/>
        <stp>9f52d614-c29c-4938-a473-b5c90d000cc6</stp>
        <tr r="H20" s="130"/>
      </tp>
    </main>
    <main first="rtdsrv.458a5932996f485b8b1b8d7cbb3f77a6">
      <tp>
        <v>1</v>
        <stp/>
        <stp>5a64884c-e30c-4bd4-993a-16c654c897e0</stp>
        <tr r="AP82" s="130"/>
      </tp>
    </main>
    <main first="rtdsrv.458a5932996f485b8b1b8d7cbb3f77a6">
      <tp>
        <v>1</v>
        <stp/>
        <stp>7301b423-5200-4879-b821-d75204e694da</stp>
        <tr r="AC26" s="130"/>
        <tr r="AC14" s="130"/>
      </tp>
    </main>
    <main first="rtdsrv.458a5932996f485b8b1b8d7cbb3f77a6">
      <tp>
        <v>1</v>
        <stp/>
        <stp>7ba536f8-5bf7-4aff-898e-e06c3318722e</stp>
        <tr r="AH78" s="130"/>
      </tp>
    </main>
    <main first="rtdsrv.458a5932996f485b8b1b8d7cbb3f77a6">
      <tp>
        <v>1</v>
        <stp/>
        <stp>34fc3905-90f5-47eb-b880-87bdd3513d48</stp>
        <tr r="AF77" s="130"/>
      </tp>
    </main>
    <main first="rtdsrv.458a5932996f485b8b1b8d7cbb3f77a6">
      <tp>
        <v>1</v>
        <stp/>
        <stp>0229a923-c68b-42a2-b9d0-2edb23168fee</stp>
        <tr r="BA32" s="130"/>
      </tp>
    </main>
    <main first="rtdsrv.458a5932996f485b8b1b8d7cbb3f77a6">
      <tp>
        <v>1</v>
        <stp/>
        <stp>318ae9ea-b2ee-4c67-90f4-26d99283311f</stp>
        <tr r="BK45" s="130"/>
      </tp>
    </main>
    <main first="rtdsrv.458a5932996f485b8b1b8d7cbb3f77a6">
      <tp>
        <v>1</v>
        <stp/>
        <stp>baae2a41-9f49-4e38-8365-09fe2bafab7c</stp>
        <tr r="AJ73" s="130"/>
      </tp>
      <tp>
        <v>1</v>
        <stp/>
        <stp>61fb9155-a08f-4d4c-bc3e-6873b4ce73dc</stp>
        <tr r="AE61" s="130"/>
      </tp>
    </main>
    <main first="rtdsrv.458a5932996f485b8b1b8d7cbb3f77a6">
      <tp>
        <v>1</v>
        <stp/>
        <stp>4a5bfd36-2bb6-455d-85c6-49bdcdb28cd6</stp>
        <tr r="BC19" s="130"/>
      </tp>
      <tp>
        <v>1</v>
        <stp/>
        <stp>49f03059-57a9-4d68-9202-7a1d09085ba0</stp>
        <tr r="BC36" s="130"/>
      </tp>
    </main>
    <main first="rtdsrv.458a5932996f485b8b1b8d7cbb3f77a6">
      <tp>
        <v>1</v>
        <stp/>
        <stp>14552724-1ea5-4f47-909b-e743a5123039</stp>
        <tr r="U8" s="132"/>
      </tp>
    </main>
    <main first="rtdsrv.458a5932996f485b8b1b8d7cbb3f77a6">
      <tp>
        <v>1</v>
        <stp/>
        <stp>752ed2c5-6293-4744-863b-f8b1917f21b6</stp>
        <tr r="U40" s="130"/>
      </tp>
    </main>
    <main first="rtdsrv.458a5932996f485b8b1b8d7cbb3f77a6">
      <tp>
        <v>1</v>
        <stp/>
        <stp>caccbdd6-b59a-4219-9226-b73ec66c5c7b</stp>
        <tr r="FM7" s="132"/>
      </tp>
    </main>
    <main first="rtdsrv.458a5932996f485b8b1b8d7cbb3f77a6">
      <tp>
        <v>1</v>
        <stp/>
        <stp>03116b12-b327-48e1-ab5b-53c50802924c</stp>
        <tr r="AN35" s="130"/>
      </tp>
    </main>
    <main first="rtdsrv.458a5932996f485b8b1b8d7cbb3f77a6">
      <tp>
        <v>1</v>
        <stp/>
        <stp>9c41fd1c-0991-43ab-9198-b5a5eaa70634</stp>
        <tr r="AM60" s="130"/>
      </tp>
    </main>
    <main first="rtdsrv.458a5932996f485b8b1b8d7cbb3f77a6">
      <tp>
        <v>1</v>
        <stp/>
        <stp>ffcf2236-749e-449a-8380-33e43b446e20</stp>
        <tr r="FE11" s="132"/>
      </tp>
      <tp>
        <v>1</v>
        <stp/>
        <stp>c0ed26aa-c615-4f69-9a4c-516f0bdab548</stp>
        <tr r="AQ17" s="130"/>
      </tp>
    </main>
    <main first="rtdsrv.458a5932996f485b8b1b8d7cbb3f77a6">
      <tp>
        <v>1</v>
        <stp/>
        <stp>7ec33ebb-01a1-49c5-a3a2-a67899452e66</stp>
        <tr r="BW5" s="132"/>
      </tp>
    </main>
    <main first="rtdsrv.458a5932996f485b8b1b8d7cbb3f77a6">
      <tp>
        <v>1</v>
        <stp/>
        <stp>1c55783a-2edc-4821-90ed-c3ca5f078fcd</stp>
        <tr r="AQ65" s="130"/>
      </tp>
    </main>
    <main first="rtdsrv.458a5932996f485b8b1b8d7cbb3f77a6">
      <tp>
        <v>1</v>
        <stp/>
        <stp>dd0565ff-d1b2-4502-ad16-5e316d3c49f6</stp>
        <tr r="AT89" s="130"/>
      </tp>
    </main>
    <main first="rtdsrv.458a5932996f485b8b1b8d7cbb3f77a6">
      <tp>
        <v>1</v>
        <stp/>
        <stp>3ce359a6-66c3-4774-8b2c-34fee4999d94</stp>
        <tr r="AF83" s="130"/>
      </tp>
    </main>
    <main first="rtdsrv.458a5932996f485b8b1b8d7cbb3f77a6">
      <tp>
        <v>1</v>
        <stp/>
        <stp>34a9817d-12d8-4184-8bbf-1aba35c8984e</stp>
        <tr r="AS14" s="130"/>
        <tr r="AS26" s="130"/>
      </tp>
      <tp>
        <v>1</v>
        <stp/>
        <stp>5d15be5a-96e2-4c03-ad61-cf2974115a77</stp>
        <tr r="W76" s="130"/>
      </tp>
    </main>
    <main first="rtdsrv.458a5932996f485b8b1b8d7cbb3f77a6">
      <tp>
        <v>1</v>
        <stp/>
        <stp>04beafe0-d246-4954-8890-abc5c4b0cc45</stp>
        <tr r="BA65" s="130"/>
      </tp>
    </main>
    <main first="rtdsrv.458a5932996f485b8b1b8d7cbb3f77a6">
      <tp>
        <v>1</v>
        <stp/>
        <stp>34b24b04-8f6b-467e-8c3a-1badf2fe7fba</stp>
        <tr r="BE65" s="130"/>
      </tp>
      <tp>
        <v>1</v>
        <stp/>
        <stp>18a134e7-bf16-4e0d-9746-8d679bc61617</stp>
        <tr r="T33" s="130"/>
      </tp>
      <tp>
        <v>1</v>
        <stp/>
        <stp>c80d73be-658d-46a0-a8b6-98bf18170a2c</stp>
        <tr r="DA9" s="132"/>
      </tp>
    </main>
    <main first="rtdsrv.458a5932996f485b8b1b8d7cbb3f77a6">
      <tp>
        <v>1</v>
        <stp/>
        <stp>62747c73-0f9c-42ad-92ef-49a08d2693c6</stp>
        <tr r="R80" s="130"/>
      </tp>
      <tp>
        <v>1</v>
        <stp/>
        <stp>07ae8183-d385-4d5c-91d5-992dbdec3680</stp>
        <tr r="G62" s="130"/>
      </tp>
    </main>
    <main first="rtdsrv.458a5932996f485b8b1b8d7cbb3f77a6">
      <tp>
        <v>1</v>
        <stp/>
        <stp>92ab004b-1f29-498c-af99-36700285ac5d</stp>
        <tr r="AW25" s="130"/>
      </tp>
      <tp>
        <v>1</v>
        <stp/>
        <stp>c765bcd9-beb9-475f-b52f-2d10f94791d4</stp>
        <tr r="N94" s="130"/>
      </tp>
    </main>
    <main first="rtdsrv.458a5932996f485b8b1b8d7cbb3f77a6">
      <tp>
        <v>1</v>
        <stp/>
        <stp>3529d8af-9f59-4c8f-bdea-baed39a3aaaa</stp>
        <tr r="FS11" s="132"/>
      </tp>
    </main>
    <main first="rtdsrv.458a5932996f485b8b1b8d7cbb3f77a6">
      <tp>
        <v>1</v>
        <stp/>
        <stp>8b8fa9c9-b02a-4d20-a203-ee9dec2a61b6</stp>
        <tr r="N86" s="130"/>
      </tp>
    </main>
    <main first="rtdsrv.458a5932996f485b8b1b8d7cbb3f77a6">
      <tp>
        <v>1</v>
        <stp/>
        <stp>57ff8e9a-fb9b-40ba-8480-52e51f8c07a9</stp>
        <tr r="AO88" s="130"/>
      </tp>
    </main>
    <main first="rtdsrv.458a5932996f485b8b1b8d7cbb3f77a6">
      <tp>
        <v>1</v>
        <stp/>
        <stp>675415f8-3c41-467e-a02e-91c5c8205a5f</stp>
        <tr r="P94" s="130"/>
      </tp>
    </main>
    <main first="rtdsrv.458a5932996f485b8b1b8d7cbb3f77a6">
      <tp>
        <v>1</v>
        <stp/>
        <stp>68f8d805-b2f4-4ddb-ab6c-ca560a10382a</stp>
        <tr r="AY36" s="130"/>
      </tp>
    </main>
    <main first="rtdsrv.458a5932996f485b8b1b8d7cbb3f77a6">
      <tp>
        <v>1</v>
        <stp/>
        <stp>b7fac403-ec8a-43b5-8b44-53b5c9742cf4</stp>
        <tr r="K5" s="130"/>
      </tp>
    </main>
    <main first="rtdsrv.458a5932996f485b8b1b8d7cbb3f77a6">
      <tp>
        <v>1</v>
        <stp/>
        <stp>f825bc44-e7fe-42aa-b8a8-09679856b18e</stp>
        <tr r="EL9" s="132"/>
      </tp>
    </main>
    <main first="rtdsrv.458a5932996f485b8b1b8d7cbb3f77a6">
      <tp>
        <v>1</v>
        <stp/>
        <stp>c96cbb9c-90bc-4be7-ac4b-6b5124c07991</stp>
        <tr r="AP6" s="132"/>
      </tp>
    </main>
    <main first="rtdsrv.458a5932996f485b8b1b8d7cbb3f77a6">
      <tp>
        <v>1</v>
        <stp/>
        <stp>2373e0a1-5dc4-4c19-9211-9705e095178d</stp>
        <tr r="GG12" s="132"/>
      </tp>
    </main>
    <main first="rtdsrv.458a5932996f485b8b1b8d7cbb3f77a6">
      <tp>
        <v>1</v>
        <stp/>
        <stp>9ee3666f-9916-4913-872a-5e961ae1aae9</stp>
        <tr r="FH13" s="132"/>
      </tp>
    </main>
    <main first="rtdsrv.458a5932996f485b8b1b8d7cbb3f77a6">
      <tp>
        <v>1</v>
        <stp/>
        <stp>847454b3-9a18-465c-8a6f-73d11ca9f2e0</stp>
        <tr r="AD24" s="130"/>
      </tp>
    </main>
    <main first="rtdsrv.458a5932996f485b8b1b8d7cbb3f77a6">
      <tp>
        <v>1</v>
        <stp/>
        <stp>bb1e2979-7f49-4611-863d-9736f40f2c58</stp>
        <tr r="GW9" s="132"/>
      </tp>
    </main>
    <main first="rtdsrv.458a5932996f485b8b1b8d7cbb3f77a6">
      <tp>
        <v>1</v>
        <stp/>
        <stp>e658195d-b67a-4931-9233-675383d42efe</stp>
        <tr r="H36" s="130"/>
      </tp>
    </main>
    <main first="rtdsrv.458a5932996f485b8b1b8d7cbb3f77a6">
      <tp>
        <v>1</v>
        <stp/>
        <stp>5365855d-f533-4baf-a29f-3b4f2d3777dd</stp>
        <tr r="BJ27" s="130"/>
      </tp>
    </main>
    <main first="rtdsrv.458a5932996f485b8b1b8d7cbb3f77a6">
      <tp>
        <v>1</v>
        <stp/>
        <stp>e8f47337-172c-4008-a6ff-18d55e75f7d0</stp>
        <tr r="GW16" s="132"/>
      </tp>
      <tp>
        <v>1</v>
        <stp/>
        <stp>e475efa7-fc54-40d9-87fc-2bc2d21d1579</stp>
        <tr r="L66" s="130"/>
      </tp>
    </main>
    <main first="rtdsrv.458a5932996f485b8b1b8d7cbb3f77a6">
      <tp>
        <v>1</v>
        <stp/>
        <stp>463236d4-c541-45c3-bad8-d8f6969f7461</stp>
        <tr r="BN11" s="132"/>
      </tp>
    </main>
    <main first="rtdsrv.458a5932996f485b8b1b8d7cbb3f77a6">
      <tp>
        <v>1</v>
        <stp/>
        <stp>fa34b9de-e006-4d65-80eb-f1d54c61e1d4</stp>
        <tr r="X60" s="130"/>
      </tp>
    </main>
    <main first="rtdsrv.458a5932996f485b8b1b8d7cbb3f77a6">
      <tp>
        <v>1</v>
        <stp/>
        <stp>013bdc2c-614d-476b-899b-964aefecea04</stp>
        <tr r="AY15" s="132"/>
      </tp>
    </main>
    <main first="rtdsrv.458a5932996f485b8b1b8d7cbb3f77a6">
      <tp>
        <v>1</v>
        <stp/>
        <stp>ef828947-53c5-431e-9cef-d04a910afea9</stp>
        <tr r="AE42" s="130"/>
      </tp>
    </main>
    <main first="rtdsrv.458a5932996f485b8b1b8d7cbb3f77a6">
      <tp>
        <v>1</v>
        <stp/>
        <stp>597d84ea-087a-48e2-aa2e-dfe9ed4551b8</stp>
        <tr r="AW13" s="130"/>
      </tp>
    </main>
    <main first="rtdsrv.458a5932996f485b8b1b8d7cbb3f77a6">
      <tp>
        <v>1</v>
        <stp/>
        <stp>c8257af8-e415-4f54-a059-1ef894732b47</stp>
        <tr r="S86" s="130"/>
      </tp>
    </main>
    <main first="rtdsrv.458a5932996f485b8b1b8d7cbb3f77a6">
      <tp>
        <v>1</v>
        <stp/>
        <stp>c7eb490c-4754-4ec7-a04b-2e606c9d5126</stp>
        <tr r="AT75" s="130"/>
      </tp>
    </main>
    <main first="rtdsrv.458a5932996f485b8b1b8d7cbb3f77a6">
      <tp>
        <v>1</v>
        <stp/>
        <stp>c1c63c3f-0e39-4049-b435-2e9c91053248</stp>
        <tr r="GT8" s="132"/>
      </tp>
    </main>
    <main first="rtdsrv.458a5932996f485b8b1b8d7cbb3f77a6">
      <tp>
        <v>1</v>
        <stp/>
        <stp>16a7df80-0cd7-4e5b-8b0b-d9e4df71ac7c</stp>
        <tr r="L15" s="132"/>
      </tp>
    </main>
    <main first="rtdsrv.458a5932996f485b8b1b8d7cbb3f77a6">
      <tp>
        <v>1</v>
        <stp/>
        <stp>82d13b8f-1d3a-4878-b614-e32a033b8f09</stp>
        <tr r="C81" s="130"/>
      </tp>
    </main>
    <main first="rtdsrv.458a5932996f485b8b1b8d7cbb3f77a6">
      <tp>
        <v>1</v>
        <stp/>
        <stp>d9da2154-e9c0-45fc-81ae-4207e250ea56</stp>
        <tr r="CV16" s="132"/>
      </tp>
    </main>
    <main first="rtdsrv.458a5932996f485b8b1b8d7cbb3f77a6">
      <tp>
        <v>1</v>
        <stp/>
        <stp>08fd201a-f710-4042-a6e5-3d9161cbfb1c</stp>
        <tr r="H25" s="130"/>
      </tp>
    </main>
    <main first="rtdsrv.458a5932996f485b8b1b8d7cbb3f77a6">
      <tp>
        <v>1</v>
        <stp/>
        <stp>ef6fbc1d-9bcc-4ace-9c7a-97d7da8b46f5</stp>
        <tr r="N6" s="132"/>
      </tp>
    </main>
    <main first="rtdsrv.458a5932996f485b8b1b8d7cbb3f77a6">
      <tp>
        <v>1</v>
        <stp/>
        <stp>88ad4198-1156-4d0c-93e0-74d6722c361d</stp>
        <tr r="CR6" s="132"/>
      </tp>
    </main>
    <main first="rtdsrv.458a5932996f485b8b1b8d7cbb3f77a6">
      <tp>
        <v>1</v>
        <stp/>
        <stp>73903db2-217c-442d-bd0b-7509c9dd23b1</stp>
        <tr r="K25" s="130"/>
      </tp>
      <tp>
        <v>1</v>
        <stp/>
        <stp>f22365c2-98fb-449f-8f2c-484e087d6d7d</stp>
        <tr r="AZ77" s="130"/>
      </tp>
    </main>
    <main first="rtdsrv.458a5932996f485b8b1b8d7cbb3f77a6">
      <tp>
        <v>1</v>
        <stp/>
        <stp>1204c349-f80e-410b-815f-2d1edcfc6938</stp>
        <tr r="AH82" s="130"/>
      </tp>
    </main>
    <main first="rtdsrv.458a5932996f485b8b1b8d7cbb3f77a6">
      <tp>
        <v>1</v>
        <stp/>
        <stp>381c5d89-fff1-41aa-b58b-52d9cfc36958</stp>
        <tr r="D37" s="130"/>
      </tp>
    </main>
    <main first="rtdsrv.458a5932996f485b8b1b8d7cbb3f77a6">
      <tp>
        <v>1</v>
        <stp/>
        <stp>6db6755e-5026-4fdf-9b88-00e4174a2310</stp>
        <tr r="BG9" s="130"/>
      </tp>
    </main>
    <main first="rtdsrv.458a5932996f485b8b1b8d7cbb3f77a6">
      <tp>
        <v>1</v>
        <stp/>
        <stp>f9d4ff12-68a8-4d94-88fc-f357bd5e6b11</stp>
        <tr r="FP8" s="132"/>
      </tp>
    </main>
    <main first="rtdsrv.458a5932996f485b8b1b8d7cbb3f77a6">
      <tp>
        <v>1</v>
        <stp/>
        <stp>22e69d22-bf7f-4e5b-a6d8-b80af5da81b5</stp>
        <tr r="AV81" s="130"/>
      </tp>
    </main>
    <main first="rtdsrv.458a5932996f485b8b1b8d7cbb3f77a6">
      <tp>
        <v>1</v>
        <stp/>
        <stp>8c521b71-3186-4c66-904e-8d8469faec0c</stp>
        <tr r="AU27" s="130"/>
      </tp>
      <tp>
        <v>1</v>
        <stp/>
        <stp>93dd3a22-9469-4427-ba3d-056a9d147094</stp>
        <tr r="BI41" s="130"/>
      </tp>
    </main>
    <main first="rtdsrv.458a5932996f485b8b1b8d7cbb3f77a6">
      <tp>
        <v>1</v>
        <stp/>
        <stp>68d8f589-a9ef-4d5c-b34a-a4f277c31695</stp>
        <tr r="I15" s="130"/>
      </tp>
    </main>
    <main first="rtdsrv.458a5932996f485b8b1b8d7cbb3f77a6">
      <tp>
        <v>1</v>
        <stp/>
        <stp>e7935810-cb1f-47ee-a270-30617550d5a1</stp>
        <tr r="AH81" s="130"/>
      </tp>
    </main>
    <main first="rtdsrv.458a5932996f485b8b1b8d7cbb3f77a6">
      <tp>
        <v>1</v>
        <stp/>
        <stp>5b6dbad7-0334-4552-bd83-1616d5b1049b</stp>
        <tr r="CN6" s="132"/>
      </tp>
    </main>
    <main first="rtdsrv.458a5932996f485b8b1b8d7cbb3f77a6">
      <tp>
        <v>1</v>
        <stp/>
        <stp>bb9257a6-7bba-4af4-92e0-cddf8adf582e</stp>
        <tr r="AP60" s="130"/>
      </tp>
    </main>
    <main first="rtdsrv.458a5932996f485b8b1b8d7cbb3f77a6">
      <tp>
        <v>1</v>
        <stp/>
        <stp>206da749-6a55-4777-9098-20318b4d4cd6</stp>
        <tr r="AC8" s="132"/>
      </tp>
    </main>
    <main first="rtdsrv.458a5932996f485b8b1b8d7cbb3f77a6">
      <tp>
        <v>1</v>
        <stp/>
        <stp>1347c997-ab74-4724-81bb-1cba66292fec</stp>
        <tr r="BJ7" s="132"/>
      </tp>
    </main>
    <main first="rtdsrv.458a5932996f485b8b1b8d7cbb3f77a6">
      <tp>
        <v>1</v>
        <stp/>
        <stp>f3e6c201-6ab4-4e3f-b001-9d2d92669991</stp>
        <tr r="AR18" s="130"/>
      </tp>
    </main>
    <main first="rtdsrv.458a5932996f485b8b1b8d7cbb3f77a6">
      <tp>
        <v>1</v>
        <stp/>
        <stp>cf57fa97-ba79-4045-8b36-7c4376cb484e</stp>
        <tr r="AC85" s="130"/>
      </tp>
    </main>
    <main first="rtdsrv.458a5932996f485b8b1b8d7cbb3f77a6">
      <tp>
        <v>1</v>
        <stp/>
        <stp>a9eb6339-c966-4e8f-84d1-d22073039def</stp>
        <tr r="AY69" s="130"/>
      </tp>
    </main>
    <main first="rtdsrv.458a5932996f485b8b1b8d7cbb3f77a6">
      <tp>
        <v>1</v>
        <stp/>
        <stp>14fed086-e60b-4d42-a917-491b16ec7c24</stp>
        <tr r="GQ11" s="132"/>
      </tp>
    </main>
    <main first="rtdsrv.458a5932996f485b8b1b8d7cbb3f77a6">
      <tp>
        <v>1</v>
        <stp/>
        <stp>a77bd0b4-2ae1-4a69-8195-c0d488ecf39e</stp>
        <tr r="AY68" s="130"/>
      </tp>
    </main>
    <main first="rtdsrv.458a5932996f485b8b1b8d7cbb3f77a6">
      <tp>
        <v>1</v>
        <stp/>
        <stp>55280a91-8eb4-413a-bf7c-efa21dc9f660</stp>
        <tr r="L28" s="130"/>
      </tp>
      <tp>
        <v>1</v>
        <stp/>
        <stp>f3a5cfd1-2556-4fe7-af55-738259f1dab6</stp>
        <tr r="AZ11" s="132"/>
      </tp>
    </main>
    <main first="rtdsrv.458a5932996f485b8b1b8d7cbb3f77a6">
      <tp>
        <v>1</v>
        <stp/>
        <stp>afbf8dca-911c-4b62-8db7-f3091d9fc272</stp>
        <tr r="AA75" s="130"/>
      </tp>
    </main>
    <main first="rtdsrv.458a5932996f485b8b1b8d7cbb3f77a6">
      <tp>
        <v>1</v>
        <stp/>
        <stp>c2afa611-e661-4196-bb89-b415eca90660</stp>
        <tr r="FY11" s="132"/>
      </tp>
    </main>
    <main first="rtdsrv.458a5932996f485b8b1b8d7cbb3f77a6">
      <tp>
        <v>1</v>
        <stp/>
        <stp>bed3e99a-1340-4d8d-b5f5-40981c9282ba</stp>
        <tr r="FN6" s="132"/>
      </tp>
      <tp>
        <v>1</v>
        <stp/>
        <stp>bb78148f-f320-4d06-b63d-c0d343a608df</stp>
        <tr r="AJ8" s="132"/>
      </tp>
    </main>
    <main first="rtdsrv.458a5932996f485b8b1b8d7cbb3f77a6">
      <tp>
        <v>1</v>
        <stp/>
        <stp>bd27a1e9-58bc-47be-b0ef-f0e80fd7b82f</stp>
        <tr r="V61" s="130"/>
      </tp>
    </main>
    <main first="rtdsrv.458a5932996f485b8b1b8d7cbb3f77a6">
      <tp>
        <v>1</v>
        <stp/>
        <stp>c5f57d8d-dc1d-4888-96dc-57cd0cbe53ec</stp>
        <tr r="BH14" s="132"/>
      </tp>
    </main>
    <main first="rtdsrv.458a5932996f485b8b1b8d7cbb3f77a6">
      <tp>
        <v>1</v>
        <stp/>
        <stp>83a50f87-b099-43f0-be99-2a972aa7f02f</stp>
        <tr r="D30" s="130"/>
      </tp>
    </main>
    <main first="rtdsrv.458a5932996f485b8b1b8d7cbb3f77a6">
      <tp>
        <v>1</v>
        <stp/>
        <stp>859e97a0-70b3-46fe-89bc-59fd311cd4f6</stp>
        <tr r="E81" s="130"/>
      </tp>
    </main>
    <main first="rtdsrv.458a5932996f485b8b1b8d7cbb3f77a6">
      <tp>
        <v>1</v>
        <stp/>
        <stp>3a19569f-bf28-4419-85fe-1cf8caf01f04</stp>
        <tr r="GO15" s="132"/>
      </tp>
    </main>
    <main first="rtdsrv.458a5932996f485b8b1b8d7cbb3f77a6">
      <tp>
        <v>1</v>
        <stp/>
        <stp>043c4ae4-6838-4d52-8f9d-8c788109246b</stp>
        <tr r="DD15" s="132"/>
      </tp>
      <tp>
        <v>1</v>
        <stp/>
        <stp>51d539f8-0164-4d67-b208-3212974ae457</stp>
        <tr r="BA8" s="132"/>
      </tp>
    </main>
    <main first="rtdsrv.458a5932996f485b8b1b8d7cbb3f77a6">
      <tp>
        <v>1</v>
        <stp/>
        <stp>14147859-f31c-4887-bf00-ab82e15aa013</stp>
        <tr r="CL15" s="132"/>
      </tp>
    </main>
    <main first="rtdsrv.458a5932996f485b8b1b8d7cbb3f77a6">
      <tp>
        <v>1</v>
        <stp/>
        <stp>d1fef815-7096-45f7-a6cc-ce9285482426</stp>
        <tr r="R93" s="130"/>
      </tp>
    </main>
    <main first="rtdsrv.458a5932996f485b8b1b8d7cbb3f77a6">
      <tp>
        <v>1</v>
        <stp/>
        <stp>e2884952-d31c-4bc7-90eb-d226c56954cd</stp>
        <tr r="U67" s="130"/>
      </tp>
    </main>
    <main first="rtdsrv.458a5932996f485b8b1b8d7cbb3f77a6">
      <tp>
        <v>1</v>
        <stp/>
        <stp>3ad682db-2b0e-4159-b27c-f3cf8feb34cf</stp>
        <tr r="T92" s="130"/>
      </tp>
    </main>
    <main first="rtdsrv.458a5932996f485b8b1b8d7cbb3f77a6">
      <tp>
        <v>1</v>
        <stp/>
        <stp>b42bb630-06ee-4398-a614-2ce627fa8adf</stp>
        <tr r="BB22" s="130"/>
      </tp>
    </main>
    <main first="rtdsrv.458a5932996f485b8b1b8d7cbb3f77a6">
      <tp>
        <v>1</v>
        <stp/>
        <stp>04d68bd3-cfb6-4aeb-afc6-5bcb49ff5a11</stp>
        <tr r="AJ63" s="130"/>
      </tp>
    </main>
    <main first="rtdsrv.458a5932996f485b8b1b8d7cbb3f77a6">
      <tp>
        <v>1</v>
        <stp/>
        <stp>73ffaf3f-d098-4088-86a3-bff972a5925c</stp>
        <tr r="I87" s="130"/>
      </tp>
      <tp>
        <v>1</v>
        <stp/>
        <stp>a8f03d37-cf36-40c7-b653-4408c1d7d604</stp>
        <tr r="BK13" s="130"/>
      </tp>
    </main>
    <main first="rtdsrv.458a5932996f485b8b1b8d7cbb3f77a6">
      <tp>
        <v>1</v>
        <stp/>
        <stp>561adf0c-140d-46d4-806a-9927f1560e7f</stp>
        <tr r="AD65" s="130"/>
      </tp>
    </main>
    <main first="rtdsrv.458a5932996f485b8b1b8d7cbb3f77a6">
      <tp>
        <v>1</v>
        <stp/>
        <stp>c6991403-3992-4bf9-9944-d807332c99b3</stp>
        <tr r="BF13" s="132"/>
      </tp>
      <tp>
        <v>1</v>
        <stp/>
        <stp>9cca6305-8e83-440a-9d1b-ccf96b3ff7e4</stp>
        <tr r="I5" s="130"/>
      </tp>
      <tp>
        <v>1</v>
        <stp/>
        <stp>08b65c7a-eb40-425f-957a-cfa56061b7ef</stp>
        <tr r="DF14" s="132"/>
      </tp>
      <tp>
        <v>1</v>
        <stp/>
        <stp>46cd60d1-3da1-4acb-9d47-44a348763afc</stp>
        <tr r="R8" s="132"/>
      </tp>
    </main>
    <main first="rtdsrv.458a5932996f485b8b1b8d7cbb3f77a6">
      <tp>
        <v>1</v>
        <stp/>
        <stp>8e649e01-9133-4ebc-a966-c8816ce2099d</stp>
        <tr r="BH88" s="130"/>
      </tp>
    </main>
    <main first="rtdsrv.458a5932996f485b8b1b8d7cbb3f77a6">
      <tp>
        <v>1</v>
        <stp/>
        <stp>a40f11fb-2a80-4799-97c2-3cfcb5bf95de</stp>
        <tr r="EL8" s="132"/>
      </tp>
    </main>
    <main first="rtdsrv.458a5932996f485b8b1b8d7cbb3f77a6">
      <tp>
        <v>1</v>
        <stp/>
        <stp>a3f50ea8-ac48-49e9-ade3-bdb56cb3db29</stp>
        <tr r="BF14" s="132"/>
      </tp>
    </main>
    <main first="rtdsrv.458a5932996f485b8b1b8d7cbb3f77a6">
      <tp>
        <v>1</v>
        <stp/>
        <stp>48a05c0f-1012-4919-a5a5-f54a3968503c</stp>
        <tr r="FL11" s="132"/>
      </tp>
    </main>
    <main first="rtdsrv.458a5932996f485b8b1b8d7cbb3f77a6">
      <tp>
        <v>1</v>
        <stp/>
        <stp>3070620f-8f27-41a0-ab2a-8aa8a314bd59</stp>
        <tr r="S85" s="130"/>
      </tp>
    </main>
    <main first="rtdsrv.458a5932996f485b8b1b8d7cbb3f77a6">
      <tp>
        <v>1</v>
        <stp/>
        <stp>0e9d6b9a-4d93-41bb-8a15-d0a70ff9880f</stp>
        <tr r="AX5" s="130"/>
      </tp>
    </main>
    <main first="rtdsrv.458a5932996f485b8b1b8d7cbb3f77a6">
      <tp>
        <v>1</v>
        <stp/>
        <stp>6fc3f7e4-2972-4edb-92bf-181e378f6b66</stp>
        <tr r="C39" s="130"/>
      </tp>
      <tp>
        <v>1</v>
        <stp/>
        <stp>921838e5-1066-4669-a9f1-68ec03feaa02</stp>
        <tr r="ED5" s="132"/>
      </tp>
    </main>
    <main first="rtdsrv.458a5932996f485b8b1b8d7cbb3f77a6">
      <tp>
        <v>1</v>
        <stp/>
        <stp>6a408583-0bd3-46c3-92ac-1f0f3f9558b9</stp>
        <tr r="S63" s="130"/>
      </tp>
    </main>
    <main first="rtdsrv.458a5932996f485b8b1b8d7cbb3f77a6">
      <tp>
        <v>1</v>
        <stp/>
        <stp>d7688f85-8268-45ec-8f03-a20431a52789</stp>
        <tr r="BI5" s="130"/>
      </tp>
    </main>
    <main first="rtdsrv.458a5932996f485b8b1b8d7cbb3f77a6">
      <tp>
        <v>1</v>
        <stp/>
        <stp>0ab4741c-3426-41b3-8383-e221abbcb3b4</stp>
        <tr r="AC7" s="132"/>
      </tp>
    </main>
    <main first="rtdsrv.458a5932996f485b8b1b8d7cbb3f77a6">
      <tp>
        <v>1</v>
        <stp/>
        <stp>715bf594-2819-41cd-8d0f-e4c85ad49925</stp>
        <tr r="HB9" s="132"/>
      </tp>
    </main>
    <main first="rtdsrv.458a5932996f485b8b1b8d7cbb3f77a6">
      <tp>
        <v>1</v>
        <stp/>
        <stp>c3862361-8bab-46fc-a9b7-7f3a5b9ef36e</stp>
        <tr r="AQ23" s="130"/>
      </tp>
    </main>
    <main first="rtdsrv.458a5932996f485b8b1b8d7cbb3f77a6">
      <tp>
        <v>1</v>
        <stp/>
        <stp>d36c2217-a315-4624-b77d-575e8941fc68</stp>
        <tr r="AE89" s="130"/>
      </tp>
    </main>
    <main first="rtdsrv.458a5932996f485b8b1b8d7cbb3f77a6">
      <tp>
        <v>1</v>
        <stp/>
        <stp>f6626b42-3c2e-473d-9765-7857ce353f5f</stp>
        <tr r="AO57" s="130"/>
      </tp>
    </main>
    <main first="rtdsrv.458a5932996f485b8b1b8d7cbb3f77a6">
      <tp>
        <v>1</v>
        <stp/>
        <stp>43ff795f-f285-4686-91c7-a81af96ad664</stp>
        <tr r="BG45" s="130"/>
      </tp>
    </main>
    <main first="rtdsrv.458a5932996f485b8b1b8d7cbb3f77a6">
      <tp>
        <v>1</v>
        <stp/>
        <stp>54216370-ce0a-43f7-9be9-d9ceac8dabe5</stp>
        <tr r="BE6" s="132"/>
      </tp>
    </main>
    <main first="rtdsrv.458a5932996f485b8b1b8d7cbb3f77a6">
      <tp>
        <v>1</v>
        <stp/>
        <stp>9b167aed-a5e7-4ef7-9c1c-59551c64f0fd</stp>
        <tr r="V69" s="130"/>
      </tp>
      <tp>
        <v>1</v>
        <stp/>
        <stp>83383f69-9f51-459c-9bdb-76e31a738245</stp>
        <tr r="BF23" s="130"/>
      </tp>
    </main>
    <main first="rtdsrv.458a5932996f485b8b1b8d7cbb3f77a6">
      <tp>
        <v>1</v>
        <stp/>
        <stp>39b8da6a-a12d-4731-aad6-c31e3d6e9535</stp>
        <tr r="AD23" s="130"/>
      </tp>
    </main>
    <main first="rtdsrv.458a5932996f485b8b1b8d7cbb3f77a6">
      <tp>
        <v>1</v>
        <stp/>
        <stp>cbb8250b-2072-40be-9591-802950360728</stp>
        <tr r="BQ7" s="132"/>
      </tp>
    </main>
    <main first="rtdsrv.458a5932996f485b8b1b8d7cbb3f77a6">
      <tp>
        <v>1</v>
        <stp/>
        <stp>75717dd4-af89-4139-a00e-d0771a2d5f5b</stp>
        <tr r="BQ14" s="132"/>
      </tp>
      <tp>
        <v>1</v>
        <stp/>
        <stp>6630c8b6-443e-4627-b021-ab2b5a38625a</stp>
        <tr r="E23" s="130"/>
      </tp>
    </main>
    <main first="rtdsrv.458a5932996f485b8b1b8d7cbb3f77a6">
      <tp>
        <v>1</v>
        <stp/>
        <stp>7f8a2881-caa8-44f9-a695-eb1a5a0e105e</stp>
        <tr r="AH67" s="130"/>
      </tp>
    </main>
    <main first="rtdsrv.458a5932996f485b8b1b8d7cbb3f77a6">
      <tp>
        <v>1</v>
        <stp/>
        <stp>668118ed-64da-4787-bd94-8948a998080d</stp>
        <tr r="GM7" s="132"/>
      </tp>
    </main>
    <main first="rtdsrv.458a5932996f485b8b1b8d7cbb3f77a6">
      <tp>
        <v>1</v>
        <stp/>
        <stp>ba66bfae-d35a-43b9-972f-7aae2ce70df3</stp>
        <tr r="GW15" s="132"/>
      </tp>
    </main>
    <main first="rtdsrv.458a5932996f485b8b1b8d7cbb3f77a6">
      <tp>
        <v>1</v>
        <stp/>
        <stp>dbd2490d-0711-4b04-af52-4352d63b9a78</stp>
        <tr r="J12" s="130"/>
      </tp>
      <tp>
        <v>1</v>
        <stp/>
        <stp>47a8fa5b-da7f-4168-ab3c-c0f1f24795d7</stp>
        <tr r="BG56" s="130"/>
      </tp>
    </main>
    <main first="rtdsrv.458a5932996f485b8b1b8d7cbb3f77a6">
      <tp>
        <v>1</v>
        <stp/>
        <stp>92593442-5c1f-470d-ad25-83d019e25a6b</stp>
        <tr r="AY91" s="130"/>
      </tp>
    </main>
    <main first="rtdsrv.458a5932996f485b8b1b8d7cbb3f77a6">
      <tp>
        <v>1</v>
        <stp/>
        <stp>e5f45558-530f-4a86-919a-30fe1411d07b</stp>
        <tr r="M29" s="130"/>
      </tp>
    </main>
    <main first="rtdsrv.458a5932996f485b8b1b8d7cbb3f77a6">
      <tp>
        <v>1</v>
        <stp/>
        <stp>f9023542-0f04-4620-b1f4-825c403e8f12</stp>
        <tr r="AS60" s="130"/>
      </tp>
      <tp>
        <v>1</v>
        <stp/>
        <stp>751f0605-6183-4b55-8c07-99fb0d610c62</stp>
        <tr r="BD82" s="130"/>
      </tp>
    </main>
    <main first="rtdsrv.458a5932996f485b8b1b8d7cbb3f77a6">
      <tp>
        <v>1</v>
        <stp/>
        <stp>b94a80f9-32e0-4a63-a194-01a9d67ba9c8</stp>
        <tr r="AG12" s="130"/>
      </tp>
      <tp>
        <v>1</v>
        <stp/>
        <stp>7db3db78-0ad3-441d-ba8a-51565a05b41a</stp>
        <tr r="BG13" s="132"/>
      </tp>
    </main>
    <main first="rtdsrv.458a5932996f485b8b1b8d7cbb3f77a6">
      <tp>
        <v>1</v>
        <stp/>
        <stp>b86bf736-f799-444d-892c-11fb84fd140c</stp>
        <tr r="AA12" s="130"/>
      </tp>
      <tp>
        <v>1</v>
        <stp/>
        <stp>d8ca07c8-75f9-4ccd-98bb-fd51971a0c27</stp>
        <tr r="AS42" s="130"/>
      </tp>
    </main>
    <main first="rtdsrv.458a5932996f485b8b1b8d7cbb3f77a6">
      <tp>
        <v>1</v>
        <stp/>
        <stp>8cc5ee17-16f8-4730-bb9c-dedcfa52c441</stp>
        <tr r="DD16" s="132"/>
      </tp>
    </main>
    <main first="rtdsrv.458a5932996f485b8b1b8d7cbb3f77a6">
      <tp>
        <v>1</v>
        <stp/>
        <stp>aa05db40-f268-4782-912a-99b4db6e80a6</stp>
        <tr r="K15" s="132"/>
      </tp>
    </main>
    <main first="rtdsrv.458a5932996f485b8b1b8d7cbb3f77a6">
      <tp>
        <v>1</v>
        <stp/>
        <stp>546c5640-e826-4a68-88a0-d2fabc6f6a89</stp>
        <tr r="J95" s="130"/>
      </tp>
    </main>
    <main first="rtdsrv.458a5932996f485b8b1b8d7cbb3f77a6">
      <tp>
        <v>1</v>
        <stp/>
        <stp>75dd87e0-145f-4738-bdfd-e1749cb671f2</stp>
        <tr r="F76" s="130"/>
      </tp>
    </main>
    <main first="rtdsrv.458a5932996f485b8b1b8d7cbb3f77a6">
      <tp>
        <v>1</v>
        <stp/>
        <stp>92ba196c-23fd-480a-92bf-bab22f1f1302</stp>
        <tr r="R22" s="130"/>
      </tp>
      <tp>
        <v>1</v>
        <stp/>
        <stp>8ad0b0d0-465d-40a8-ac1e-3f19d039c43f</stp>
        <tr r="AI37" s="130"/>
      </tp>
    </main>
    <main first="rtdsrv.458a5932996f485b8b1b8d7cbb3f77a6">
      <tp>
        <v>1</v>
        <stp/>
        <stp>fe2cebde-ac2b-4068-82e2-77e05504b706</stp>
        <tr r="DH16" s="132"/>
      </tp>
      <tp>
        <v>1</v>
        <stp/>
        <stp>52002919-0c37-47d2-b2e4-8c20b335825a</stp>
        <tr r="X39" s="130"/>
      </tp>
    </main>
    <main first="rtdsrv.458a5932996f485b8b1b8d7cbb3f77a6">
      <tp>
        <v>1</v>
        <stp/>
        <stp>40d6d1f2-96dd-4095-89b7-bd7d7cf66f16</stp>
        <tr r="N92" s="130"/>
      </tp>
    </main>
    <main first="rtdsrv.458a5932996f485b8b1b8d7cbb3f77a6">
      <tp>
        <v>1</v>
        <stp/>
        <stp>4ecb932f-3c73-496a-8f9b-7089043bb78a</stp>
        <tr r="BA25" s="130"/>
      </tp>
    </main>
    <main first="rtdsrv.458a5932996f485b8b1b8d7cbb3f77a6">
      <tp>
        <v>1</v>
        <stp/>
        <stp>d5ca1f30-381d-4a5b-9fb3-29cc2aea961f</stp>
        <tr r="V56" s="130"/>
      </tp>
    </main>
    <main first="rtdsrv.458a5932996f485b8b1b8d7cbb3f77a6">
      <tp>
        <v>1</v>
        <stp/>
        <stp>d7fffa17-658b-42c4-8a9e-62940ab9d005</stp>
        <tr r="FS13" s="132"/>
      </tp>
    </main>
    <main first="rtdsrv.458a5932996f485b8b1b8d7cbb3f77a6">
      <tp>
        <v>1</v>
        <stp/>
        <stp>7e362bd2-93fc-45b8-9b9c-f2fb9a967b4b</stp>
        <tr r="W43" s="130"/>
      </tp>
    </main>
    <main first="rtdsrv.458a5932996f485b8b1b8d7cbb3f77a6">
      <tp>
        <v>1</v>
        <stp/>
        <stp>2b9ba0f2-a02d-476c-bc39-697c1e4ee194</stp>
        <tr r="AV23" s="130"/>
      </tp>
    </main>
    <main first="rtdsrv.458a5932996f485b8b1b8d7cbb3f77a6">
      <tp>
        <v>1</v>
        <stp/>
        <stp>4fd4511f-4c86-46e1-b79b-cd8810dca1da</stp>
        <tr r="AN14" s="132"/>
      </tp>
      <tp>
        <v>1</v>
        <stp/>
        <stp>b298b1d8-1d61-497e-b92c-fd3c98f817c4</stp>
        <tr r="F33" s="130"/>
      </tp>
      <tp>
        <v>1</v>
        <stp/>
        <stp>deca8e80-7f23-46e2-8aa5-f0febca999c3</stp>
        <tr r="AD32" s="130"/>
      </tp>
    </main>
    <main first="rtdsrv.458a5932996f485b8b1b8d7cbb3f77a6">
      <tp>
        <v>1</v>
        <stp/>
        <stp>7e9b3476-503d-4156-8fc4-99af0c6d7e1c</stp>
        <tr r="EU6" s="132"/>
      </tp>
    </main>
    <main first="rtdsrv.458a5932996f485b8b1b8d7cbb3f77a6">
      <tp>
        <v>1</v>
        <stp/>
        <stp>d38549df-5511-49f1-aa4b-5a3af4d0ca0f</stp>
        <tr r="R60" s="130"/>
      </tp>
    </main>
    <main first="rtdsrv.458a5932996f485b8b1b8d7cbb3f77a6">
      <tp>
        <v>1</v>
        <stp/>
        <stp>c8203f13-c9e7-4696-9fef-8b105f631d64</stp>
        <tr r="AP43" s="130"/>
      </tp>
    </main>
    <main first="rtdsrv.458a5932996f485b8b1b8d7cbb3f77a6">
      <tp>
        <v>1</v>
        <stp/>
        <stp>cbb10854-7423-4489-a68f-abf8b589856c</stp>
        <tr r="I98" s="130"/>
      </tp>
    </main>
    <main first="rtdsrv.458a5932996f485b8b1b8d7cbb3f77a6">
      <tp>
        <v>1</v>
        <stp/>
        <stp>df68d101-9033-45c3-8171-dcb6db876e3c</stp>
        <tr r="Z17" s="130"/>
      </tp>
    </main>
    <main first="rtdsrv.458a5932996f485b8b1b8d7cbb3f77a6">
      <tp>
        <v>1</v>
        <stp/>
        <stp>1c2efdb1-7971-4ad9-b7c0-de24411c704e</stp>
        <tr r="AQ75" s="130"/>
      </tp>
      <tp>
        <v>1</v>
        <stp/>
        <stp>054510ba-a80b-4eeb-b230-5866456ed60b</stp>
        <tr r="BG90" s="130"/>
      </tp>
    </main>
    <main first="rtdsrv.458a5932996f485b8b1b8d7cbb3f77a6">
      <tp>
        <v>1</v>
        <stp/>
        <stp>d1d755e3-b81d-401b-9e3f-60c528a3813f</stp>
        <tr r="BB14" s="132"/>
      </tp>
    </main>
    <main first="rtdsrv.458a5932996f485b8b1b8d7cbb3f77a6">
      <tp>
        <v>1</v>
        <stp/>
        <stp>b90a2d2d-d68a-4e4e-ae93-b8a0979c5d1b</stp>
        <tr r="AA27" s="130"/>
      </tp>
    </main>
    <main first="rtdsrv.458a5932996f485b8b1b8d7cbb3f77a6">
      <tp>
        <v>1</v>
        <stp/>
        <stp>e4d6605d-bba6-4429-b82f-618b8add53f5</stp>
        <tr r="CA16" s="132"/>
      </tp>
    </main>
    <main first="rtdsrv.458a5932996f485b8b1b8d7cbb3f77a6">
      <tp>
        <v>1</v>
        <stp/>
        <stp>c80822b9-7358-40d7-b7e3-6a5fc38a2303</stp>
        <tr r="Q17" s="130"/>
      </tp>
    </main>
    <main first="rtdsrv.458a5932996f485b8b1b8d7cbb3f77a6">
      <tp>
        <v>1</v>
        <stp/>
        <stp>70df14f4-99e5-45e1-933c-f871c1fd68f2</stp>
        <tr r="EQ13" s="132"/>
      </tp>
    </main>
    <main first="rtdsrv.458a5932996f485b8b1b8d7cbb3f77a6">
      <tp>
        <v>1</v>
        <stp/>
        <stp>5cbe1bcd-8ce3-4f43-93a9-a0f8d7bcab09</stp>
        <tr r="DB16" s="132"/>
      </tp>
    </main>
    <main first="rtdsrv.458a5932996f485b8b1b8d7cbb3f77a6">
      <tp>
        <v>1</v>
        <stp/>
        <stp>807fa2e5-9844-4a1e-b9f6-604511a4d7fb</stp>
        <tr r="T28" s="130"/>
      </tp>
    </main>
    <main first="rtdsrv.458a5932996f485b8b1b8d7cbb3f77a6">
      <tp>
        <v>1</v>
        <stp/>
        <stp>6cf1055a-1a99-4ce2-abc2-b8c1fa4e7a84</stp>
        <tr r="EW11" s="132"/>
      </tp>
      <tp>
        <v>1</v>
        <stp/>
        <stp>bcf1bdf5-4d32-4e68-b0c8-4a1604753359</stp>
        <tr r="Q5" s="130"/>
      </tp>
      <tp>
        <v>1</v>
        <stp/>
        <stp>f6253bb8-8f2d-4761-94ee-d63aed980d6b</stp>
        <tr r="FB13" s="132"/>
      </tp>
    </main>
    <main first="rtdsrv.458a5932996f485b8b1b8d7cbb3f77a6">
      <tp>
        <v>1</v>
        <stp/>
        <stp>e65d7103-b883-41f1-9e60-931079690fef</stp>
        <tr r="K60" s="130"/>
      </tp>
    </main>
    <main first="rtdsrv.458a5932996f485b8b1b8d7cbb3f77a6">
      <tp>
        <v>1</v>
        <stp/>
        <stp>2677c4eb-b5be-4f61-aabf-9dd1784a9a92</stp>
        <tr r="AC16" s="130"/>
      </tp>
    </main>
    <main first="rtdsrv.458a5932996f485b8b1b8d7cbb3f77a6">
      <tp>
        <v>1</v>
        <stp/>
        <stp>b435c6e4-7f04-40b3-a468-086de039d6ec</stp>
        <tr r="U85" s="130"/>
      </tp>
    </main>
    <main first="rtdsrv.458a5932996f485b8b1b8d7cbb3f77a6">
      <tp>
        <v>1</v>
        <stp/>
        <stp>75daddb2-3970-4a5a-a063-87f94905a522</stp>
        <tr r="AC27" s="130"/>
      </tp>
    </main>
    <main first="rtdsrv.458a5932996f485b8b1b8d7cbb3f77a6">
      <tp>
        <v>1</v>
        <stp/>
        <stp>3939f8f2-7770-46f6-bf81-bea54fc4e59b</stp>
        <tr r="U28" s="130"/>
      </tp>
    </main>
    <main first="rtdsrv.458a5932996f485b8b1b8d7cbb3f77a6">
      <tp>
        <v>1</v>
        <stp/>
        <stp>72050889-7ada-4b18-961e-f26910cb7800</stp>
        <tr r="EJ5" s="132"/>
      </tp>
    </main>
    <main first="rtdsrv.458a5932996f485b8b1b8d7cbb3f77a6">
      <tp>
        <v>1</v>
        <stp/>
        <stp>12aaa9dd-c801-48bc-bee3-b2f907103e0e</stp>
        <tr r="AK69" s="130"/>
      </tp>
      <tp>
        <v>1</v>
        <stp/>
        <stp>f48af555-703e-4231-a1ce-c9667cbab0ea</stp>
        <tr r="GS16" s="132"/>
      </tp>
    </main>
    <main first="rtdsrv.458a5932996f485b8b1b8d7cbb3f77a6">
      <tp>
        <v>1</v>
        <stp/>
        <stp>1331a957-6bd7-4bdd-9aaf-4719bbb84b89</stp>
        <tr r="AB80" s="130"/>
      </tp>
    </main>
    <main first="rtdsrv.458a5932996f485b8b1b8d7cbb3f77a6">
      <tp>
        <v>1</v>
        <stp/>
        <stp>aa9a8947-0308-4090-be0d-1a28a4f593de</stp>
        <tr r="AU14" s="132"/>
      </tp>
    </main>
    <main first="rtdsrv.458a5932996f485b8b1b8d7cbb3f77a6">
      <tp>
        <v>1</v>
        <stp/>
        <stp>2b068535-48a8-4045-a6c0-046846d74938</stp>
        <tr r="AC12" s="132"/>
      </tp>
    </main>
    <main first="rtdsrv.458a5932996f485b8b1b8d7cbb3f77a6">
      <tp>
        <v>1</v>
        <stp/>
        <stp>30cbd33a-efac-4246-8f5d-c9b46683edbc</stp>
        <tr r="S83" s="130"/>
      </tp>
      <tp>
        <v>1</v>
        <stp/>
        <stp>14119372-f062-4635-82ca-5b600b84e934</stp>
        <tr r="AH7" s="130"/>
      </tp>
    </main>
    <main first="rtdsrv.458a5932996f485b8b1b8d7cbb3f77a6">
      <tp>
        <v>1</v>
        <stp/>
        <stp>898200aa-92dc-4d9c-8101-1838b7100b34</stp>
        <tr r="DS14" s="132"/>
      </tp>
    </main>
    <main first="rtdsrv.458a5932996f485b8b1b8d7cbb3f77a6">
      <tp>
        <v>1</v>
        <stp/>
        <stp>53a7f1a0-30be-4e2b-8c59-2c7b937848b2</stp>
        <tr r="GL9" s="132"/>
      </tp>
      <tp>
        <v>1</v>
        <stp/>
        <stp>d6f25c74-1718-4309-ae03-e34a013faa99</stp>
        <tr r="AL24" s="130"/>
      </tp>
    </main>
    <main first="rtdsrv.458a5932996f485b8b1b8d7cbb3f77a6">
      <tp>
        <v>1</v>
        <stp/>
        <stp>04ffcece-a267-4645-8eb9-88ef37a61fa1</stp>
        <tr r="AZ19" s="130"/>
      </tp>
    </main>
    <main first="rtdsrv.458a5932996f485b8b1b8d7cbb3f77a6">
      <tp>
        <v>1</v>
        <stp/>
        <stp>84b46b14-aa64-4a14-8fd9-211f59e64a49</stp>
        <tr r="DS9" s="132"/>
      </tp>
    </main>
    <main first="rtdsrv.458a5932996f485b8b1b8d7cbb3f77a6">
      <tp>
        <v>1</v>
        <stp/>
        <stp>35a576df-dba1-4b59-a522-d647613f6e9d</stp>
        <tr r="GR15" s="132"/>
      </tp>
    </main>
    <main first="rtdsrv.458a5932996f485b8b1b8d7cbb3f77a6">
      <tp>
        <v>1</v>
        <stp/>
        <stp>975f3633-c821-4139-a1c3-f36935d18042</stp>
        <tr r="DJ12" s="132"/>
      </tp>
    </main>
    <main first="rtdsrv.458a5932996f485b8b1b8d7cbb3f77a6">
      <tp>
        <v>1</v>
        <stp/>
        <stp>9393eecd-5221-44a4-982d-d8b682010a5f</stp>
        <tr r="T14" s="13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33"/>
  <sheetViews>
    <sheetView zoomScaleNormal="100" workbookViewId="0">
      <pane xSplit="1" ySplit="1" topLeftCell="BS2" activePane="bottomRight" state="frozen"/>
      <selection pane="topRight" activeCell="B1" sqref="B1"/>
      <selection pane="bottomLeft" activeCell="A2" sqref="A2"/>
      <selection pane="bottomRight" activeCell="CC1" sqref="CC1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61" width="11.28515625" style="47" customWidth="1"/>
    <col min="62" max="77" width="11.28515625" style="47" bestFit="1" customWidth="1"/>
    <col min="78" max="93" width="12.28515625" style="49" bestFit="1" customWidth="1"/>
    <col min="94" max="16384" width="9.140625" style="47"/>
  </cols>
  <sheetData>
    <row r="1" spans="1:93" s="4" customFormat="1" x14ac:dyDescent="0.2">
      <c r="A1" s="1">
        <f>+'Annual Raw'!B2</f>
        <v>0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6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</row>
    <row r="2" spans="1:93" s="4" customFormat="1" x14ac:dyDescent="0.2">
      <c r="A2" s="113" t="s">
        <v>161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3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3" s="81" customFormat="1" x14ac:dyDescent="0.2">
      <c r="A4" s="79" t="s">
        <v>31</v>
      </c>
      <c r="B4" s="79"/>
      <c r="C4" s="79"/>
      <c r="D4" s="79">
        <f t="shared" ref="D4:O4" si="15">AVERAGE(C97:D97)</f>
        <v>0</v>
      </c>
      <c r="E4" s="79">
        <f t="shared" si="15"/>
        <v>0</v>
      </c>
      <c r="F4" s="79">
        <f t="shared" si="15"/>
        <v>0</v>
      </c>
      <c r="G4" s="79">
        <f t="shared" si="15"/>
        <v>0</v>
      </c>
      <c r="H4" s="79">
        <f t="shared" si="15"/>
        <v>0</v>
      </c>
      <c r="I4" s="79">
        <f t="shared" si="15"/>
        <v>0</v>
      </c>
      <c r="J4" s="79">
        <f t="shared" si="15"/>
        <v>0</v>
      </c>
      <c r="K4" s="79">
        <f t="shared" si="15"/>
        <v>0</v>
      </c>
      <c r="L4" s="79">
        <f t="shared" si="15"/>
        <v>0</v>
      </c>
      <c r="M4" s="79">
        <f t="shared" si="15"/>
        <v>0</v>
      </c>
      <c r="N4" s="79">
        <f t="shared" si="15"/>
        <v>0</v>
      </c>
      <c r="O4" s="79">
        <f t="shared" si="15"/>
        <v>0</v>
      </c>
      <c r="P4" s="79">
        <f>AVERAGE(O97:P97)</f>
        <v>0</v>
      </c>
      <c r="Q4" s="79">
        <f t="shared" ref="Q4:T4" si="16">AVERAGE(P97:Q97)</f>
        <v>0</v>
      </c>
      <c r="R4" s="79">
        <f t="shared" si="16"/>
        <v>0</v>
      </c>
      <c r="S4" s="79">
        <f t="shared" si="16"/>
        <v>0</v>
      </c>
      <c r="T4" s="79">
        <f t="shared" si="16"/>
        <v>0</v>
      </c>
      <c r="U4" s="79">
        <f t="shared" ref="U4" si="17">AVERAGE(T97:U97)</f>
        <v>0</v>
      </c>
      <c r="V4" s="79">
        <f t="shared" ref="V4" si="18">AVERAGE(U97:V97)</f>
        <v>0</v>
      </c>
      <c r="W4" s="79">
        <f>AVERAGE(V97:W97)</f>
        <v>0</v>
      </c>
      <c r="X4" s="79">
        <f>AVERAGE(W97:X97)</f>
        <v>0</v>
      </c>
      <c r="Y4" s="79">
        <f>+AVERAGE(BN4:BQ4)</f>
        <v>0</v>
      </c>
      <c r="Z4" s="79">
        <f>+AVERAGE(BR4:BU4)</f>
        <v>0</v>
      </c>
      <c r="AA4" s="80">
        <f>+AVERAGE(BV4:BY4)</f>
        <v>0</v>
      </c>
      <c r="AB4" s="80" t="e">
        <f>+AVERAGE(BZ4:CC4)</f>
        <v>#DIV/0!</v>
      </c>
      <c r="AC4" s="80" t="e">
        <f>+AVERAGE(CD4:CG4)</f>
        <v>#DIV/0!</v>
      </c>
      <c r="AD4" s="80" t="e">
        <f>+AVERAGE(CH4:CK4)</f>
        <v>#DIV/0!</v>
      </c>
      <c r="AE4" s="80" t="e">
        <f>+AVERAGE(CL4:CO4)</f>
        <v>#DIV/0!</v>
      </c>
      <c r="AG4" s="82"/>
      <c r="AH4" s="79" t="e">
        <f>+AVERAGE(AG97,AE97)</f>
        <v>#DIV/0!</v>
      </c>
      <c r="AI4" s="79">
        <f>+AVERAGE(AI97,AG97)</f>
        <v>0</v>
      </c>
      <c r="AJ4" s="79">
        <f>+AVERAGE(AI97,AG97)</f>
        <v>0</v>
      </c>
      <c r="AK4" s="79">
        <f>+AVERAGE(AK97,AI97)</f>
        <v>0</v>
      </c>
      <c r="AL4" s="79">
        <f>+AVERAGE(AK97,AI97)</f>
        <v>0</v>
      </c>
      <c r="AM4" s="79">
        <f>+AVERAGE(AM97,AK97)</f>
        <v>0</v>
      </c>
      <c r="AN4" s="79">
        <f>+AVERAGE(AM97,AK97)</f>
        <v>0</v>
      </c>
      <c r="AO4" s="79">
        <f>+AVERAGE(AO97,AM97)</f>
        <v>0</v>
      </c>
      <c r="AP4" s="79">
        <f>+AVERAGE(AO97,AM97)</f>
        <v>0</v>
      </c>
      <c r="AQ4" s="79">
        <f>+AVERAGE(AQ97,AO97)</f>
        <v>0</v>
      </c>
      <c r="AR4" s="79">
        <f>+AVERAGE(AQ97,AO97)</f>
        <v>0</v>
      </c>
      <c r="AS4" s="79">
        <f>+AVERAGE(AS97,AQ97)</f>
        <v>0</v>
      </c>
      <c r="AT4" s="79">
        <f>+AVERAGE(AS97,AQ97)</f>
        <v>0</v>
      </c>
      <c r="AU4" s="79">
        <f>+AVERAGE(AU97,AS97)</f>
        <v>0</v>
      </c>
      <c r="AV4" s="79">
        <f>+AVERAGE(AU97,AS97)</f>
        <v>0</v>
      </c>
      <c r="AW4" s="79">
        <f>+AVERAGE(AW97,AU97)</f>
        <v>0</v>
      </c>
      <c r="AX4" s="79">
        <f>+AVERAGE(AW97,AU97)</f>
        <v>0</v>
      </c>
      <c r="AY4" s="79">
        <f>+AVERAGE(AY97,AW97)</f>
        <v>0</v>
      </c>
      <c r="AZ4" s="79">
        <f>+AVERAGE(AY97,AW97)</f>
        <v>0</v>
      </c>
      <c r="BA4" s="79">
        <f>+AVERAGE(BA97,AY97)</f>
        <v>0</v>
      </c>
      <c r="BB4" s="79">
        <f>+AVERAGE(BA97,AY97)</f>
        <v>0</v>
      </c>
      <c r="BC4" s="79">
        <f>+AVERAGE(BC97,BA97)</f>
        <v>0</v>
      </c>
      <c r="BD4" s="79">
        <f>+AVERAGE(BC97,BA97)</f>
        <v>0</v>
      </c>
      <c r="BE4" s="79">
        <f>+AVERAGE(BE97,BC97)</f>
        <v>0</v>
      </c>
      <c r="BF4" s="79">
        <f>+AVERAGE(BE97,BC97)</f>
        <v>0</v>
      </c>
      <c r="BG4" s="79">
        <f>+AVERAGE(BG97,BE97)</f>
        <v>0</v>
      </c>
      <c r="BH4" s="79">
        <f>+AVERAGE(BG97,BE97)</f>
        <v>0</v>
      </c>
      <c r="BI4" s="79">
        <f>+AVERAGE(BI97,BG97)</f>
        <v>0</v>
      </c>
      <c r="BJ4" s="79">
        <f>+AVERAGE(BI97,BG97)</f>
        <v>0</v>
      </c>
      <c r="BK4" s="79">
        <f>+AVERAGE(BK97,BI97)</f>
        <v>0</v>
      </c>
      <c r="BL4" s="79">
        <f>+AVERAGE(BK97,BI97)</f>
        <v>0</v>
      </c>
      <c r="BM4" s="79">
        <f>+AVERAGE(BM97,BK97)</f>
        <v>0</v>
      </c>
      <c r="BN4" s="79">
        <f>+AVERAGE(BM97,BK97)</f>
        <v>0</v>
      </c>
      <c r="BO4" s="79">
        <f>+AVERAGE(BO97,BM97)</f>
        <v>0</v>
      </c>
      <c r="BP4" s="79">
        <f>+AVERAGE(BO97,BM97)</f>
        <v>0</v>
      </c>
      <c r="BQ4" s="79">
        <f>+AVERAGE(BQ97,BO97)</f>
        <v>0</v>
      </c>
      <c r="BR4" s="79">
        <f>+AVERAGE(BQ97,BO97)</f>
        <v>0</v>
      </c>
      <c r="BS4" s="79">
        <f>+AVERAGE(BS97,BQ97)</f>
        <v>0</v>
      </c>
      <c r="BT4" s="79">
        <f>+AVERAGE(BS97,BQ97)</f>
        <v>0</v>
      </c>
      <c r="BU4" s="79">
        <f>+AVERAGE(BU97,BS97)</f>
        <v>0</v>
      </c>
      <c r="BV4" s="79">
        <f>+AVERAGE(BU97,BS97)</f>
        <v>0</v>
      </c>
      <c r="BW4" s="79">
        <f>+AVERAGE(BW97,BU97)</f>
        <v>0</v>
      </c>
      <c r="BX4" s="79">
        <f>+AVERAGE(BW97,BU97)</f>
        <v>0</v>
      </c>
      <c r="BY4" s="79">
        <f>+AVERAGE(BY97,BW97)</f>
        <v>0</v>
      </c>
      <c r="BZ4" s="83">
        <f>+AVERAGE(BY97,BW97)</f>
        <v>0</v>
      </c>
      <c r="CA4" s="83" t="e">
        <f>+AVERAGE(CA97,BY97)</f>
        <v>#DIV/0!</v>
      </c>
      <c r="CB4" s="83" t="e">
        <f>+AVERAGE(CA97,BY97)</f>
        <v>#DIV/0!</v>
      </c>
      <c r="CC4" s="83" t="e">
        <f>+AVERAGE(CC97,CA97)</f>
        <v>#DIV/0!</v>
      </c>
      <c r="CD4" s="83" t="e">
        <f>+AVERAGE(CC97,CA97)</f>
        <v>#DIV/0!</v>
      </c>
      <c r="CE4" s="83" t="e">
        <f>+AVERAGE(CE97,CC97)</f>
        <v>#DIV/0!</v>
      </c>
      <c r="CF4" s="83" t="e">
        <f>+AVERAGE(CE97,CC97)</f>
        <v>#DIV/0!</v>
      </c>
      <c r="CG4" s="83" t="e">
        <f>+AVERAGE(CG97,CE97)</f>
        <v>#DIV/0!</v>
      </c>
      <c r="CH4" s="83" t="e">
        <f>+AVERAGE(CG97,CE97)</f>
        <v>#DIV/0!</v>
      </c>
      <c r="CI4" s="83" t="e">
        <f>+AVERAGE(CI97,CG97)</f>
        <v>#DIV/0!</v>
      </c>
      <c r="CJ4" s="83" t="e">
        <f>+AVERAGE(CI97,CG97)</f>
        <v>#DIV/0!</v>
      </c>
      <c r="CK4" s="83" t="e">
        <f>+AVERAGE(CK97,CI97)</f>
        <v>#DIV/0!</v>
      </c>
      <c r="CL4" s="83" t="e">
        <f>+AVERAGE(CK97,CI97)</f>
        <v>#DIV/0!</v>
      </c>
      <c r="CM4" s="83" t="e">
        <f>+AVERAGE(CM97,CK97)</f>
        <v>#DIV/0!</v>
      </c>
      <c r="CN4" s="83" t="e">
        <f>+AVERAGE(CM97,CK97)</f>
        <v>#DIV/0!</v>
      </c>
      <c r="CO4" s="83" t="e">
        <f>+AVERAGE(CO97,CM97)</f>
        <v>#DIV/0!</v>
      </c>
    </row>
    <row r="5" spans="1:93" s="81" customFormat="1" x14ac:dyDescent="0.2">
      <c r="A5" s="79" t="s">
        <v>24</v>
      </c>
      <c r="B5" s="79"/>
      <c r="C5" s="79"/>
      <c r="D5" s="79">
        <f t="shared" ref="D5:O5" si="19">AVERAGE(C106:D106)</f>
        <v>0</v>
      </c>
      <c r="E5" s="79">
        <f t="shared" si="19"/>
        <v>0</v>
      </c>
      <c r="F5" s="79">
        <f t="shared" si="19"/>
        <v>0</v>
      </c>
      <c r="G5" s="79">
        <f t="shared" si="19"/>
        <v>0</v>
      </c>
      <c r="H5" s="79">
        <f t="shared" si="19"/>
        <v>0</v>
      </c>
      <c r="I5" s="79">
        <f t="shared" si="19"/>
        <v>0</v>
      </c>
      <c r="J5" s="79">
        <f t="shared" si="19"/>
        <v>0</v>
      </c>
      <c r="K5" s="79">
        <f t="shared" si="19"/>
        <v>0</v>
      </c>
      <c r="L5" s="79">
        <f t="shared" si="19"/>
        <v>0</v>
      </c>
      <c r="M5" s="79">
        <f t="shared" si="19"/>
        <v>0</v>
      </c>
      <c r="N5" s="79">
        <f t="shared" si="19"/>
        <v>0</v>
      </c>
      <c r="O5" s="79">
        <f t="shared" si="19"/>
        <v>0</v>
      </c>
      <c r="P5" s="79">
        <f>AVERAGE(O106:P106)</f>
        <v>0</v>
      </c>
      <c r="Q5" s="79">
        <f t="shared" ref="Q5:T5" si="20">AVERAGE(P106:Q106)</f>
        <v>0</v>
      </c>
      <c r="R5" s="79">
        <f t="shared" si="20"/>
        <v>0</v>
      </c>
      <c r="S5" s="79">
        <f t="shared" si="20"/>
        <v>0</v>
      </c>
      <c r="T5" s="79">
        <f t="shared" si="20"/>
        <v>0</v>
      </c>
      <c r="U5" s="79">
        <f t="shared" ref="U5" si="21">AVERAGE(T106:U106)</f>
        <v>0</v>
      </c>
      <c r="V5" s="79">
        <f t="shared" ref="V5" si="22">AVERAGE(U106:V106)</f>
        <v>0</v>
      </c>
      <c r="W5" s="79">
        <f>AVERAGE(V106:W106)</f>
        <v>0</v>
      </c>
      <c r="X5" s="79">
        <f>AVERAGE(W106:X106)</f>
        <v>0</v>
      </c>
      <c r="Y5" s="79">
        <f>+AVERAGE(BN5:BQ5)</f>
        <v>0</v>
      </c>
      <c r="Z5" s="79">
        <f>+AVERAGE(BR5:BU5)</f>
        <v>0</v>
      </c>
      <c r="AA5" s="80">
        <f>+AVERAGE(BV5:BY5)</f>
        <v>0</v>
      </c>
      <c r="AB5" s="80" t="e">
        <f>+AVERAGE(BZ5:CC5)</f>
        <v>#DIV/0!</v>
      </c>
      <c r="AC5" s="80" t="e">
        <f>+AVERAGE(CD5:CG5)</f>
        <v>#DIV/0!</v>
      </c>
      <c r="AD5" s="80" t="e">
        <f>+AVERAGE(CH5:CK5)</f>
        <v>#DIV/0!</v>
      </c>
      <c r="AE5" s="80" t="e">
        <f>+AVERAGE(CL5:CO5)</f>
        <v>#DIV/0!</v>
      </c>
      <c r="AG5" s="82"/>
      <c r="AH5" s="79" t="e">
        <f>+AVERAGE(AG106,AE106)</f>
        <v>#DIV/0!</v>
      </c>
      <c r="AI5" s="79">
        <f>+AVERAGE(AI106,AG106)</f>
        <v>0</v>
      </c>
      <c r="AJ5" s="79">
        <f>+AVERAGE(AI106,AG106)</f>
        <v>0</v>
      </c>
      <c r="AK5" s="79">
        <f>+AVERAGE(AK106,AI106)</f>
        <v>0</v>
      </c>
      <c r="AL5" s="79">
        <f>+AVERAGE(AK106,AI106)</f>
        <v>0</v>
      </c>
      <c r="AM5" s="79">
        <f>+AVERAGE(AM106,AK106)</f>
        <v>0</v>
      </c>
      <c r="AN5" s="79">
        <f>+AVERAGE(AM106,AK106)</f>
        <v>0</v>
      </c>
      <c r="AO5" s="79">
        <f>+AVERAGE(AO106,AM106)</f>
        <v>0</v>
      </c>
      <c r="AP5" s="79">
        <f>+AVERAGE(AO106,AM106)</f>
        <v>0</v>
      </c>
      <c r="AQ5" s="79">
        <f>+AVERAGE(AQ106,AO106)</f>
        <v>0</v>
      </c>
      <c r="AR5" s="79">
        <f>+AVERAGE(AQ106,AO106)</f>
        <v>0</v>
      </c>
      <c r="AS5" s="79">
        <f>+AVERAGE(AS106,AQ106)</f>
        <v>0</v>
      </c>
      <c r="AT5" s="79">
        <f>+AVERAGE(AS106,AQ106)</f>
        <v>0</v>
      </c>
      <c r="AU5" s="79">
        <f>+AVERAGE(AU106,AS106)</f>
        <v>0</v>
      </c>
      <c r="AV5" s="79">
        <f>+AVERAGE(AU106,AS106)</f>
        <v>0</v>
      </c>
      <c r="AW5" s="79">
        <f>+AVERAGE(AW106,AU106)</f>
        <v>0</v>
      </c>
      <c r="AX5" s="79">
        <f>+AVERAGE(AW106,AU106)</f>
        <v>0</v>
      </c>
      <c r="AY5" s="79">
        <f>+AVERAGE(AY106,AW106)</f>
        <v>0</v>
      </c>
      <c r="AZ5" s="79">
        <f>+AVERAGE(AY106,AW106)</f>
        <v>0</v>
      </c>
      <c r="BA5" s="79">
        <f>+AVERAGE(BA106,AY106)</f>
        <v>0</v>
      </c>
      <c r="BB5" s="79">
        <f>+AVERAGE(BA106,AY106)</f>
        <v>0</v>
      </c>
      <c r="BC5" s="79">
        <f>+AVERAGE(BC106,BA106)</f>
        <v>0</v>
      </c>
      <c r="BD5" s="79">
        <f>+AVERAGE(BC106,BA106)</f>
        <v>0</v>
      </c>
      <c r="BE5" s="79">
        <f>+AVERAGE(BE106,BC106)</f>
        <v>0</v>
      </c>
      <c r="BF5" s="79">
        <f>+AVERAGE(BE106,BC106)</f>
        <v>0</v>
      </c>
      <c r="BG5" s="79">
        <f>+AVERAGE(BG106,BE106)</f>
        <v>0</v>
      </c>
      <c r="BH5" s="79">
        <f>+AVERAGE(BG106,BE106)</f>
        <v>0</v>
      </c>
      <c r="BI5" s="79">
        <f>+AVERAGE(BI106,BG106)</f>
        <v>0</v>
      </c>
      <c r="BJ5" s="79">
        <f>+AVERAGE(BI106,BG106)</f>
        <v>0</v>
      </c>
      <c r="BK5" s="79">
        <f>+AVERAGE(BK106,BI106)</f>
        <v>0</v>
      </c>
      <c r="BL5" s="79">
        <f>+AVERAGE(BK106,BI106)</f>
        <v>0</v>
      </c>
      <c r="BM5" s="79">
        <f>+AVERAGE(BM106,BK106)</f>
        <v>0</v>
      </c>
      <c r="BN5" s="79">
        <f>+AVERAGE(BM106,BK106)</f>
        <v>0</v>
      </c>
      <c r="BO5" s="79">
        <f>+AVERAGE(BO106,BM106)</f>
        <v>0</v>
      </c>
      <c r="BP5" s="79">
        <f>+AVERAGE(BO106,BM106)</f>
        <v>0</v>
      </c>
      <c r="BQ5" s="79">
        <f>+AVERAGE(BQ106,BO106)</f>
        <v>0</v>
      </c>
      <c r="BR5" s="79">
        <f>+AVERAGE(BQ106,BO106)</f>
        <v>0</v>
      </c>
      <c r="BS5" s="79">
        <f>+AVERAGE(BS106,BQ106)</f>
        <v>0</v>
      </c>
      <c r="BT5" s="79">
        <f>+AVERAGE(BS106,BQ106)</f>
        <v>0</v>
      </c>
      <c r="BU5" s="79">
        <f>+AVERAGE(BU106,BS106)</f>
        <v>0</v>
      </c>
      <c r="BV5" s="79">
        <f>+AVERAGE(BU106,BS106)</f>
        <v>0</v>
      </c>
      <c r="BW5" s="79">
        <f>+AVERAGE(BW106,BU106)</f>
        <v>0</v>
      </c>
      <c r="BX5" s="79">
        <f>+AVERAGE(BW106,BU106)</f>
        <v>0</v>
      </c>
      <c r="BY5" s="79">
        <f>+AVERAGE(BY106,BW106)</f>
        <v>0</v>
      </c>
      <c r="BZ5" s="80">
        <f>+AVERAGE(BY106,BW106)</f>
        <v>0</v>
      </c>
      <c r="CA5" s="80" t="e">
        <f>+AVERAGE(CA106,BY106)</f>
        <v>#DIV/0!</v>
      </c>
      <c r="CB5" s="80" t="e">
        <f>+AVERAGE(CA106,BY106)</f>
        <v>#DIV/0!</v>
      </c>
      <c r="CC5" s="80" t="e">
        <f>+AVERAGE(CC106,CA106)</f>
        <v>#DIV/0!</v>
      </c>
      <c r="CD5" s="80" t="e">
        <f>+AVERAGE(CC106,CA106)</f>
        <v>#DIV/0!</v>
      </c>
      <c r="CE5" s="80" t="e">
        <f>+AVERAGE(CE106,CC106)</f>
        <v>#DIV/0!</v>
      </c>
      <c r="CF5" s="80" t="e">
        <f>+AVERAGE(CE106,CC106)</f>
        <v>#DIV/0!</v>
      </c>
      <c r="CG5" s="80" t="e">
        <f>+AVERAGE(CG106,CE106)</f>
        <v>#DIV/0!</v>
      </c>
      <c r="CH5" s="80" t="e">
        <f>+AVERAGE(CG106,CE106)</f>
        <v>#DIV/0!</v>
      </c>
      <c r="CI5" s="80" t="e">
        <f>+AVERAGE(CI106,CG106)</f>
        <v>#DIV/0!</v>
      </c>
      <c r="CJ5" s="80" t="e">
        <f>+AVERAGE(CI106,CG106)</f>
        <v>#DIV/0!</v>
      </c>
      <c r="CK5" s="80" t="e">
        <f>+AVERAGE(CK106,CI106)</f>
        <v>#DIV/0!</v>
      </c>
      <c r="CL5" s="80" t="e">
        <f>+AVERAGE(CK106,CI106)</f>
        <v>#DIV/0!</v>
      </c>
      <c r="CM5" s="80" t="e">
        <f>+AVERAGE(CM106,CK106)</f>
        <v>#DIV/0!</v>
      </c>
      <c r="CN5" s="80" t="e">
        <f>+AVERAGE(CM106,CK106)</f>
        <v>#DIV/0!</v>
      </c>
      <c r="CO5" s="80" t="e">
        <f>+AVERAGE(CO106,CM106)</f>
        <v>#DIV/0!</v>
      </c>
    </row>
    <row r="6" spans="1:93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3" s="37" customFormat="1" x14ac:dyDescent="0.2">
      <c r="A7" s="35" t="s">
        <v>45</v>
      </c>
      <c r="B7" s="35"/>
      <c r="C7" s="35"/>
      <c r="D7" s="35" t="e">
        <f t="shared" ref="D7" si="23">+D5/C5-1</f>
        <v>#DIV/0!</v>
      </c>
      <c r="E7" s="35" t="e">
        <f t="shared" ref="E7" si="24">+E5/D5-1</f>
        <v>#DIV/0!</v>
      </c>
      <c r="F7" s="35" t="e">
        <f t="shared" ref="F7" si="25">+F5/E5-1</f>
        <v>#DIV/0!</v>
      </c>
      <c r="G7" s="35" t="e">
        <f t="shared" ref="G7" si="26">+G5/F5-1</f>
        <v>#DIV/0!</v>
      </c>
      <c r="H7" s="35" t="e">
        <f t="shared" ref="H7" si="27">+H5/G5-1</f>
        <v>#DIV/0!</v>
      </c>
      <c r="I7" s="35" t="e">
        <f t="shared" ref="I7" si="28">+I5/H5-1</f>
        <v>#DIV/0!</v>
      </c>
      <c r="J7" s="35" t="e">
        <f t="shared" ref="J7" si="29">+J5/I5-1</f>
        <v>#DIV/0!</v>
      </c>
      <c r="K7" s="35" t="e">
        <f t="shared" ref="K7" si="30">+K5/J5-1</f>
        <v>#DIV/0!</v>
      </c>
      <c r="L7" s="35" t="e">
        <f t="shared" ref="L7" si="31">+L5/K5-1</f>
        <v>#DIV/0!</v>
      </c>
      <c r="M7" s="35" t="e">
        <f t="shared" ref="M7" si="32">+M5/L5-1</f>
        <v>#DIV/0!</v>
      </c>
      <c r="N7" s="35" t="e">
        <f t="shared" ref="N7" si="33">+N5/M5-1</f>
        <v>#DIV/0!</v>
      </c>
      <c r="O7" s="35" t="e">
        <f t="shared" ref="O7" si="34">+O5/N5-1</f>
        <v>#DIV/0!</v>
      </c>
      <c r="P7" s="35" t="e">
        <f t="shared" ref="P7" si="35">+P5/O5-1</f>
        <v>#DIV/0!</v>
      </c>
      <c r="Q7" s="35" t="e">
        <f t="shared" ref="Q7" si="36">+Q5/P5-1</f>
        <v>#DIV/0!</v>
      </c>
      <c r="R7" s="35" t="e">
        <f t="shared" ref="R7" si="37">+R5/Q5-1</f>
        <v>#DIV/0!</v>
      </c>
      <c r="S7" s="35" t="e">
        <f t="shared" ref="S7" si="38">+S5/R5-1</f>
        <v>#DIV/0!</v>
      </c>
      <c r="T7" s="35" t="e">
        <f t="shared" ref="T7" si="39">+T5/S5-1</f>
        <v>#DIV/0!</v>
      </c>
      <c r="U7" s="35" t="e">
        <f t="shared" ref="U7:V7" si="40">+U5/T5-1</f>
        <v>#DIV/0!</v>
      </c>
      <c r="V7" s="35" t="e">
        <f t="shared" si="40"/>
        <v>#DIV/0!</v>
      </c>
      <c r="W7" s="35" t="e">
        <f>+W5/V5-1</f>
        <v>#DIV/0!</v>
      </c>
      <c r="X7" s="35" t="e">
        <f t="shared" ref="X7:Z7" si="41">+X5/W5-1</f>
        <v>#DIV/0!</v>
      </c>
      <c r="Y7" s="35" t="e">
        <f t="shared" si="41"/>
        <v>#DIV/0!</v>
      </c>
      <c r="Z7" s="35" t="e">
        <f t="shared" si="41"/>
        <v>#DIV/0!</v>
      </c>
      <c r="AA7" s="36" t="e">
        <f t="shared" ref="AA7" si="42">+AA5/Z5-1</f>
        <v>#DIV/0!</v>
      </c>
      <c r="AB7" s="36" t="e">
        <f t="shared" ref="AB7" si="43">+AB5/AA5-1</f>
        <v>#DIV/0!</v>
      </c>
      <c r="AC7" s="36" t="e">
        <f t="shared" ref="AC7" si="44">+AC5/AB5-1</f>
        <v>#DIV/0!</v>
      </c>
      <c r="AD7" s="36" t="e">
        <f t="shared" ref="AD7" si="45">+AD5/AC5-1</f>
        <v>#DIV/0!</v>
      </c>
      <c r="AE7" s="36" t="e">
        <f t="shared" ref="AE7" si="46">+AE5/AD5-1</f>
        <v>#DIV/0!</v>
      </c>
      <c r="AG7" s="59"/>
      <c r="AH7" s="35"/>
      <c r="AI7" s="35"/>
      <c r="AJ7" s="35"/>
      <c r="AK7" s="35"/>
      <c r="AL7" s="35" t="e">
        <f t="shared" ref="AL7" si="47">AL5/AH5-1</f>
        <v>#DIV/0!</v>
      </c>
      <c r="AM7" s="35" t="e">
        <f t="shared" ref="AM7" si="48">AM5/AI5-1</f>
        <v>#DIV/0!</v>
      </c>
      <c r="AN7" s="35" t="e">
        <f t="shared" ref="AN7" si="49">AN5/AJ5-1</f>
        <v>#DIV/0!</v>
      </c>
      <c r="AO7" s="35" t="e">
        <f t="shared" ref="AO7" si="50">AO5/AK5-1</f>
        <v>#DIV/0!</v>
      </c>
      <c r="AP7" s="35" t="e">
        <f t="shared" ref="AP7" si="51">AP5/AL5-1</f>
        <v>#DIV/0!</v>
      </c>
      <c r="AQ7" s="35" t="e">
        <f t="shared" ref="AQ7" si="52">AQ5/AM5-1</f>
        <v>#DIV/0!</v>
      </c>
      <c r="AR7" s="35" t="e">
        <f t="shared" ref="AR7" si="53">AR5/AN5-1</f>
        <v>#DIV/0!</v>
      </c>
      <c r="AS7" s="35" t="e">
        <f t="shared" ref="AS7" si="54">AS5/AO5-1</f>
        <v>#DIV/0!</v>
      </c>
      <c r="AT7" s="35" t="e">
        <f t="shared" ref="AT7" si="55">AT5/AP5-1</f>
        <v>#DIV/0!</v>
      </c>
      <c r="AU7" s="35" t="e">
        <f t="shared" ref="AU7" si="56">AU5/AQ5-1</f>
        <v>#DIV/0!</v>
      </c>
      <c r="AV7" s="35" t="e">
        <f t="shared" ref="AV7" si="57">AV5/AR5-1</f>
        <v>#DIV/0!</v>
      </c>
      <c r="AW7" s="35" t="e">
        <f t="shared" ref="AW7" si="58">AW5/AS5-1</f>
        <v>#DIV/0!</v>
      </c>
      <c r="AX7" s="35" t="e">
        <f t="shared" ref="AX7" si="59">AX5/AT5-1</f>
        <v>#DIV/0!</v>
      </c>
      <c r="AY7" s="35" t="e">
        <f t="shared" ref="AY7" si="60">AY5/AU5-1</f>
        <v>#DIV/0!</v>
      </c>
      <c r="AZ7" s="35" t="e">
        <f t="shared" ref="AZ7" si="61">AZ5/AV5-1</f>
        <v>#DIV/0!</v>
      </c>
      <c r="BA7" s="35" t="e">
        <f t="shared" ref="BA7:BB7" si="62">BA5/AW5-1</f>
        <v>#DIV/0!</v>
      </c>
      <c r="BB7" s="35" t="e">
        <f t="shared" si="62"/>
        <v>#DIV/0!</v>
      </c>
      <c r="BC7" s="35" t="e">
        <f t="shared" ref="BC7" si="63">BC5/AY5-1</f>
        <v>#DIV/0!</v>
      </c>
      <c r="BD7" s="35" t="e">
        <f t="shared" ref="BD7" si="64">BD5/AZ5-1</f>
        <v>#DIV/0!</v>
      </c>
      <c r="BE7" s="35" t="e">
        <f t="shared" ref="BE7" si="65">BE5/BA5-1</f>
        <v>#DIV/0!</v>
      </c>
      <c r="BF7" s="35" t="e">
        <f t="shared" ref="BF7:BH7" si="66">BF5/BB5-1</f>
        <v>#DIV/0!</v>
      </c>
      <c r="BG7" s="35" t="e">
        <f t="shared" si="66"/>
        <v>#DIV/0!</v>
      </c>
      <c r="BH7" s="35" t="e">
        <f t="shared" si="66"/>
        <v>#DIV/0!</v>
      </c>
      <c r="BI7" s="35" t="e">
        <f t="shared" ref="BI7" si="67">BI5/BE5-1</f>
        <v>#DIV/0!</v>
      </c>
      <c r="BJ7" s="35" t="e">
        <f t="shared" ref="BJ7:BK7" si="68">BJ5/BF5-1</f>
        <v>#DIV/0!</v>
      </c>
      <c r="BK7" s="35" t="e">
        <f t="shared" si="68"/>
        <v>#DIV/0!</v>
      </c>
      <c r="BL7" s="35" t="e">
        <f t="shared" ref="BL7" si="69">BL5/BH5-1</f>
        <v>#DIV/0!</v>
      </c>
      <c r="BM7" s="35" t="e">
        <f t="shared" ref="BM7" si="70">BM5/BI5-1</f>
        <v>#DIV/0!</v>
      </c>
      <c r="BN7" s="35" t="e">
        <f t="shared" ref="BN7" si="71">BN5/BJ5-1</f>
        <v>#DIV/0!</v>
      </c>
      <c r="BO7" s="35" t="e">
        <f t="shared" ref="BO7" si="72">BO5/BK5-1</f>
        <v>#DIV/0!</v>
      </c>
      <c r="BP7" s="35" t="e">
        <f t="shared" ref="BP7" si="73">BP5/BL5-1</f>
        <v>#DIV/0!</v>
      </c>
      <c r="BQ7" s="35" t="e">
        <f t="shared" ref="BQ7" si="74">BQ5/BM5-1</f>
        <v>#DIV/0!</v>
      </c>
      <c r="BR7" s="35" t="e">
        <f t="shared" ref="BR7" si="75">BR5/BN5-1</f>
        <v>#DIV/0!</v>
      </c>
      <c r="BS7" s="35" t="e">
        <f t="shared" ref="BS7" si="76">BS5/BO5-1</f>
        <v>#DIV/0!</v>
      </c>
      <c r="BT7" s="35" t="e">
        <f t="shared" ref="BT7:BU7" si="77">BT5/BP5-1</f>
        <v>#DIV/0!</v>
      </c>
      <c r="BU7" s="35" t="e">
        <f t="shared" si="77"/>
        <v>#DIV/0!</v>
      </c>
      <c r="BV7" s="35" t="e">
        <f t="shared" ref="BV7:BY7" si="78">BV5/BR5-1</f>
        <v>#DIV/0!</v>
      </c>
      <c r="BW7" s="35" t="e">
        <f t="shared" si="78"/>
        <v>#DIV/0!</v>
      </c>
      <c r="BX7" s="35" t="e">
        <f t="shared" si="78"/>
        <v>#DIV/0!</v>
      </c>
      <c r="BY7" s="35" t="e">
        <f t="shared" si="78"/>
        <v>#DIV/0!</v>
      </c>
      <c r="BZ7" s="85" t="e">
        <f t="shared" ref="BZ7" si="79">BZ5/BV5-1</f>
        <v>#DIV/0!</v>
      </c>
      <c r="CA7" s="85" t="e">
        <f t="shared" ref="CA7" si="80">CA5/BW5-1</f>
        <v>#DIV/0!</v>
      </c>
      <c r="CB7" s="85" t="e">
        <f t="shared" ref="CB7" si="81">CB5/BX5-1</f>
        <v>#DIV/0!</v>
      </c>
      <c r="CC7" s="85" t="e">
        <f t="shared" ref="CC7" si="82">CC5/BY5-1</f>
        <v>#DIV/0!</v>
      </c>
      <c r="CD7" s="85" t="e">
        <f t="shared" ref="CD7" si="83">CD5/BZ5-1</f>
        <v>#DIV/0!</v>
      </c>
      <c r="CE7" s="85" t="e">
        <f t="shared" ref="CE7" si="84">CE5/CA5-1</f>
        <v>#DIV/0!</v>
      </c>
      <c r="CF7" s="85" t="e">
        <f t="shared" ref="CF7" si="85">CF5/CB5-1</f>
        <v>#DIV/0!</v>
      </c>
      <c r="CG7" s="85" t="e">
        <f t="shared" ref="CG7" si="86">CG5/CC5-1</f>
        <v>#DIV/0!</v>
      </c>
      <c r="CH7" s="85" t="e">
        <f t="shared" ref="CH7" si="87">CH5/CD5-1</f>
        <v>#DIV/0!</v>
      </c>
      <c r="CI7" s="85" t="e">
        <f t="shared" ref="CI7" si="88">CI5/CE5-1</f>
        <v>#DIV/0!</v>
      </c>
      <c r="CJ7" s="85" t="e">
        <f t="shared" ref="CJ7" si="89">CJ5/CF5-1</f>
        <v>#DIV/0!</v>
      </c>
      <c r="CK7" s="85" t="e">
        <f t="shared" ref="CK7" si="90">CK5/CG5-1</f>
        <v>#DIV/0!</v>
      </c>
      <c r="CL7" s="85" t="e">
        <f t="shared" ref="CL7" si="91">CL5/CH5-1</f>
        <v>#DIV/0!</v>
      </c>
      <c r="CM7" s="85" t="e">
        <f t="shared" ref="CM7" si="92">CM5/CI5-1</f>
        <v>#DIV/0!</v>
      </c>
      <c r="CN7" s="85" t="e">
        <f t="shared" ref="CN7" si="93">CN5/CJ5-1</f>
        <v>#DIV/0!</v>
      </c>
      <c r="CO7" s="85" t="e">
        <f t="shared" ref="CO7" si="94">CO5/CK5-1</f>
        <v>#DIV/0!</v>
      </c>
    </row>
    <row r="8" spans="1:93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 s="76" customFormat="1" x14ac:dyDescent="0.2">
      <c r="A9" s="75" t="s">
        <v>25</v>
      </c>
      <c r="B9" s="75"/>
      <c r="C9" s="75"/>
      <c r="D9" s="75" t="e">
        <f t="shared" ref="D9:AE9" si="95">D105/D97</f>
        <v>#DIV/0!</v>
      </c>
      <c r="E9" s="75" t="e">
        <f t="shared" si="95"/>
        <v>#DIV/0!</v>
      </c>
      <c r="F9" s="75" t="e">
        <f t="shared" si="95"/>
        <v>#DIV/0!</v>
      </c>
      <c r="G9" s="75" t="e">
        <f t="shared" si="95"/>
        <v>#DIV/0!</v>
      </c>
      <c r="H9" s="75" t="e">
        <f t="shared" si="95"/>
        <v>#DIV/0!</v>
      </c>
      <c r="I9" s="75" t="e">
        <f t="shared" si="95"/>
        <v>#DIV/0!</v>
      </c>
      <c r="J9" s="75" t="e">
        <f t="shared" si="95"/>
        <v>#DIV/0!</v>
      </c>
      <c r="K9" s="75" t="e">
        <f t="shared" si="95"/>
        <v>#DIV/0!</v>
      </c>
      <c r="L9" s="75" t="e">
        <f t="shared" si="95"/>
        <v>#DIV/0!</v>
      </c>
      <c r="M9" s="75" t="e">
        <f t="shared" si="95"/>
        <v>#DIV/0!</v>
      </c>
      <c r="N9" s="75" t="e">
        <f t="shared" si="95"/>
        <v>#DIV/0!</v>
      </c>
      <c r="O9" s="75" t="e">
        <f t="shared" si="95"/>
        <v>#DIV/0!</v>
      </c>
      <c r="P9" s="75" t="e">
        <f t="shared" si="95"/>
        <v>#DIV/0!</v>
      </c>
      <c r="Q9" s="75" t="e">
        <f t="shared" si="95"/>
        <v>#DIV/0!</v>
      </c>
      <c r="R9" s="75" t="e">
        <f t="shared" si="95"/>
        <v>#DIV/0!</v>
      </c>
      <c r="S9" s="75" t="e">
        <f t="shared" si="95"/>
        <v>#DIV/0!</v>
      </c>
      <c r="T9" s="75" t="e">
        <f t="shared" si="95"/>
        <v>#DIV/0!</v>
      </c>
      <c r="U9" s="75" t="e">
        <f t="shared" si="95"/>
        <v>#DIV/0!</v>
      </c>
      <c r="V9" s="75" t="e">
        <f t="shared" si="95"/>
        <v>#DIV/0!</v>
      </c>
      <c r="W9" s="75" t="e">
        <f t="shared" si="95"/>
        <v>#DIV/0!</v>
      </c>
      <c r="X9" s="75" t="e">
        <f t="shared" si="95"/>
        <v>#DIV/0!</v>
      </c>
      <c r="Y9" s="75" t="e">
        <f t="shared" si="95"/>
        <v>#DIV/0!</v>
      </c>
      <c r="Z9" s="75" t="e">
        <f t="shared" si="95"/>
        <v>#DIV/0!</v>
      </c>
      <c r="AA9" s="15" t="e">
        <f t="shared" si="95"/>
        <v>#DIV/0!</v>
      </c>
      <c r="AB9" s="15" t="e">
        <f t="shared" si="95"/>
        <v>#DIV/0!</v>
      </c>
      <c r="AC9" s="15" t="e">
        <f t="shared" si="95"/>
        <v>#DIV/0!</v>
      </c>
      <c r="AD9" s="15" t="e">
        <f t="shared" si="95"/>
        <v>#DIV/0!</v>
      </c>
      <c r="AE9" s="15" t="e">
        <f t="shared" si="95"/>
        <v>#DIV/0!</v>
      </c>
      <c r="AG9" s="77"/>
      <c r="AH9" s="14" t="e">
        <f t="shared" ref="AH9:BM9" si="96">AH105/AH97</f>
        <v>#DIV/0!</v>
      </c>
      <c r="AI9" s="14" t="e">
        <f t="shared" si="96"/>
        <v>#DIV/0!</v>
      </c>
      <c r="AJ9" s="14" t="e">
        <f t="shared" si="96"/>
        <v>#DIV/0!</v>
      </c>
      <c r="AK9" s="14" t="e">
        <f t="shared" si="96"/>
        <v>#DIV/0!</v>
      </c>
      <c r="AL9" s="14" t="e">
        <f t="shared" si="96"/>
        <v>#DIV/0!</v>
      </c>
      <c r="AM9" s="14" t="e">
        <f t="shared" si="96"/>
        <v>#DIV/0!</v>
      </c>
      <c r="AN9" s="14" t="e">
        <f t="shared" si="96"/>
        <v>#DIV/0!</v>
      </c>
      <c r="AO9" s="14" t="e">
        <f t="shared" si="96"/>
        <v>#DIV/0!</v>
      </c>
      <c r="AP9" s="14" t="e">
        <f t="shared" si="96"/>
        <v>#DIV/0!</v>
      </c>
      <c r="AQ9" s="14" t="e">
        <f t="shared" si="96"/>
        <v>#DIV/0!</v>
      </c>
      <c r="AR9" s="14" t="e">
        <f t="shared" si="96"/>
        <v>#DIV/0!</v>
      </c>
      <c r="AS9" s="14" t="e">
        <f t="shared" si="96"/>
        <v>#DIV/0!</v>
      </c>
      <c r="AT9" s="14" t="e">
        <f t="shared" si="96"/>
        <v>#DIV/0!</v>
      </c>
      <c r="AU9" s="14" t="e">
        <f t="shared" si="96"/>
        <v>#DIV/0!</v>
      </c>
      <c r="AV9" s="14" t="e">
        <f t="shared" si="96"/>
        <v>#DIV/0!</v>
      </c>
      <c r="AW9" s="14" t="e">
        <f t="shared" si="96"/>
        <v>#DIV/0!</v>
      </c>
      <c r="AX9" s="14" t="e">
        <f t="shared" si="96"/>
        <v>#DIV/0!</v>
      </c>
      <c r="AY9" s="14" t="e">
        <f t="shared" si="96"/>
        <v>#DIV/0!</v>
      </c>
      <c r="AZ9" s="14" t="e">
        <f t="shared" si="96"/>
        <v>#DIV/0!</v>
      </c>
      <c r="BA9" s="14" t="e">
        <f t="shared" si="96"/>
        <v>#DIV/0!</v>
      </c>
      <c r="BB9" s="14" t="e">
        <f t="shared" si="96"/>
        <v>#DIV/0!</v>
      </c>
      <c r="BC9" s="14" t="e">
        <f t="shared" si="96"/>
        <v>#DIV/0!</v>
      </c>
      <c r="BD9" s="14" t="e">
        <f t="shared" si="96"/>
        <v>#DIV/0!</v>
      </c>
      <c r="BE9" s="14" t="e">
        <f t="shared" si="96"/>
        <v>#DIV/0!</v>
      </c>
      <c r="BF9" s="14" t="e">
        <f t="shared" si="96"/>
        <v>#DIV/0!</v>
      </c>
      <c r="BG9" s="14" t="e">
        <f t="shared" si="96"/>
        <v>#DIV/0!</v>
      </c>
      <c r="BH9" s="14" t="e">
        <f t="shared" si="96"/>
        <v>#DIV/0!</v>
      </c>
      <c r="BI9" s="14" t="e">
        <f t="shared" si="96"/>
        <v>#DIV/0!</v>
      </c>
      <c r="BJ9" s="14" t="e">
        <f t="shared" si="96"/>
        <v>#DIV/0!</v>
      </c>
      <c r="BK9" s="14" t="e">
        <f t="shared" si="96"/>
        <v>#DIV/0!</v>
      </c>
      <c r="BL9" s="14" t="e">
        <f t="shared" si="96"/>
        <v>#DIV/0!</v>
      </c>
      <c r="BM9" s="14" t="e">
        <f t="shared" si="96"/>
        <v>#DIV/0!</v>
      </c>
      <c r="BN9" s="14" t="e">
        <f t="shared" ref="BN9:CO9" si="97">BN105/BN97</f>
        <v>#DIV/0!</v>
      </c>
      <c r="BO9" s="14" t="e">
        <f t="shared" si="97"/>
        <v>#DIV/0!</v>
      </c>
      <c r="BP9" s="14" t="e">
        <f t="shared" si="97"/>
        <v>#DIV/0!</v>
      </c>
      <c r="BQ9" s="14" t="e">
        <f t="shared" si="97"/>
        <v>#DIV/0!</v>
      </c>
      <c r="BR9" s="14" t="e">
        <f t="shared" si="97"/>
        <v>#DIV/0!</v>
      </c>
      <c r="BS9" s="14" t="e">
        <f t="shared" si="97"/>
        <v>#DIV/0!</v>
      </c>
      <c r="BT9" s="14" t="e">
        <f t="shared" si="97"/>
        <v>#DIV/0!</v>
      </c>
      <c r="BU9" s="14" t="e">
        <f t="shared" si="97"/>
        <v>#DIV/0!</v>
      </c>
      <c r="BV9" s="14" t="e">
        <f t="shared" si="97"/>
        <v>#DIV/0!</v>
      </c>
      <c r="BW9" s="14" t="e">
        <f t="shared" si="97"/>
        <v>#DIV/0!</v>
      </c>
      <c r="BX9" s="14" t="e">
        <f t="shared" si="97"/>
        <v>#DIV/0!</v>
      </c>
      <c r="BY9" s="14" t="e">
        <f t="shared" ref="BY9" si="98">BY105/BY97</f>
        <v>#DIV/0!</v>
      </c>
      <c r="BZ9" s="78" t="e">
        <f t="shared" si="97"/>
        <v>#DIV/0!</v>
      </c>
      <c r="CA9" s="78" t="e">
        <f t="shared" si="97"/>
        <v>#DIV/0!</v>
      </c>
      <c r="CB9" s="78" t="e">
        <f t="shared" si="97"/>
        <v>#DIV/0!</v>
      </c>
      <c r="CC9" s="78" t="e">
        <f t="shared" si="97"/>
        <v>#DIV/0!</v>
      </c>
      <c r="CD9" s="78" t="e">
        <f t="shared" si="97"/>
        <v>#DIV/0!</v>
      </c>
      <c r="CE9" s="78" t="e">
        <f t="shared" si="97"/>
        <v>#DIV/0!</v>
      </c>
      <c r="CF9" s="78" t="e">
        <f t="shared" si="97"/>
        <v>#DIV/0!</v>
      </c>
      <c r="CG9" s="78" t="e">
        <f t="shared" si="97"/>
        <v>#DIV/0!</v>
      </c>
      <c r="CH9" s="78" t="e">
        <f t="shared" si="97"/>
        <v>#DIV/0!</v>
      </c>
      <c r="CI9" s="78" t="e">
        <f t="shared" si="97"/>
        <v>#DIV/0!</v>
      </c>
      <c r="CJ9" s="78" t="e">
        <f t="shared" si="97"/>
        <v>#DIV/0!</v>
      </c>
      <c r="CK9" s="78" t="e">
        <f t="shared" si="97"/>
        <v>#DIV/0!</v>
      </c>
      <c r="CL9" s="78" t="e">
        <f t="shared" si="97"/>
        <v>#DIV/0!</v>
      </c>
      <c r="CM9" s="78" t="e">
        <f t="shared" si="97"/>
        <v>#DIV/0!</v>
      </c>
      <c r="CN9" s="78" t="e">
        <f t="shared" si="97"/>
        <v>#DIV/0!</v>
      </c>
      <c r="CO9" s="78" t="e">
        <f t="shared" si="97"/>
        <v>#DIV/0!</v>
      </c>
    </row>
    <row r="10" spans="1:93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3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3" s="93" customFormat="1" x14ac:dyDescent="0.2">
      <c r="A12" s="27" t="s">
        <v>7</v>
      </c>
      <c r="B12" s="27"/>
      <c r="C12" s="27"/>
      <c r="D12" s="91" t="e">
        <f t="shared" ref="D12" si="99">D27/C5</f>
        <v>#DIV/0!</v>
      </c>
      <c r="E12" s="91" t="e">
        <f t="shared" ref="E12" si="100">E27/D5</f>
        <v>#DIV/0!</v>
      </c>
      <c r="F12" s="91" t="e">
        <f t="shared" ref="F12" si="101">F27/E5</f>
        <v>#DIV/0!</v>
      </c>
      <c r="G12" s="91" t="e">
        <f t="shared" ref="G12" si="102">G27/F5</f>
        <v>#DIV/0!</v>
      </c>
      <c r="H12" s="91" t="e">
        <f t="shared" ref="H12" si="103">H27/G5</f>
        <v>#DIV/0!</v>
      </c>
      <c r="I12" s="91" t="e">
        <f t="shared" ref="I12" si="104">I27/H5</f>
        <v>#DIV/0!</v>
      </c>
      <c r="J12" s="91" t="e">
        <f t="shared" ref="J12" si="105">J27/I5</f>
        <v>#DIV/0!</v>
      </c>
      <c r="K12" s="91" t="e">
        <f t="shared" ref="K12" si="106">K27/J5</f>
        <v>#DIV/0!</v>
      </c>
      <c r="L12" s="91" t="e">
        <f t="shared" ref="L12" si="107">L27/K5</f>
        <v>#DIV/0!</v>
      </c>
      <c r="M12" s="91" t="e">
        <f t="shared" ref="M12" si="108">M27/L5</f>
        <v>#DIV/0!</v>
      </c>
      <c r="N12" s="91" t="e">
        <f t="shared" ref="N12" si="109">N27/M5</f>
        <v>#DIV/0!</v>
      </c>
      <c r="O12" s="91" t="e">
        <f t="shared" ref="O12" si="110">O27/N5</f>
        <v>#DIV/0!</v>
      </c>
      <c r="P12" s="91" t="e">
        <f t="shared" ref="P12:Z12" si="111">P27/O5</f>
        <v>#DIV/0!</v>
      </c>
      <c r="Q12" s="91" t="e">
        <f t="shared" si="111"/>
        <v>#DIV/0!</v>
      </c>
      <c r="R12" s="91" t="e">
        <f t="shared" si="111"/>
        <v>#DIV/0!</v>
      </c>
      <c r="S12" s="91" t="e">
        <f t="shared" si="111"/>
        <v>#DIV/0!</v>
      </c>
      <c r="T12" s="91" t="e">
        <f t="shared" si="111"/>
        <v>#DIV/0!</v>
      </c>
      <c r="U12" s="91" t="e">
        <f t="shared" si="111"/>
        <v>#DIV/0!</v>
      </c>
      <c r="V12" s="91" t="e">
        <f t="shared" si="111"/>
        <v>#DIV/0!</v>
      </c>
      <c r="W12" s="91" t="e">
        <f t="shared" si="111"/>
        <v>#DIV/0!</v>
      </c>
      <c r="X12" s="91" t="e">
        <f t="shared" si="111"/>
        <v>#DIV/0!</v>
      </c>
      <c r="Y12" s="91" t="e">
        <f t="shared" si="111"/>
        <v>#DIV/0!</v>
      </c>
      <c r="Z12" s="91" t="e">
        <f t="shared" si="111"/>
        <v>#DIV/0!</v>
      </c>
      <c r="AA12" s="92" t="e">
        <f t="shared" ref="AA12" si="112">AA27/Z5</f>
        <v>#DIV/0!</v>
      </c>
      <c r="AB12" s="92" t="e">
        <f t="shared" ref="AB12" si="113">AB27/AA5</f>
        <v>#DIV/0!</v>
      </c>
      <c r="AC12" s="92" t="e">
        <f t="shared" ref="AC12" si="114">AC27/AB5</f>
        <v>#DIV/0!</v>
      </c>
      <c r="AD12" s="92" t="e">
        <f t="shared" ref="AD12" si="115">AD27/AC5</f>
        <v>#DIV/0!</v>
      </c>
      <c r="AE12" s="92" t="e">
        <f t="shared" ref="AE12" si="116">AE27/AD5</f>
        <v>#DIV/0!</v>
      </c>
      <c r="AG12" s="65"/>
      <c r="AH12" s="91"/>
      <c r="AI12" s="91" t="e">
        <f t="shared" ref="AI12:AJ12" si="117">AI27/AH5</f>
        <v>#DIV/0!</v>
      </c>
      <c r="AJ12" s="91" t="e">
        <f t="shared" si="117"/>
        <v>#DIV/0!</v>
      </c>
      <c r="AK12" s="91" t="e">
        <f t="shared" ref="AK12" si="118">AK27/AJ5</f>
        <v>#DIV/0!</v>
      </c>
      <c r="AL12" s="91" t="e">
        <f t="shared" ref="AL12" si="119">AL27/AK5</f>
        <v>#DIV/0!</v>
      </c>
      <c r="AM12" s="91" t="e">
        <f t="shared" ref="AM12" si="120">AM27/AL5</f>
        <v>#DIV/0!</v>
      </c>
      <c r="AN12" s="91" t="e">
        <f t="shared" ref="AN12" si="121">AN27/AM5</f>
        <v>#DIV/0!</v>
      </c>
      <c r="AO12" s="91" t="e">
        <f t="shared" ref="AO12" si="122">AO27/AN5</f>
        <v>#DIV/0!</v>
      </c>
      <c r="AP12" s="91" t="e">
        <f t="shared" ref="AP12" si="123">AP27/AO5</f>
        <v>#DIV/0!</v>
      </c>
      <c r="AQ12" s="91" t="e">
        <f t="shared" ref="AQ12" si="124">AQ27/AP5</f>
        <v>#DIV/0!</v>
      </c>
      <c r="AR12" s="91" t="e">
        <f t="shared" ref="AR12" si="125">AR27/AQ5</f>
        <v>#DIV/0!</v>
      </c>
      <c r="AS12" s="91" t="e">
        <f t="shared" ref="AS12" si="126">AS27/AR5</f>
        <v>#DIV/0!</v>
      </c>
      <c r="AT12" s="91" t="e">
        <f t="shared" ref="AT12:BY12" si="127">AT27/AS5</f>
        <v>#DIV/0!</v>
      </c>
      <c r="AU12" s="91" t="e">
        <f t="shared" si="127"/>
        <v>#DIV/0!</v>
      </c>
      <c r="AV12" s="91" t="e">
        <f t="shared" si="127"/>
        <v>#DIV/0!</v>
      </c>
      <c r="AW12" s="91" t="e">
        <f t="shared" si="127"/>
        <v>#DIV/0!</v>
      </c>
      <c r="AX12" s="91" t="e">
        <f t="shared" si="127"/>
        <v>#DIV/0!</v>
      </c>
      <c r="AY12" s="91" t="e">
        <f t="shared" si="127"/>
        <v>#DIV/0!</v>
      </c>
      <c r="AZ12" s="91" t="e">
        <f t="shared" si="127"/>
        <v>#DIV/0!</v>
      </c>
      <c r="BA12" s="91" t="e">
        <f t="shared" si="127"/>
        <v>#DIV/0!</v>
      </c>
      <c r="BB12" s="91" t="e">
        <f t="shared" si="127"/>
        <v>#DIV/0!</v>
      </c>
      <c r="BC12" s="91" t="e">
        <f t="shared" si="127"/>
        <v>#DIV/0!</v>
      </c>
      <c r="BD12" s="91" t="e">
        <f t="shared" si="127"/>
        <v>#DIV/0!</v>
      </c>
      <c r="BE12" s="91" t="e">
        <f t="shared" si="127"/>
        <v>#DIV/0!</v>
      </c>
      <c r="BF12" s="91" t="e">
        <f t="shared" si="127"/>
        <v>#DIV/0!</v>
      </c>
      <c r="BG12" s="91" t="e">
        <f t="shared" si="127"/>
        <v>#DIV/0!</v>
      </c>
      <c r="BH12" s="91" t="e">
        <f t="shared" si="127"/>
        <v>#DIV/0!</v>
      </c>
      <c r="BI12" s="91" t="e">
        <f t="shared" si="127"/>
        <v>#DIV/0!</v>
      </c>
      <c r="BJ12" s="91" t="e">
        <f t="shared" si="127"/>
        <v>#DIV/0!</v>
      </c>
      <c r="BK12" s="91" t="e">
        <f t="shared" si="127"/>
        <v>#DIV/0!</v>
      </c>
      <c r="BL12" s="91" t="e">
        <f t="shared" si="127"/>
        <v>#DIV/0!</v>
      </c>
      <c r="BM12" s="91" t="e">
        <f t="shared" si="127"/>
        <v>#DIV/0!</v>
      </c>
      <c r="BN12" s="91" t="e">
        <f t="shared" si="127"/>
        <v>#DIV/0!</v>
      </c>
      <c r="BO12" s="91" t="e">
        <f t="shared" si="127"/>
        <v>#DIV/0!</v>
      </c>
      <c r="BP12" s="91" t="e">
        <f t="shared" si="127"/>
        <v>#DIV/0!</v>
      </c>
      <c r="BQ12" s="91" t="e">
        <f t="shared" si="127"/>
        <v>#DIV/0!</v>
      </c>
      <c r="BR12" s="91" t="e">
        <f t="shared" si="127"/>
        <v>#DIV/0!</v>
      </c>
      <c r="BS12" s="91" t="e">
        <f t="shared" si="127"/>
        <v>#DIV/0!</v>
      </c>
      <c r="BT12" s="91" t="e">
        <f t="shared" si="127"/>
        <v>#DIV/0!</v>
      </c>
      <c r="BU12" s="91" t="e">
        <f t="shared" si="127"/>
        <v>#DIV/0!</v>
      </c>
      <c r="BV12" s="91" t="e">
        <f t="shared" si="127"/>
        <v>#DIV/0!</v>
      </c>
      <c r="BW12" s="91" t="e">
        <f t="shared" si="127"/>
        <v>#DIV/0!</v>
      </c>
      <c r="BX12" s="91" t="e">
        <f t="shared" si="127"/>
        <v>#DIV/0!</v>
      </c>
      <c r="BY12" s="91" t="e">
        <f t="shared" si="127"/>
        <v>#DIV/0!</v>
      </c>
      <c r="BZ12" s="16" t="e">
        <f t="shared" ref="BZ12:CG13" si="128">+AVERAGE(BV12:BY12)</f>
        <v>#DIV/0!</v>
      </c>
      <c r="CA12" s="16" t="e">
        <f t="shared" si="128"/>
        <v>#DIV/0!</v>
      </c>
      <c r="CB12" s="16" t="e">
        <f t="shared" si="128"/>
        <v>#DIV/0!</v>
      </c>
      <c r="CC12" s="16" t="e">
        <f t="shared" si="128"/>
        <v>#DIV/0!</v>
      </c>
      <c r="CD12" s="16" t="e">
        <f t="shared" si="128"/>
        <v>#DIV/0!</v>
      </c>
      <c r="CE12" s="16" t="e">
        <f t="shared" si="128"/>
        <v>#DIV/0!</v>
      </c>
      <c r="CF12" s="16" t="e">
        <f t="shared" si="128"/>
        <v>#DIV/0!</v>
      </c>
      <c r="CG12" s="16" t="e">
        <f t="shared" si="128"/>
        <v>#DIV/0!</v>
      </c>
      <c r="CH12" s="16" t="e">
        <f t="shared" ref="CH12:CO13" si="129">+AVERAGE(CD12:CG12)</f>
        <v>#DIV/0!</v>
      </c>
      <c r="CI12" s="16" t="e">
        <f t="shared" si="129"/>
        <v>#DIV/0!</v>
      </c>
      <c r="CJ12" s="16" t="e">
        <f t="shared" si="129"/>
        <v>#DIV/0!</v>
      </c>
      <c r="CK12" s="16" t="e">
        <f t="shared" si="129"/>
        <v>#DIV/0!</v>
      </c>
      <c r="CL12" s="16" t="e">
        <f t="shared" si="129"/>
        <v>#DIV/0!</v>
      </c>
      <c r="CM12" s="16" t="e">
        <f t="shared" si="129"/>
        <v>#DIV/0!</v>
      </c>
      <c r="CN12" s="16" t="e">
        <f t="shared" si="129"/>
        <v>#DIV/0!</v>
      </c>
      <c r="CO12" s="16" t="e">
        <f t="shared" si="129"/>
        <v>#DIV/0!</v>
      </c>
    </row>
    <row r="13" spans="1:93" s="93" customFormat="1" x14ac:dyDescent="0.2">
      <c r="A13" s="27" t="s">
        <v>26</v>
      </c>
      <c r="B13" s="27"/>
      <c r="C13" s="27"/>
      <c r="D13" s="91" t="e">
        <f t="shared" ref="D13" si="130">D28/C5</f>
        <v>#DIV/0!</v>
      </c>
      <c r="E13" s="91" t="e">
        <f t="shared" ref="E13" si="131">E28/D5</f>
        <v>#DIV/0!</v>
      </c>
      <c r="F13" s="91" t="e">
        <f t="shared" ref="F13" si="132">F28/E5</f>
        <v>#DIV/0!</v>
      </c>
      <c r="G13" s="91" t="e">
        <f t="shared" ref="G13" si="133">G28/F5</f>
        <v>#DIV/0!</v>
      </c>
      <c r="H13" s="91" t="e">
        <f t="shared" ref="H13" si="134">H28/G5</f>
        <v>#DIV/0!</v>
      </c>
      <c r="I13" s="91" t="e">
        <f t="shared" ref="I13" si="135">I28/H5</f>
        <v>#DIV/0!</v>
      </c>
      <c r="J13" s="91" t="e">
        <f t="shared" ref="J13" si="136">J28/I5</f>
        <v>#DIV/0!</v>
      </c>
      <c r="K13" s="91" t="e">
        <f t="shared" ref="K13" si="137">K28/J5</f>
        <v>#DIV/0!</v>
      </c>
      <c r="L13" s="91" t="e">
        <f t="shared" ref="L13" si="138">L28/K5</f>
        <v>#DIV/0!</v>
      </c>
      <c r="M13" s="91" t="e">
        <f t="shared" ref="M13" si="139">M28/L5</f>
        <v>#DIV/0!</v>
      </c>
      <c r="N13" s="91" t="e">
        <f t="shared" ref="N13" si="140">N28/M5</f>
        <v>#DIV/0!</v>
      </c>
      <c r="O13" s="91" t="e">
        <f t="shared" ref="O13" si="141">O28/N5</f>
        <v>#DIV/0!</v>
      </c>
      <c r="P13" s="91" t="e">
        <f t="shared" ref="P13:Z13" si="142">P28/O5</f>
        <v>#DIV/0!</v>
      </c>
      <c r="Q13" s="91" t="e">
        <f t="shared" si="142"/>
        <v>#DIV/0!</v>
      </c>
      <c r="R13" s="91" t="e">
        <f t="shared" si="142"/>
        <v>#DIV/0!</v>
      </c>
      <c r="S13" s="91" t="e">
        <f t="shared" si="142"/>
        <v>#DIV/0!</v>
      </c>
      <c r="T13" s="91" t="e">
        <f t="shared" si="142"/>
        <v>#DIV/0!</v>
      </c>
      <c r="U13" s="91" t="e">
        <f t="shared" si="142"/>
        <v>#DIV/0!</v>
      </c>
      <c r="V13" s="91" t="e">
        <f t="shared" si="142"/>
        <v>#DIV/0!</v>
      </c>
      <c r="W13" s="91" t="e">
        <f t="shared" si="142"/>
        <v>#DIV/0!</v>
      </c>
      <c r="X13" s="91" t="e">
        <f t="shared" si="142"/>
        <v>#DIV/0!</v>
      </c>
      <c r="Y13" s="91" t="e">
        <f t="shared" si="142"/>
        <v>#DIV/0!</v>
      </c>
      <c r="Z13" s="91" t="e">
        <f t="shared" si="142"/>
        <v>#DIV/0!</v>
      </c>
      <c r="AA13" s="92" t="e">
        <f t="shared" ref="AA13" si="143">AA28/Z5</f>
        <v>#DIV/0!</v>
      </c>
      <c r="AB13" s="92" t="e">
        <f t="shared" ref="AB13" si="144">AB28/AA5</f>
        <v>#DIV/0!</v>
      </c>
      <c r="AC13" s="92" t="e">
        <f t="shared" ref="AC13" si="145">AC28/AB5</f>
        <v>#DIV/0!</v>
      </c>
      <c r="AD13" s="92" t="e">
        <f t="shared" ref="AD13" si="146">AD28/AC5</f>
        <v>#DIV/0!</v>
      </c>
      <c r="AE13" s="92" t="e">
        <f t="shared" ref="AE13" si="147">AE28/AD5</f>
        <v>#DIV/0!</v>
      </c>
      <c r="AG13" s="65"/>
      <c r="AH13" s="91"/>
      <c r="AI13" s="91" t="e">
        <f t="shared" ref="AI13:AJ13" si="148">AI28/AH5</f>
        <v>#DIV/0!</v>
      </c>
      <c r="AJ13" s="91" t="e">
        <f t="shared" si="148"/>
        <v>#DIV/0!</v>
      </c>
      <c r="AK13" s="91" t="e">
        <f t="shared" ref="AK13" si="149">AK28/AJ5</f>
        <v>#DIV/0!</v>
      </c>
      <c r="AL13" s="91" t="e">
        <f t="shared" ref="AL13" si="150">AL28/AK5</f>
        <v>#DIV/0!</v>
      </c>
      <c r="AM13" s="91" t="e">
        <f t="shared" ref="AM13" si="151">AM28/AL5</f>
        <v>#DIV/0!</v>
      </c>
      <c r="AN13" s="91" t="e">
        <f t="shared" ref="AN13" si="152">AN28/AM5</f>
        <v>#DIV/0!</v>
      </c>
      <c r="AO13" s="91" t="e">
        <f t="shared" ref="AO13" si="153">AO28/AN5</f>
        <v>#DIV/0!</v>
      </c>
      <c r="AP13" s="91" t="e">
        <f t="shared" ref="AP13" si="154">AP28/AO5</f>
        <v>#DIV/0!</v>
      </c>
      <c r="AQ13" s="91" t="e">
        <f t="shared" ref="AQ13" si="155">AQ28/AP5</f>
        <v>#DIV/0!</v>
      </c>
      <c r="AR13" s="91" t="e">
        <f t="shared" ref="AR13" si="156">AR28/AQ5</f>
        <v>#DIV/0!</v>
      </c>
      <c r="AS13" s="91" t="e">
        <f t="shared" ref="AS13" si="157">AS28/AR5</f>
        <v>#DIV/0!</v>
      </c>
      <c r="AT13" s="91" t="e">
        <f t="shared" ref="AT13:BY13" si="158">AT28/AS5</f>
        <v>#DIV/0!</v>
      </c>
      <c r="AU13" s="91" t="e">
        <f t="shared" si="158"/>
        <v>#DIV/0!</v>
      </c>
      <c r="AV13" s="91" t="e">
        <f t="shared" si="158"/>
        <v>#DIV/0!</v>
      </c>
      <c r="AW13" s="91" t="e">
        <f t="shared" si="158"/>
        <v>#DIV/0!</v>
      </c>
      <c r="AX13" s="91" t="e">
        <f t="shared" si="158"/>
        <v>#DIV/0!</v>
      </c>
      <c r="AY13" s="91" t="e">
        <f t="shared" si="158"/>
        <v>#DIV/0!</v>
      </c>
      <c r="AZ13" s="91" t="e">
        <f t="shared" si="158"/>
        <v>#DIV/0!</v>
      </c>
      <c r="BA13" s="91" t="e">
        <f t="shared" si="158"/>
        <v>#DIV/0!</v>
      </c>
      <c r="BB13" s="91" t="e">
        <f t="shared" si="158"/>
        <v>#DIV/0!</v>
      </c>
      <c r="BC13" s="91" t="e">
        <f t="shared" si="158"/>
        <v>#DIV/0!</v>
      </c>
      <c r="BD13" s="91" t="e">
        <f t="shared" si="158"/>
        <v>#DIV/0!</v>
      </c>
      <c r="BE13" s="91" t="e">
        <f t="shared" si="158"/>
        <v>#DIV/0!</v>
      </c>
      <c r="BF13" s="91" t="e">
        <f t="shared" si="158"/>
        <v>#DIV/0!</v>
      </c>
      <c r="BG13" s="91" t="e">
        <f t="shared" si="158"/>
        <v>#DIV/0!</v>
      </c>
      <c r="BH13" s="91" t="e">
        <f t="shared" si="158"/>
        <v>#DIV/0!</v>
      </c>
      <c r="BI13" s="91" t="e">
        <f t="shared" si="158"/>
        <v>#DIV/0!</v>
      </c>
      <c r="BJ13" s="91" t="e">
        <f t="shared" si="158"/>
        <v>#DIV/0!</v>
      </c>
      <c r="BK13" s="91" t="e">
        <f t="shared" si="158"/>
        <v>#DIV/0!</v>
      </c>
      <c r="BL13" s="91" t="e">
        <f t="shared" si="158"/>
        <v>#DIV/0!</v>
      </c>
      <c r="BM13" s="91" t="e">
        <f t="shared" si="158"/>
        <v>#DIV/0!</v>
      </c>
      <c r="BN13" s="91" t="e">
        <f t="shared" si="158"/>
        <v>#DIV/0!</v>
      </c>
      <c r="BO13" s="91" t="e">
        <f t="shared" si="158"/>
        <v>#DIV/0!</v>
      </c>
      <c r="BP13" s="91" t="e">
        <f t="shared" si="158"/>
        <v>#DIV/0!</v>
      </c>
      <c r="BQ13" s="91" t="e">
        <f t="shared" si="158"/>
        <v>#DIV/0!</v>
      </c>
      <c r="BR13" s="91" t="e">
        <f t="shared" si="158"/>
        <v>#DIV/0!</v>
      </c>
      <c r="BS13" s="91" t="e">
        <f t="shared" si="158"/>
        <v>#DIV/0!</v>
      </c>
      <c r="BT13" s="91" t="e">
        <f t="shared" si="158"/>
        <v>#DIV/0!</v>
      </c>
      <c r="BU13" s="91" t="e">
        <f t="shared" si="158"/>
        <v>#DIV/0!</v>
      </c>
      <c r="BV13" s="91" t="e">
        <f t="shared" si="158"/>
        <v>#DIV/0!</v>
      </c>
      <c r="BW13" s="91" t="e">
        <f t="shared" si="158"/>
        <v>#DIV/0!</v>
      </c>
      <c r="BX13" s="91" t="e">
        <f t="shared" si="158"/>
        <v>#DIV/0!</v>
      </c>
      <c r="BY13" s="91" t="e">
        <f t="shared" si="158"/>
        <v>#DIV/0!</v>
      </c>
      <c r="BZ13" s="16" t="e">
        <f t="shared" si="128"/>
        <v>#DIV/0!</v>
      </c>
      <c r="CA13" s="16" t="e">
        <f t="shared" si="128"/>
        <v>#DIV/0!</v>
      </c>
      <c r="CB13" s="16" t="e">
        <f t="shared" si="128"/>
        <v>#DIV/0!</v>
      </c>
      <c r="CC13" s="16" t="e">
        <f t="shared" si="128"/>
        <v>#DIV/0!</v>
      </c>
      <c r="CD13" s="16" t="e">
        <f t="shared" si="128"/>
        <v>#DIV/0!</v>
      </c>
      <c r="CE13" s="16" t="e">
        <f t="shared" si="128"/>
        <v>#DIV/0!</v>
      </c>
      <c r="CF13" s="16" t="e">
        <f t="shared" si="128"/>
        <v>#DIV/0!</v>
      </c>
      <c r="CG13" s="16" t="e">
        <f t="shared" si="128"/>
        <v>#DIV/0!</v>
      </c>
      <c r="CH13" s="16" t="e">
        <f t="shared" si="129"/>
        <v>#DIV/0!</v>
      </c>
      <c r="CI13" s="16" t="e">
        <f t="shared" si="129"/>
        <v>#DIV/0!</v>
      </c>
      <c r="CJ13" s="16" t="e">
        <f t="shared" si="129"/>
        <v>#DIV/0!</v>
      </c>
      <c r="CK13" s="16" t="e">
        <f t="shared" si="129"/>
        <v>#DIV/0!</v>
      </c>
      <c r="CL13" s="16" t="e">
        <f t="shared" si="129"/>
        <v>#DIV/0!</v>
      </c>
      <c r="CM13" s="16" t="e">
        <f t="shared" si="129"/>
        <v>#DIV/0!</v>
      </c>
      <c r="CN13" s="16" t="e">
        <f t="shared" si="129"/>
        <v>#DIV/0!</v>
      </c>
      <c r="CO13" s="16" t="e">
        <f t="shared" si="129"/>
        <v>#DIV/0!</v>
      </c>
    </row>
    <row r="14" spans="1:93" s="30" customFormat="1" x14ac:dyDescent="0.2">
      <c r="A14" s="32" t="s">
        <v>8</v>
      </c>
      <c r="B14" s="32"/>
      <c r="C14" s="32"/>
      <c r="D14" s="28" t="e">
        <f t="shared" ref="D14:O14" si="159">D12-D13</f>
        <v>#DIV/0!</v>
      </c>
      <c r="E14" s="28" t="e">
        <f t="shared" si="159"/>
        <v>#DIV/0!</v>
      </c>
      <c r="F14" s="28" t="e">
        <f t="shared" si="159"/>
        <v>#DIV/0!</v>
      </c>
      <c r="G14" s="28" t="e">
        <f t="shared" si="159"/>
        <v>#DIV/0!</v>
      </c>
      <c r="H14" s="28" t="e">
        <f t="shared" si="159"/>
        <v>#DIV/0!</v>
      </c>
      <c r="I14" s="28" t="e">
        <f t="shared" si="159"/>
        <v>#DIV/0!</v>
      </c>
      <c r="J14" s="28" t="e">
        <f t="shared" si="159"/>
        <v>#DIV/0!</v>
      </c>
      <c r="K14" s="28" t="e">
        <f t="shared" si="159"/>
        <v>#DIV/0!</v>
      </c>
      <c r="L14" s="28" t="e">
        <f t="shared" si="159"/>
        <v>#DIV/0!</v>
      </c>
      <c r="M14" s="28" t="e">
        <f t="shared" si="159"/>
        <v>#DIV/0!</v>
      </c>
      <c r="N14" s="28" t="e">
        <f t="shared" si="159"/>
        <v>#DIV/0!</v>
      </c>
      <c r="O14" s="28" t="e">
        <f t="shared" si="159"/>
        <v>#DIV/0!</v>
      </c>
      <c r="P14" s="28" t="e">
        <f>P12-P13</f>
        <v>#DIV/0!</v>
      </c>
      <c r="Q14" s="28" t="e">
        <f t="shared" ref="Q14:T14" si="160">Q12-Q13</f>
        <v>#DIV/0!</v>
      </c>
      <c r="R14" s="28" t="e">
        <f t="shared" si="160"/>
        <v>#DIV/0!</v>
      </c>
      <c r="S14" s="28" t="e">
        <f t="shared" si="160"/>
        <v>#DIV/0!</v>
      </c>
      <c r="T14" s="28" t="e">
        <f t="shared" si="160"/>
        <v>#DIV/0!</v>
      </c>
      <c r="U14" s="28" t="e">
        <f t="shared" ref="U14:W14" si="161">U12-U13</f>
        <v>#DIV/0!</v>
      </c>
      <c r="V14" s="28" t="e">
        <f t="shared" si="161"/>
        <v>#DIV/0!</v>
      </c>
      <c r="W14" s="28" t="e">
        <f t="shared" si="161"/>
        <v>#DIV/0!</v>
      </c>
      <c r="X14" s="28" t="e">
        <f t="shared" ref="X14:Y14" si="162">X12-X13</f>
        <v>#DIV/0!</v>
      </c>
      <c r="Y14" s="28" t="e">
        <f t="shared" si="162"/>
        <v>#DIV/0!</v>
      </c>
      <c r="Z14" s="28" t="e">
        <f t="shared" ref="Z14:AB14" si="163">Z12-Z13</f>
        <v>#DIV/0!</v>
      </c>
      <c r="AA14" s="29" t="e">
        <f t="shared" si="163"/>
        <v>#DIV/0!</v>
      </c>
      <c r="AB14" s="29" t="e">
        <f t="shared" si="163"/>
        <v>#DIV/0!</v>
      </c>
      <c r="AC14" s="29" t="e">
        <f t="shared" ref="AC14:AE14" si="164">AC12-AC13</f>
        <v>#DIV/0!</v>
      </c>
      <c r="AD14" s="29" t="e">
        <f t="shared" si="164"/>
        <v>#DIV/0!</v>
      </c>
      <c r="AE14" s="29" t="e">
        <f t="shared" si="164"/>
        <v>#DIV/0!</v>
      </c>
      <c r="AG14" s="58"/>
      <c r="AH14" s="28"/>
      <c r="AI14" s="28" t="e">
        <f t="shared" ref="AI14" si="165">AI12-AI13</f>
        <v>#DIV/0!</v>
      </c>
      <c r="AJ14" s="28" t="e">
        <f t="shared" ref="AJ14:AS14" si="166">AJ12-AJ13</f>
        <v>#DIV/0!</v>
      </c>
      <c r="AK14" s="28" t="e">
        <f t="shared" si="166"/>
        <v>#DIV/0!</v>
      </c>
      <c r="AL14" s="28" t="e">
        <f t="shared" si="166"/>
        <v>#DIV/0!</v>
      </c>
      <c r="AM14" s="28" t="e">
        <f t="shared" si="166"/>
        <v>#DIV/0!</v>
      </c>
      <c r="AN14" s="28" t="e">
        <f t="shared" si="166"/>
        <v>#DIV/0!</v>
      </c>
      <c r="AO14" s="28" t="e">
        <f t="shared" si="166"/>
        <v>#DIV/0!</v>
      </c>
      <c r="AP14" s="28" t="e">
        <f t="shared" si="166"/>
        <v>#DIV/0!</v>
      </c>
      <c r="AQ14" s="28" t="e">
        <f t="shared" si="166"/>
        <v>#DIV/0!</v>
      </c>
      <c r="AR14" s="28" t="e">
        <f t="shared" si="166"/>
        <v>#DIV/0!</v>
      </c>
      <c r="AS14" s="28" t="e">
        <f t="shared" si="166"/>
        <v>#DIV/0!</v>
      </c>
      <c r="AT14" s="28" t="e">
        <f t="shared" ref="AT14:AW14" si="167">AT12-AT13</f>
        <v>#DIV/0!</v>
      </c>
      <c r="AU14" s="28" t="e">
        <f t="shared" si="167"/>
        <v>#DIV/0!</v>
      </c>
      <c r="AV14" s="28" t="e">
        <f t="shared" si="167"/>
        <v>#DIV/0!</v>
      </c>
      <c r="AW14" s="28" t="e">
        <f t="shared" si="167"/>
        <v>#DIV/0!</v>
      </c>
      <c r="AX14" s="28" t="e">
        <f t="shared" ref="AX14" si="168">AX12-AX13</f>
        <v>#DIV/0!</v>
      </c>
      <c r="AY14" s="28" t="e">
        <f t="shared" ref="AY14" si="169">AY12-AY13</f>
        <v>#DIV/0!</v>
      </c>
      <c r="AZ14" s="28" t="e">
        <f t="shared" ref="AZ14:BA14" si="170">AZ12-AZ13</f>
        <v>#DIV/0!</v>
      </c>
      <c r="BA14" s="28" t="e">
        <f t="shared" si="170"/>
        <v>#DIV/0!</v>
      </c>
      <c r="BB14" s="28" t="e">
        <f t="shared" ref="BB14:BF14" si="171">BB12-BB13</f>
        <v>#DIV/0!</v>
      </c>
      <c r="BC14" s="28" t="e">
        <f t="shared" si="171"/>
        <v>#DIV/0!</v>
      </c>
      <c r="BD14" s="28" t="e">
        <f t="shared" si="171"/>
        <v>#DIV/0!</v>
      </c>
      <c r="BE14" s="28" t="e">
        <f t="shared" si="171"/>
        <v>#DIV/0!</v>
      </c>
      <c r="BF14" s="28" t="e">
        <f t="shared" si="171"/>
        <v>#DIV/0!</v>
      </c>
      <c r="BG14" s="28" t="e">
        <f t="shared" ref="BG14:BH14" si="172">BG12-BG13</f>
        <v>#DIV/0!</v>
      </c>
      <c r="BH14" s="28" t="e">
        <f t="shared" si="172"/>
        <v>#DIV/0!</v>
      </c>
      <c r="BI14" s="28" t="e">
        <f t="shared" ref="BI14:BJ14" si="173">BI12-BI13</f>
        <v>#DIV/0!</v>
      </c>
      <c r="BJ14" s="28" t="e">
        <f t="shared" si="173"/>
        <v>#DIV/0!</v>
      </c>
      <c r="BK14" s="28" t="e">
        <f t="shared" ref="BK14:BR14" si="174">BK12-BK13</f>
        <v>#DIV/0!</v>
      </c>
      <c r="BL14" s="28" t="e">
        <f t="shared" si="174"/>
        <v>#DIV/0!</v>
      </c>
      <c r="BM14" s="28" t="e">
        <f t="shared" si="174"/>
        <v>#DIV/0!</v>
      </c>
      <c r="BN14" s="28" t="e">
        <f t="shared" si="174"/>
        <v>#DIV/0!</v>
      </c>
      <c r="BO14" s="28" t="e">
        <f t="shared" si="174"/>
        <v>#DIV/0!</v>
      </c>
      <c r="BP14" s="28" t="e">
        <f t="shared" si="174"/>
        <v>#DIV/0!</v>
      </c>
      <c r="BQ14" s="28" t="e">
        <f t="shared" si="174"/>
        <v>#DIV/0!</v>
      </c>
      <c r="BR14" s="28" t="e">
        <f t="shared" si="174"/>
        <v>#DIV/0!</v>
      </c>
      <c r="BS14" s="28" t="e">
        <f t="shared" ref="BS14:BT14" si="175">BS12-BS13</f>
        <v>#DIV/0!</v>
      </c>
      <c r="BT14" s="28" t="e">
        <f t="shared" si="175"/>
        <v>#DIV/0!</v>
      </c>
      <c r="BU14" s="28" t="e">
        <f t="shared" ref="BU14:BV14" si="176">BU12-BU13</f>
        <v>#DIV/0!</v>
      </c>
      <c r="BV14" s="28" t="e">
        <f t="shared" si="176"/>
        <v>#DIV/0!</v>
      </c>
      <c r="BW14" s="28" t="e">
        <f t="shared" ref="BW14:BX14" si="177">BW12-BW13</f>
        <v>#DIV/0!</v>
      </c>
      <c r="BX14" s="28" t="e">
        <f t="shared" si="177"/>
        <v>#DIV/0!</v>
      </c>
      <c r="BY14" s="28" t="e">
        <f t="shared" ref="BY14" si="178">BY12-BY13</f>
        <v>#DIV/0!</v>
      </c>
      <c r="BZ14" s="29" t="e">
        <f t="shared" ref="BZ14:CC14" si="179">BZ12-BZ13</f>
        <v>#DIV/0!</v>
      </c>
      <c r="CA14" s="29" t="e">
        <f t="shared" si="179"/>
        <v>#DIV/0!</v>
      </c>
      <c r="CB14" s="29" t="e">
        <f t="shared" si="179"/>
        <v>#DIV/0!</v>
      </c>
      <c r="CC14" s="29" t="e">
        <f t="shared" si="179"/>
        <v>#DIV/0!</v>
      </c>
      <c r="CD14" s="29" t="e">
        <f t="shared" ref="CD14:CO14" si="180">CD12-CD13</f>
        <v>#DIV/0!</v>
      </c>
      <c r="CE14" s="29" t="e">
        <f t="shared" si="180"/>
        <v>#DIV/0!</v>
      </c>
      <c r="CF14" s="29" t="e">
        <f t="shared" si="180"/>
        <v>#DIV/0!</v>
      </c>
      <c r="CG14" s="29" t="e">
        <f t="shared" si="180"/>
        <v>#DIV/0!</v>
      </c>
      <c r="CH14" s="29" t="e">
        <f t="shared" si="180"/>
        <v>#DIV/0!</v>
      </c>
      <c r="CI14" s="29" t="e">
        <f t="shared" si="180"/>
        <v>#DIV/0!</v>
      </c>
      <c r="CJ14" s="29" t="e">
        <f t="shared" si="180"/>
        <v>#DIV/0!</v>
      </c>
      <c r="CK14" s="29" t="e">
        <f t="shared" si="180"/>
        <v>#DIV/0!</v>
      </c>
      <c r="CL14" s="29" t="e">
        <f t="shared" si="180"/>
        <v>#DIV/0!</v>
      </c>
      <c r="CM14" s="29" t="e">
        <f t="shared" si="180"/>
        <v>#DIV/0!</v>
      </c>
      <c r="CN14" s="29" t="e">
        <f t="shared" si="180"/>
        <v>#DIV/0!</v>
      </c>
      <c r="CO14" s="29" t="e">
        <f t="shared" si="180"/>
        <v>#DIV/0!</v>
      </c>
    </row>
    <row r="15" spans="1:93" s="93" customFormat="1" x14ac:dyDescent="0.2">
      <c r="A15" s="27" t="s">
        <v>27</v>
      </c>
      <c r="B15" s="27"/>
      <c r="C15" s="27"/>
      <c r="D15" s="91" t="e">
        <f t="shared" ref="D15" si="181">D30/C5</f>
        <v>#DIV/0!</v>
      </c>
      <c r="E15" s="91" t="e">
        <f t="shared" ref="E15" si="182">E30/D5</f>
        <v>#DIV/0!</v>
      </c>
      <c r="F15" s="91" t="e">
        <f t="shared" ref="F15" si="183">F30/E5</f>
        <v>#DIV/0!</v>
      </c>
      <c r="G15" s="91" t="e">
        <f t="shared" ref="G15" si="184">G30/F5</f>
        <v>#DIV/0!</v>
      </c>
      <c r="H15" s="91" t="e">
        <f t="shared" ref="H15" si="185">H30/G5</f>
        <v>#DIV/0!</v>
      </c>
      <c r="I15" s="91" t="e">
        <f t="shared" ref="I15" si="186">I30/H5</f>
        <v>#DIV/0!</v>
      </c>
      <c r="J15" s="91" t="e">
        <f t="shared" ref="J15" si="187">J30/I5</f>
        <v>#DIV/0!</v>
      </c>
      <c r="K15" s="91" t="e">
        <f t="shared" ref="K15" si="188">K30/J5</f>
        <v>#DIV/0!</v>
      </c>
      <c r="L15" s="91" t="e">
        <f t="shared" ref="L15" si="189">L30/K5</f>
        <v>#DIV/0!</v>
      </c>
      <c r="M15" s="91" t="e">
        <f t="shared" ref="M15" si="190">M30/L5</f>
        <v>#DIV/0!</v>
      </c>
      <c r="N15" s="91" t="e">
        <f t="shared" ref="N15" si="191">N30/M5</f>
        <v>#DIV/0!</v>
      </c>
      <c r="O15" s="91" t="e">
        <f t="shared" ref="O15" si="192">O30/N5</f>
        <v>#DIV/0!</v>
      </c>
      <c r="P15" s="91" t="e">
        <f t="shared" ref="P15:Z15" si="193">P30/O5</f>
        <v>#DIV/0!</v>
      </c>
      <c r="Q15" s="91" t="e">
        <f t="shared" si="193"/>
        <v>#DIV/0!</v>
      </c>
      <c r="R15" s="91" t="e">
        <f t="shared" si="193"/>
        <v>#DIV/0!</v>
      </c>
      <c r="S15" s="91" t="e">
        <f t="shared" si="193"/>
        <v>#DIV/0!</v>
      </c>
      <c r="T15" s="91" t="e">
        <f t="shared" si="193"/>
        <v>#DIV/0!</v>
      </c>
      <c r="U15" s="91" t="e">
        <f t="shared" si="193"/>
        <v>#DIV/0!</v>
      </c>
      <c r="V15" s="91" t="e">
        <f t="shared" si="193"/>
        <v>#DIV/0!</v>
      </c>
      <c r="W15" s="91" t="e">
        <f t="shared" si="193"/>
        <v>#DIV/0!</v>
      </c>
      <c r="X15" s="91" t="e">
        <f t="shared" si="193"/>
        <v>#DIV/0!</v>
      </c>
      <c r="Y15" s="91" t="e">
        <f t="shared" si="193"/>
        <v>#DIV/0!</v>
      </c>
      <c r="Z15" s="91" t="e">
        <f t="shared" si="193"/>
        <v>#DIV/0!</v>
      </c>
      <c r="AA15" s="92" t="e">
        <f t="shared" ref="AA15" si="194">AA30/Z5</f>
        <v>#DIV/0!</v>
      </c>
      <c r="AB15" s="92" t="e">
        <f t="shared" ref="AB15" si="195">AB30/AA5</f>
        <v>#DIV/0!</v>
      </c>
      <c r="AC15" s="92" t="e">
        <f t="shared" ref="AC15" si="196">AC30/AB5</f>
        <v>#DIV/0!</v>
      </c>
      <c r="AD15" s="92" t="e">
        <f t="shared" ref="AD15" si="197">AD30/AC5</f>
        <v>#DIV/0!</v>
      </c>
      <c r="AE15" s="92" t="e">
        <f t="shared" ref="AE15" si="198">AE30/AD5</f>
        <v>#DIV/0!</v>
      </c>
      <c r="AG15" s="65"/>
      <c r="AH15" s="91"/>
      <c r="AI15" s="91" t="e">
        <f t="shared" ref="AI15:AJ15" si="199">AI30/AH5</f>
        <v>#DIV/0!</v>
      </c>
      <c r="AJ15" s="91" t="e">
        <f t="shared" si="199"/>
        <v>#DIV/0!</v>
      </c>
      <c r="AK15" s="91" t="e">
        <f t="shared" ref="AK15" si="200">AK30/AJ5</f>
        <v>#DIV/0!</v>
      </c>
      <c r="AL15" s="91" t="e">
        <f t="shared" ref="AL15" si="201">AL30/AK5</f>
        <v>#DIV/0!</v>
      </c>
      <c r="AM15" s="91" t="e">
        <f t="shared" ref="AM15" si="202">AM30/AL5</f>
        <v>#DIV/0!</v>
      </c>
      <c r="AN15" s="91" t="e">
        <f t="shared" ref="AN15" si="203">AN30/AM5</f>
        <v>#DIV/0!</v>
      </c>
      <c r="AO15" s="91" t="e">
        <f t="shared" ref="AO15" si="204">AO30/AN5</f>
        <v>#DIV/0!</v>
      </c>
      <c r="AP15" s="91" t="e">
        <f t="shared" ref="AP15" si="205">AP30/AO5</f>
        <v>#DIV/0!</v>
      </c>
      <c r="AQ15" s="91" t="e">
        <f t="shared" ref="AQ15" si="206">AQ30/AP5</f>
        <v>#DIV/0!</v>
      </c>
      <c r="AR15" s="91" t="e">
        <f t="shared" ref="AR15" si="207">AR30/AQ5</f>
        <v>#DIV/0!</v>
      </c>
      <c r="AS15" s="91" t="e">
        <f t="shared" ref="AS15" si="208">AS30/AR5</f>
        <v>#DIV/0!</v>
      </c>
      <c r="AT15" s="91" t="e">
        <f t="shared" ref="AT15:BY15" si="209">AT30/AS5</f>
        <v>#DIV/0!</v>
      </c>
      <c r="AU15" s="91" t="e">
        <f t="shared" si="209"/>
        <v>#DIV/0!</v>
      </c>
      <c r="AV15" s="91" t="e">
        <f t="shared" si="209"/>
        <v>#DIV/0!</v>
      </c>
      <c r="AW15" s="91" t="e">
        <f t="shared" si="209"/>
        <v>#DIV/0!</v>
      </c>
      <c r="AX15" s="91" t="e">
        <f t="shared" si="209"/>
        <v>#DIV/0!</v>
      </c>
      <c r="AY15" s="91" t="e">
        <f t="shared" si="209"/>
        <v>#DIV/0!</v>
      </c>
      <c r="AZ15" s="91" t="e">
        <f t="shared" si="209"/>
        <v>#DIV/0!</v>
      </c>
      <c r="BA15" s="91" t="e">
        <f t="shared" si="209"/>
        <v>#DIV/0!</v>
      </c>
      <c r="BB15" s="91" t="e">
        <f t="shared" si="209"/>
        <v>#DIV/0!</v>
      </c>
      <c r="BC15" s="91" t="e">
        <f t="shared" si="209"/>
        <v>#DIV/0!</v>
      </c>
      <c r="BD15" s="91" t="e">
        <f t="shared" si="209"/>
        <v>#DIV/0!</v>
      </c>
      <c r="BE15" s="91" t="e">
        <f t="shared" si="209"/>
        <v>#DIV/0!</v>
      </c>
      <c r="BF15" s="91" t="e">
        <f t="shared" si="209"/>
        <v>#DIV/0!</v>
      </c>
      <c r="BG15" s="91" t="e">
        <f t="shared" si="209"/>
        <v>#DIV/0!</v>
      </c>
      <c r="BH15" s="91" t="e">
        <f t="shared" si="209"/>
        <v>#DIV/0!</v>
      </c>
      <c r="BI15" s="91" t="e">
        <f t="shared" si="209"/>
        <v>#DIV/0!</v>
      </c>
      <c r="BJ15" s="91" t="e">
        <f t="shared" si="209"/>
        <v>#DIV/0!</v>
      </c>
      <c r="BK15" s="91" t="e">
        <f t="shared" si="209"/>
        <v>#DIV/0!</v>
      </c>
      <c r="BL15" s="91" t="e">
        <f t="shared" si="209"/>
        <v>#DIV/0!</v>
      </c>
      <c r="BM15" s="91" t="e">
        <f t="shared" si="209"/>
        <v>#DIV/0!</v>
      </c>
      <c r="BN15" s="91" t="e">
        <f t="shared" si="209"/>
        <v>#DIV/0!</v>
      </c>
      <c r="BO15" s="91" t="e">
        <f t="shared" si="209"/>
        <v>#DIV/0!</v>
      </c>
      <c r="BP15" s="91" t="e">
        <f t="shared" si="209"/>
        <v>#DIV/0!</v>
      </c>
      <c r="BQ15" s="91" t="e">
        <f t="shared" si="209"/>
        <v>#DIV/0!</v>
      </c>
      <c r="BR15" s="91" t="e">
        <f t="shared" si="209"/>
        <v>#DIV/0!</v>
      </c>
      <c r="BS15" s="91" t="e">
        <f t="shared" si="209"/>
        <v>#DIV/0!</v>
      </c>
      <c r="BT15" s="91" t="e">
        <f t="shared" si="209"/>
        <v>#DIV/0!</v>
      </c>
      <c r="BU15" s="91" t="e">
        <f t="shared" si="209"/>
        <v>#DIV/0!</v>
      </c>
      <c r="BV15" s="91" t="e">
        <f t="shared" si="209"/>
        <v>#DIV/0!</v>
      </c>
      <c r="BW15" s="91" t="e">
        <f t="shared" si="209"/>
        <v>#DIV/0!</v>
      </c>
      <c r="BX15" s="91" t="e">
        <f t="shared" si="209"/>
        <v>#DIV/0!</v>
      </c>
      <c r="BY15" s="91" t="e">
        <f t="shared" si="209"/>
        <v>#DIV/0!</v>
      </c>
      <c r="BZ15" s="16" t="e">
        <f t="shared" ref="BZ15" si="210">BY15</f>
        <v>#DIV/0!</v>
      </c>
      <c r="CA15" s="16" t="e">
        <f t="shared" ref="CA15" si="211">BZ15</f>
        <v>#DIV/0!</v>
      </c>
      <c r="CB15" s="16" t="e">
        <f t="shared" ref="CB15" si="212">CA15</f>
        <v>#DIV/0!</v>
      </c>
      <c r="CC15" s="16" t="e">
        <f t="shared" ref="CC15" si="213">CB15</f>
        <v>#DIV/0!</v>
      </c>
      <c r="CD15" s="16" t="e">
        <f t="shared" ref="CD15" si="214">CC15</f>
        <v>#DIV/0!</v>
      </c>
      <c r="CE15" s="16" t="e">
        <f t="shared" ref="CE15" si="215">CD15</f>
        <v>#DIV/0!</v>
      </c>
      <c r="CF15" s="16" t="e">
        <f t="shared" ref="CF15" si="216">CE15</f>
        <v>#DIV/0!</v>
      </c>
      <c r="CG15" s="16" t="e">
        <f t="shared" ref="CG15" si="217">CF15</f>
        <v>#DIV/0!</v>
      </c>
      <c r="CH15" s="16" t="e">
        <f t="shared" ref="CH15" si="218">CG15</f>
        <v>#DIV/0!</v>
      </c>
      <c r="CI15" s="16" t="e">
        <f t="shared" ref="CI15" si="219">CH15</f>
        <v>#DIV/0!</v>
      </c>
      <c r="CJ15" s="16" t="e">
        <f t="shared" ref="CJ15" si="220">CI15</f>
        <v>#DIV/0!</v>
      </c>
      <c r="CK15" s="16" t="e">
        <f t="shared" ref="CK15" si="221">CJ15</f>
        <v>#DIV/0!</v>
      </c>
      <c r="CL15" s="16" t="e">
        <f t="shared" ref="CL15" si="222">CK15</f>
        <v>#DIV/0!</v>
      </c>
      <c r="CM15" s="16" t="e">
        <f t="shared" ref="CM15" si="223">CL15</f>
        <v>#DIV/0!</v>
      </c>
      <c r="CN15" s="16" t="e">
        <f t="shared" ref="CN15" si="224">CM15</f>
        <v>#DIV/0!</v>
      </c>
      <c r="CO15" s="16" t="e">
        <f t="shared" ref="CO15" si="225">CN15</f>
        <v>#DIV/0!</v>
      </c>
    </row>
    <row r="16" spans="1:93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3" s="30" customFormat="1" x14ac:dyDescent="0.2">
      <c r="A17" s="32" t="s">
        <v>29</v>
      </c>
      <c r="B17" s="32"/>
      <c r="C17" s="32"/>
      <c r="D17" s="28" t="e">
        <f t="shared" ref="D17:O17" si="226">D14+D15+D16</f>
        <v>#DIV/0!</v>
      </c>
      <c r="E17" s="28" t="e">
        <f t="shared" si="226"/>
        <v>#DIV/0!</v>
      </c>
      <c r="F17" s="28" t="e">
        <f t="shared" si="226"/>
        <v>#DIV/0!</v>
      </c>
      <c r="G17" s="28" t="e">
        <f t="shared" si="226"/>
        <v>#DIV/0!</v>
      </c>
      <c r="H17" s="28" t="e">
        <f t="shared" si="226"/>
        <v>#DIV/0!</v>
      </c>
      <c r="I17" s="28" t="e">
        <f t="shared" si="226"/>
        <v>#DIV/0!</v>
      </c>
      <c r="J17" s="28" t="e">
        <f t="shared" si="226"/>
        <v>#DIV/0!</v>
      </c>
      <c r="K17" s="28" t="e">
        <f t="shared" si="226"/>
        <v>#DIV/0!</v>
      </c>
      <c r="L17" s="28" t="e">
        <f t="shared" si="226"/>
        <v>#DIV/0!</v>
      </c>
      <c r="M17" s="28" t="e">
        <f t="shared" si="226"/>
        <v>#DIV/0!</v>
      </c>
      <c r="N17" s="28" t="e">
        <f t="shared" si="226"/>
        <v>#DIV/0!</v>
      </c>
      <c r="O17" s="28" t="e">
        <f t="shared" si="226"/>
        <v>#DIV/0!</v>
      </c>
      <c r="P17" s="28" t="e">
        <f>P14+P15+P16</f>
        <v>#DIV/0!</v>
      </c>
      <c r="Q17" s="28" t="e">
        <f t="shared" ref="Q17:T17" si="227">Q14+Q15+Q16</f>
        <v>#DIV/0!</v>
      </c>
      <c r="R17" s="28" t="e">
        <f t="shared" si="227"/>
        <v>#DIV/0!</v>
      </c>
      <c r="S17" s="28" t="e">
        <f t="shared" si="227"/>
        <v>#DIV/0!</v>
      </c>
      <c r="T17" s="28" t="e">
        <f t="shared" si="227"/>
        <v>#DIV/0!</v>
      </c>
      <c r="U17" s="28" t="e">
        <f t="shared" ref="U17:W17" si="228">U14+U15+U16</f>
        <v>#DIV/0!</v>
      </c>
      <c r="V17" s="28" t="e">
        <f t="shared" si="228"/>
        <v>#DIV/0!</v>
      </c>
      <c r="W17" s="28" t="e">
        <f t="shared" si="228"/>
        <v>#DIV/0!</v>
      </c>
      <c r="X17" s="28" t="e">
        <f t="shared" ref="X17:Y17" si="229">X14+X15+X16</f>
        <v>#DIV/0!</v>
      </c>
      <c r="Y17" s="28" t="e">
        <f t="shared" si="229"/>
        <v>#DIV/0!</v>
      </c>
      <c r="Z17" s="28" t="e">
        <f t="shared" ref="Z17:AB17" si="230">Z14+Z15+Z16</f>
        <v>#DIV/0!</v>
      </c>
      <c r="AA17" s="29" t="e">
        <f t="shared" si="230"/>
        <v>#DIV/0!</v>
      </c>
      <c r="AB17" s="29" t="e">
        <f t="shared" si="230"/>
        <v>#DIV/0!</v>
      </c>
      <c r="AC17" s="29" t="e">
        <f t="shared" ref="AC17:AE17" si="231">AC14+AC15+AC16</f>
        <v>#DIV/0!</v>
      </c>
      <c r="AD17" s="29" t="e">
        <f t="shared" si="231"/>
        <v>#DIV/0!</v>
      </c>
      <c r="AE17" s="29" t="e">
        <f t="shared" si="231"/>
        <v>#DIV/0!</v>
      </c>
      <c r="AG17" s="58"/>
      <c r="AH17" s="28"/>
      <c r="AI17" s="28" t="e">
        <f t="shared" ref="AI17" si="232">AI14+AI15+AI16</f>
        <v>#DIV/0!</v>
      </c>
      <c r="AJ17" s="28" t="e">
        <f t="shared" ref="AJ17:AS17" si="233">AJ14+AJ15+AJ16</f>
        <v>#DIV/0!</v>
      </c>
      <c r="AK17" s="28" t="e">
        <f t="shared" si="233"/>
        <v>#DIV/0!</v>
      </c>
      <c r="AL17" s="28" t="e">
        <f t="shared" si="233"/>
        <v>#DIV/0!</v>
      </c>
      <c r="AM17" s="28" t="e">
        <f t="shared" si="233"/>
        <v>#DIV/0!</v>
      </c>
      <c r="AN17" s="28" t="e">
        <f t="shared" si="233"/>
        <v>#DIV/0!</v>
      </c>
      <c r="AO17" s="28" t="e">
        <f t="shared" si="233"/>
        <v>#DIV/0!</v>
      </c>
      <c r="AP17" s="28" t="e">
        <f t="shared" si="233"/>
        <v>#DIV/0!</v>
      </c>
      <c r="AQ17" s="28" t="e">
        <f t="shared" si="233"/>
        <v>#DIV/0!</v>
      </c>
      <c r="AR17" s="28" t="e">
        <f t="shared" si="233"/>
        <v>#DIV/0!</v>
      </c>
      <c r="AS17" s="28" t="e">
        <f t="shared" si="233"/>
        <v>#DIV/0!</v>
      </c>
      <c r="AT17" s="28" t="e">
        <f t="shared" ref="AT17:AW17" si="234">AT14+AT15+AT16</f>
        <v>#DIV/0!</v>
      </c>
      <c r="AU17" s="28" t="e">
        <f t="shared" si="234"/>
        <v>#DIV/0!</v>
      </c>
      <c r="AV17" s="28" t="e">
        <f t="shared" si="234"/>
        <v>#DIV/0!</v>
      </c>
      <c r="AW17" s="28" t="e">
        <f t="shared" si="234"/>
        <v>#DIV/0!</v>
      </c>
      <c r="AX17" s="28" t="e">
        <f t="shared" ref="AX17" si="235">AX14+AX15+AX16</f>
        <v>#DIV/0!</v>
      </c>
      <c r="AY17" s="28" t="e">
        <f t="shared" ref="AY17" si="236">AY14+AY15+AY16</f>
        <v>#DIV/0!</v>
      </c>
      <c r="AZ17" s="28" t="e">
        <f t="shared" ref="AZ17:BA17" si="237">AZ14+AZ15+AZ16</f>
        <v>#DIV/0!</v>
      </c>
      <c r="BA17" s="28" t="e">
        <f t="shared" si="237"/>
        <v>#DIV/0!</v>
      </c>
      <c r="BB17" s="28" t="e">
        <f t="shared" ref="BB17:BF17" si="238">BB14+BB15+BB16</f>
        <v>#DIV/0!</v>
      </c>
      <c r="BC17" s="28" t="e">
        <f t="shared" si="238"/>
        <v>#DIV/0!</v>
      </c>
      <c r="BD17" s="28" t="e">
        <f t="shared" si="238"/>
        <v>#DIV/0!</v>
      </c>
      <c r="BE17" s="28" t="e">
        <f t="shared" si="238"/>
        <v>#DIV/0!</v>
      </c>
      <c r="BF17" s="28" t="e">
        <f t="shared" si="238"/>
        <v>#DIV/0!</v>
      </c>
      <c r="BG17" s="28" t="e">
        <f t="shared" ref="BG17:BH17" si="239">BG14+BG15+BG16</f>
        <v>#DIV/0!</v>
      </c>
      <c r="BH17" s="28" t="e">
        <f t="shared" si="239"/>
        <v>#DIV/0!</v>
      </c>
      <c r="BI17" s="28" t="e">
        <f t="shared" ref="BI17:BJ17" si="240">BI14+BI15+BI16</f>
        <v>#DIV/0!</v>
      </c>
      <c r="BJ17" s="28" t="e">
        <f t="shared" si="240"/>
        <v>#DIV/0!</v>
      </c>
      <c r="BK17" s="28" t="e">
        <f t="shared" ref="BK17:BR17" si="241">BK14+BK15+BK16</f>
        <v>#DIV/0!</v>
      </c>
      <c r="BL17" s="28" t="e">
        <f t="shared" si="241"/>
        <v>#DIV/0!</v>
      </c>
      <c r="BM17" s="28" t="e">
        <f t="shared" si="241"/>
        <v>#DIV/0!</v>
      </c>
      <c r="BN17" s="28" t="e">
        <f t="shared" si="241"/>
        <v>#DIV/0!</v>
      </c>
      <c r="BO17" s="28" t="e">
        <f t="shared" si="241"/>
        <v>#DIV/0!</v>
      </c>
      <c r="BP17" s="28" t="e">
        <f t="shared" si="241"/>
        <v>#DIV/0!</v>
      </c>
      <c r="BQ17" s="28" t="e">
        <f t="shared" si="241"/>
        <v>#DIV/0!</v>
      </c>
      <c r="BR17" s="28" t="e">
        <f t="shared" si="241"/>
        <v>#DIV/0!</v>
      </c>
      <c r="BS17" s="28" t="e">
        <f t="shared" ref="BS17:BT17" si="242">BS14+BS15+BS16</f>
        <v>#DIV/0!</v>
      </c>
      <c r="BT17" s="28" t="e">
        <f t="shared" si="242"/>
        <v>#DIV/0!</v>
      </c>
      <c r="BU17" s="28" t="e">
        <f t="shared" ref="BU17:BV17" si="243">BU14+BU15+BU16</f>
        <v>#DIV/0!</v>
      </c>
      <c r="BV17" s="28" t="e">
        <f t="shared" si="243"/>
        <v>#DIV/0!</v>
      </c>
      <c r="BW17" s="28" t="e">
        <f t="shared" ref="BW17:BX17" si="244">BW14+BW15+BW16</f>
        <v>#DIV/0!</v>
      </c>
      <c r="BX17" s="28" t="e">
        <f t="shared" si="244"/>
        <v>#DIV/0!</v>
      </c>
      <c r="BY17" s="28" t="e">
        <f t="shared" ref="BY17" si="245">BY14+BY15+BY16</f>
        <v>#DIV/0!</v>
      </c>
      <c r="BZ17" s="29" t="e">
        <f t="shared" ref="BZ17:CC17" si="246">BZ14+BZ15+BZ16</f>
        <v>#DIV/0!</v>
      </c>
      <c r="CA17" s="29" t="e">
        <f t="shared" si="246"/>
        <v>#DIV/0!</v>
      </c>
      <c r="CB17" s="29" t="e">
        <f t="shared" si="246"/>
        <v>#DIV/0!</v>
      </c>
      <c r="CC17" s="29" t="e">
        <f t="shared" si="246"/>
        <v>#DIV/0!</v>
      </c>
      <c r="CD17" s="29" t="e">
        <f t="shared" ref="CD17:CO17" si="247">CD14+CD15+CD16</f>
        <v>#DIV/0!</v>
      </c>
      <c r="CE17" s="29" t="e">
        <f t="shared" si="247"/>
        <v>#DIV/0!</v>
      </c>
      <c r="CF17" s="29" t="e">
        <f t="shared" si="247"/>
        <v>#DIV/0!</v>
      </c>
      <c r="CG17" s="29" t="e">
        <f t="shared" si="247"/>
        <v>#DIV/0!</v>
      </c>
      <c r="CH17" s="29" t="e">
        <f t="shared" si="247"/>
        <v>#DIV/0!</v>
      </c>
      <c r="CI17" s="29" t="e">
        <f t="shared" si="247"/>
        <v>#DIV/0!</v>
      </c>
      <c r="CJ17" s="29" t="e">
        <f t="shared" si="247"/>
        <v>#DIV/0!</v>
      </c>
      <c r="CK17" s="29" t="e">
        <f t="shared" si="247"/>
        <v>#DIV/0!</v>
      </c>
      <c r="CL17" s="29" t="e">
        <f t="shared" si="247"/>
        <v>#DIV/0!</v>
      </c>
      <c r="CM17" s="29" t="e">
        <f t="shared" si="247"/>
        <v>#DIV/0!</v>
      </c>
      <c r="CN17" s="29" t="e">
        <f t="shared" si="247"/>
        <v>#DIV/0!</v>
      </c>
      <c r="CO17" s="29" t="e">
        <f t="shared" si="247"/>
        <v>#DIV/0!</v>
      </c>
    </row>
    <row r="18" spans="1:93" s="93" customFormat="1" x14ac:dyDescent="0.2">
      <c r="A18" s="27" t="s">
        <v>50</v>
      </c>
      <c r="B18" s="27"/>
      <c r="C18" s="27"/>
      <c r="D18" s="91" t="e">
        <f t="shared" ref="D18:AE18" si="248">D38/C5</f>
        <v>#DIV/0!</v>
      </c>
      <c r="E18" s="91" t="e">
        <f t="shared" si="248"/>
        <v>#DIV/0!</v>
      </c>
      <c r="F18" s="91" t="e">
        <f t="shared" si="248"/>
        <v>#DIV/0!</v>
      </c>
      <c r="G18" s="91" t="e">
        <f t="shared" si="248"/>
        <v>#DIV/0!</v>
      </c>
      <c r="H18" s="91" t="e">
        <f t="shared" si="248"/>
        <v>#DIV/0!</v>
      </c>
      <c r="I18" s="91" t="e">
        <f t="shared" si="248"/>
        <v>#DIV/0!</v>
      </c>
      <c r="J18" s="91" t="e">
        <f t="shared" si="248"/>
        <v>#DIV/0!</v>
      </c>
      <c r="K18" s="91" t="e">
        <f t="shared" si="248"/>
        <v>#DIV/0!</v>
      </c>
      <c r="L18" s="91" t="e">
        <f t="shared" si="248"/>
        <v>#DIV/0!</v>
      </c>
      <c r="M18" s="91" t="e">
        <f t="shared" si="248"/>
        <v>#DIV/0!</v>
      </c>
      <c r="N18" s="91" t="e">
        <f t="shared" si="248"/>
        <v>#DIV/0!</v>
      </c>
      <c r="O18" s="91" t="e">
        <f t="shared" si="248"/>
        <v>#DIV/0!</v>
      </c>
      <c r="P18" s="91" t="e">
        <f t="shared" si="248"/>
        <v>#DIV/0!</v>
      </c>
      <c r="Q18" s="91" t="e">
        <f t="shared" si="248"/>
        <v>#DIV/0!</v>
      </c>
      <c r="R18" s="91" t="e">
        <f t="shared" si="248"/>
        <v>#DIV/0!</v>
      </c>
      <c r="S18" s="91" t="e">
        <f t="shared" si="248"/>
        <v>#DIV/0!</v>
      </c>
      <c r="T18" s="91" t="e">
        <f t="shared" si="248"/>
        <v>#DIV/0!</v>
      </c>
      <c r="U18" s="91" t="e">
        <f t="shared" si="248"/>
        <v>#DIV/0!</v>
      </c>
      <c r="V18" s="91" t="e">
        <f t="shared" si="248"/>
        <v>#DIV/0!</v>
      </c>
      <c r="W18" s="91" t="e">
        <f t="shared" si="248"/>
        <v>#DIV/0!</v>
      </c>
      <c r="X18" s="91" t="e">
        <f t="shared" si="248"/>
        <v>#DIV/0!</v>
      </c>
      <c r="Y18" s="91" t="e">
        <f t="shared" si="248"/>
        <v>#DIV/0!</v>
      </c>
      <c r="Z18" s="91" t="e">
        <f t="shared" si="248"/>
        <v>#DIV/0!</v>
      </c>
      <c r="AA18" s="92" t="e">
        <f t="shared" si="248"/>
        <v>#DIV/0!</v>
      </c>
      <c r="AB18" s="92" t="e">
        <f t="shared" si="248"/>
        <v>#DIV/0!</v>
      </c>
      <c r="AC18" s="92" t="e">
        <f t="shared" si="248"/>
        <v>#DIV/0!</v>
      </c>
      <c r="AD18" s="92" t="e">
        <f t="shared" si="248"/>
        <v>#DIV/0!</v>
      </c>
      <c r="AE18" s="92" t="e">
        <f t="shared" si="248"/>
        <v>#DIV/0!</v>
      </c>
      <c r="AG18" s="65"/>
      <c r="AH18" s="91"/>
      <c r="AI18" s="91" t="e">
        <f t="shared" ref="AI18:AJ18" si="249">AI38/AH5</f>
        <v>#DIV/0!</v>
      </c>
      <c r="AJ18" s="91" t="e">
        <f t="shared" si="249"/>
        <v>#DIV/0!</v>
      </c>
      <c r="AK18" s="91" t="e">
        <f t="shared" ref="AK18" si="250">AK38/AJ5</f>
        <v>#DIV/0!</v>
      </c>
      <c r="AL18" s="91" t="e">
        <f t="shared" ref="AL18" si="251">AL38/AK5</f>
        <v>#DIV/0!</v>
      </c>
      <c r="AM18" s="91" t="e">
        <f t="shared" ref="AM18" si="252">AM38/AL5</f>
        <v>#DIV/0!</v>
      </c>
      <c r="AN18" s="91" t="e">
        <f t="shared" ref="AN18" si="253">AN38/AM5</f>
        <v>#DIV/0!</v>
      </c>
      <c r="AO18" s="91" t="e">
        <f t="shared" ref="AO18" si="254">AO38/AN5</f>
        <v>#DIV/0!</v>
      </c>
      <c r="AP18" s="91" t="e">
        <f t="shared" ref="AP18" si="255">AP38/AO5</f>
        <v>#DIV/0!</v>
      </c>
      <c r="AQ18" s="91" t="e">
        <f t="shared" ref="AQ18" si="256">AQ38/AP5</f>
        <v>#DIV/0!</v>
      </c>
      <c r="AR18" s="91" t="e">
        <f t="shared" ref="AR18" si="257">AR38/AQ5</f>
        <v>#DIV/0!</v>
      </c>
      <c r="AS18" s="91" t="e">
        <f t="shared" ref="AS18" si="258">AS38/AR5</f>
        <v>#DIV/0!</v>
      </c>
      <c r="AT18" s="91" t="e">
        <f t="shared" ref="AT18:BY18" si="259">AT38/AS5</f>
        <v>#DIV/0!</v>
      </c>
      <c r="AU18" s="91" t="e">
        <f t="shared" si="259"/>
        <v>#DIV/0!</v>
      </c>
      <c r="AV18" s="91" t="e">
        <f t="shared" si="259"/>
        <v>#DIV/0!</v>
      </c>
      <c r="AW18" s="91" t="e">
        <f t="shared" si="259"/>
        <v>#DIV/0!</v>
      </c>
      <c r="AX18" s="91" t="e">
        <f t="shared" si="259"/>
        <v>#DIV/0!</v>
      </c>
      <c r="AY18" s="91" t="e">
        <f t="shared" si="259"/>
        <v>#DIV/0!</v>
      </c>
      <c r="AZ18" s="91" t="e">
        <f t="shared" si="259"/>
        <v>#DIV/0!</v>
      </c>
      <c r="BA18" s="91" t="e">
        <f t="shared" si="259"/>
        <v>#DIV/0!</v>
      </c>
      <c r="BB18" s="91" t="e">
        <f t="shared" si="259"/>
        <v>#DIV/0!</v>
      </c>
      <c r="BC18" s="91" t="e">
        <f t="shared" si="259"/>
        <v>#DIV/0!</v>
      </c>
      <c r="BD18" s="91" t="e">
        <f t="shared" si="259"/>
        <v>#DIV/0!</v>
      </c>
      <c r="BE18" s="91" t="e">
        <f t="shared" si="259"/>
        <v>#DIV/0!</v>
      </c>
      <c r="BF18" s="91" t="e">
        <f t="shared" si="259"/>
        <v>#DIV/0!</v>
      </c>
      <c r="BG18" s="91" t="e">
        <f t="shared" si="259"/>
        <v>#DIV/0!</v>
      </c>
      <c r="BH18" s="91" t="e">
        <f t="shared" si="259"/>
        <v>#DIV/0!</v>
      </c>
      <c r="BI18" s="91" t="e">
        <f t="shared" si="259"/>
        <v>#DIV/0!</v>
      </c>
      <c r="BJ18" s="91" t="e">
        <f t="shared" si="259"/>
        <v>#DIV/0!</v>
      </c>
      <c r="BK18" s="91" t="e">
        <f t="shared" si="259"/>
        <v>#DIV/0!</v>
      </c>
      <c r="BL18" s="91" t="e">
        <f t="shared" si="259"/>
        <v>#DIV/0!</v>
      </c>
      <c r="BM18" s="91" t="e">
        <f t="shared" si="259"/>
        <v>#DIV/0!</v>
      </c>
      <c r="BN18" s="91" t="e">
        <f t="shared" si="259"/>
        <v>#DIV/0!</v>
      </c>
      <c r="BO18" s="91" t="e">
        <f t="shared" si="259"/>
        <v>#DIV/0!</v>
      </c>
      <c r="BP18" s="91" t="e">
        <f t="shared" si="259"/>
        <v>#DIV/0!</v>
      </c>
      <c r="BQ18" s="91" t="e">
        <f t="shared" si="259"/>
        <v>#DIV/0!</v>
      </c>
      <c r="BR18" s="91" t="e">
        <f t="shared" si="259"/>
        <v>#DIV/0!</v>
      </c>
      <c r="BS18" s="91" t="e">
        <f t="shared" si="259"/>
        <v>#DIV/0!</v>
      </c>
      <c r="BT18" s="91" t="e">
        <f t="shared" si="259"/>
        <v>#DIV/0!</v>
      </c>
      <c r="BU18" s="91" t="e">
        <f t="shared" si="259"/>
        <v>#DIV/0!</v>
      </c>
      <c r="BV18" s="91" t="e">
        <f t="shared" si="259"/>
        <v>#DIV/0!</v>
      </c>
      <c r="BW18" s="91" t="e">
        <f t="shared" si="259"/>
        <v>#DIV/0!</v>
      </c>
      <c r="BX18" s="91" t="e">
        <f t="shared" si="259"/>
        <v>#DIV/0!</v>
      </c>
      <c r="BY18" s="91" t="e">
        <f t="shared" si="259"/>
        <v>#DIV/0!</v>
      </c>
      <c r="BZ18" s="16" t="e">
        <f t="shared" ref="BZ18" si="260">BY18</f>
        <v>#DIV/0!</v>
      </c>
      <c r="CA18" s="16" t="e">
        <f t="shared" ref="CA18" si="261">BZ18</f>
        <v>#DIV/0!</v>
      </c>
      <c r="CB18" s="16" t="e">
        <f t="shared" ref="CB18" si="262">CA18</f>
        <v>#DIV/0!</v>
      </c>
      <c r="CC18" s="16" t="e">
        <f t="shared" ref="CC18" si="263">CB18</f>
        <v>#DIV/0!</v>
      </c>
      <c r="CD18" s="16" t="e">
        <f t="shared" ref="CD18" si="264">CC18</f>
        <v>#DIV/0!</v>
      </c>
      <c r="CE18" s="16" t="e">
        <f t="shared" ref="CE18" si="265">CD18</f>
        <v>#DIV/0!</v>
      </c>
      <c r="CF18" s="16" t="e">
        <f t="shared" ref="CF18" si="266">CE18</f>
        <v>#DIV/0!</v>
      </c>
      <c r="CG18" s="16" t="e">
        <f t="shared" ref="CG18" si="267">CF18</f>
        <v>#DIV/0!</v>
      </c>
      <c r="CH18" s="16" t="e">
        <f t="shared" ref="CH18" si="268">CG18</f>
        <v>#DIV/0!</v>
      </c>
      <c r="CI18" s="16" t="e">
        <f t="shared" ref="CI18" si="269">CH18</f>
        <v>#DIV/0!</v>
      </c>
      <c r="CJ18" s="16" t="e">
        <f t="shared" ref="CJ18" si="270">CI18</f>
        <v>#DIV/0!</v>
      </c>
      <c r="CK18" s="16" t="e">
        <f t="shared" ref="CK18" si="271">CJ18</f>
        <v>#DIV/0!</v>
      </c>
      <c r="CL18" s="16" t="e">
        <f t="shared" ref="CL18" si="272">CK18</f>
        <v>#DIV/0!</v>
      </c>
      <c r="CM18" s="16" t="e">
        <f t="shared" ref="CM18" si="273">CL18</f>
        <v>#DIV/0!</v>
      </c>
      <c r="CN18" s="16" t="e">
        <f t="shared" ref="CN18" si="274">CM18</f>
        <v>#DIV/0!</v>
      </c>
      <c r="CO18" s="16" t="e">
        <f t="shared" ref="CO18" si="275">CN18</f>
        <v>#DIV/0!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276">D17-D18</f>
        <v>#DIV/0!</v>
      </c>
      <c r="E19" s="35" t="e">
        <f t="shared" si="276"/>
        <v>#DIV/0!</v>
      </c>
      <c r="F19" s="35" t="e">
        <f t="shared" si="276"/>
        <v>#DIV/0!</v>
      </c>
      <c r="G19" s="35" t="e">
        <f t="shared" si="276"/>
        <v>#DIV/0!</v>
      </c>
      <c r="H19" s="35" t="e">
        <f t="shared" si="276"/>
        <v>#DIV/0!</v>
      </c>
      <c r="I19" s="35" t="e">
        <f t="shared" si="276"/>
        <v>#DIV/0!</v>
      </c>
      <c r="J19" s="35" t="e">
        <f t="shared" si="276"/>
        <v>#DIV/0!</v>
      </c>
      <c r="K19" s="35" t="e">
        <f t="shared" si="276"/>
        <v>#DIV/0!</v>
      </c>
      <c r="L19" s="35" t="e">
        <f t="shared" si="276"/>
        <v>#DIV/0!</v>
      </c>
      <c r="M19" s="35" t="e">
        <f t="shared" si="276"/>
        <v>#DIV/0!</v>
      </c>
      <c r="N19" s="35" t="e">
        <f t="shared" si="276"/>
        <v>#DIV/0!</v>
      </c>
      <c r="O19" s="35" t="e">
        <f t="shared" si="276"/>
        <v>#DIV/0!</v>
      </c>
      <c r="P19" s="35" t="e">
        <f>P17-P18</f>
        <v>#DIV/0!</v>
      </c>
      <c r="Q19" s="35" t="e">
        <f t="shared" ref="Q19:Z19" si="277">Q17-Q18</f>
        <v>#DIV/0!</v>
      </c>
      <c r="R19" s="35" t="e">
        <f t="shared" si="277"/>
        <v>#DIV/0!</v>
      </c>
      <c r="S19" s="35" t="e">
        <f t="shared" si="277"/>
        <v>#DIV/0!</v>
      </c>
      <c r="T19" s="35" t="e">
        <f t="shared" si="277"/>
        <v>#DIV/0!</v>
      </c>
      <c r="U19" s="35" t="e">
        <f t="shared" si="277"/>
        <v>#DIV/0!</v>
      </c>
      <c r="V19" s="35" t="e">
        <f t="shared" si="277"/>
        <v>#DIV/0!</v>
      </c>
      <c r="W19" s="35" t="e">
        <f t="shared" si="277"/>
        <v>#DIV/0!</v>
      </c>
      <c r="X19" s="35" t="e">
        <f t="shared" si="277"/>
        <v>#DIV/0!</v>
      </c>
      <c r="Y19" s="35" t="e">
        <f t="shared" si="277"/>
        <v>#DIV/0!</v>
      </c>
      <c r="Z19" s="35" t="e">
        <f t="shared" si="277"/>
        <v>#DIV/0!</v>
      </c>
      <c r="AA19" s="36" t="e">
        <f t="shared" ref="AA19" si="278">AA17-AA18</f>
        <v>#DIV/0!</v>
      </c>
      <c r="AB19" s="36" t="e">
        <f t="shared" ref="AB19:AE19" si="279">AB17-AB18</f>
        <v>#DIV/0!</v>
      </c>
      <c r="AC19" s="36" t="e">
        <f t="shared" si="279"/>
        <v>#DIV/0!</v>
      </c>
      <c r="AD19" s="36" t="e">
        <f t="shared" si="279"/>
        <v>#DIV/0!</v>
      </c>
      <c r="AE19" s="36" t="e">
        <f t="shared" si="279"/>
        <v>#DIV/0!</v>
      </c>
      <c r="AG19" s="59"/>
      <c r="AH19" s="35"/>
      <c r="AI19" s="35" t="e">
        <f t="shared" ref="AI19" si="280">AI17-AI18</f>
        <v>#DIV/0!</v>
      </c>
      <c r="AJ19" s="35" t="e">
        <f t="shared" ref="AJ19:AS19" si="281">AJ17-AJ18</f>
        <v>#DIV/0!</v>
      </c>
      <c r="AK19" s="35" t="e">
        <f t="shared" si="281"/>
        <v>#DIV/0!</v>
      </c>
      <c r="AL19" s="35" t="e">
        <f t="shared" si="281"/>
        <v>#DIV/0!</v>
      </c>
      <c r="AM19" s="35" t="e">
        <f t="shared" si="281"/>
        <v>#DIV/0!</v>
      </c>
      <c r="AN19" s="35" t="e">
        <f t="shared" si="281"/>
        <v>#DIV/0!</v>
      </c>
      <c r="AO19" s="35" t="e">
        <f t="shared" si="281"/>
        <v>#DIV/0!</v>
      </c>
      <c r="AP19" s="35" t="e">
        <f t="shared" si="281"/>
        <v>#DIV/0!</v>
      </c>
      <c r="AQ19" s="35" t="e">
        <f t="shared" si="281"/>
        <v>#DIV/0!</v>
      </c>
      <c r="AR19" s="35" t="e">
        <f t="shared" si="281"/>
        <v>#DIV/0!</v>
      </c>
      <c r="AS19" s="35" t="e">
        <f t="shared" si="281"/>
        <v>#DIV/0!</v>
      </c>
      <c r="AT19" s="35" t="e">
        <f t="shared" ref="AT19" si="282">AT17-AT18</f>
        <v>#DIV/0!</v>
      </c>
      <c r="AU19" s="35" t="e">
        <f t="shared" ref="AU19" si="283">AU17-AU18</f>
        <v>#DIV/0!</v>
      </c>
      <c r="AV19" s="35" t="e">
        <f t="shared" ref="AV19" si="284">AV17-AV18</f>
        <v>#DIV/0!</v>
      </c>
      <c r="AW19" s="35" t="e">
        <f t="shared" ref="AW19" si="285">AW17-AW18</f>
        <v>#DIV/0!</v>
      </c>
      <c r="AX19" s="35" t="e">
        <f t="shared" ref="AX19" si="286">AX17-AX18</f>
        <v>#DIV/0!</v>
      </c>
      <c r="AY19" s="35" t="e">
        <f t="shared" ref="AY19" si="287">AY17-AY18</f>
        <v>#DIV/0!</v>
      </c>
      <c r="AZ19" s="35" t="e">
        <f t="shared" ref="AZ19" si="288">AZ17-AZ18</f>
        <v>#DIV/0!</v>
      </c>
      <c r="BA19" s="35" t="e">
        <f t="shared" ref="BA19" si="289">BA17-BA18</f>
        <v>#DIV/0!</v>
      </c>
      <c r="BB19" s="35" t="e">
        <f t="shared" ref="BB19" si="290">BB17-BB18</f>
        <v>#DIV/0!</v>
      </c>
      <c r="BC19" s="35" t="e">
        <f t="shared" ref="BC19" si="291">BC17-BC18</f>
        <v>#DIV/0!</v>
      </c>
      <c r="BD19" s="35" t="e">
        <f t="shared" ref="BD19" si="292">BD17-BD18</f>
        <v>#DIV/0!</v>
      </c>
      <c r="BE19" s="35" t="e">
        <f t="shared" ref="BE19" si="293">BE17-BE18</f>
        <v>#DIV/0!</v>
      </c>
      <c r="BF19" s="35" t="e">
        <f t="shared" ref="BF19" si="294">BF17-BF18</f>
        <v>#DIV/0!</v>
      </c>
      <c r="BG19" s="35" t="e">
        <f t="shared" ref="BG19" si="295">BG17-BG18</f>
        <v>#DIV/0!</v>
      </c>
      <c r="BH19" s="35" t="e">
        <f t="shared" ref="BH19" si="296">BH17-BH18</f>
        <v>#DIV/0!</v>
      </c>
      <c r="BI19" s="35" t="e">
        <f t="shared" ref="BI19" si="297">BI17-BI18</f>
        <v>#DIV/0!</v>
      </c>
      <c r="BJ19" s="35" t="e">
        <f t="shared" ref="BJ19" si="298">BJ17-BJ18</f>
        <v>#DIV/0!</v>
      </c>
      <c r="BK19" s="35" t="e">
        <f t="shared" ref="BK19" si="299">BK17-BK18</f>
        <v>#DIV/0!</v>
      </c>
      <c r="BL19" s="35" t="e">
        <f t="shared" ref="BL19" si="300">BL17-BL18</f>
        <v>#DIV/0!</v>
      </c>
      <c r="BM19" s="35" t="e">
        <f t="shared" ref="BM19" si="301">BM17-BM18</f>
        <v>#DIV/0!</v>
      </c>
      <c r="BN19" s="35" t="e">
        <f t="shared" ref="BN19" si="302">BN17-BN18</f>
        <v>#DIV/0!</v>
      </c>
      <c r="BO19" s="35" t="e">
        <f t="shared" ref="BO19" si="303">BO17-BO18</f>
        <v>#DIV/0!</v>
      </c>
      <c r="BP19" s="35" t="e">
        <f t="shared" ref="BP19" si="304">BP17-BP18</f>
        <v>#DIV/0!</v>
      </c>
      <c r="BQ19" s="35" t="e">
        <f t="shared" ref="BQ19" si="305">BQ17-BQ18</f>
        <v>#DIV/0!</v>
      </c>
      <c r="BR19" s="35" t="e">
        <f t="shared" ref="BR19" si="306">BR17-BR18</f>
        <v>#DIV/0!</v>
      </c>
      <c r="BS19" s="35" t="e">
        <f t="shared" ref="BS19" si="307">BS17-BS18</f>
        <v>#DIV/0!</v>
      </c>
      <c r="BT19" s="35" t="e">
        <f t="shared" ref="BT19" si="308">BT17-BT18</f>
        <v>#DIV/0!</v>
      </c>
      <c r="BU19" s="35" t="e">
        <f t="shared" ref="BU19:BV19" si="309">BU17-BU18</f>
        <v>#DIV/0!</v>
      </c>
      <c r="BV19" s="35" t="e">
        <f t="shared" si="309"/>
        <v>#DIV/0!</v>
      </c>
      <c r="BW19" s="35" t="e">
        <f t="shared" ref="BW19:BX19" si="310">BW17-BW18</f>
        <v>#DIV/0!</v>
      </c>
      <c r="BX19" s="35" t="e">
        <f t="shared" si="310"/>
        <v>#DIV/0!</v>
      </c>
      <c r="BY19" s="35" t="e">
        <f t="shared" ref="BY19" si="311">BY17-BY18</f>
        <v>#DIV/0!</v>
      </c>
      <c r="BZ19" s="36" t="e">
        <f t="shared" ref="BZ19" si="312">BZ17-BZ18</f>
        <v>#DIV/0!</v>
      </c>
      <c r="CA19" s="36" t="e">
        <f t="shared" ref="CA19" si="313">CA17-CA18</f>
        <v>#DIV/0!</v>
      </c>
      <c r="CB19" s="36" t="e">
        <f t="shared" ref="CB19" si="314">CB17-CB18</f>
        <v>#DIV/0!</v>
      </c>
      <c r="CC19" s="36" t="e">
        <f t="shared" ref="CC19" si="315">CC17-CC18</f>
        <v>#DIV/0!</v>
      </c>
      <c r="CD19" s="36" t="e">
        <f t="shared" ref="CD19" si="316">CD17-CD18</f>
        <v>#DIV/0!</v>
      </c>
      <c r="CE19" s="36" t="e">
        <f t="shared" ref="CE19" si="317">CE17-CE18</f>
        <v>#DIV/0!</v>
      </c>
      <c r="CF19" s="36" t="e">
        <f t="shared" ref="CF19" si="318">CF17-CF18</f>
        <v>#DIV/0!</v>
      </c>
      <c r="CG19" s="36" t="e">
        <f t="shared" ref="CG19" si="319">CG17-CG18</f>
        <v>#DIV/0!</v>
      </c>
      <c r="CH19" s="36" t="e">
        <f t="shared" ref="CH19" si="320">CH17-CH18</f>
        <v>#DIV/0!</v>
      </c>
      <c r="CI19" s="36" t="e">
        <f t="shared" ref="CI19" si="321">CI17-CI18</f>
        <v>#DIV/0!</v>
      </c>
      <c r="CJ19" s="36" t="e">
        <f t="shared" ref="CJ19" si="322">CJ17-CJ18</f>
        <v>#DIV/0!</v>
      </c>
      <c r="CK19" s="36" t="e">
        <f t="shared" ref="CK19" si="323">CK17-CK18</f>
        <v>#DIV/0!</v>
      </c>
      <c r="CL19" s="36" t="e">
        <f t="shared" ref="CL19" si="324">CL17-CL18</f>
        <v>#DIV/0!</v>
      </c>
      <c r="CM19" s="36" t="e">
        <f t="shared" ref="CM19" si="325">CM17-CM18</f>
        <v>#DIV/0!</v>
      </c>
      <c r="CN19" s="36" t="e">
        <f t="shared" ref="CN19" si="326">CN17-CN18</f>
        <v>#DIV/0!</v>
      </c>
      <c r="CO19" s="36" t="e">
        <f t="shared" ref="CO19" si="327">CO17-CO18</f>
        <v>#DIV/0!</v>
      </c>
    </row>
    <row r="20" spans="1:93" s="30" customFormat="1" x14ac:dyDescent="0.2">
      <c r="A20" s="32" t="s">
        <v>30</v>
      </c>
      <c r="B20" s="32"/>
      <c r="C20" s="32"/>
      <c r="D20" s="28" t="e">
        <f t="shared" ref="D20:AE20" si="328">D41/C5</f>
        <v>#DIV/0!</v>
      </c>
      <c r="E20" s="28" t="e">
        <f t="shared" si="328"/>
        <v>#DIV/0!</v>
      </c>
      <c r="F20" s="28" t="e">
        <f t="shared" si="328"/>
        <v>#DIV/0!</v>
      </c>
      <c r="G20" s="28" t="e">
        <f t="shared" si="328"/>
        <v>#DIV/0!</v>
      </c>
      <c r="H20" s="28" t="e">
        <f t="shared" si="328"/>
        <v>#DIV/0!</v>
      </c>
      <c r="I20" s="28" t="e">
        <f t="shared" si="328"/>
        <v>#DIV/0!</v>
      </c>
      <c r="J20" s="28" t="e">
        <f t="shared" si="328"/>
        <v>#DIV/0!</v>
      </c>
      <c r="K20" s="28" t="e">
        <f t="shared" si="328"/>
        <v>#DIV/0!</v>
      </c>
      <c r="L20" s="28" t="e">
        <f t="shared" si="328"/>
        <v>#DIV/0!</v>
      </c>
      <c r="M20" s="28" t="e">
        <f t="shared" si="328"/>
        <v>#DIV/0!</v>
      </c>
      <c r="N20" s="28" t="e">
        <f t="shared" si="328"/>
        <v>#DIV/0!</v>
      </c>
      <c r="O20" s="28" t="e">
        <f t="shared" si="328"/>
        <v>#DIV/0!</v>
      </c>
      <c r="P20" s="28" t="e">
        <f t="shared" si="328"/>
        <v>#DIV/0!</v>
      </c>
      <c r="Q20" s="28" t="e">
        <f t="shared" si="328"/>
        <v>#DIV/0!</v>
      </c>
      <c r="R20" s="28" t="e">
        <f t="shared" si="328"/>
        <v>#DIV/0!</v>
      </c>
      <c r="S20" s="28" t="e">
        <f t="shared" si="328"/>
        <v>#DIV/0!</v>
      </c>
      <c r="T20" s="28" t="e">
        <f t="shared" si="328"/>
        <v>#DIV/0!</v>
      </c>
      <c r="U20" s="28" t="e">
        <f t="shared" si="328"/>
        <v>#DIV/0!</v>
      </c>
      <c r="V20" s="28" t="e">
        <f t="shared" si="328"/>
        <v>#DIV/0!</v>
      </c>
      <c r="W20" s="28" t="e">
        <f t="shared" si="328"/>
        <v>#DIV/0!</v>
      </c>
      <c r="X20" s="28" t="e">
        <f t="shared" si="328"/>
        <v>#DIV/0!</v>
      </c>
      <c r="Y20" s="28" t="e">
        <f t="shared" si="328"/>
        <v>#DIV/0!</v>
      </c>
      <c r="Z20" s="28" t="e">
        <f t="shared" si="328"/>
        <v>#DIV/0!</v>
      </c>
      <c r="AA20" s="29" t="e">
        <f t="shared" si="328"/>
        <v>#DIV/0!</v>
      </c>
      <c r="AB20" s="29" t="e">
        <f t="shared" si="328"/>
        <v>#DIV/0!</v>
      </c>
      <c r="AC20" s="29" t="e">
        <f t="shared" si="328"/>
        <v>#DIV/0!</v>
      </c>
      <c r="AD20" s="29" t="e">
        <f t="shared" si="328"/>
        <v>#DIV/0!</v>
      </c>
      <c r="AE20" s="29" t="e">
        <f t="shared" si="328"/>
        <v>#DIV/0!</v>
      </c>
      <c r="AG20" s="58"/>
      <c r="AH20" s="28"/>
      <c r="AI20" s="28" t="e">
        <f t="shared" ref="AI20:AJ20" si="329">AI41/AH5</f>
        <v>#DIV/0!</v>
      </c>
      <c r="AJ20" s="28" t="e">
        <f t="shared" si="329"/>
        <v>#DIV/0!</v>
      </c>
      <c r="AK20" s="28" t="e">
        <f t="shared" ref="AK20" si="330">AK41/AJ5</f>
        <v>#DIV/0!</v>
      </c>
      <c r="AL20" s="28" t="e">
        <f t="shared" ref="AL20" si="331">AL41/AK5</f>
        <v>#DIV/0!</v>
      </c>
      <c r="AM20" s="28" t="e">
        <f t="shared" ref="AM20" si="332">AM41/AL5</f>
        <v>#DIV/0!</v>
      </c>
      <c r="AN20" s="28" t="e">
        <f t="shared" ref="AN20" si="333">AN41/AM5</f>
        <v>#DIV/0!</v>
      </c>
      <c r="AO20" s="28" t="e">
        <f t="shared" ref="AO20" si="334">AO41/AN5</f>
        <v>#DIV/0!</v>
      </c>
      <c r="AP20" s="28" t="e">
        <f t="shared" ref="AP20" si="335">AP41/AO5</f>
        <v>#DIV/0!</v>
      </c>
      <c r="AQ20" s="28" t="e">
        <f t="shared" ref="AQ20" si="336">AQ41/AP5</f>
        <v>#DIV/0!</v>
      </c>
      <c r="AR20" s="28" t="e">
        <f t="shared" ref="AR20" si="337">AR41/AQ5</f>
        <v>#DIV/0!</v>
      </c>
      <c r="AS20" s="28" t="e">
        <f t="shared" ref="AS20" si="338">AS41/AR5</f>
        <v>#DIV/0!</v>
      </c>
      <c r="AT20" s="28" t="e">
        <f t="shared" ref="AT20:BY20" si="339">AT41/AS5</f>
        <v>#DIV/0!</v>
      </c>
      <c r="AU20" s="28" t="e">
        <f t="shared" si="339"/>
        <v>#DIV/0!</v>
      </c>
      <c r="AV20" s="28" t="e">
        <f t="shared" si="339"/>
        <v>#DIV/0!</v>
      </c>
      <c r="AW20" s="28" t="e">
        <f t="shared" si="339"/>
        <v>#DIV/0!</v>
      </c>
      <c r="AX20" s="28" t="e">
        <f t="shared" si="339"/>
        <v>#DIV/0!</v>
      </c>
      <c r="AY20" s="28" t="e">
        <f t="shared" si="339"/>
        <v>#DIV/0!</v>
      </c>
      <c r="AZ20" s="28" t="e">
        <f t="shared" si="339"/>
        <v>#DIV/0!</v>
      </c>
      <c r="BA20" s="28" t="e">
        <f t="shared" si="339"/>
        <v>#DIV/0!</v>
      </c>
      <c r="BB20" s="28" t="e">
        <f t="shared" si="339"/>
        <v>#DIV/0!</v>
      </c>
      <c r="BC20" s="28" t="e">
        <f t="shared" si="339"/>
        <v>#DIV/0!</v>
      </c>
      <c r="BD20" s="28" t="e">
        <f t="shared" si="339"/>
        <v>#DIV/0!</v>
      </c>
      <c r="BE20" s="28" t="e">
        <f t="shared" si="339"/>
        <v>#DIV/0!</v>
      </c>
      <c r="BF20" s="28" t="e">
        <f t="shared" si="339"/>
        <v>#DIV/0!</v>
      </c>
      <c r="BG20" s="28" t="e">
        <f t="shared" si="339"/>
        <v>#DIV/0!</v>
      </c>
      <c r="BH20" s="28" t="e">
        <f t="shared" si="339"/>
        <v>#DIV/0!</v>
      </c>
      <c r="BI20" s="28" t="e">
        <f t="shared" si="339"/>
        <v>#DIV/0!</v>
      </c>
      <c r="BJ20" s="28" t="e">
        <f t="shared" si="339"/>
        <v>#DIV/0!</v>
      </c>
      <c r="BK20" s="28" t="e">
        <f t="shared" si="339"/>
        <v>#DIV/0!</v>
      </c>
      <c r="BL20" s="28" t="e">
        <f t="shared" si="339"/>
        <v>#DIV/0!</v>
      </c>
      <c r="BM20" s="28" t="e">
        <f t="shared" si="339"/>
        <v>#DIV/0!</v>
      </c>
      <c r="BN20" s="28" t="e">
        <f t="shared" si="339"/>
        <v>#DIV/0!</v>
      </c>
      <c r="BO20" s="28" t="e">
        <f t="shared" si="339"/>
        <v>#DIV/0!</v>
      </c>
      <c r="BP20" s="28" t="e">
        <f t="shared" si="339"/>
        <v>#DIV/0!</v>
      </c>
      <c r="BQ20" s="28" t="e">
        <f t="shared" si="339"/>
        <v>#DIV/0!</v>
      </c>
      <c r="BR20" s="28" t="e">
        <f t="shared" si="339"/>
        <v>#DIV/0!</v>
      </c>
      <c r="BS20" s="28" t="e">
        <f t="shared" si="339"/>
        <v>#DIV/0!</v>
      </c>
      <c r="BT20" s="28" t="e">
        <f t="shared" si="339"/>
        <v>#DIV/0!</v>
      </c>
      <c r="BU20" s="28" t="e">
        <f t="shared" si="339"/>
        <v>#DIV/0!</v>
      </c>
      <c r="BV20" s="28" t="e">
        <f t="shared" si="339"/>
        <v>#DIV/0!</v>
      </c>
      <c r="BW20" s="28" t="e">
        <f t="shared" si="339"/>
        <v>#DIV/0!</v>
      </c>
      <c r="BX20" s="28" t="e">
        <f t="shared" si="339"/>
        <v>#DIV/0!</v>
      </c>
      <c r="BY20" s="28" t="e">
        <f t="shared" si="339"/>
        <v>#DIV/0!</v>
      </c>
      <c r="BZ20" s="31" t="e">
        <f t="shared" ref="BZ20" si="340">BY20</f>
        <v>#DIV/0!</v>
      </c>
      <c r="CA20" s="31" t="e">
        <f t="shared" ref="CA20" si="341">BZ20</f>
        <v>#DIV/0!</v>
      </c>
      <c r="CB20" s="31" t="e">
        <f t="shared" ref="CB20" si="342">CA20</f>
        <v>#DIV/0!</v>
      </c>
      <c r="CC20" s="31" t="e">
        <f t="shared" ref="CC20" si="343">CB20</f>
        <v>#DIV/0!</v>
      </c>
      <c r="CD20" s="31" t="e">
        <f t="shared" ref="CD20" si="344">CC20</f>
        <v>#DIV/0!</v>
      </c>
      <c r="CE20" s="31" t="e">
        <f t="shared" ref="CE20" si="345">CD20</f>
        <v>#DIV/0!</v>
      </c>
      <c r="CF20" s="31" t="e">
        <f t="shared" ref="CF20" si="346">CE20</f>
        <v>#DIV/0!</v>
      </c>
      <c r="CG20" s="31" t="e">
        <f t="shared" ref="CG20" si="347">CF20</f>
        <v>#DIV/0!</v>
      </c>
      <c r="CH20" s="31" t="e">
        <f t="shared" ref="CH20" si="348">CG20</f>
        <v>#DIV/0!</v>
      </c>
      <c r="CI20" s="31" t="e">
        <f t="shared" ref="CI20" si="349">CH20</f>
        <v>#DIV/0!</v>
      </c>
      <c r="CJ20" s="31" t="e">
        <f t="shared" ref="CJ20" si="350">CI20</f>
        <v>#DIV/0!</v>
      </c>
      <c r="CK20" s="31" t="e">
        <f t="shared" ref="CK20" si="351">CJ20</f>
        <v>#DIV/0!</v>
      </c>
      <c r="CL20" s="31" t="e">
        <f t="shared" ref="CL20" si="352">CK20</f>
        <v>#DIV/0!</v>
      </c>
      <c r="CM20" s="31" t="e">
        <f t="shared" ref="CM20" si="353">CL20</f>
        <v>#DIV/0!</v>
      </c>
      <c r="CN20" s="31" t="e">
        <f t="shared" ref="CN20" si="354">CM20</f>
        <v>#DIV/0!</v>
      </c>
      <c r="CO20" s="31" t="e">
        <f t="shared" ref="CO20" si="355">CN20</f>
        <v>#DIV/0!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356">D19-D20</f>
        <v>#DIV/0!</v>
      </c>
      <c r="E21" s="28" t="e">
        <f t="shared" si="356"/>
        <v>#DIV/0!</v>
      </c>
      <c r="F21" s="28" t="e">
        <f t="shared" si="356"/>
        <v>#DIV/0!</v>
      </c>
      <c r="G21" s="28" t="e">
        <f t="shared" si="356"/>
        <v>#DIV/0!</v>
      </c>
      <c r="H21" s="28" t="e">
        <f t="shared" si="356"/>
        <v>#DIV/0!</v>
      </c>
      <c r="I21" s="28" t="e">
        <f t="shared" si="356"/>
        <v>#DIV/0!</v>
      </c>
      <c r="J21" s="28" t="e">
        <f t="shared" si="356"/>
        <v>#DIV/0!</v>
      </c>
      <c r="K21" s="28" t="e">
        <f t="shared" si="356"/>
        <v>#DIV/0!</v>
      </c>
      <c r="L21" s="28" t="e">
        <f t="shared" si="356"/>
        <v>#DIV/0!</v>
      </c>
      <c r="M21" s="28" t="e">
        <f t="shared" si="356"/>
        <v>#DIV/0!</v>
      </c>
      <c r="N21" s="28" t="e">
        <f t="shared" si="356"/>
        <v>#DIV/0!</v>
      </c>
      <c r="O21" s="28" t="e">
        <f t="shared" si="356"/>
        <v>#DIV/0!</v>
      </c>
      <c r="P21" s="28" t="e">
        <f>P19-P20</f>
        <v>#DIV/0!</v>
      </c>
      <c r="Q21" s="28" t="e">
        <f t="shared" ref="Q21:T21" si="357">Q19-Q20</f>
        <v>#DIV/0!</v>
      </c>
      <c r="R21" s="28" t="e">
        <f t="shared" si="357"/>
        <v>#DIV/0!</v>
      </c>
      <c r="S21" s="28" t="e">
        <f t="shared" si="357"/>
        <v>#DIV/0!</v>
      </c>
      <c r="T21" s="28" t="e">
        <f t="shared" si="357"/>
        <v>#DIV/0!</v>
      </c>
      <c r="U21" s="28" t="e">
        <f t="shared" ref="U21:W21" si="358">U19-U20</f>
        <v>#DIV/0!</v>
      </c>
      <c r="V21" s="28" t="e">
        <f t="shared" si="358"/>
        <v>#DIV/0!</v>
      </c>
      <c r="W21" s="28" t="e">
        <f t="shared" si="358"/>
        <v>#DIV/0!</v>
      </c>
      <c r="X21" s="28" t="e">
        <f t="shared" ref="X21:Y21" si="359">X19-X20</f>
        <v>#DIV/0!</v>
      </c>
      <c r="Y21" s="28" t="e">
        <f t="shared" si="359"/>
        <v>#DIV/0!</v>
      </c>
      <c r="Z21" s="28" t="e">
        <f t="shared" ref="Z21:AB21" si="360">Z19-Z20</f>
        <v>#DIV/0!</v>
      </c>
      <c r="AA21" s="29" t="e">
        <f t="shared" si="360"/>
        <v>#DIV/0!</v>
      </c>
      <c r="AB21" s="29" t="e">
        <f t="shared" si="360"/>
        <v>#DIV/0!</v>
      </c>
      <c r="AC21" s="29" t="e">
        <f t="shared" ref="AC21:AE21" si="361">AC19-AC20</f>
        <v>#DIV/0!</v>
      </c>
      <c r="AD21" s="29" t="e">
        <f t="shared" si="361"/>
        <v>#DIV/0!</v>
      </c>
      <c r="AE21" s="29" t="e">
        <f t="shared" si="361"/>
        <v>#DIV/0!</v>
      </c>
      <c r="AG21" s="58"/>
      <c r="AH21" s="28"/>
      <c r="AI21" s="28" t="e">
        <f t="shared" ref="AI21" si="362">AI19-AI20</f>
        <v>#DIV/0!</v>
      </c>
      <c r="AJ21" s="28" t="e">
        <f t="shared" ref="AJ21:AS21" si="363">AJ19-AJ20</f>
        <v>#DIV/0!</v>
      </c>
      <c r="AK21" s="28" t="e">
        <f t="shared" si="363"/>
        <v>#DIV/0!</v>
      </c>
      <c r="AL21" s="28" t="e">
        <f t="shared" si="363"/>
        <v>#DIV/0!</v>
      </c>
      <c r="AM21" s="28" t="e">
        <f t="shared" si="363"/>
        <v>#DIV/0!</v>
      </c>
      <c r="AN21" s="28" t="e">
        <f t="shared" si="363"/>
        <v>#DIV/0!</v>
      </c>
      <c r="AO21" s="28" t="e">
        <f t="shared" si="363"/>
        <v>#DIV/0!</v>
      </c>
      <c r="AP21" s="28" t="e">
        <f t="shared" si="363"/>
        <v>#DIV/0!</v>
      </c>
      <c r="AQ21" s="28" t="e">
        <f t="shared" si="363"/>
        <v>#DIV/0!</v>
      </c>
      <c r="AR21" s="28" t="e">
        <f t="shared" si="363"/>
        <v>#DIV/0!</v>
      </c>
      <c r="AS21" s="28" t="e">
        <f t="shared" si="363"/>
        <v>#DIV/0!</v>
      </c>
      <c r="AT21" s="28" t="e">
        <f t="shared" ref="AT21:AW21" si="364">AT19-AT20</f>
        <v>#DIV/0!</v>
      </c>
      <c r="AU21" s="28" t="e">
        <f t="shared" si="364"/>
        <v>#DIV/0!</v>
      </c>
      <c r="AV21" s="28" t="e">
        <f t="shared" si="364"/>
        <v>#DIV/0!</v>
      </c>
      <c r="AW21" s="28" t="e">
        <f t="shared" si="364"/>
        <v>#DIV/0!</v>
      </c>
      <c r="AX21" s="28" t="e">
        <f t="shared" ref="AX21" si="365">AX19-AX20</f>
        <v>#DIV/0!</v>
      </c>
      <c r="AY21" s="28" t="e">
        <f t="shared" ref="AY21" si="366">AY19-AY20</f>
        <v>#DIV/0!</v>
      </c>
      <c r="AZ21" s="28" t="e">
        <f t="shared" ref="AZ21:BA21" si="367">AZ19-AZ20</f>
        <v>#DIV/0!</v>
      </c>
      <c r="BA21" s="28" t="e">
        <f t="shared" si="367"/>
        <v>#DIV/0!</v>
      </c>
      <c r="BB21" s="28" t="e">
        <f t="shared" ref="BB21:BF21" si="368">BB19-BB20</f>
        <v>#DIV/0!</v>
      </c>
      <c r="BC21" s="28" t="e">
        <f t="shared" si="368"/>
        <v>#DIV/0!</v>
      </c>
      <c r="BD21" s="28" t="e">
        <f t="shared" si="368"/>
        <v>#DIV/0!</v>
      </c>
      <c r="BE21" s="28" t="e">
        <f t="shared" si="368"/>
        <v>#DIV/0!</v>
      </c>
      <c r="BF21" s="28" t="e">
        <f t="shared" si="368"/>
        <v>#DIV/0!</v>
      </c>
      <c r="BG21" s="28" t="e">
        <f t="shared" ref="BG21:BH21" si="369">BG19-BG20</f>
        <v>#DIV/0!</v>
      </c>
      <c r="BH21" s="28" t="e">
        <f t="shared" si="369"/>
        <v>#DIV/0!</v>
      </c>
      <c r="BI21" s="28" t="e">
        <f t="shared" ref="BI21:BJ21" si="370">BI19-BI20</f>
        <v>#DIV/0!</v>
      </c>
      <c r="BJ21" s="28" t="e">
        <f t="shared" si="370"/>
        <v>#DIV/0!</v>
      </c>
      <c r="BK21" s="28" t="e">
        <f t="shared" ref="BK21:BR21" si="371">BK19-BK20</f>
        <v>#DIV/0!</v>
      </c>
      <c r="BL21" s="28" t="e">
        <f t="shared" si="371"/>
        <v>#DIV/0!</v>
      </c>
      <c r="BM21" s="28" t="e">
        <f t="shared" si="371"/>
        <v>#DIV/0!</v>
      </c>
      <c r="BN21" s="28" t="e">
        <f t="shared" si="371"/>
        <v>#DIV/0!</v>
      </c>
      <c r="BO21" s="28" t="e">
        <f t="shared" si="371"/>
        <v>#DIV/0!</v>
      </c>
      <c r="BP21" s="28" t="e">
        <f t="shared" si="371"/>
        <v>#DIV/0!</v>
      </c>
      <c r="BQ21" s="28" t="e">
        <f t="shared" si="371"/>
        <v>#DIV/0!</v>
      </c>
      <c r="BR21" s="28" t="e">
        <f t="shared" si="371"/>
        <v>#DIV/0!</v>
      </c>
      <c r="BS21" s="28" t="e">
        <f t="shared" ref="BS21:BT21" si="372">BS19-BS20</f>
        <v>#DIV/0!</v>
      </c>
      <c r="BT21" s="28" t="e">
        <f t="shared" si="372"/>
        <v>#DIV/0!</v>
      </c>
      <c r="BU21" s="28" t="e">
        <f t="shared" ref="BU21:BV21" si="373">BU19-BU20</f>
        <v>#DIV/0!</v>
      </c>
      <c r="BV21" s="28" t="e">
        <f t="shared" si="373"/>
        <v>#DIV/0!</v>
      </c>
      <c r="BW21" s="28" t="e">
        <f t="shared" ref="BW21:BX21" si="374">BW19-BW20</f>
        <v>#DIV/0!</v>
      </c>
      <c r="BX21" s="28" t="e">
        <f t="shared" si="374"/>
        <v>#DIV/0!</v>
      </c>
      <c r="BY21" s="28" t="e">
        <f t="shared" ref="BY21" si="375">BY19-BY20</f>
        <v>#DIV/0!</v>
      </c>
      <c r="BZ21" s="29" t="e">
        <f t="shared" ref="BZ21:CC21" si="376">BZ19-BZ20</f>
        <v>#DIV/0!</v>
      </c>
      <c r="CA21" s="29" t="e">
        <f t="shared" si="376"/>
        <v>#DIV/0!</v>
      </c>
      <c r="CB21" s="29" t="e">
        <f t="shared" si="376"/>
        <v>#DIV/0!</v>
      </c>
      <c r="CC21" s="29" t="e">
        <f t="shared" si="376"/>
        <v>#DIV/0!</v>
      </c>
      <c r="CD21" s="29" t="e">
        <f t="shared" ref="CD21:CO21" si="377">CD19-CD20</f>
        <v>#DIV/0!</v>
      </c>
      <c r="CE21" s="29" t="e">
        <f t="shared" si="377"/>
        <v>#DIV/0!</v>
      </c>
      <c r="CF21" s="29" t="e">
        <f t="shared" si="377"/>
        <v>#DIV/0!</v>
      </c>
      <c r="CG21" s="29" t="e">
        <f t="shared" si="377"/>
        <v>#DIV/0!</v>
      </c>
      <c r="CH21" s="29" t="e">
        <f t="shared" si="377"/>
        <v>#DIV/0!</v>
      </c>
      <c r="CI21" s="29" t="e">
        <f t="shared" si="377"/>
        <v>#DIV/0!</v>
      </c>
      <c r="CJ21" s="29" t="e">
        <f t="shared" si="377"/>
        <v>#DIV/0!</v>
      </c>
      <c r="CK21" s="29" t="e">
        <f t="shared" si="377"/>
        <v>#DIV/0!</v>
      </c>
      <c r="CL21" s="29" t="e">
        <f t="shared" si="377"/>
        <v>#DIV/0!</v>
      </c>
      <c r="CM21" s="29" t="e">
        <f t="shared" si="377"/>
        <v>#DIV/0!</v>
      </c>
      <c r="CN21" s="29" t="e">
        <f t="shared" si="377"/>
        <v>#DIV/0!</v>
      </c>
      <c r="CO21" s="29" t="e">
        <f t="shared" si="377"/>
        <v>#DIV/0!</v>
      </c>
    </row>
    <row r="22" spans="1:93" s="93" customFormat="1" x14ac:dyDescent="0.2">
      <c r="A22" s="27" t="s">
        <v>13</v>
      </c>
      <c r="B22" s="27"/>
      <c r="C22" s="27"/>
      <c r="D22" s="91" t="e">
        <f t="shared" ref="D22:AE22" si="378">D43/C5</f>
        <v>#DIV/0!</v>
      </c>
      <c r="E22" s="91" t="e">
        <f t="shared" si="378"/>
        <v>#DIV/0!</v>
      </c>
      <c r="F22" s="91" t="e">
        <f t="shared" si="378"/>
        <v>#DIV/0!</v>
      </c>
      <c r="G22" s="91" t="e">
        <f t="shared" si="378"/>
        <v>#DIV/0!</v>
      </c>
      <c r="H22" s="91" t="e">
        <f t="shared" si="378"/>
        <v>#DIV/0!</v>
      </c>
      <c r="I22" s="91" t="e">
        <f t="shared" si="378"/>
        <v>#DIV/0!</v>
      </c>
      <c r="J22" s="91" t="e">
        <f t="shared" si="378"/>
        <v>#DIV/0!</v>
      </c>
      <c r="K22" s="91" t="e">
        <f t="shared" si="378"/>
        <v>#DIV/0!</v>
      </c>
      <c r="L22" s="91" t="e">
        <f t="shared" si="378"/>
        <v>#DIV/0!</v>
      </c>
      <c r="M22" s="91" t="e">
        <f t="shared" si="378"/>
        <v>#DIV/0!</v>
      </c>
      <c r="N22" s="91" t="e">
        <f t="shared" si="378"/>
        <v>#DIV/0!</v>
      </c>
      <c r="O22" s="91" t="e">
        <f t="shared" si="378"/>
        <v>#DIV/0!</v>
      </c>
      <c r="P22" s="91" t="e">
        <f t="shared" si="378"/>
        <v>#DIV/0!</v>
      </c>
      <c r="Q22" s="91" t="e">
        <f t="shared" si="378"/>
        <v>#DIV/0!</v>
      </c>
      <c r="R22" s="91" t="e">
        <f t="shared" si="378"/>
        <v>#DIV/0!</v>
      </c>
      <c r="S22" s="91" t="e">
        <f t="shared" si="378"/>
        <v>#DIV/0!</v>
      </c>
      <c r="T22" s="91" t="e">
        <f t="shared" si="378"/>
        <v>#DIV/0!</v>
      </c>
      <c r="U22" s="91" t="e">
        <f t="shared" si="378"/>
        <v>#DIV/0!</v>
      </c>
      <c r="V22" s="91" t="e">
        <f t="shared" si="378"/>
        <v>#DIV/0!</v>
      </c>
      <c r="W22" s="91" t="e">
        <f t="shared" si="378"/>
        <v>#DIV/0!</v>
      </c>
      <c r="X22" s="91" t="e">
        <f t="shared" si="378"/>
        <v>#DIV/0!</v>
      </c>
      <c r="Y22" s="91" t="e">
        <f t="shared" si="378"/>
        <v>#DIV/0!</v>
      </c>
      <c r="Z22" s="91" t="e">
        <f t="shared" si="378"/>
        <v>#DIV/0!</v>
      </c>
      <c r="AA22" s="92" t="e">
        <f t="shared" si="378"/>
        <v>#DIV/0!</v>
      </c>
      <c r="AB22" s="92" t="e">
        <f t="shared" si="378"/>
        <v>#DIV/0!</v>
      </c>
      <c r="AC22" s="92" t="e">
        <f t="shared" si="378"/>
        <v>#DIV/0!</v>
      </c>
      <c r="AD22" s="92" t="e">
        <f t="shared" si="378"/>
        <v>#DIV/0!</v>
      </c>
      <c r="AE22" s="92" t="e">
        <f t="shared" si="378"/>
        <v>#DIV/0!</v>
      </c>
      <c r="AG22" s="65"/>
      <c r="AH22" s="91"/>
      <c r="AI22" s="91" t="e">
        <f t="shared" ref="AI22:AJ22" si="379">AI43/AH5</f>
        <v>#DIV/0!</v>
      </c>
      <c r="AJ22" s="91" t="e">
        <f t="shared" si="379"/>
        <v>#DIV/0!</v>
      </c>
      <c r="AK22" s="91" t="e">
        <f t="shared" ref="AK22" si="380">AK43/AJ5</f>
        <v>#DIV/0!</v>
      </c>
      <c r="AL22" s="91" t="e">
        <f t="shared" ref="AL22" si="381">AL43/AK5</f>
        <v>#DIV/0!</v>
      </c>
      <c r="AM22" s="91" t="e">
        <f t="shared" ref="AM22" si="382">AM43/AL5</f>
        <v>#DIV/0!</v>
      </c>
      <c r="AN22" s="91" t="e">
        <f t="shared" ref="AN22" si="383">AN43/AM5</f>
        <v>#DIV/0!</v>
      </c>
      <c r="AO22" s="91" t="e">
        <f t="shared" ref="AO22" si="384">AO43/AN5</f>
        <v>#DIV/0!</v>
      </c>
      <c r="AP22" s="91" t="e">
        <f t="shared" ref="AP22" si="385">AP43/AO5</f>
        <v>#DIV/0!</v>
      </c>
      <c r="AQ22" s="91" t="e">
        <f t="shared" ref="AQ22" si="386">AQ43/AP5</f>
        <v>#DIV/0!</v>
      </c>
      <c r="AR22" s="91" t="e">
        <f t="shared" ref="AR22" si="387">AR43/AQ5</f>
        <v>#DIV/0!</v>
      </c>
      <c r="AS22" s="91" t="e">
        <f t="shared" ref="AS22" si="388">AS43/AR5</f>
        <v>#DIV/0!</v>
      </c>
      <c r="AT22" s="91" t="e">
        <f t="shared" ref="AT22:BM22" si="389">AT43/AS5</f>
        <v>#DIV/0!</v>
      </c>
      <c r="AU22" s="91" t="e">
        <f t="shared" si="389"/>
        <v>#DIV/0!</v>
      </c>
      <c r="AV22" s="91" t="e">
        <f t="shared" si="389"/>
        <v>#DIV/0!</v>
      </c>
      <c r="AW22" s="91" t="e">
        <f t="shared" si="389"/>
        <v>#DIV/0!</v>
      </c>
      <c r="AX22" s="91" t="e">
        <f t="shared" si="389"/>
        <v>#DIV/0!</v>
      </c>
      <c r="AY22" s="91" t="e">
        <f t="shared" si="389"/>
        <v>#DIV/0!</v>
      </c>
      <c r="AZ22" s="91" t="e">
        <f t="shared" si="389"/>
        <v>#DIV/0!</v>
      </c>
      <c r="BA22" s="91" t="e">
        <f t="shared" si="389"/>
        <v>#DIV/0!</v>
      </c>
      <c r="BB22" s="91" t="e">
        <f t="shared" si="389"/>
        <v>#DIV/0!</v>
      </c>
      <c r="BC22" s="91" t="e">
        <f t="shared" si="389"/>
        <v>#DIV/0!</v>
      </c>
      <c r="BD22" s="91" t="e">
        <f t="shared" si="389"/>
        <v>#DIV/0!</v>
      </c>
      <c r="BE22" s="91" t="e">
        <f t="shared" si="389"/>
        <v>#DIV/0!</v>
      </c>
      <c r="BF22" s="91" t="e">
        <f t="shared" si="389"/>
        <v>#DIV/0!</v>
      </c>
      <c r="BG22" s="91" t="e">
        <f t="shared" si="389"/>
        <v>#DIV/0!</v>
      </c>
      <c r="BH22" s="91" t="e">
        <f t="shared" si="389"/>
        <v>#DIV/0!</v>
      </c>
      <c r="BI22" s="91" t="e">
        <f t="shared" si="389"/>
        <v>#DIV/0!</v>
      </c>
      <c r="BJ22" s="91" t="e">
        <f t="shared" si="389"/>
        <v>#DIV/0!</v>
      </c>
      <c r="BK22" s="91" t="e">
        <f t="shared" si="389"/>
        <v>#DIV/0!</v>
      </c>
      <c r="BL22" s="91" t="e">
        <f t="shared" si="389"/>
        <v>#DIV/0!</v>
      </c>
      <c r="BM22" s="91" t="e">
        <f t="shared" si="389"/>
        <v>#DIV/0!</v>
      </c>
      <c r="BN22" s="91" t="e">
        <f t="shared" ref="BN22:CO22" si="390">BN43/BM5</f>
        <v>#DIV/0!</v>
      </c>
      <c r="BO22" s="91" t="e">
        <f t="shared" si="390"/>
        <v>#DIV/0!</v>
      </c>
      <c r="BP22" s="91" t="e">
        <f t="shared" si="390"/>
        <v>#DIV/0!</v>
      </c>
      <c r="BQ22" s="91" t="e">
        <f t="shared" si="390"/>
        <v>#DIV/0!</v>
      </c>
      <c r="BR22" s="91" t="e">
        <f t="shared" si="390"/>
        <v>#DIV/0!</v>
      </c>
      <c r="BS22" s="91" t="e">
        <f t="shared" si="390"/>
        <v>#DIV/0!</v>
      </c>
      <c r="BT22" s="91" t="e">
        <f t="shared" si="390"/>
        <v>#DIV/0!</v>
      </c>
      <c r="BU22" s="91" t="e">
        <f t="shared" si="390"/>
        <v>#DIV/0!</v>
      </c>
      <c r="BV22" s="91" t="e">
        <f t="shared" si="390"/>
        <v>#DIV/0!</v>
      </c>
      <c r="BW22" s="91" t="e">
        <f t="shared" si="390"/>
        <v>#DIV/0!</v>
      </c>
      <c r="BX22" s="91" t="e">
        <f t="shared" si="390"/>
        <v>#DIV/0!</v>
      </c>
      <c r="BY22" s="91" t="e">
        <f t="shared" si="390"/>
        <v>#DIV/0!</v>
      </c>
      <c r="BZ22" s="92" t="e">
        <f t="shared" si="390"/>
        <v>#DIV/0!</v>
      </c>
      <c r="CA22" s="92" t="e">
        <f t="shared" si="390"/>
        <v>#DIV/0!</v>
      </c>
      <c r="CB22" s="92" t="e">
        <f t="shared" si="390"/>
        <v>#DIV/0!</v>
      </c>
      <c r="CC22" s="92" t="e">
        <f t="shared" si="390"/>
        <v>#DIV/0!</v>
      </c>
      <c r="CD22" s="92" t="e">
        <f t="shared" si="390"/>
        <v>#DIV/0!</v>
      </c>
      <c r="CE22" s="92" t="e">
        <f t="shared" si="390"/>
        <v>#DIV/0!</v>
      </c>
      <c r="CF22" s="92" t="e">
        <f t="shared" si="390"/>
        <v>#DIV/0!</v>
      </c>
      <c r="CG22" s="92" t="e">
        <f t="shared" si="390"/>
        <v>#DIV/0!</v>
      </c>
      <c r="CH22" s="92" t="e">
        <f t="shared" si="390"/>
        <v>#DIV/0!</v>
      </c>
      <c r="CI22" s="92" t="e">
        <f t="shared" si="390"/>
        <v>#DIV/0!</v>
      </c>
      <c r="CJ22" s="92" t="e">
        <f t="shared" si="390"/>
        <v>#DIV/0!</v>
      </c>
      <c r="CK22" s="92" t="e">
        <f t="shared" si="390"/>
        <v>#DIV/0!</v>
      </c>
      <c r="CL22" s="92" t="e">
        <f t="shared" si="390"/>
        <v>#DIV/0!</v>
      </c>
      <c r="CM22" s="92" t="e">
        <f t="shared" si="390"/>
        <v>#DIV/0!</v>
      </c>
      <c r="CN22" s="92" t="e">
        <f t="shared" si="390"/>
        <v>#DIV/0!</v>
      </c>
      <c r="CO22" s="92" t="e">
        <f t="shared" si="390"/>
        <v>#DIV/0!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391">D21-D22</f>
        <v>#DIV/0!</v>
      </c>
      <c r="E23" s="28" t="e">
        <f t="shared" si="391"/>
        <v>#DIV/0!</v>
      </c>
      <c r="F23" s="28" t="e">
        <f t="shared" si="391"/>
        <v>#DIV/0!</v>
      </c>
      <c r="G23" s="28" t="e">
        <f t="shared" si="391"/>
        <v>#DIV/0!</v>
      </c>
      <c r="H23" s="28" t="e">
        <f t="shared" si="391"/>
        <v>#DIV/0!</v>
      </c>
      <c r="I23" s="28" t="e">
        <f t="shared" si="391"/>
        <v>#DIV/0!</v>
      </c>
      <c r="J23" s="28" t="e">
        <f t="shared" si="391"/>
        <v>#DIV/0!</v>
      </c>
      <c r="K23" s="28" t="e">
        <f t="shared" si="391"/>
        <v>#DIV/0!</v>
      </c>
      <c r="L23" s="28" t="e">
        <f t="shared" si="391"/>
        <v>#DIV/0!</v>
      </c>
      <c r="M23" s="28" t="e">
        <f t="shared" si="391"/>
        <v>#DIV/0!</v>
      </c>
      <c r="N23" s="28" t="e">
        <f t="shared" si="391"/>
        <v>#DIV/0!</v>
      </c>
      <c r="O23" s="28" t="e">
        <f t="shared" si="391"/>
        <v>#DIV/0!</v>
      </c>
      <c r="P23" s="28" t="e">
        <f>P21-P22</f>
        <v>#DIV/0!</v>
      </c>
      <c r="Q23" s="28" t="e">
        <f t="shared" ref="Q23:T23" si="392">Q21-Q22</f>
        <v>#DIV/0!</v>
      </c>
      <c r="R23" s="28" t="e">
        <f t="shared" si="392"/>
        <v>#DIV/0!</v>
      </c>
      <c r="S23" s="28" t="e">
        <f t="shared" si="392"/>
        <v>#DIV/0!</v>
      </c>
      <c r="T23" s="28" t="e">
        <f t="shared" si="392"/>
        <v>#DIV/0!</v>
      </c>
      <c r="U23" s="28" t="e">
        <f t="shared" ref="U23:W23" si="393">U21-U22</f>
        <v>#DIV/0!</v>
      </c>
      <c r="V23" s="28" t="e">
        <f t="shared" si="393"/>
        <v>#DIV/0!</v>
      </c>
      <c r="W23" s="28" t="e">
        <f t="shared" si="393"/>
        <v>#DIV/0!</v>
      </c>
      <c r="X23" s="28" t="e">
        <f t="shared" ref="X23:Y23" si="394">X21-X22</f>
        <v>#DIV/0!</v>
      </c>
      <c r="Y23" s="28" t="e">
        <f t="shared" si="394"/>
        <v>#DIV/0!</v>
      </c>
      <c r="Z23" s="28" t="e">
        <f t="shared" ref="Z23:AB23" si="395">Z21-Z22</f>
        <v>#DIV/0!</v>
      </c>
      <c r="AA23" s="29" t="e">
        <f t="shared" si="395"/>
        <v>#DIV/0!</v>
      </c>
      <c r="AB23" s="29" t="e">
        <f t="shared" si="395"/>
        <v>#DIV/0!</v>
      </c>
      <c r="AC23" s="29" t="e">
        <f t="shared" ref="AC23:AE23" si="396">AC21-AC22</f>
        <v>#DIV/0!</v>
      </c>
      <c r="AD23" s="29" t="e">
        <f t="shared" si="396"/>
        <v>#DIV/0!</v>
      </c>
      <c r="AE23" s="29" t="e">
        <f t="shared" si="396"/>
        <v>#DIV/0!</v>
      </c>
      <c r="AG23" s="58"/>
      <c r="AH23" s="28"/>
      <c r="AI23" s="28" t="e">
        <f t="shared" ref="AI23" si="397">AI21-AI22</f>
        <v>#DIV/0!</v>
      </c>
      <c r="AJ23" s="28" t="e">
        <f t="shared" ref="AJ23:AS23" si="398">AJ21-AJ22</f>
        <v>#DIV/0!</v>
      </c>
      <c r="AK23" s="28" t="e">
        <f t="shared" si="398"/>
        <v>#DIV/0!</v>
      </c>
      <c r="AL23" s="28" t="e">
        <f t="shared" si="398"/>
        <v>#DIV/0!</v>
      </c>
      <c r="AM23" s="28" t="e">
        <f t="shared" si="398"/>
        <v>#DIV/0!</v>
      </c>
      <c r="AN23" s="28" t="e">
        <f t="shared" si="398"/>
        <v>#DIV/0!</v>
      </c>
      <c r="AO23" s="28" t="e">
        <f t="shared" si="398"/>
        <v>#DIV/0!</v>
      </c>
      <c r="AP23" s="28" t="e">
        <f t="shared" si="398"/>
        <v>#DIV/0!</v>
      </c>
      <c r="AQ23" s="28" t="e">
        <f t="shared" si="398"/>
        <v>#DIV/0!</v>
      </c>
      <c r="AR23" s="28" t="e">
        <f t="shared" si="398"/>
        <v>#DIV/0!</v>
      </c>
      <c r="AS23" s="28" t="e">
        <f t="shared" si="398"/>
        <v>#DIV/0!</v>
      </c>
      <c r="AT23" s="28" t="e">
        <f t="shared" ref="AT23:AW23" si="399">AT21-AT22</f>
        <v>#DIV/0!</v>
      </c>
      <c r="AU23" s="28" t="e">
        <f t="shared" si="399"/>
        <v>#DIV/0!</v>
      </c>
      <c r="AV23" s="28" t="e">
        <f t="shared" si="399"/>
        <v>#DIV/0!</v>
      </c>
      <c r="AW23" s="28" t="e">
        <f t="shared" si="399"/>
        <v>#DIV/0!</v>
      </c>
      <c r="AX23" s="28" t="e">
        <f t="shared" ref="AX23" si="400">AX21-AX22</f>
        <v>#DIV/0!</v>
      </c>
      <c r="AY23" s="28" t="e">
        <f t="shared" ref="AY23" si="401">AY21-AY22</f>
        <v>#DIV/0!</v>
      </c>
      <c r="AZ23" s="28" t="e">
        <f t="shared" ref="AZ23:BA23" si="402">AZ21-AZ22</f>
        <v>#DIV/0!</v>
      </c>
      <c r="BA23" s="28" t="e">
        <f t="shared" si="402"/>
        <v>#DIV/0!</v>
      </c>
      <c r="BB23" s="28" t="e">
        <f t="shared" ref="BB23:BF23" si="403">BB21-BB22</f>
        <v>#DIV/0!</v>
      </c>
      <c r="BC23" s="28" t="e">
        <f t="shared" si="403"/>
        <v>#DIV/0!</v>
      </c>
      <c r="BD23" s="28" t="e">
        <f t="shared" si="403"/>
        <v>#DIV/0!</v>
      </c>
      <c r="BE23" s="28" t="e">
        <f t="shared" si="403"/>
        <v>#DIV/0!</v>
      </c>
      <c r="BF23" s="28" t="e">
        <f t="shared" si="403"/>
        <v>#DIV/0!</v>
      </c>
      <c r="BG23" s="28" t="e">
        <f t="shared" ref="BG23:BH23" si="404">BG21-BG22</f>
        <v>#DIV/0!</v>
      </c>
      <c r="BH23" s="28" t="e">
        <f t="shared" si="404"/>
        <v>#DIV/0!</v>
      </c>
      <c r="BI23" s="28" t="e">
        <f t="shared" ref="BI23:BJ23" si="405">BI21-BI22</f>
        <v>#DIV/0!</v>
      </c>
      <c r="BJ23" s="28" t="e">
        <f t="shared" si="405"/>
        <v>#DIV/0!</v>
      </c>
      <c r="BK23" s="28" t="e">
        <f t="shared" ref="BK23:BR23" si="406">BK21-BK22</f>
        <v>#DIV/0!</v>
      </c>
      <c r="BL23" s="28" t="e">
        <f t="shared" si="406"/>
        <v>#DIV/0!</v>
      </c>
      <c r="BM23" s="28" t="e">
        <f t="shared" si="406"/>
        <v>#DIV/0!</v>
      </c>
      <c r="BN23" s="28" t="e">
        <f t="shared" si="406"/>
        <v>#DIV/0!</v>
      </c>
      <c r="BO23" s="28" t="e">
        <f t="shared" si="406"/>
        <v>#DIV/0!</v>
      </c>
      <c r="BP23" s="28" t="e">
        <f t="shared" si="406"/>
        <v>#DIV/0!</v>
      </c>
      <c r="BQ23" s="28" t="e">
        <f t="shared" si="406"/>
        <v>#DIV/0!</v>
      </c>
      <c r="BR23" s="28" t="e">
        <f t="shared" si="406"/>
        <v>#DIV/0!</v>
      </c>
      <c r="BS23" s="28" t="e">
        <f t="shared" ref="BS23:BT23" si="407">BS21-BS22</f>
        <v>#DIV/0!</v>
      </c>
      <c r="BT23" s="28" t="e">
        <f t="shared" si="407"/>
        <v>#DIV/0!</v>
      </c>
      <c r="BU23" s="28" t="e">
        <f t="shared" ref="BU23:BV23" si="408">BU21-BU22</f>
        <v>#DIV/0!</v>
      </c>
      <c r="BV23" s="28" t="e">
        <f t="shared" si="408"/>
        <v>#DIV/0!</v>
      </c>
      <c r="BW23" s="28" t="e">
        <f t="shared" ref="BW23:BX23" si="409">BW21-BW22</f>
        <v>#DIV/0!</v>
      </c>
      <c r="BX23" s="28" t="e">
        <f t="shared" si="409"/>
        <v>#DIV/0!</v>
      </c>
      <c r="BY23" s="28" t="e">
        <f t="shared" ref="BY23" si="410">BY21-BY22</f>
        <v>#DIV/0!</v>
      </c>
      <c r="BZ23" s="29" t="e">
        <f t="shared" ref="BZ23:CC23" si="411">BZ21-BZ22</f>
        <v>#DIV/0!</v>
      </c>
      <c r="CA23" s="29" t="e">
        <f t="shared" si="411"/>
        <v>#DIV/0!</v>
      </c>
      <c r="CB23" s="29" t="e">
        <f t="shared" si="411"/>
        <v>#DIV/0!</v>
      </c>
      <c r="CC23" s="29" t="e">
        <f t="shared" si="411"/>
        <v>#DIV/0!</v>
      </c>
      <c r="CD23" s="29" t="e">
        <f t="shared" ref="CD23:CO23" si="412">CD21-CD22</f>
        <v>#DIV/0!</v>
      </c>
      <c r="CE23" s="29" t="e">
        <f t="shared" si="412"/>
        <v>#DIV/0!</v>
      </c>
      <c r="CF23" s="29" t="e">
        <f t="shared" si="412"/>
        <v>#DIV/0!</v>
      </c>
      <c r="CG23" s="29" t="e">
        <f t="shared" si="412"/>
        <v>#DIV/0!</v>
      </c>
      <c r="CH23" s="29" t="e">
        <f t="shared" si="412"/>
        <v>#DIV/0!</v>
      </c>
      <c r="CI23" s="29" t="e">
        <f t="shared" si="412"/>
        <v>#DIV/0!</v>
      </c>
      <c r="CJ23" s="29" t="e">
        <f t="shared" si="412"/>
        <v>#DIV/0!</v>
      </c>
      <c r="CK23" s="29" t="e">
        <f t="shared" si="412"/>
        <v>#DIV/0!</v>
      </c>
      <c r="CL23" s="29" t="e">
        <f t="shared" si="412"/>
        <v>#DIV/0!</v>
      </c>
      <c r="CM23" s="29" t="e">
        <f t="shared" si="412"/>
        <v>#DIV/0!</v>
      </c>
      <c r="CN23" s="29" t="e">
        <f t="shared" si="412"/>
        <v>#DIV/0!</v>
      </c>
      <c r="CO23" s="29" t="e">
        <f t="shared" si="412"/>
        <v>#DIV/0!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113" t="s">
        <v>162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4" customFormat="1" x14ac:dyDescent="0.2">
      <c r="A26" s="113" t="s">
        <v>163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8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3" s="38" customFormat="1" x14ac:dyDescent="0.2">
      <c r="A27" s="38" t="s">
        <v>7</v>
      </c>
      <c r="B27" s="38">
        <f>+'Annual Raw'!C14</f>
        <v>0</v>
      </c>
      <c r="C27" s="38">
        <f>+'Annual Raw'!D14</f>
        <v>0</v>
      </c>
      <c r="D27" s="38">
        <f>+'Annual Raw'!E14</f>
        <v>0</v>
      </c>
      <c r="E27" s="38">
        <f>+'Annual Raw'!F14</f>
        <v>0</v>
      </c>
      <c r="F27" s="38">
        <f>+'Annual Raw'!G14</f>
        <v>0</v>
      </c>
      <c r="G27" s="38">
        <f>+'Annual Raw'!H14</f>
        <v>0</v>
      </c>
      <c r="H27" s="38">
        <f>+'Annual Raw'!I14</f>
        <v>0</v>
      </c>
      <c r="I27" s="38">
        <f>+'Annual Raw'!J14</f>
        <v>0</v>
      </c>
      <c r="J27" s="38">
        <f>+'Annual Raw'!K14</f>
        <v>0</v>
      </c>
      <c r="K27" s="38">
        <f>+'Annual Raw'!L14</f>
        <v>0</v>
      </c>
      <c r="L27" s="38">
        <f>+'Annual Raw'!M14</f>
        <v>0</v>
      </c>
      <c r="M27" s="38">
        <f>+'Annual Raw'!N14</f>
        <v>0</v>
      </c>
      <c r="N27" s="38">
        <f>+'Annual Raw'!O14</f>
        <v>0</v>
      </c>
      <c r="O27" s="38">
        <f>+'Annual Raw'!P14</f>
        <v>0</v>
      </c>
      <c r="P27" s="38">
        <f>+'Annual Raw'!Q14</f>
        <v>0</v>
      </c>
      <c r="Q27" s="38">
        <f>+'Annual Raw'!R14</f>
        <v>0</v>
      </c>
      <c r="R27" s="38">
        <f>+'Annual Raw'!S14</f>
        <v>0</v>
      </c>
      <c r="S27" s="38">
        <f>+'Annual Raw'!T14</f>
        <v>0</v>
      </c>
      <c r="T27" s="38">
        <f>+'Annual Raw'!U14</f>
        <v>0</v>
      </c>
      <c r="U27" s="38">
        <f>+'Annual Raw'!V14</f>
        <v>0</v>
      </c>
      <c r="V27" s="38">
        <f>+'Annual Raw'!W14</f>
        <v>0</v>
      </c>
      <c r="W27" s="38">
        <f>+'Annual Raw'!X14</f>
        <v>0</v>
      </c>
      <c r="X27" s="38">
        <f>+'Annual Raw'!Y14</f>
        <v>0</v>
      </c>
      <c r="Y27" s="38">
        <f>+'Annual Raw'!Z14</f>
        <v>0</v>
      </c>
      <c r="Z27" s="38">
        <f>+'Annual Raw'!AA14</f>
        <v>0</v>
      </c>
      <c r="AA27" s="39">
        <f>SUM(BV27:BY27)</f>
        <v>0</v>
      </c>
      <c r="AB27" s="39" t="e">
        <f>SUM(BZ27:CC27)</f>
        <v>#DIV/0!</v>
      </c>
      <c r="AC27" s="39" t="e">
        <f>SUM(CD27:CG27)</f>
        <v>#DIV/0!</v>
      </c>
      <c r="AD27" s="39" t="e">
        <f>SUM(CH27:CK27)</f>
        <v>#DIV/0!</v>
      </c>
      <c r="AE27" s="39" t="e">
        <f>SUM(CL27:CO27)</f>
        <v>#DIV/0!</v>
      </c>
      <c r="AG27" s="60"/>
      <c r="AH27" s="38">
        <f>+'QTR Raw'!D13</f>
        <v>0</v>
      </c>
      <c r="AI27" s="38">
        <f>+'QTR Raw'!E13</f>
        <v>0</v>
      </c>
      <c r="AJ27" s="38">
        <f>+'QTR Raw'!F13</f>
        <v>0</v>
      </c>
      <c r="AK27" s="38">
        <f>+'QTR Raw'!G13</f>
        <v>0</v>
      </c>
      <c r="AL27" s="38">
        <f>+'QTR Raw'!H13</f>
        <v>0</v>
      </c>
      <c r="AM27" s="38">
        <f>+'QTR Raw'!I13</f>
        <v>0</v>
      </c>
      <c r="AN27" s="38">
        <f>+'QTR Raw'!J13</f>
        <v>0</v>
      </c>
      <c r="AO27" s="38">
        <f>+'QTR Raw'!K13</f>
        <v>0</v>
      </c>
      <c r="AP27" s="38">
        <f>+'QTR Raw'!L13</f>
        <v>0</v>
      </c>
      <c r="AQ27" s="38">
        <f>+'QTR Raw'!M13</f>
        <v>0</v>
      </c>
      <c r="AR27" s="38">
        <f>+'QTR Raw'!N13</f>
        <v>0</v>
      </c>
      <c r="AS27" s="38">
        <f>+'QTR Raw'!O13</f>
        <v>0</v>
      </c>
      <c r="AT27" s="38">
        <f>+'QTR Raw'!P13</f>
        <v>0</v>
      </c>
      <c r="AU27" s="38">
        <f>+'QTR Raw'!Q13</f>
        <v>0</v>
      </c>
      <c r="AV27" s="38">
        <f>+'QTR Raw'!R13</f>
        <v>0</v>
      </c>
      <c r="AW27" s="38">
        <f>+'QTR Raw'!S13</f>
        <v>0</v>
      </c>
      <c r="AX27" s="38">
        <f>+'QTR Raw'!T13</f>
        <v>0</v>
      </c>
      <c r="AY27" s="38">
        <f>+'QTR Raw'!U13</f>
        <v>0</v>
      </c>
      <c r="AZ27" s="38">
        <f>+'QTR Raw'!V13</f>
        <v>0</v>
      </c>
      <c r="BA27" s="38">
        <f>+'QTR Raw'!W13</f>
        <v>0</v>
      </c>
      <c r="BB27" s="38">
        <f>+'QTR Raw'!X13</f>
        <v>0</v>
      </c>
      <c r="BC27" s="38">
        <f>+'QTR Raw'!Y13</f>
        <v>0</v>
      </c>
      <c r="BD27" s="38">
        <f>+'QTR Raw'!Z13</f>
        <v>0</v>
      </c>
      <c r="BE27" s="38">
        <f>+'QTR Raw'!AA13</f>
        <v>0</v>
      </c>
      <c r="BF27" s="38">
        <f>+'QTR Raw'!AB13</f>
        <v>0</v>
      </c>
      <c r="BG27" s="38">
        <f>+'QTR Raw'!AC13</f>
        <v>0</v>
      </c>
      <c r="BH27" s="38">
        <f>+'QTR Raw'!AD13</f>
        <v>0</v>
      </c>
      <c r="BI27" s="38">
        <f>+'QTR Raw'!AE13</f>
        <v>0</v>
      </c>
      <c r="BJ27" s="38">
        <f>+'QTR Raw'!AF13</f>
        <v>0</v>
      </c>
      <c r="BK27" s="38">
        <f>+'QTR Raw'!AG13</f>
        <v>0</v>
      </c>
      <c r="BL27" s="38">
        <f>+'QTR Raw'!AH13</f>
        <v>0</v>
      </c>
      <c r="BM27" s="38">
        <f>+'QTR Raw'!AI13</f>
        <v>0</v>
      </c>
      <c r="BN27" s="38">
        <f>+'QTR Raw'!AJ13</f>
        <v>0</v>
      </c>
      <c r="BO27" s="38">
        <f>+'QTR Raw'!AK13</f>
        <v>0</v>
      </c>
      <c r="BP27" s="38">
        <f>+'QTR Raw'!AL13</f>
        <v>0</v>
      </c>
      <c r="BQ27" s="38">
        <f>+'QTR Raw'!AM13</f>
        <v>0</v>
      </c>
      <c r="BR27" s="38">
        <f>+'QTR Raw'!AN13</f>
        <v>0</v>
      </c>
      <c r="BS27" s="38">
        <f>+'QTR Raw'!AO13</f>
        <v>0</v>
      </c>
      <c r="BT27" s="38">
        <f>+'QTR Raw'!AP13</f>
        <v>0</v>
      </c>
      <c r="BU27" s="38">
        <f>+'QTR Raw'!AQ13</f>
        <v>0</v>
      </c>
      <c r="BV27" s="38">
        <f>+'QTR Raw'!AR13</f>
        <v>0</v>
      </c>
      <c r="BW27" s="38">
        <f>+'QTR Raw'!AS13</f>
        <v>0</v>
      </c>
      <c r="BX27" s="38">
        <f>+'QTR Raw'!AT13</f>
        <v>0</v>
      </c>
      <c r="BY27" s="38">
        <f>+'QTR Raw'!AU13</f>
        <v>0</v>
      </c>
      <c r="BZ27" s="39" t="e">
        <f t="shared" ref="BZ27:CC27" si="413">BZ12*BY5</f>
        <v>#DIV/0!</v>
      </c>
      <c r="CA27" s="39" t="e">
        <f t="shared" si="413"/>
        <v>#DIV/0!</v>
      </c>
      <c r="CB27" s="39" t="e">
        <f t="shared" si="413"/>
        <v>#DIV/0!</v>
      </c>
      <c r="CC27" s="39" t="e">
        <f t="shared" si="413"/>
        <v>#DIV/0!</v>
      </c>
      <c r="CD27" s="39" t="e">
        <f t="shared" ref="CD27" si="414">CD12*CC5</f>
        <v>#DIV/0!</v>
      </c>
      <c r="CE27" s="39" t="e">
        <f t="shared" ref="CE27" si="415">CE12*CD5</f>
        <v>#DIV/0!</v>
      </c>
      <c r="CF27" s="39" t="e">
        <f t="shared" ref="CF27" si="416">CF12*CE5</f>
        <v>#DIV/0!</v>
      </c>
      <c r="CG27" s="39" t="e">
        <f t="shared" ref="CG27" si="417">CG12*CF5</f>
        <v>#DIV/0!</v>
      </c>
      <c r="CH27" s="39" t="e">
        <f t="shared" ref="CH27" si="418">CH12*CG5</f>
        <v>#DIV/0!</v>
      </c>
      <c r="CI27" s="39" t="e">
        <f t="shared" ref="CI27" si="419">CI12*CH5</f>
        <v>#DIV/0!</v>
      </c>
      <c r="CJ27" s="39" t="e">
        <f t="shared" ref="CJ27" si="420">CJ12*CI5</f>
        <v>#DIV/0!</v>
      </c>
      <c r="CK27" s="39" t="e">
        <f t="shared" ref="CK27" si="421">CK12*CJ5</f>
        <v>#DIV/0!</v>
      </c>
      <c r="CL27" s="39" t="e">
        <f t="shared" ref="CL27" si="422">CL12*CK5</f>
        <v>#DIV/0!</v>
      </c>
      <c r="CM27" s="39" t="e">
        <f t="shared" ref="CM27" si="423">CM12*CL5</f>
        <v>#DIV/0!</v>
      </c>
      <c r="CN27" s="39" t="e">
        <f t="shared" ref="CN27" si="424">CN12*CM5</f>
        <v>#DIV/0!</v>
      </c>
      <c r="CO27" s="39" t="e">
        <f t="shared" ref="CO27" si="425">CO12*CN5</f>
        <v>#DIV/0!</v>
      </c>
    </row>
    <row r="28" spans="1:93" s="38" customFormat="1" x14ac:dyDescent="0.2">
      <c r="A28" s="38" t="s">
        <v>9</v>
      </c>
      <c r="B28" s="38">
        <f>+'Annual Raw'!C29</f>
        <v>0</v>
      </c>
      <c r="C28" s="38">
        <f>+'Annual Raw'!D29</f>
        <v>0</v>
      </c>
      <c r="D28" s="38">
        <f>+'Annual Raw'!E29</f>
        <v>0</v>
      </c>
      <c r="E28" s="38">
        <f>+'Annual Raw'!F29</f>
        <v>0</v>
      </c>
      <c r="F28" s="38">
        <f>+'Annual Raw'!G29</f>
        <v>0</v>
      </c>
      <c r="G28" s="38">
        <f>+'Annual Raw'!H29</f>
        <v>0</v>
      </c>
      <c r="H28" s="38">
        <f>+'Annual Raw'!I29</f>
        <v>0</v>
      </c>
      <c r="I28" s="38">
        <f>+'Annual Raw'!J29</f>
        <v>0</v>
      </c>
      <c r="J28" s="38">
        <f>+'Annual Raw'!K29</f>
        <v>0</v>
      </c>
      <c r="K28" s="38">
        <f>+'Annual Raw'!L29</f>
        <v>0</v>
      </c>
      <c r="L28" s="38">
        <f>+'Annual Raw'!M29</f>
        <v>0</v>
      </c>
      <c r="M28" s="38">
        <f>+'Annual Raw'!N29</f>
        <v>0</v>
      </c>
      <c r="N28" s="38">
        <f>+'Annual Raw'!O29</f>
        <v>0</v>
      </c>
      <c r="O28" s="38">
        <f>+'Annual Raw'!P29</f>
        <v>0</v>
      </c>
      <c r="P28" s="38">
        <f>+'Annual Raw'!Q29</f>
        <v>0</v>
      </c>
      <c r="Q28" s="38">
        <f>+'Annual Raw'!R29</f>
        <v>0</v>
      </c>
      <c r="R28" s="38">
        <f>+'Annual Raw'!S29</f>
        <v>0</v>
      </c>
      <c r="S28" s="38">
        <f>+'Annual Raw'!T29</f>
        <v>0</v>
      </c>
      <c r="T28" s="38">
        <f>+'Annual Raw'!U29</f>
        <v>0</v>
      </c>
      <c r="U28" s="38">
        <f>+'Annual Raw'!V29</f>
        <v>0</v>
      </c>
      <c r="V28" s="38">
        <f>+'Annual Raw'!W29</f>
        <v>0</v>
      </c>
      <c r="W28" s="38">
        <f>+'Annual Raw'!X29</f>
        <v>0</v>
      </c>
      <c r="X28" s="38">
        <f>+'Annual Raw'!Y29</f>
        <v>0</v>
      </c>
      <c r="Y28" s="38">
        <f>+'Annual Raw'!Z29</f>
        <v>0</v>
      </c>
      <c r="Z28" s="38">
        <f>+'Annual Raw'!AA29</f>
        <v>0</v>
      </c>
      <c r="AA28" s="39">
        <f>SUM(BV28:BY28)</f>
        <v>0</v>
      </c>
      <c r="AB28" s="39" t="e">
        <f>SUM(BZ28:CC28)</f>
        <v>#DIV/0!</v>
      </c>
      <c r="AC28" s="39" t="e">
        <f>SUM(CD28:CG28)</f>
        <v>#DIV/0!</v>
      </c>
      <c r="AD28" s="39" t="e">
        <f>SUM(CH28:CK28)</f>
        <v>#DIV/0!</v>
      </c>
      <c r="AE28" s="39" t="e">
        <f>SUM(CL28:CO28)</f>
        <v>#DIV/0!</v>
      </c>
      <c r="AG28" s="60"/>
      <c r="AH28" s="38">
        <f>+'QTR Raw'!D14+'QTR Raw'!D33</f>
        <v>0</v>
      </c>
      <c r="AI28" s="38">
        <f>+'QTR Raw'!E14+'QTR Raw'!E33</f>
        <v>0</v>
      </c>
      <c r="AJ28" s="38">
        <f>+'QTR Raw'!F14+'QTR Raw'!F33</f>
        <v>0</v>
      </c>
      <c r="AK28" s="38">
        <f>+'QTR Raw'!G14+'QTR Raw'!G33</f>
        <v>0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0</v>
      </c>
      <c r="AO28" s="38">
        <f>+'QTR Raw'!K14+'QTR Raw'!K33</f>
        <v>0</v>
      </c>
      <c r="AP28" s="38">
        <f>+'QTR Raw'!L14+'QTR Raw'!L33</f>
        <v>0</v>
      </c>
      <c r="AQ28" s="38">
        <f>+'QTR Raw'!M14+'QTR Raw'!M33</f>
        <v>0</v>
      </c>
      <c r="AR28" s="38">
        <f>+'QTR Raw'!N14+'QTR Raw'!N33</f>
        <v>0</v>
      </c>
      <c r="AS28" s="38">
        <f>+'QTR Raw'!O14+'QTR Raw'!O33</f>
        <v>0</v>
      </c>
      <c r="AT28" s="38">
        <f>+'QTR Raw'!P14+'QTR Raw'!P33</f>
        <v>0</v>
      </c>
      <c r="AU28" s="38">
        <f>+'QTR Raw'!Q14+'QTR Raw'!Q33</f>
        <v>0</v>
      </c>
      <c r="AV28" s="38">
        <f>+'QTR Raw'!R14+'QTR Raw'!R33</f>
        <v>0</v>
      </c>
      <c r="AW28" s="38">
        <f>+'QTR Raw'!S14+'QTR Raw'!S33</f>
        <v>0</v>
      </c>
      <c r="AX28" s="38">
        <f>+'QTR Raw'!T14+'QTR Raw'!T33</f>
        <v>0</v>
      </c>
      <c r="AY28" s="38">
        <f>+'QTR Raw'!U14+'QTR Raw'!U33</f>
        <v>0</v>
      </c>
      <c r="AZ28" s="38">
        <f>+'QTR Raw'!V14+'QTR Raw'!V33</f>
        <v>0</v>
      </c>
      <c r="BA28" s="38">
        <f>+'QTR Raw'!W14+'QTR Raw'!W33</f>
        <v>0</v>
      </c>
      <c r="BB28" s="38">
        <f>+'QTR Raw'!X14+'QTR Raw'!X33</f>
        <v>0</v>
      </c>
      <c r="BC28" s="38">
        <f>+'QTR Raw'!Y14+'QTR Raw'!Y33</f>
        <v>0</v>
      </c>
      <c r="BD28" s="38">
        <f>+'QTR Raw'!Z14+'QTR Raw'!Z33</f>
        <v>0</v>
      </c>
      <c r="BE28" s="38">
        <f>+'QTR Raw'!AA14+'QTR Raw'!AA33</f>
        <v>0</v>
      </c>
      <c r="BF28" s="38">
        <f>+'QTR Raw'!AB14+'QTR Raw'!AB33</f>
        <v>0</v>
      </c>
      <c r="BG28" s="38">
        <f>+'QTR Raw'!AC14+'QTR Raw'!AC33</f>
        <v>0</v>
      </c>
      <c r="BH28" s="38">
        <f>+'QTR Raw'!AD14+'QTR Raw'!AD33</f>
        <v>0</v>
      </c>
      <c r="BI28" s="38">
        <f>+'QTR Raw'!AE14+'QTR Raw'!AE33</f>
        <v>0</v>
      </c>
      <c r="BJ28" s="38">
        <f>+'QTR Raw'!AF14+'QTR Raw'!AF33</f>
        <v>0</v>
      </c>
      <c r="BK28" s="38">
        <f>+'QTR Raw'!AG14+'QTR Raw'!AG33</f>
        <v>0</v>
      </c>
      <c r="BL28" s="38">
        <f>+'QTR Raw'!AH14+'QTR Raw'!AH33</f>
        <v>0</v>
      </c>
      <c r="BM28" s="38">
        <f>+'QTR Raw'!AI14+'QTR Raw'!AI33</f>
        <v>0</v>
      </c>
      <c r="BN28" s="38">
        <f>+'QTR Raw'!AJ14+'QTR Raw'!AJ33</f>
        <v>0</v>
      </c>
      <c r="BO28" s="38">
        <f>+'QTR Raw'!AK14+'QTR Raw'!AK33</f>
        <v>0</v>
      </c>
      <c r="BP28" s="38">
        <f>+'QTR Raw'!AL14+'QTR Raw'!AL33</f>
        <v>0</v>
      </c>
      <c r="BQ28" s="38">
        <f>+'QTR Raw'!AM14+'QTR Raw'!AM33</f>
        <v>0</v>
      </c>
      <c r="BR28" s="38">
        <f>+'QTR Raw'!AN14+'QTR Raw'!AN33</f>
        <v>0</v>
      </c>
      <c r="BS28" s="38">
        <f>+'QTR Raw'!AO14+'QTR Raw'!AO33</f>
        <v>0</v>
      </c>
      <c r="BT28" s="38">
        <f>+'QTR Raw'!AP14+'QTR Raw'!AP33</f>
        <v>0</v>
      </c>
      <c r="BU28" s="38">
        <f>+'QTR Raw'!AQ14+'QTR Raw'!AQ33</f>
        <v>0</v>
      </c>
      <c r="BV28" s="38">
        <f>+'QTR Raw'!AR14+'QTR Raw'!AR33</f>
        <v>0</v>
      </c>
      <c r="BW28" s="38">
        <f>+'QTR Raw'!AS14+'QTR Raw'!AS33</f>
        <v>0</v>
      </c>
      <c r="BX28" s="38">
        <f>+'QTR Raw'!AT14+'QTR Raw'!AT33</f>
        <v>0</v>
      </c>
      <c r="BY28" s="38">
        <f>+'QTR Raw'!AU14+'QTR Raw'!AU33</f>
        <v>0</v>
      </c>
      <c r="BZ28" s="39" t="e">
        <f t="shared" ref="BZ28:CC28" si="426">BZ13*BY5</f>
        <v>#DIV/0!</v>
      </c>
      <c r="CA28" s="39" t="e">
        <f t="shared" si="426"/>
        <v>#DIV/0!</v>
      </c>
      <c r="CB28" s="39" t="e">
        <f t="shared" si="426"/>
        <v>#DIV/0!</v>
      </c>
      <c r="CC28" s="39" t="e">
        <f t="shared" si="426"/>
        <v>#DIV/0!</v>
      </c>
      <c r="CD28" s="39" t="e">
        <f t="shared" ref="CD28" si="427">CD13*CC5</f>
        <v>#DIV/0!</v>
      </c>
      <c r="CE28" s="39" t="e">
        <f t="shared" ref="CE28" si="428">CE13*CD5</f>
        <v>#DIV/0!</v>
      </c>
      <c r="CF28" s="39" t="e">
        <f t="shared" ref="CF28" si="429">CF13*CE5</f>
        <v>#DIV/0!</v>
      </c>
      <c r="CG28" s="39" t="e">
        <f t="shared" ref="CG28" si="430">CG13*CF5</f>
        <v>#DIV/0!</v>
      </c>
      <c r="CH28" s="39" t="e">
        <f t="shared" ref="CH28" si="431">CH13*CG5</f>
        <v>#DIV/0!</v>
      </c>
      <c r="CI28" s="39" t="e">
        <f t="shared" ref="CI28" si="432">CI13*CH5</f>
        <v>#DIV/0!</v>
      </c>
      <c r="CJ28" s="39" t="e">
        <f t="shared" ref="CJ28" si="433">CJ13*CI5</f>
        <v>#DIV/0!</v>
      </c>
      <c r="CK28" s="39" t="e">
        <f t="shared" ref="CK28" si="434">CK13*CJ5</f>
        <v>#DIV/0!</v>
      </c>
      <c r="CL28" s="39" t="e">
        <f t="shared" ref="CL28" si="435">CL13*CK5</f>
        <v>#DIV/0!</v>
      </c>
      <c r="CM28" s="39" t="e">
        <f t="shared" ref="CM28" si="436">CM13*CL5</f>
        <v>#DIV/0!</v>
      </c>
      <c r="CN28" s="39" t="e">
        <f t="shared" ref="CN28" si="437">CN13*CM5</f>
        <v>#DIV/0!</v>
      </c>
      <c r="CO28" s="39" t="e">
        <f t="shared" ref="CO28" si="438">CO13*CN5</f>
        <v>#DIV/0!</v>
      </c>
    </row>
    <row r="29" spans="1:93" s="40" customFormat="1" x14ac:dyDescent="0.2">
      <c r="A29" s="40" t="s">
        <v>8</v>
      </c>
      <c r="B29" s="40">
        <f t="shared" ref="B29" si="439">B27-B28</f>
        <v>0</v>
      </c>
      <c r="C29" s="40">
        <f t="shared" ref="C29:Z29" si="440">C27-C28</f>
        <v>0</v>
      </c>
      <c r="D29" s="40">
        <f t="shared" si="440"/>
        <v>0</v>
      </c>
      <c r="E29" s="40">
        <f t="shared" si="440"/>
        <v>0</v>
      </c>
      <c r="F29" s="40">
        <f t="shared" si="440"/>
        <v>0</v>
      </c>
      <c r="G29" s="40">
        <f t="shared" si="440"/>
        <v>0</v>
      </c>
      <c r="H29" s="40">
        <f t="shared" si="440"/>
        <v>0</v>
      </c>
      <c r="I29" s="40">
        <f t="shared" si="440"/>
        <v>0</v>
      </c>
      <c r="J29" s="40">
        <f t="shared" si="440"/>
        <v>0</v>
      </c>
      <c r="K29" s="40">
        <f t="shared" si="440"/>
        <v>0</v>
      </c>
      <c r="L29" s="40">
        <f t="shared" si="440"/>
        <v>0</v>
      </c>
      <c r="M29" s="40">
        <f t="shared" si="440"/>
        <v>0</v>
      </c>
      <c r="N29" s="40">
        <f t="shared" si="440"/>
        <v>0</v>
      </c>
      <c r="O29" s="40">
        <f t="shared" si="440"/>
        <v>0</v>
      </c>
      <c r="P29" s="40">
        <f t="shared" si="440"/>
        <v>0</v>
      </c>
      <c r="Q29" s="40">
        <f t="shared" si="440"/>
        <v>0</v>
      </c>
      <c r="R29" s="40">
        <f t="shared" si="440"/>
        <v>0</v>
      </c>
      <c r="S29" s="40">
        <f t="shared" si="440"/>
        <v>0</v>
      </c>
      <c r="T29" s="40">
        <f t="shared" si="440"/>
        <v>0</v>
      </c>
      <c r="U29" s="40">
        <f t="shared" si="440"/>
        <v>0</v>
      </c>
      <c r="V29" s="40">
        <f t="shared" si="440"/>
        <v>0</v>
      </c>
      <c r="W29" s="40">
        <f t="shared" si="440"/>
        <v>0</v>
      </c>
      <c r="X29" s="40">
        <f t="shared" si="440"/>
        <v>0</v>
      </c>
      <c r="Y29" s="40">
        <f t="shared" si="440"/>
        <v>0</v>
      </c>
      <c r="Z29" s="40">
        <f t="shared" si="440"/>
        <v>0</v>
      </c>
      <c r="AA29" s="41">
        <f t="shared" ref="AA29" si="441">AA27-AA28</f>
        <v>0</v>
      </c>
      <c r="AB29" s="41" t="e">
        <f t="shared" ref="AB29" si="442">AB27-AB28</f>
        <v>#DIV/0!</v>
      </c>
      <c r="AC29" s="41" t="e">
        <f t="shared" ref="AC29" si="443">AC27-AC28</f>
        <v>#DIV/0!</v>
      </c>
      <c r="AD29" s="41" t="e">
        <f t="shared" ref="AD29" si="444">AD27-AD28</f>
        <v>#DIV/0!</v>
      </c>
      <c r="AE29" s="41" t="e">
        <f t="shared" ref="AE29" si="445">AE27-AE28</f>
        <v>#DIV/0!</v>
      </c>
      <c r="AG29" s="61"/>
      <c r="AH29" s="40">
        <f t="shared" ref="AH29:AU29" si="446">AH27-AH28</f>
        <v>0</v>
      </c>
      <c r="AI29" s="40">
        <f t="shared" si="446"/>
        <v>0</v>
      </c>
      <c r="AJ29" s="40">
        <f t="shared" si="446"/>
        <v>0</v>
      </c>
      <c r="AK29" s="40">
        <f t="shared" si="446"/>
        <v>0</v>
      </c>
      <c r="AL29" s="40">
        <f t="shared" si="446"/>
        <v>0</v>
      </c>
      <c r="AM29" s="40">
        <f t="shared" si="446"/>
        <v>0</v>
      </c>
      <c r="AN29" s="40">
        <f t="shared" si="446"/>
        <v>0</v>
      </c>
      <c r="AO29" s="40">
        <f t="shared" si="446"/>
        <v>0</v>
      </c>
      <c r="AP29" s="40">
        <f t="shared" si="446"/>
        <v>0</v>
      </c>
      <c r="AQ29" s="40">
        <f t="shared" si="446"/>
        <v>0</v>
      </c>
      <c r="AR29" s="40">
        <f t="shared" si="446"/>
        <v>0</v>
      </c>
      <c r="AS29" s="40">
        <f t="shared" si="446"/>
        <v>0</v>
      </c>
      <c r="AT29" s="40">
        <f t="shared" si="446"/>
        <v>0</v>
      </c>
      <c r="AU29" s="40">
        <f t="shared" si="446"/>
        <v>0</v>
      </c>
      <c r="AV29" s="40">
        <f t="shared" ref="AV29:BV29" si="447">AV27-AV28</f>
        <v>0</v>
      </c>
      <c r="AW29" s="40">
        <f t="shared" si="447"/>
        <v>0</v>
      </c>
      <c r="AX29" s="40">
        <f t="shared" si="447"/>
        <v>0</v>
      </c>
      <c r="AY29" s="40">
        <f t="shared" si="447"/>
        <v>0</v>
      </c>
      <c r="AZ29" s="40">
        <f t="shared" si="447"/>
        <v>0</v>
      </c>
      <c r="BA29" s="40">
        <f t="shared" si="447"/>
        <v>0</v>
      </c>
      <c r="BB29" s="40">
        <f t="shared" si="447"/>
        <v>0</v>
      </c>
      <c r="BC29" s="40">
        <f t="shared" si="447"/>
        <v>0</v>
      </c>
      <c r="BD29" s="40">
        <f t="shared" si="447"/>
        <v>0</v>
      </c>
      <c r="BE29" s="40">
        <f t="shared" si="447"/>
        <v>0</v>
      </c>
      <c r="BF29" s="40">
        <f t="shared" si="447"/>
        <v>0</v>
      </c>
      <c r="BG29" s="40">
        <f t="shared" si="447"/>
        <v>0</v>
      </c>
      <c r="BH29" s="40">
        <f t="shared" si="447"/>
        <v>0</v>
      </c>
      <c r="BI29" s="40">
        <f t="shared" si="447"/>
        <v>0</v>
      </c>
      <c r="BJ29" s="40">
        <f t="shared" si="447"/>
        <v>0</v>
      </c>
      <c r="BK29" s="40">
        <f t="shared" si="447"/>
        <v>0</v>
      </c>
      <c r="BL29" s="40">
        <f t="shared" si="447"/>
        <v>0</v>
      </c>
      <c r="BM29" s="40">
        <f t="shared" si="447"/>
        <v>0</v>
      </c>
      <c r="BN29" s="40">
        <f t="shared" si="447"/>
        <v>0</v>
      </c>
      <c r="BO29" s="40">
        <f t="shared" si="447"/>
        <v>0</v>
      </c>
      <c r="BP29" s="40">
        <f t="shared" si="447"/>
        <v>0</v>
      </c>
      <c r="BQ29" s="40">
        <f t="shared" si="447"/>
        <v>0</v>
      </c>
      <c r="BR29" s="40">
        <f t="shared" si="447"/>
        <v>0</v>
      </c>
      <c r="BS29" s="40">
        <f t="shared" si="447"/>
        <v>0</v>
      </c>
      <c r="BT29" s="40">
        <f t="shared" si="447"/>
        <v>0</v>
      </c>
      <c r="BU29" s="40">
        <f t="shared" si="447"/>
        <v>0</v>
      </c>
      <c r="BV29" s="40">
        <f t="shared" si="447"/>
        <v>0</v>
      </c>
      <c r="BW29" s="40">
        <f t="shared" ref="BW29:BX29" si="448">BW27-BW28</f>
        <v>0</v>
      </c>
      <c r="BX29" s="40">
        <f t="shared" si="448"/>
        <v>0</v>
      </c>
      <c r="BY29" s="40">
        <f t="shared" ref="BY29" si="449">BY27-BY28</f>
        <v>0</v>
      </c>
      <c r="BZ29" s="41" t="e">
        <f t="shared" ref="BZ29:CC29" si="450">BZ27-BZ28</f>
        <v>#DIV/0!</v>
      </c>
      <c r="CA29" s="41" t="e">
        <f t="shared" si="450"/>
        <v>#DIV/0!</v>
      </c>
      <c r="CB29" s="41" t="e">
        <f t="shared" si="450"/>
        <v>#DIV/0!</v>
      </c>
      <c r="CC29" s="41" t="e">
        <f t="shared" si="450"/>
        <v>#DIV/0!</v>
      </c>
      <c r="CD29" s="41" t="e">
        <f t="shared" ref="CD29:CO29" si="451">CD27-CD28</f>
        <v>#DIV/0!</v>
      </c>
      <c r="CE29" s="41" t="e">
        <f t="shared" si="451"/>
        <v>#DIV/0!</v>
      </c>
      <c r="CF29" s="41" t="e">
        <f t="shared" si="451"/>
        <v>#DIV/0!</v>
      </c>
      <c r="CG29" s="41" t="e">
        <f t="shared" si="451"/>
        <v>#DIV/0!</v>
      </c>
      <c r="CH29" s="41" t="e">
        <f t="shared" si="451"/>
        <v>#DIV/0!</v>
      </c>
      <c r="CI29" s="41" t="e">
        <f t="shared" si="451"/>
        <v>#DIV/0!</v>
      </c>
      <c r="CJ29" s="41" t="e">
        <f t="shared" si="451"/>
        <v>#DIV/0!</v>
      </c>
      <c r="CK29" s="41" t="e">
        <f t="shared" si="451"/>
        <v>#DIV/0!</v>
      </c>
      <c r="CL29" s="41" t="e">
        <f t="shared" si="451"/>
        <v>#DIV/0!</v>
      </c>
      <c r="CM29" s="41" t="e">
        <f t="shared" si="451"/>
        <v>#DIV/0!</v>
      </c>
      <c r="CN29" s="41" t="e">
        <f t="shared" si="451"/>
        <v>#DIV/0!</v>
      </c>
      <c r="CO29" s="41" t="e">
        <f t="shared" si="451"/>
        <v>#DIV/0!</v>
      </c>
    </row>
    <row r="30" spans="1:93" s="38" customFormat="1" x14ac:dyDescent="0.2">
      <c r="A30" s="38" t="s">
        <v>3</v>
      </c>
      <c r="B30" s="38">
        <f>+'Annual Raw'!C27</f>
        <v>0</v>
      </c>
      <c r="C30" s="38">
        <f>+'Annual Raw'!D27</f>
        <v>0</v>
      </c>
      <c r="D30" s="38">
        <f>+'Annual Raw'!E27</f>
        <v>0</v>
      </c>
      <c r="E30" s="38">
        <f>+'Annual Raw'!F27</f>
        <v>0</v>
      </c>
      <c r="F30" s="38">
        <f>+'Annual Raw'!G27</f>
        <v>0</v>
      </c>
      <c r="G30" s="38">
        <f>+'Annual Raw'!H27</f>
        <v>0</v>
      </c>
      <c r="H30" s="38">
        <f>+'Annual Raw'!I27</f>
        <v>0</v>
      </c>
      <c r="I30" s="38">
        <f>+'Annual Raw'!J27</f>
        <v>0</v>
      </c>
      <c r="J30" s="38">
        <f>+'Annual Raw'!K27</f>
        <v>0</v>
      </c>
      <c r="K30" s="38">
        <f>+'Annual Raw'!L27</f>
        <v>0</v>
      </c>
      <c r="L30" s="38">
        <f>+'Annual Raw'!M27</f>
        <v>0</v>
      </c>
      <c r="M30" s="38">
        <f>+'Annual Raw'!N27</f>
        <v>0</v>
      </c>
      <c r="N30" s="38">
        <f>+'Annual Raw'!O27</f>
        <v>0</v>
      </c>
      <c r="O30" s="38">
        <f>+'Annual Raw'!P27</f>
        <v>0</v>
      </c>
      <c r="P30" s="38">
        <f>+'Annual Raw'!Q27</f>
        <v>0</v>
      </c>
      <c r="Q30" s="38">
        <f>+'Annual Raw'!R27</f>
        <v>0</v>
      </c>
      <c r="R30" s="38">
        <f>+'Annual Raw'!S27</f>
        <v>0</v>
      </c>
      <c r="S30" s="38">
        <f>+'Annual Raw'!T27</f>
        <v>0</v>
      </c>
      <c r="T30" s="38">
        <f>+'Annual Raw'!U27</f>
        <v>0</v>
      </c>
      <c r="U30" s="38">
        <f>+'Annual Raw'!V27</f>
        <v>0</v>
      </c>
      <c r="V30" s="38">
        <f>+'Annual Raw'!W27</f>
        <v>0</v>
      </c>
      <c r="W30" s="38">
        <f>+'Annual Raw'!X27</f>
        <v>0</v>
      </c>
      <c r="X30" s="38">
        <f>+'Annual Raw'!Y27</f>
        <v>0</v>
      </c>
      <c r="Y30" s="38">
        <f>+'Annual Raw'!Z27</f>
        <v>0</v>
      </c>
      <c r="Z30" s="38">
        <f>+'Annual Raw'!AA27</f>
        <v>0</v>
      </c>
      <c r="AA30" s="39">
        <f>SUM(BV30:BY30)</f>
        <v>0</v>
      </c>
      <c r="AB30" s="39" t="e">
        <f>SUM(BZ30:CC30)</f>
        <v>#DIV/0!</v>
      </c>
      <c r="AC30" s="39" t="e">
        <f>SUM(CD30:CG30)</f>
        <v>#DIV/0!</v>
      </c>
      <c r="AD30" s="39" t="e">
        <f>SUM(CH30:CK30)</f>
        <v>#DIV/0!</v>
      </c>
      <c r="AE30" s="39" t="e">
        <f>SUM(CL30:CO30)</f>
        <v>#DIV/0!</v>
      </c>
      <c r="AG30" s="60"/>
      <c r="AH30" s="38">
        <f>+'QTR Raw'!D32</f>
        <v>0</v>
      </c>
      <c r="AI30" s="38">
        <f>+'QTR Raw'!E32</f>
        <v>0</v>
      </c>
      <c r="AJ30" s="38">
        <f>+'QTR Raw'!F32</f>
        <v>0</v>
      </c>
      <c r="AK30" s="38">
        <f>+'QTR Raw'!G32</f>
        <v>0</v>
      </c>
      <c r="AL30" s="38">
        <f>+'QTR Raw'!H32</f>
        <v>0</v>
      </c>
      <c r="AM30" s="38">
        <f>+'QTR Raw'!I32</f>
        <v>0</v>
      </c>
      <c r="AN30" s="38">
        <f>+'QTR Raw'!J32</f>
        <v>0</v>
      </c>
      <c r="AO30" s="38">
        <f>+'QTR Raw'!K32</f>
        <v>0</v>
      </c>
      <c r="AP30" s="38">
        <f>+'QTR Raw'!L32</f>
        <v>0</v>
      </c>
      <c r="AQ30" s="38">
        <f>+'QTR Raw'!M32</f>
        <v>0</v>
      </c>
      <c r="AR30" s="38">
        <f>+'QTR Raw'!N32</f>
        <v>0</v>
      </c>
      <c r="AS30" s="38">
        <f>+'QTR Raw'!O32</f>
        <v>0</v>
      </c>
      <c r="AT30" s="38">
        <f>+'QTR Raw'!P32</f>
        <v>0</v>
      </c>
      <c r="AU30" s="38">
        <f>+'QTR Raw'!Q32</f>
        <v>0</v>
      </c>
      <c r="AV30" s="38">
        <f>+'QTR Raw'!R32</f>
        <v>0</v>
      </c>
      <c r="AW30" s="38">
        <f>+'QTR Raw'!S32</f>
        <v>0</v>
      </c>
      <c r="AX30" s="38">
        <f>+'QTR Raw'!T32</f>
        <v>0</v>
      </c>
      <c r="AY30" s="38">
        <f>+'QTR Raw'!U32</f>
        <v>0</v>
      </c>
      <c r="AZ30" s="38">
        <f>+'QTR Raw'!V32</f>
        <v>0</v>
      </c>
      <c r="BA30" s="38">
        <f>+'QTR Raw'!W32</f>
        <v>0</v>
      </c>
      <c r="BB30" s="38">
        <f>+'QTR Raw'!X32</f>
        <v>0</v>
      </c>
      <c r="BC30" s="38">
        <f>+'QTR Raw'!Y32</f>
        <v>0</v>
      </c>
      <c r="BD30" s="38">
        <f>+'QTR Raw'!Z32</f>
        <v>0</v>
      </c>
      <c r="BE30" s="38">
        <f>+'QTR Raw'!AA32</f>
        <v>0</v>
      </c>
      <c r="BF30" s="38">
        <f>+'QTR Raw'!AB32</f>
        <v>0</v>
      </c>
      <c r="BG30" s="38">
        <f>+'QTR Raw'!AC32</f>
        <v>0</v>
      </c>
      <c r="BH30" s="38">
        <f>+'QTR Raw'!AD32</f>
        <v>0</v>
      </c>
      <c r="BI30" s="38">
        <f>+'QTR Raw'!AE32</f>
        <v>0</v>
      </c>
      <c r="BJ30" s="38">
        <f>+'QTR Raw'!AF32</f>
        <v>0</v>
      </c>
      <c r="BK30" s="38">
        <f>+'QTR Raw'!AG32</f>
        <v>0</v>
      </c>
      <c r="BL30" s="38">
        <f>+'QTR Raw'!AH32</f>
        <v>0</v>
      </c>
      <c r="BM30" s="38">
        <f>+'QTR Raw'!AI32</f>
        <v>0</v>
      </c>
      <c r="BN30" s="38">
        <f>+'QTR Raw'!AJ32</f>
        <v>0</v>
      </c>
      <c r="BO30" s="38">
        <f>+'QTR Raw'!AK32</f>
        <v>0</v>
      </c>
      <c r="BP30" s="38">
        <f>+'QTR Raw'!AL32</f>
        <v>0</v>
      </c>
      <c r="BQ30" s="38">
        <f>+'QTR Raw'!AM32</f>
        <v>0</v>
      </c>
      <c r="BR30" s="38">
        <f>+'QTR Raw'!AN32</f>
        <v>0</v>
      </c>
      <c r="BS30" s="38">
        <f>+'QTR Raw'!AO32</f>
        <v>0</v>
      </c>
      <c r="BT30" s="38">
        <f>+'QTR Raw'!AP32</f>
        <v>0</v>
      </c>
      <c r="BU30" s="38">
        <f>+'QTR Raw'!AQ32</f>
        <v>0</v>
      </c>
      <c r="BV30" s="38">
        <f>+'QTR Raw'!AR32</f>
        <v>0</v>
      </c>
      <c r="BW30" s="38">
        <f>+'QTR Raw'!AS32</f>
        <v>0</v>
      </c>
      <c r="BX30" s="38">
        <f>+'QTR Raw'!AT32</f>
        <v>0</v>
      </c>
      <c r="BY30" s="38">
        <f>+'QTR Raw'!AU32</f>
        <v>0</v>
      </c>
      <c r="BZ30" s="39" t="e">
        <f t="shared" ref="BZ30:CC30" si="452">BZ15*BY5</f>
        <v>#DIV/0!</v>
      </c>
      <c r="CA30" s="39" t="e">
        <f t="shared" si="452"/>
        <v>#DIV/0!</v>
      </c>
      <c r="CB30" s="39" t="e">
        <f t="shared" si="452"/>
        <v>#DIV/0!</v>
      </c>
      <c r="CC30" s="39" t="e">
        <f t="shared" si="452"/>
        <v>#DIV/0!</v>
      </c>
      <c r="CD30" s="39" t="e">
        <f t="shared" ref="CD30" si="453">CD15*CC5</f>
        <v>#DIV/0!</v>
      </c>
      <c r="CE30" s="39" t="e">
        <f t="shared" ref="CE30" si="454">CE15*CD5</f>
        <v>#DIV/0!</v>
      </c>
      <c r="CF30" s="39" t="e">
        <f t="shared" ref="CF30" si="455">CF15*CE5</f>
        <v>#DIV/0!</v>
      </c>
      <c r="CG30" s="39" t="e">
        <f t="shared" ref="CG30" si="456">CG15*CF5</f>
        <v>#DIV/0!</v>
      </c>
      <c r="CH30" s="39" t="e">
        <f t="shared" ref="CH30" si="457">CH15*CG5</f>
        <v>#DIV/0!</v>
      </c>
      <c r="CI30" s="39" t="e">
        <f t="shared" ref="CI30" si="458">CI15*CH5</f>
        <v>#DIV/0!</v>
      </c>
      <c r="CJ30" s="39" t="e">
        <f t="shared" ref="CJ30" si="459">CJ15*CI5</f>
        <v>#DIV/0!</v>
      </c>
      <c r="CK30" s="39" t="e">
        <f t="shared" ref="CK30" si="460">CK15*CJ5</f>
        <v>#DIV/0!</v>
      </c>
      <c r="CL30" s="39" t="e">
        <f t="shared" ref="CL30" si="461">CL15*CK5</f>
        <v>#DIV/0!</v>
      </c>
      <c r="CM30" s="39" t="e">
        <f t="shared" ref="CM30" si="462">CM15*CL5</f>
        <v>#DIV/0!</v>
      </c>
      <c r="CN30" s="39" t="e">
        <f t="shared" ref="CN30" si="463">CN15*CM5</f>
        <v>#DIV/0!</v>
      </c>
      <c r="CO30" s="39" t="e">
        <f t="shared" ref="CO30" si="464">CO15*CN5</f>
        <v>#DIV/0!</v>
      </c>
    </row>
    <row r="31" spans="1:93" s="40" customFormat="1" x14ac:dyDescent="0.2">
      <c r="A31" s="40" t="s">
        <v>10</v>
      </c>
      <c r="B31" s="40">
        <f t="shared" ref="B31" si="465">B29+B30</f>
        <v>0</v>
      </c>
      <c r="C31" s="40">
        <f t="shared" ref="C31:Z31" si="466">C29+C30</f>
        <v>0</v>
      </c>
      <c r="D31" s="40">
        <f t="shared" si="466"/>
        <v>0</v>
      </c>
      <c r="E31" s="40">
        <f t="shared" si="466"/>
        <v>0</v>
      </c>
      <c r="F31" s="40">
        <f t="shared" si="466"/>
        <v>0</v>
      </c>
      <c r="G31" s="40">
        <f t="shared" si="466"/>
        <v>0</v>
      </c>
      <c r="H31" s="40">
        <f t="shared" si="466"/>
        <v>0</v>
      </c>
      <c r="I31" s="40">
        <f t="shared" si="466"/>
        <v>0</v>
      </c>
      <c r="J31" s="40">
        <f t="shared" si="466"/>
        <v>0</v>
      </c>
      <c r="K31" s="40">
        <f t="shared" si="466"/>
        <v>0</v>
      </c>
      <c r="L31" s="40">
        <f t="shared" si="466"/>
        <v>0</v>
      </c>
      <c r="M31" s="40">
        <f t="shared" si="466"/>
        <v>0</v>
      </c>
      <c r="N31" s="40">
        <f t="shared" si="466"/>
        <v>0</v>
      </c>
      <c r="O31" s="40">
        <f t="shared" si="466"/>
        <v>0</v>
      </c>
      <c r="P31" s="40">
        <f t="shared" si="466"/>
        <v>0</v>
      </c>
      <c r="Q31" s="40">
        <f t="shared" si="466"/>
        <v>0</v>
      </c>
      <c r="R31" s="40">
        <f t="shared" si="466"/>
        <v>0</v>
      </c>
      <c r="S31" s="40">
        <f t="shared" si="466"/>
        <v>0</v>
      </c>
      <c r="T31" s="40">
        <f t="shared" si="466"/>
        <v>0</v>
      </c>
      <c r="U31" s="40">
        <f t="shared" si="466"/>
        <v>0</v>
      </c>
      <c r="V31" s="40">
        <f t="shared" si="466"/>
        <v>0</v>
      </c>
      <c r="W31" s="40">
        <f t="shared" si="466"/>
        <v>0</v>
      </c>
      <c r="X31" s="40">
        <f t="shared" si="466"/>
        <v>0</v>
      </c>
      <c r="Y31" s="40">
        <f t="shared" si="466"/>
        <v>0</v>
      </c>
      <c r="Z31" s="40">
        <f t="shared" si="466"/>
        <v>0</v>
      </c>
      <c r="AA31" s="41">
        <f t="shared" ref="AA31" si="467">AA29+AA30</f>
        <v>0</v>
      </c>
      <c r="AB31" s="41" t="e">
        <f t="shared" ref="AB31" si="468">AB29+AB30</f>
        <v>#DIV/0!</v>
      </c>
      <c r="AC31" s="41" t="e">
        <f t="shared" ref="AC31" si="469">AC29+AC30</f>
        <v>#DIV/0!</v>
      </c>
      <c r="AD31" s="41" t="e">
        <f t="shared" ref="AD31" si="470">AD29+AD30</f>
        <v>#DIV/0!</v>
      </c>
      <c r="AE31" s="41" t="e">
        <f t="shared" ref="AE31" si="471">AE29+AE30</f>
        <v>#DIV/0!</v>
      </c>
      <c r="AG31" s="61"/>
      <c r="AH31" s="40">
        <f t="shared" ref="AH31:AU31" si="472">AH29+AH30</f>
        <v>0</v>
      </c>
      <c r="AI31" s="40">
        <f t="shared" si="472"/>
        <v>0</v>
      </c>
      <c r="AJ31" s="40">
        <f t="shared" si="472"/>
        <v>0</v>
      </c>
      <c r="AK31" s="40">
        <f t="shared" si="472"/>
        <v>0</v>
      </c>
      <c r="AL31" s="40">
        <f t="shared" si="472"/>
        <v>0</v>
      </c>
      <c r="AM31" s="40">
        <f t="shared" si="472"/>
        <v>0</v>
      </c>
      <c r="AN31" s="40">
        <f t="shared" si="472"/>
        <v>0</v>
      </c>
      <c r="AO31" s="40">
        <f t="shared" si="472"/>
        <v>0</v>
      </c>
      <c r="AP31" s="40">
        <f t="shared" si="472"/>
        <v>0</v>
      </c>
      <c r="AQ31" s="40">
        <f t="shared" si="472"/>
        <v>0</v>
      </c>
      <c r="AR31" s="40">
        <f t="shared" si="472"/>
        <v>0</v>
      </c>
      <c r="AS31" s="40">
        <f t="shared" si="472"/>
        <v>0</v>
      </c>
      <c r="AT31" s="40">
        <f t="shared" si="472"/>
        <v>0</v>
      </c>
      <c r="AU31" s="40">
        <f t="shared" si="472"/>
        <v>0</v>
      </c>
      <c r="AV31" s="40">
        <f t="shared" ref="AV31:BV31" si="473">AV29+AV30</f>
        <v>0</v>
      </c>
      <c r="AW31" s="40">
        <f t="shared" si="473"/>
        <v>0</v>
      </c>
      <c r="AX31" s="40">
        <f t="shared" si="473"/>
        <v>0</v>
      </c>
      <c r="AY31" s="40">
        <f t="shared" si="473"/>
        <v>0</v>
      </c>
      <c r="AZ31" s="40">
        <f t="shared" si="473"/>
        <v>0</v>
      </c>
      <c r="BA31" s="40">
        <f t="shared" si="473"/>
        <v>0</v>
      </c>
      <c r="BB31" s="40">
        <f t="shared" si="473"/>
        <v>0</v>
      </c>
      <c r="BC31" s="40">
        <f t="shared" si="473"/>
        <v>0</v>
      </c>
      <c r="BD31" s="40">
        <f t="shared" si="473"/>
        <v>0</v>
      </c>
      <c r="BE31" s="40">
        <f t="shared" si="473"/>
        <v>0</v>
      </c>
      <c r="BF31" s="40">
        <f t="shared" si="473"/>
        <v>0</v>
      </c>
      <c r="BG31" s="40">
        <f t="shared" si="473"/>
        <v>0</v>
      </c>
      <c r="BH31" s="40">
        <f t="shared" si="473"/>
        <v>0</v>
      </c>
      <c r="BI31" s="40">
        <f t="shared" si="473"/>
        <v>0</v>
      </c>
      <c r="BJ31" s="40">
        <f t="shared" si="473"/>
        <v>0</v>
      </c>
      <c r="BK31" s="40">
        <f t="shared" si="473"/>
        <v>0</v>
      </c>
      <c r="BL31" s="40">
        <f t="shared" si="473"/>
        <v>0</v>
      </c>
      <c r="BM31" s="40">
        <f t="shared" si="473"/>
        <v>0</v>
      </c>
      <c r="BN31" s="40">
        <f t="shared" si="473"/>
        <v>0</v>
      </c>
      <c r="BO31" s="40">
        <f t="shared" si="473"/>
        <v>0</v>
      </c>
      <c r="BP31" s="40">
        <f t="shared" si="473"/>
        <v>0</v>
      </c>
      <c r="BQ31" s="40">
        <f t="shared" si="473"/>
        <v>0</v>
      </c>
      <c r="BR31" s="40">
        <f t="shared" si="473"/>
        <v>0</v>
      </c>
      <c r="BS31" s="40">
        <f t="shared" si="473"/>
        <v>0</v>
      </c>
      <c r="BT31" s="40">
        <f t="shared" si="473"/>
        <v>0</v>
      </c>
      <c r="BU31" s="40">
        <f t="shared" si="473"/>
        <v>0</v>
      </c>
      <c r="BV31" s="40">
        <f t="shared" si="473"/>
        <v>0</v>
      </c>
      <c r="BW31" s="40">
        <f t="shared" ref="BW31:BX31" si="474">BW29+BW30</f>
        <v>0</v>
      </c>
      <c r="BX31" s="40">
        <f t="shared" si="474"/>
        <v>0</v>
      </c>
      <c r="BY31" s="40">
        <f t="shared" ref="BY31" si="475">BY29+BY30</f>
        <v>0</v>
      </c>
      <c r="BZ31" s="41" t="e">
        <f t="shared" ref="BZ31:CC31" si="476">BZ29+BZ30</f>
        <v>#DIV/0!</v>
      </c>
      <c r="CA31" s="41" t="e">
        <f t="shared" si="476"/>
        <v>#DIV/0!</v>
      </c>
      <c r="CB31" s="41" t="e">
        <f t="shared" si="476"/>
        <v>#DIV/0!</v>
      </c>
      <c r="CC31" s="41" t="e">
        <f t="shared" si="476"/>
        <v>#DIV/0!</v>
      </c>
      <c r="CD31" s="41" t="e">
        <f t="shared" ref="CD31:CO31" si="477">CD29+CD30</f>
        <v>#DIV/0!</v>
      </c>
      <c r="CE31" s="41" t="e">
        <f t="shared" si="477"/>
        <v>#DIV/0!</v>
      </c>
      <c r="CF31" s="41" t="e">
        <f t="shared" si="477"/>
        <v>#DIV/0!</v>
      </c>
      <c r="CG31" s="41" t="e">
        <f t="shared" si="477"/>
        <v>#DIV/0!</v>
      </c>
      <c r="CH31" s="41" t="e">
        <f t="shared" si="477"/>
        <v>#DIV/0!</v>
      </c>
      <c r="CI31" s="41" t="e">
        <f t="shared" si="477"/>
        <v>#DIV/0!</v>
      </c>
      <c r="CJ31" s="41" t="e">
        <f t="shared" si="477"/>
        <v>#DIV/0!</v>
      </c>
      <c r="CK31" s="41" t="e">
        <f t="shared" si="477"/>
        <v>#DIV/0!</v>
      </c>
      <c r="CL31" s="41" t="e">
        <f t="shared" si="477"/>
        <v>#DIV/0!</v>
      </c>
      <c r="CM31" s="41" t="e">
        <f t="shared" si="477"/>
        <v>#DIV/0!</v>
      </c>
      <c r="CN31" s="41" t="e">
        <f t="shared" si="477"/>
        <v>#DIV/0!</v>
      </c>
      <c r="CO31" s="41" t="e">
        <f t="shared" si="477"/>
        <v>#DIV/0!</v>
      </c>
    </row>
    <row r="32" spans="1:93" s="71" customFormat="1" x14ac:dyDescent="0.2">
      <c r="A32" s="71" t="s">
        <v>15</v>
      </c>
      <c r="C32" s="71" t="e">
        <f t="shared" ref="C32:Y32" si="478">+IF(B31&lt;0,1-C31/B31,C31/B31-1)</f>
        <v>#DIV/0!</v>
      </c>
      <c r="D32" s="71" t="e">
        <f t="shared" si="478"/>
        <v>#DIV/0!</v>
      </c>
      <c r="E32" s="71" t="e">
        <f t="shared" si="478"/>
        <v>#DIV/0!</v>
      </c>
      <c r="F32" s="71" t="e">
        <f t="shared" si="478"/>
        <v>#DIV/0!</v>
      </c>
      <c r="G32" s="71" t="e">
        <f t="shared" si="478"/>
        <v>#DIV/0!</v>
      </c>
      <c r="H32" s="71" t="e">
        <f t="shared" si="478"/>
        <v>#DIV/0!</v>
      </c>
      <c r="I32" s="71" t="e">
        <f t="shared" si="478"/>
        <v>#DIV/0!</v>
      </c>
      <c r="J32" s="71" t="e">
        <f t="shared" si="478"/>
        <v>#DIV/0!</v>
      </c>
      <c r="K32" s="71" t="e">
        <f t="shared" si="478"/>
        <v>#DIV/0!</v>
      </c>
      <c r="L32" s="71" t="e">
        <f t="shared" si="478"/>
        <v>#DIV/0!</v>
      </c>
      <c r="M32" s="71" t="e">
        <f t="shared" si="478"/>
        <v>#DIV/0!</v>
      </c>
      <c r="N32" s="71" t="e">
        <f t="shared" si="478"/>
        <v>#DIV/0!</v>
      </c>
      <c r="O32" s="71" t="e">
        <f t="shared" si="478"/>
        <v>#DIV/0!</v>
      </c>
      <c r="P32" s="71" t="e">
        <f t="shared" si="478"/>
        <v>#DIV/0!</v>
      </c>
      <c r="Q32" s="71" t="e">
        <f t="shared" si="478"/>
        <v>#DIV/0!</v>
      </c>
      <c r="R32" s="71" t="e">
        <f t="shared" si="478"/>
        <v>#DIV/0!</v>
      </c>
      <c r="S32" s="71" t="e">
        <f t="shared" si="478"/>
        <v>#DIV/0!</v>
      </c>
      <c r="T32" s="71" t="e">
        <f t="shared" si="478"/>
        <v>#DIV/0!</v>
      </c>
      <c r="U32" s="71" t="e">
        <f t="shared" si="478"/>
        <v>#DIV/0!</v>
      </c>
      <c r="V32" s="71" t="e">
        <f t="shared" si="478"/>
        <v>#DIV/0!</v>
      </c>
      <c r="W32" s="71" t="e">
        <f t="shared" si="478"/>
        <v>#DIV/0!</v>
      </c>
      <c r="X32" s="71" t="e">
        <f t="shared" si="478"/>
        <v>#DIV/0!</v>
      </c>
      <c r="Y32" s="71" t="e">
        <f t="shared" si="478"/>
        <v>#DIV/0!</v>
      </c>
      <c r="Z32" s="74" t="e">
        <f>+IF(Y31&lt;0,1-Z31/Y31,Z31/Y31-1)</f>
        <v>#DIV/0!</v>
      </c>
      <c r="AA32" s="72" t="e">
        <f t="shared" ref="AA32:AE32" si="479">+IF(Z31&lt;0,1-AA31/Z31,AA31/Z31-1)</f>
        <v>#DIV/0!</v>
      </c>
      <c r="AB32" s="72" t="e">
        <f t="shared" si="479"/>
        <v>#DIV/0!</v>
      </c>
      <c r="AC32" s="72" t="e">
        <f t="shared" si="479"/>
        <v>#DIV/0!</v>
      </c>
      <c r="AD32" s="72" t="e">
        <f t="shared" si="479"/>
        <v>#DIV/0!</v>
      </c>
      <c r="AE32" s="72" t="e">
        <f t="shared" si="479"/>
        <v>#DIV/0!</v>
      </c>
      <c r="AG32" s="73"/>
      <c r="AH32" s="74"/>
      <c r="AI32" s="74"/>
      <c r="AJ32" s="74"/>
      <c r="AK32" s="74"/>
      <c r="AL32" s="74" t="e">
        <f t="shared" ref="AL32:BV32" si="480">+IF(AH31&lt;0,1-AL31/AH31,AL31/AH31-1)</f>
        <v>#DIV/0!</v>
      </c>
      <c r="AM32" s="74" t="e">
        <f t="shared" si="480"/>
        <v>#DIV/0!</v>
      </c>
      <c r="AN32" s="74" t="e">
        <f t="shared" si="480"/>
        <v>#DIV/0!</v>
      </c>
      <c r="AO32" s="74" t="e">
        <f t="shared" si="480"/>
        <v>#DIV/0!</v>
      </c>
      <c r="AP32" s="74" t="e">
        <f t="shared" si="480"/>
        <v>#DIV/0!</v>
      </c>
      <c r="AQ32" s="74" t="e">
        <f t="shared" si="480"/>
        <v>#DIV/0!</v>
      </c>
      <c r="AR32" s="74" t="e">
        <f t="shared" si="480"/>
        <v>#DIV/0!</v>
      </c>
      <c r="AS32" s="74" t="e">
        <f t="shared" si="480"/>
        <v>#DIV/0!</v>
      </c>
      <c r="AT32" s="74" t="e">
        <f t="shared" si="480"/>
        <v>#DIV/0!</v>
      </c>
      <c r="AU32" s="74" t="e">
        <f t="shared" si="480"/>
        <v>#DIV/0!</v>
      </c>
      <c r="AV32" s="74" t="e">
        <f t="shared" si="480"/>
        <v>#DIV/0!</v>
      </c>
      <c r="AW32" s="74" t="e">
        <f t="shared" si="480"/>
        <v>#DIV/0!</v>
      </c>
      <c r="AX32" s="74" t="e">
        <f t="shared" si="480"/>
        <v>#DIV/0!</v>
      </c>
      <c r="AY32" s="74" t="e">
        <f t="shared" si="480"/>
        <v>#DIV/0!</v>
      </c>
      <c r="AZ32" s="74" t="e">
        <f t="shared" si="480"/>
        <v>#DIV/0!</v>
      </c>
      <c r="BA32" s="74" t="e">
        <f t="shared" si="480"/>
        <v>#DIV/0!</v>
      </c>
      <c r="BB32" s="74" t="e">
        <f t="shared" si="480"/>
        <v>#DIV/0!</v>
      </c>
      <c r="BC32" s="74" t="e">
        <f t="shared" si="480"/>
        <v>#DIV/0!</v>
      </c>
      <c r="BD32" s="74" t="e">
        <f t="shared" si="480"/>
        <v>#DIV/0!</v>
      </c>
      <c r="BE32" s="74" t="e">
        <f t="shared" si="480"/>
        <v>#DIV/0!</v>
      </c>
      <c r="BF32" s="74" t="e">
        <f t="shared" si="480"/>
        <v>#DIV/0!</v>
      </c>
      <c r="BG32" s="74" t="e">
        <f t="shared" si="480"/>
        <v>#DIV/0!</v>
      </c>
      <c r="BH32" s="74" t="e">
        <f t="shared" si="480"/>
        <v>#DIV/0!</v>
      </c>
      <c r="BI32" s="74" t="e">
        <f t="shared" si="480"/>
        <v>#DIV/0!</v>
      </c>
      <c r="BJ32" s="74" t="e">
        <f t="shared" si="480"/>
        <v>#DIV/0!</v>
      </c>
      <c r="BK32" s="74" t="e">
        <f t="shared" si="480"/>
        <v>#DIV/0!</v>
      </c>
      <c r="BL32" s="74" t="e">
        <f t="shared" si="480"/>
        <v>#DIV/0!</v>
      </c>
      <c r="BM32" s="74" t="e">
        <f t="shared" si="480"/>
        <v>#DIV/0!</v>
      </c>
      <c r="BN32" s="74" t="e">
        <f t="shared" si="480"/>
        <v>#DIV/0!</v>
      </c>
      <c r="BO32" s="74" t="e">
        <f t="shared" si="480"/>
        <v>#DIV/0!</v>
      </c>
      <c r="BP32" s="74" t="e">
        <f t="shared" si="480"/>
        <v>#DIV/0!</v>
      </c>
      <c r="BQ32" s="74" t="e">
        <f t="shared" si="480"/>
        <v>#DIV/0!</v>
      </c>
      <c r="BR32" s="74" t="e">
        <f t="shared" si="480"/>
        <v>#DIV/0!</v>
      </c>
      <c r="BS32" s="74" t="e">
        <f t="shared" si="480"/>
        <v>#DIV/0!</v>
      </c>
      <c r="BT32" s="74" t="e">
        <f t="shared" si="480"/>
        <v>#DIV/0!</v>
      </c>
      <c r="BU32" s="74" t="e">
        <f t="shared" si="480"/>
        <v>#DIV/0!</v>
      </c>
      <c r="BV32" s="74" t="e">
        <f t="shared" si="480"/>
        <v>#DIV/0!</v>
      </c>
      <c r="BW32" s="74" t="e">
        <f>+IF(BS31&lt;0,1-BW31/BS31,BW31/BS31-1)</f>
        <v>#DIV/0!</v>
      </c>
      <c r="BX32" s="74" t="e">
        <f>+IF(BT31&lt;0,1-BX31/BT31,BX31/BT31-1)</f>
        <v>#DIV/0!</v>
      </c>
      <c r="BY32" s="74" t="e">
        <f>+IF(BU31&lt;0,1-BY31/BU31,BY31/BU31-1)</f>
        <v>#DIV/0!</v>
      </c>
      <c r="BZ32" s="36" t="e">
        <f t="shared" ref="BZ32:CO32" si="481">+IF(BV31&lt;0,1-BZ31/BV31,BZ31/BV31-1)</f>
        <v>#DIV/0!</v>
      </c>
      <c r="CA32" s="36" t="e">
        <f t="shared" si="481"/>
        <v>#DIV/0!</v>
      </c>
      <c r="CB32" s="36" t="e">
        <f t="shared" si="481"/>
        <v>#DIV/0!</v>
      </c>
      <c r="CC32" s="36" t="e">
        <f t="shared" si="481"/>
        <v>#DIV/0!</v>
      </c>
      <c r="CD32" s="36" t="e">
        <f t="shared" si="481"/>
        <v>#DIV/0!</v>
      </c>
      <c r="CE32" s="36" t="e">
        <f t="shared" si="481"/>
        <v>#DIV/0!</v>
      </c>
      <c r="CF32" s="36" t="e">
        <f t="shared" si="481"/>
        <v>#DIV/0!</v>
      </c>
      <c r="CG32" s="36" t="e">
        <f t="shared" si="481"/>
        <v>#DIV/0!</v>
      </c>
      <c r="CH32" s="36" t="e">
        <f t="shared" si="481"/>
        <v>#DIV/0!</v>
      </c>
      <c r="CI32" s="36" t="e">
        <f t="shared" si="481"/>
        <v>#DIV/0!</v>
      </c>
      <c r="CJ32" s="36" t="e">
        <f t="shared" si="481"/>
        <v>#DIV/0!</v>
      </c>
      <c r="CK32" s="36" t="e">
        <f t="shared" si="481"/>
        <v>#DIV/0!</v>
      </c>
      <c r="CL32" s="36" t="e">
        <f t="shared" si="481"/>
        <v>#DIV/0!</v>
      </c>
      <c r="CM32" s="36" t="e">
        <f t="shared" si="481"/>
        <v>#DIV/0!</v>
      </c>
      <c r="CN32" s="36" t="e">
        <f t="shared" si="481"/>
        <v>#DIV/0!</v>
      </c>
      <c r="CO32" s="36" t="e">
        <f t="shared" si="481"/>
        <v>#DIV/0!</v>
      </c>
    </row>
    <row r="33" spans="1:93" s="38" customFormat="1" x14ac:dyDescent="0.2">
      <c r="A33" s="38" t="s">
        <v>0</v>
      </c>
      <c r="B33" s="38">
        <f>+'Annual Raw'!C18</f>
        <v>0</v>
      </c>
      <c r="C33" s="38">
        <f>+'Annual Raw'!D18</f>
        <v>0</v>
      </c>
      <c r="D33" s="38">
        <f>+'Annual Raw'!E18</f>
        <v>0</v>
      </c>
      <c r="E33" s="38">
        <f>+'Annual Raw'!F18</f>
        <v>0</v>
      </c>
      <c r="F33" s="38">
        <f>+'Annual Raw'!G18</f>
        <v>0</v>
      </c>
      <c r="G33" s="38">
        <f>+'Annual Raw'!H18</f>
        <v>0</v>
      </c>
      <c r="H33" s="38">
        <f>+'Annual Raw'!I18</f>
        <v>0</v>
      </c>
      <c r="I33" s="38">
        <f>+'Annual Raw'!J18</f>
        <v>0</v>
      </c>
      <c r="J33" s="38">
        <f>+'Annual Raw'!K18</f>
        <v>0</v>
      </c>
      <c r="K33" s="38">
        <f>+'Annual Raw'!L18</f>
        <v>0</v>
      </c>
      <c r="L33" s="38">
        <f>+'Annual Raw'!M18</f>
        <v>0</v>
      </c>
      <c r="M33" s="38">
        <f>+'Annual Raw'!N18</f>
        <v>0</v>
      </c>
      <c r="N33" s="38">
        <f>+'Annual Raw'!O18</f>
        <v>0</v>
      </c>
      <c r="O33" s="38">
        <f>+'Annual Raw'!P18</f>
        <v>0</v>
      </c>
      <c r="P33" s="38">
        <f>+'Annual Raw'!Q18</f>
        <v>0</v>
      </c>
      <c r="Q33" s="38">
        <f>+'Annual Raw'!R18</f>
        <v>0</v>
      </c>
      <c r="R33" s="38">
        <f>+'Annual Raw'!S18</f>
        <v>0</v>
      </c>
      <c r="S33" s="38">
        <f>+'Annual Raw'!T18</f>
        <v>0</v>
      </c>
      <c r="T33" s="38">
        <f>+'Annual Raw'!U18</f>
        <v>0</v>
      </c>
      <c r="U33" s="38">
        <f>+'Annual Raw'!V18</f>
        <v>0</v>
      </c>
      <c r="V33" s="38">
        <f>+'Annual Raw'!W18</f>
        <v>0</v>
      </c>
      <c r="W33" s="38">
        <f>+'Annual Raw'!X18</f>
        <v>0</v>
      </c>
      <c r="X33" s="38">
        <f>+'Annual Raw'!Y18</f>
        <v>0</v>
      </c>
      <c r="Y33" s="38">
        <f>+'Annual Raw'!Z18</f>
        <v>0</v>
      </c>
      <c r="Z33" s="38">
        <f>+'Annual Raw'!AA18</f>
        <v>0</v>
      </c>
      <c r="AA33" s="39">
        <f>SUM(BV33:BY33)</f>
        <v>0</v>
      </c>
      <c r="AB33" s="39" t="e">
        <f>SUM(BZ33:CC33)</f>
        <v>#DIV/0!</v>
      </c>
      <c r="AC33" s="39" t="e">
        <f>SUM(CD33:CG33)</f>
        <v>#DIV/0!</v>
      </c>
      <c r="AD33" s="39" t="e">
        <f>SUM(CH33:CK33)</f>
        <v>#DIV/0!</v>
      </c>
      <c r="AE33" s="39" t="e">
        <f>SUM(CL33:CO33)</f>
        <v>#DIV/0!</v>
      </c>
      <c r="AG33" s="60"/>
      <c r="AH33" s="38">
        <f>+'QTR Raw'!D20</f>
        <v>0</v>
      </c>
      <c r="AI33" s="38">
        <f>+'QTR Raw'!E20</f>
        <v>0</v>
      </c>
      <c r="AJ33" s="38">
        <f>+'QTR Raw'!F20</f>
        <v>0</v>
      </c>
      <c r="AK33" s="38">
        <f>+'QTR Raw'!G20</f>
        <v>0</v>
      </c>
      <c r="AL33" s="38">
        <f>+'QTR Raw'!H20</f>
        <v>0</v>
      </c>
      <c r="AM33" s="38">
        <f>+'QTR Raw'!I20</f>
        <v>0</v>
      </c>
      <c r="AN33" s="38">
        <f>+'QTR Raw'!J20</f>
        <v>0</v>
      </c>
      <c r="AO33" s="38">
        <f>+'QTR Raw'!K20</f>
        <v>0</v>
      </c>
      <c r="AP33" s="38">
        <f>+'QTR Raw'!L20</f>
        <v>0</v>
      </c>
      <c r="AQ33" s="38">
        <f>+'QTR Raw'!M20</f>
        <v>0</v>
      </c>
      <c r="AR33" s="38">
        <f>+'QTR Raw'!N20</f>
        <v>0</v>
      </c>
      <c r="AS33" s="38">
        <f>+'QTR Raw'!O20</f>
        <v>0</v>
      </c>
      <c r="AT33" s="38">
        <f>+'QTR Raw'!P20</f>
        <v>0</v>
      </c>
      <c r="AU33" s="38">
        <f>+'QTR Raw'!Q20</f>
        <v>0</v>
      </c>
      <c r="AV33" s="38">
        <f>+'QTR Raw'!R20</f>
        <v>0</v>
      </c>
      <c r="AW33" s="38">
        <f>+'QTR Raw'!S20</f>
        <v>0</v>
      </c>
      <c r="AX33" s="38">
        <f>+'QTR Raw'!T20</f>
        <v>0</v>
      </c>
      <c r="AY33" s="38">
        <f>+'QTR Raw'!U20</f>
        <v>0</v>
      </c>
      <c r="AZ33" s="38">
        <f>+'QTR Raw'!V20</f>
        <v>0</v>
      </c>
      <c r="BA33" s="38">
        <f>+'QTR Raw'!W20</f>
        <v>0</v>
      </c>
      <c r="BB33" s="38">
        <f>+'QTR Raw'!X20</f>
        <v>0</v>
      </c>
      <c r="BC33" s="38">
        <f>+'QTR Raw'!Y20</f>
        <v>0</v>
      </c>
      <c r="BD33" s="38">
        <f>+'QTR Raw'!Z20</f>
        <v>0</v>
      </c>
      <c r="BE33" s="38">
        <f>+'QTR Raw'!AA20</f>
        <v>0</v>
      </c>
      <c r="BF33" s="38">
        <f>+'QTR Raw'!AB20</f>
        <v>0</v>
      </c>
      <c r="BG33" s="38">
        <f>+'QTR Raw'!AC20</f>
        <v>0</v>
      </c>
      <c r="BH33" s="38">
        <f>+'QTR Raw'!AD20</f>
        <v>0</v>
      </c>
      <c r="BI33" s="38">
        <f>+'QTR Raw'!AE20</f>
        <v>0</v>
      </c>
      <c r="BJ33" s="38">
        <f>+'QTR Raw'!AF20</f>
        <v>0</v>
      </c>
      <c r="BK33" s="38">
        <f>+'QTR Raw'!AG20</f>
        <v>0</v>
      </c>
      <c r="BL33" s="38">
        <f>+'QTR Raw'!AH20</f>
        <v>0</v>
      </c>
      <c r="BM33" s="38">
        <f>+'QTR Raw'!AI20</f>
        <v>0</v>
      </c>
      <c r="BN33" s="38">
        <f>+'QTR Raw'!AJ20</f>
        <v>0</v>
      </c>
      <c r="BO33" s="38">
        <f>+'QTR Raw'!AK20</f>
        <v>0</v>
      </c>
      <c r="BP33" s="38">
        <f>+'QTR Raw'!AL20</f>
        <v>0</v>
      </c>
      <c r="BQ33" s="38">
        <f>+'QTR Raw'!AM20</f>
        <v>0</v>
      </c>
      <c r="BR33" s="38">
        <f>+'QTR Raw'!AN20</f>
        <v>0</v>
      </c>
      <c r="BS33" s="38">
        <f>+'QTR Raw'!AO20</f>
        <v>0</v>
      </c>
      <c r="BT33" s="38">
        <f>+'QTR Raw'!AP20</f>
        <v>0</v>
      </c>
      <c r="BU33" s="38">
        <f>+'QTR Raw'!AQ20</f>
        <v>0</v>
      </c>
      <c r="BV33" s="38">
        <f>+'QTR Raw'!AR20</f>
        <v>0</v>
      </c>
      <c r="BW33" s="38">
        <f>+'QTR Raw'!AS20</f>
        <v>0</v>
      </c>
      <c r="BX33" s="38">
        <f>+'QTR Raw'!AT20</f>
        <v>0</v>
      </c>
      <c r="BY33" s="38">
        <f>+'QTR Raw'!AU20</f>
        <v>0</v>
      </c>
      <c r="BZ33" s="108" t="e">
        <f t="shared" ref="BZ33:CO33" si="482">BZ18*BY5</f>
        <v>#DIV/0!</v>
      </c>
      <c r="CA33" s="108" t="e">
        <f t="shared" si="482"/>
        <v>#DIV/0!</v>
      </c>
      <c r="CB33" s="108" t="e">
        <f t="shared" si="482"/>
        <v>#DIV/0!</v>
      </c>
      <c r="CC33" s="108" t="e">
        <f t="shared" si="482"/>
        <v>#DIV/0!</v>
      </c>
      <c r="CD33" s="108" t="e">
        <f t="shared" si="482"/>
        <v>#DIV/0!</v>
      </c>
      <c r="CE33" s="108" t="e">
        <f t="shared" si="482"/>
        <v>#DIV/0!</v>
      </c>
      <c r="CF33" s="108" t="e">
        <f t="shared" si="482"/>
        <v>#DIV/0!</v>
      </c>
      <c r="CG33" s="108" t="e">
        <f t="shared" si="482"/>
        <v>#DIV/0!</v>
      </c>
      <c r="CH33" s="108" t="e">
        <f t="shared" si="482"/>
        <v>#DIV/0!</v>
      </c>
      <c r="CI33" s="108" t="e">
        <f t="shared" si="482"/>
        <v>#DIV/0!</v>
      </c>
      <c r="CJ33" s="108" t="e">
        <f t="shared" si="482"/>
        <v>#DIV/0!</v>
      </c>
      <c r="CK33" s="108" t="e">
        <f t="shared" si="482"/>
        <v>#DIV/0!</v>
      </c>
      <c r="CL33" s="108" t="e">
        <f t="shared" si="482"/>
        <v>#DIV/0!</v>
      </c>
      <c r="CM33" s="108" t="e">
        <f t="shared" si="482"/>
        <v>#DIV/0!</v>
      </c>
      <c r="CN33" s="108" t="e">
        <f t="shared" si="482"/>
        <v>#DIV/0!</v>
      </c>
      <c r="CO33" s="108" t="e">
        <f t="shared" si="482"/>
        <v>#DIV/0!</v>
      </c>
    </row>
    <row r="34" spans="1:93" s="38" customFormat="1" x14ac:dyDescent="0.2">
      <c r="A34" s="38" t="s">
        <v>1</v>
      </c>
      <c r="B34" s="38">
        <f>+'Annual Raw'!C19+'Annual Raw'!C20+'Annual Raw'!C21+'Annual Raw'!C17+'Annual Raw'!C16+'Annual Raw'!C15-'Annual Raw'!C24</f>
        <v>0</v>
      </c>
      <c r="C34" s="38">
        <f>+'Annual Raw'!D19+'Annual Raw'!D20+'Annual Raw'!D21+'Annual Raw'!D17+'Annual Raw'!D16+'Annual Raw'!D15-'Annual Raw'!D24</f>
        <v>0</v>
      </c>
      <c r="D34" s="38">
        <f>+'Annual Raw'!E19+'Annual Raw'!E20+'Annual Raw'!E21+'Annual Raw'!E17+'Annual Raw'!E16+'Annual Raw'!E15-'Annual Raw'!E24</f>
        <v>0</v>
      </c>
      <c r="E34" s="38">
        <f>+'Annual Raw'!F19+'Annual Raw'!F20+'Annual Raw'!F21+'Annual Raw'!F17+'Annual Raw'!F16+'Annual Raw'!F15-'Annual Raw'!F24</f>
        <v>0</v>
      </c>
      <c r="F34" s="38">
        <f>+'Annual Raw'!G19+'Annual Raw'!G20+'Annual Raw'!G21+'Annual Raw'!G17+'Annual Raw'!G16+'Annual Raw'!G15-'Annual Raw'!G24</f>
        <v>0</v>
      </c>
      <c r="G34" s="38">
        <f>+'Annual Raw'!H19+'Annual Raw'!H20+'Annual Raw'!H21+'Annual Raw'!H17+'Annual Raw'!H16+'Annual Raw'!H15-'Annual Raw'!H24</f>
        <v>0</v>
      </c>
      <c r="H34" s="38">
        <f>+'Annual Raw'!I19+'Annual Raw'!I20+'Annual Raw'!I21+'Annual Raw'!I17+'Annual Raw'!I16+'Annual Raw'!I15-'Annual Raw'!I24</f>
        <v>0</v>
      </c>
      <c r="I34" s="38">
        <f>+'Annual Raw'!J19+'Annual Raw'!J20+'Annual Raw'!J21+'Annual Raw'!J17+'Annual Raw'!J16+'Annual Raw'!J15-'Annual Raw'!J24</f>
        <v>0</v>
      </c>
      <c r="J34" s="38">
        <f>+'Annual Raw'!K19+'Annual Raw'!K20+'Annual Raw'!K21+'Annual Raw'!K17+'Annual Raw'!K16+'Annual Raw'!K15-'Annual Raw'!K24</f>
        <v>0</v>
      </c>
      <c r="K34" s="38">
        <f>+'Annual Raw'!L19+'Annual Raw'!L20+'Annual Raw'!L21+'Annual Raw'!L17+'Annual Raw'!L16+'Annual Raw'!L15-'Annual Raw'!L24</f>
        <v>0</v>
      </c>
      <c r="L34" s="38">
        <f>+'Annual Raw'!M19+'Annual Raw'!M20+'Annual Raw'!M21+'Annual Raw'!M17+'Annual Raw'!M16+'Annual Raw'!M15-'Annual Raw'!M24</f>
        <v>0</v>
      </c>
      <c r="M34" s="38">
        <f>+'Annual Raw'!N19+'Annual Raw'!N20+'Annual Raw'!N21+'Annual Raw'!N17+'Annual Raw'!N16+'Annual Raw'!N15-'Annual Raw'!N24</f>
        <v>0</v>
      </c>
      <c r="N34" s="38">
        <f>+'Annual Raw'!O19+'Annual Raw'!O20+'Annual Raw'!O21+'Annual Raw'!O17+'Annual Raw'!O16+'Annual Raw'!O15-'Annual Raw'!O24</f>
        <v>0</v>
      </c>
      <c r="O34" s="38">
        <f>+'Annual Raw'!P19+'Annual Raw'!P20+'Annual Raw'!P21+'Annual Raw'!P17+'Annual Raw'!P16+'Annual Raw'!P15-'Annual Raw'!P24</f>
        <v>0</v>
      </c>
      <c r="P34" s="38">
        <f>+'Annual Raw'!Q19+'Annual Raw'!Q20+'Annual Raw'!Q21+'Annual Raw'!Q17+'Annual Raw'!Q16+'Annual Raw'!Q15-'Annual Raw'!Q24</f>
        <v>0</v>
      </c>
      <c r="Q34" s="38">
        <f>+'Annual Raw'!R19+'Annual Raw'!R20+'Annual Raw'!R21+'Annual Raw'!R17+'Annual Raw'!R16+'Annual Raw'!R15-'Annual Raw'!R24</f>
        <v>0</v>
      </c>
      <c r="R34" s="38">
        <f>+'Annual Raw'!S19+'Annual Raw'!S20+'Annual Raw'!S21+'Annual Raw'!S17+'Annual Raw'!S16+'Annual Raw'!S15-'Annual Raw'!S24</f>
        <v>0</v>
      </c>
      <c r="S34" s="38">
        <f>+'Annual Raw'!T19+'Annual Raw'!T20+'Annual Raw'!T21+'Annual Raw'!T17+'Annual Raw'!T16+'Annual Raw'!T15-'Annual Raw'!T24</f>
        <v>0</v>
      </c>
      <c r="T34" s="38">
        <f>+'Annual Raw'!U19+'Annual Raw'!U20+'Annual Raw'!U21+'Annual Raw'!U17+'Annual Raw'!U16+'Annual Raw'!U15-'Annual Raw'!U24</f>
        <v>0</v>
      </c>
      <c r="U34" s="38">
        <f>+'Annual Raw'!V19+'Annual Raw'!V20+'Annual Raw'!V21+'Annual Raw'!V17+'Annual Raw'!V16+'Annual Raw'!V15-'Annual Raw'!V24</f>
        <v>0</v>
      </c>
      <c r="V34" s="38">
        <f>+'Annual Raw'!W19+'Annual Raw'!W20+'Annual Raw'!W21+'Annual Raw'!W17+'Annual Raw'!W16+'Annual Raw'!W15-'Annual Raw'!W24</f>
        <v>0</v>
      </c>
      <c r="W34" s="38">
        <f>+'Annual Raw'!X19+'Annual Raw'!X20+'Annual Raw'!X21+'Annual Raw'!X17+'Annual Raw'!X16+'Annual Raw'!X15-'Annual Raw'!X24</f>
        <v>0</v>
      </c>
      <c r="X34" s="38">
        <f>+'Annual Raw'!Y19+'Annual Raw'!Y20+'Annual Raw'!Y21+'Annual Raw'!Y17+'Annual Raw'!Y16+'Annual Raw'!Y15-'Annual Raw'!Y24</f>
        <v>0</v>
      </c>
      <c r="Y34" s="38">
        <f>+'Annual Raw'!Z19+'Annual Raw'!Z20+'Annual Raw'!Z21+'Annual Raw'!Z17+'Annual Raw'!Z16+'Annual Raw'!Z15-'Annual Raw'!Z24</f>
        <v>0</v>
      </c>
      <c r="Z34" s="38">
        <f>+'Annual Raw'!AA19+'Annual Raw'!AA20+'Annual Raw'!AA21+'Annual Raw'!AA17+'Annual Raw'!AA16+'Annual Raw'!AA15-'Annual Raw'!AA24</f>
        <v>0</v>
      </c>
      <c r="AA34" s="39">
        <f>SUM(BV34:BY34)</f>
        <v>0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0</v>
      </c>
      <c r="AI34" s="38">
        <f>+'QTR Raw'!E15+'QTR Raw'!E21+'QTR Raw'!E17+'QTR Raw'!E18+'QTR Raw'!E19+'QTR Raw'!E16+'QTR Raw'!E25</f>
        <v>0</v>
      </c>
      <c r="AJ34" s="38">
        <f>+'QTR Raw'!F15+'QTR Raw'!F21+'QTR Raw'!F17+'QTR Raw'!F18+'QTR Raw'!F19+'QTR Raw'!F16+'QTR Raw'!F25</f>
        <v>0</v>
      </c>
      <c r="AK34" s="38">
        <f>+'QTR Raw'!G15+'QTR Raw'!G21+'QTR Raw'!G17+'QTR Raw'!G18+'QTR Raw'!G19+'QTR Raw'!G16+'QTR Raw'!G25</f>
        <v>0</v>
      </c>
      <c r="AL34" s="38">
        <f>+'QTR Raw'!H15+'QTR Raw'!H21+'QTR Raw'!H17+'QTR Raw'!H18+'QTR Raw'!H19+'QTR Raw'!H16+'QTR Raw'!H25</f>
        <v>0</v>
      </c>
      <c r="AM34" s="38">
        <f>+'QTR Raw'!I15+'QTR Raw'!I21+'QTR Raw'!I17+'QTR Raw'!I18+'QTR Raw'!I19+'QTR Raw'!I16+'QTR Raw'!I25</f>
        <v>0</v>
      </c>
      <c r="AN34" s="38">
        <f>+'QTR Raw'!J15+'QTR Raw'!J21+'QTR Raw'!J17+'QTR Raw'!J18+'QTR Raw'!J19+'QTR Raw'!J16+'QTR Raw'!J25</f>
        <v>0</v>
      </c>
      <c r="AO34" s="38">
        <f>+'QTR Raw'!K15+'QTR Raw'!K21+'QTR Raw'!K17+'QTR Raw'!K18+'QTR Raw'!K19+'QTR Raw'!K16+'QTR Raw'!K25</f>
        <v>0</v>
      </c>
      <c r="AP34" s="38">
        <f>+'QTR Raw'!L15+'QTR Raw'!L21+'QTR Raw'!L17+'QTR Raw'!L18+'QTR Raw'!L19+'QTR Raw'!L16+'QTR Raw'!L25</f>
        <v>0</v>
      </c>
      <c r="AQ34" s="38">
        <f>+'QTR Raw'!M15+'QTR Raw'!M21+'QTR Raw'!M17+'QTR Raw'!M18+'QTR Raw'!M19+'QTR Raw'!M16+'QTR Raw'!M25</f>
        <v>0</v>
      </c>
      <c r="AR34" s="38">
        <f>+'QTR Raw'!N15+'QTR Raw'!N21+'QTR Raw'!N17+'QTR Raw'!N18+'QTR Raw'!N19+'QTR Raw'!N16+'QTR Raw'!N25</f>
        <v>0</v>
      </c>
      <c r="AS34" s="38">
        <f>+'QTR Raw'!O15+'QTR Raw'!O21+'QTR Raw'!O17+'QTR Raw'!O18+'QTR Raw'!O19+'QTR Raw'!O16+'QTR Raw'!O25</f>
        <v>0</v>
      </c>
      <c r="AT34" s="38">
        <f>+'QTR Raw'!P15+'QTR Raw'!P21+'QTR Raw'!P17+'QTR Raw'!P18+'QTR Raw'!P19+'QTR Raw'!P16+'QTR Raw'!P25</f>
        <v>0</v>
      </c>
      <c r="AU34" s="38">
        <f>+'QTR Raw'!Q15+'QTR Raw'!Q21+'QTR Raw'!Q17+'QTR Raw'!Q18+'QTR Raw'!Q19+'QTR Raw'!Q16+'QTR Raw'!Q25</f>
        <v>0</v>
      </c>
      <c r="AV34" s="38">
        <f>+'QTR Raw'!R15+'QTR Raw'!R21+'QTR Raw'!R17+'QTR Raw'!R18+'QTR Raw'!R19+'QTR Raw'!R16+'QTR Raw'!R25</f>
        <v>0</v>
      </c>
      <c r="AW34" s="38">
        <f>+'QTR Raw'!S15+'QTR Raw'!S21+'QTR Raw'!S17+'QTR Raw'!S18+'QTR Raw'!S19+'QTR Raw'!S16+'QTR Raw'!S25</f>
        <v>0</v>
      </c>
      <c r="AX34" s="38">
        <f>+'QTR Raw'!T15+'QTR Raw'!T21+'QTR Raw'!T17+'QTR Raw'!T18+'QTR Raw'!T19+'QTR Raw'!T16+'QTR Raw'!T25</f>
        <v>0</v>
      </c>
      <c r="AY34" s="38">
        <f>+'QTR Raw'!U15+'QTR Raw'!U21+'QTR Raw'!U17+'QTR Raw'!U18+'QTR Raw'!U19+'QTR Raw'!U16+'QTR Raw'!U25</f>
        <v>0</v>
      </c>
      <c r="AZ34" s="38">
        <f>+'QTR Raw'!V15+'QTR Raw'!V21+'QTR Raw'!V17+'QTR Raw'!V18+'QTR Raw'!V19+'QTR Raw'!V16+'QTR Raw'!V25</f>
        <v>0</v>
      </c>
      <c r="BA34" s="38">
        <f>+'QTR Raw'!W15+'QTR Raw'!W21+'QTR Raw'!W17+'QTR Raw'!W18+'QTR Raw'!W19+'QTR Raw'!W16+'QTR Raw'!W25</f>
        <v>0</v>
      </c>
      <c r="BB34" s="38">
        <f>+'QTR Raw'!X15+'QTR Raw'!X21+'QTR Raw'!X17+'QTR Raw'!X18+'QTR Raw'!X19+'QTR Raw'!X16+'QTR Raw'!X25</f>
        <v>0</v>
      </c>
      <c r="BC34" s="38">
        <f>+'QTR Raw'!Y15+'QTR Raw'!Y21+'QTR Raw'!Y17+'QTR Raw'!Y18+'QTR Raw'!Y19+'QTR Raw'!Y16+'QTR Raw'!Y25</f>
        <v>0</v>
      </c>
      <c r="BD34" s="38">
        <f>+'QTR Raw'!Z15+'QTR Raw'!Z21+'QTR Raw'!Z17+'QTR Raw'!Z18+'QTR Raw'!Z19+'QTR Raw'!Z16+'QTR Raw'!Z25</f>
        <v>0</v>
      </c>
      <c r="BE34" s="38">
        <f>+'QTR Raw'!AA15+'QTR Raw'!AA21+'QTR Raw'!AA17+'QTR Raw'!AA18+'QTR Raw'!AA19+'QTR Raw'!AA16+'QTR Raw'!AA25</f>
        <v>0</v>
      </c>
      <c r="BF34" s="38">
        <f>+'QTR Raw'!AB15+'QTR Raw'!AB21+'QTR Raw'!AB17+'QTR Raw'!AB18+'QTR Raw'!AB19+'QTR Raw'!AB16+'QTR Raw'!AB25</f>
        <v>0</v>
      </c>
      <c r="BG34" s="38">
        <f>+'QTR Raw'!AC15+'QTR Raw'!AC21+'QTR Raw'!AC17+'QTR Raw'!AC18+'QTR Raw'!AC19+'QTR Raw'!AC16+'QTR Raw'!AC25</f>
        <v>0</v>
      </c>
      <c r="BH34" s="38">
        <f>+'QTR Raw'!AD15+'QTR Raw'!AD21+'QTR Raw'!AD17+'QTR Raw'!AD18+'QTR Raw'!AD19+'QTR Raw'!AD16+'QTR Raw'!AD25</f>
        <v>0</v>
      </c>
      <c r="BI34" s="38">
        <f>+'QTR Raw'!AE15+'QTR Raw'!AE21+'QTR Raw'!AE17+'QTR Raw'!AE18+'QTR Raw'!AE19+'QTR Raw'!AE16+'QTR Raw'!AE25</f>
        <v>0</v>
      </c>
      <c r="BJ34" s="38">
        <f>+'QTR Raw'!AF15+'QTR Raw'!AF21+'QTR Raw'!AF17+'QTR Raw'!AF18+'QTR Raw'!AF19+'QTR Raw'!AF16+'QTR Raw'!AF25</f>
        <v>0</v>
      </c>
      <c r="BK34" s="38">
        <f>+'QTR Raw'!AG15+'QTR Raw'!AG21+'QTR Raw'!AG17+'QTR Raw'!AG18+'QTR Raw'!AG19+'QTR Raw'!AG16+'QTR Raw'!AG25</f>
        <v>0</v>
      </c>
      <c r="BL34" s="38">
        <f>+'QTR Raw'!AH15+'QTR Raw'!AH21+'QTR Raw'!AH17+'QTR Raw'!AH18+'QTR Raw'!AH19+'QTR Raw'!AH16+'QTR Raw'!AH25</f>
        <v>0</v>
      </c>
      <c r="BM34" s="38">
        <f>+'QTR Raw'!AI15+'QTR Raw'!AI21+'QTR Raw'!AI17+'QTR Raw'!AI18+'QTR Raw'!AI19+'QTR Raw'!AI16+'QTR Raw'!AI25</f>
        <v>0</v>
      </c>
      <c r="BN34" s="38">
        <f>+'QTR Raw'!AJ15+'QTR Raw'!AJ21+'QTR Raw'!AJ17+'QTR Raw'!AJ18+'QTR Raw'!AJ19+'QTR Raw'!AJ16+'QTR Raw'!AJ25</f>
        <v>0</v>
      </c>
      <c r="BO34" s="38">
        <f>+'QTR Raw'!AK15+'QTR Raw'!AK21+'QTR Raw'!AK17+'QTR Raw'!AK18+'QTR Raw'!AK19+'QTR Raw'!AK16+'QTR Raw'!AK25</f>
        <v>0</v>
      </c>
      <c r="BP34" s="38">
        <f>+'QTR Raw'!AL15+'QTR Raw'!AL21+'QTR Raw'!AL17+'QTR Raw'!AL18+'QTR Raw'!AL19+'QTR Raw'!AL16+'QTR Raw'!AL25</f>
        <v>0</v>
      </c>
      <c r="BQ34" s="38">
        <f>+'QTR Raw'!AM15+'QTR Raw'!AM21+'QTR Raw'!AM17+'QTR Raw'!AM18+'QTR Raw'!AM19+'QTR Raw'!AM16+'QTR Raw'!AM25</f>
        <v>0</v>
      </c>
      <c r="BR34" s="38">
        <f>+'QTR Raw'!AN15+'QTR Raw'!AN21+'QTR Raw'!AN17+'QTR Raw'!AN18+'QTR Raw'!AN19+'QTR Raw'!AN16+'QTR Raw'!AN25</f>
        <v>0</v>
      </c>
      <c r="BS34" s="38">
        <f>+'QTR Raw'!AO15+'QTR Raw'!AO21+'QTR Raw'!AO17+'QTR Raw'!AO18+'QTR Raw'!AO19+'QTR Raw'!AO16+'QTR Raw'!AO25</f>
        <v>0</v>
      </c>
      <c r="BT34" s="38">
        <f>+'QTR Raw'!AP15+'QTR Raw'!AP21+'QTR Raw'!AP17+'QTR Raw'!AP18+'QTR Raw'!AP19+'QTR Raw'!AP16+'QTR Raw'!AP25</f>
        <v>0</v>
      </c>
      <c r="BU34" s="38">
        <f>+'QTR Raw'!AQ15+'QTR Raw'!AQ21+'QTR Raw'!AQ17+'QTR Raw'!AQ18+'QTR Raw'!AQ19+'QTR Raw'!AQ16+'QTR Raw'!AQ25</f>
        <v>0</v>
      </c>
      <c r="BV34" s="38">
        <f>+'QTR Raw'!AR15+'QTR Raw'!AR21+'QTR Raw'!AR17+'QTR Raw'!AR18+'QTR Raw'!AR19+'QTR Raw'!AR16+'QTR Raw'!AR25</f>
        <v>0</v>
      </c>
      <c r="BW34" s="38">
        <f>+'QTR Raw'!AS15+'QTR Raw'!AS21+'QTR Raw'!AS17+'QTR Raw'!AS18+'QTR Raw'!AS19+'QTR Raw'!AS16+'QTR Raw'!AS25</f>
        <v>0</v>
      </c>
      <c r="BX34" s="38">
        <f>+'QTR Raw'!AT15+'QTR Raw'!AT21+'QTR Raw'!AT17+'QTR Raw'!AT18+'QTR Raw'!AT19+'QTR Raw'!AT16+'QTR Raw'!AT25</f>
        <v>0</v>
      </c>
      <c r="BY34" s="38">
        <f>+'QTR Raw'!AU15+'QTR Raw'!AU21+'QTR Raw'!AU17+'QTR Raw'!AU18+'QTR Raw'!AU19+'QTR Raw'!AU16+'QTR Raw'!AU25</f>
        <v>0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</row>
    <row r="35" spans="1:93" s="38" customFormat="1" x14ac:dyDescent="0.2">
      <c r="A35" s="38" t="s">
        <v>4</v>
      </c>
      <c r="B35" s="38">
        <f>+'Annual Raw'!C31</f>
        <v>0</v>
      </c>
      <c r="C35" s="38">
        <f>+'Annual Raw'!D31</f>
        <v>0</v>
      </c>
      <c r="D35" s="38">
        <f>+'Annual Raw'!E31</f>
        <v>0</v>
      </c>
      <c r="E35" s="38">
        <f>+'Annual Raw'!F31</f>
        <v>0</v>
      </c>
      <c r="F35" s="38">
        <f>+'Annual Raw'!G31</f>
        <v>0</v>
      </c>
      <c r="G35" s="38">
        <f>+'Annual Raw'!H31</f>
        <v>0</v>
      </c>
      <c r="H35" s="38">
        <f>+'Annual Raw'!I31</f>
        <v>0</v>
      </c>
      <c r="I35" s="38">
        <f>+'Annual Raw'!J31</f>
        <v>0</v>
      </c>
      <c r="J35" s="38">
        <f>+'Annual Raw'!K31</f>
        <v>0</v>
      </c>
      <c r="K35" s="38">
        <f>+'Annual Raw'!L31</f>
        <v>0</v>
      </c>
      <c r="L35" s="38">
        <f>+'Annual Raw'!M31</f>
        <v>0</v>
      </c>
      <c r="M35" s="38">
        <f>+'Annual Raw'!N31</f>
        <v>0</v>
      </c>
      <c r="N35" s="38">
        <f>+'Annual Raw'!O31</f>
        <v>0</v>
      </c>
      <c r="O35" s="38">
        <f>+'Annual Raw'!P31</f>
        <v>0</v>
      </c>
      <c r="P35" s="38">
        <f>+'Annual Raw'!Q31</f>
        <v>0</v>
      </c>
      <c r="Q35" s="38">
        <f>+'Annual Raw'!R31</f>
        <v>0</v>
      </c>
      <c r="R35" s="38">
        <f>+'Annual Raw'!S31</f>
        <v>0</v>
      </c>
      <c r="S35" s="38">
        <f>+'Annual Raw'!T31</f>
        <v>0</v>
      </c>
      <c r="T35" s="38">
        <f>+'Annual Raw'!U31</f>
        <v>0</v>
      </c>
      <c r="U35" s="38">
        <f>+'Annual Raw'!V31</f>
        <v>0</v>
      </c>
      <c r="V35" s="38">
        <f>+'Annual Raw'!W31</f>
        <v>0</v>
      </c>
      <c r="W35" s="38">
        <f>+'Annual Raw'!X31</f>
        <v>0</v>
      </c>
      <c r="X35" s="38">
        <f>+'Annual Raw'!Y31</f>
        <v>0</v>
      </c>
      <c r="Y35" s="38">
        <f>+'Annual Raw'!Z31</f>
        <v>0</v>
      </c>
      <c r="Z35" s="38">
        <f>+'Annual Raw'!AA31</f>
        <v>0</v>
      </c>
      <c r="AA35" s="39">
        <f>SUM(BV35:BY35)</f>
        <v>0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0</v>
      </c>
      <c r="AI35" s="38">
        <f>+'QTR Raw'!E37</f>
        <v>0</v>
      </c>
      <c r="AJ35" s="38">
        <f>+'QTR Raw'!F37</f>
        <v>0</v>
      </c>
      <c r="AK35" s="38">
        <f>+'QTR Raw'!G37</f>
        <v>0</v>
      </c>
      <c r="AL35" s="38">
        <f>+'QTR Raw'!H37</f>
        <v>0</v>
      </c>
      <c r="AM35" s="38">
        <f>+'QTR Raw'!I37</f>
        <v>0</v>
      </c>
      <c r="AN35" s="38">
        <f>+'QTR Raw'!J37</f>
        <v>0</v>
      </c>
      <c r="AO35" s="38">
        <f>+'QTR Raw'!K37</f>
        <v>0</v>
      </c>
      <c r="AP35" s="38">
        <f>+'QTR Raw'!L37</f>
        <v>0</v>
      </c>
      <c r="AQ35" s="38">
        <f>+'QTR Raw'!M37</f>
        <v>0</v>
      </c>
      <c r="AR35" s="38">
        <f>+'QTR Raw'!N37</f>
        <v>0</v>
      </c>
      <c r="AS35" s="38">
        <f>+'QTR Raw'!O37</f>
        <v>0</v>
      </c>
      <c r="AT35" s="38">
        <f>+'QTR Raw'!P37</f>
        <v>0</v>
      </c>
      <c r="AU35" s="38">
        <f>+'QTR Raw'!Q37</f>
        <v>0</v>
      </c>
      <c r="AV35" s="38">
        <f>+'QTR Raw'!R37</f>
        <v>0</v>
      </c>
      <c r="AW35" s="38">
        <f>+'QTR Raw'!S37</f>
        <v>0</v>
      </c>
      <c r="AX35" s="38">
        <f>+'QTR Raw'!T37</f>
        <v>0</v>
      </c>
      <c r="AY35" s="38">
        <f>+'QTR Raw'!U37</f>
        <v>0</v>
      </c>
      <c r="AZ35" s="38">
        <f>+'QTR Raw'!V37</f>
        <v>0</v>
      </c>
      <c r="BA35" s="38">
        <f>+'QTR Raw'!W37</f>
        <v>0</v>
      </c>
      <c r="BB35" s="38">
        <f>+'QTR Raw'!X37</f>
        <v>0</v>
      </c>
      <c r="BC35" s="38">
        <f>+'QTR Raw'!Y37</f>
        <v>0</v>
      </c>
      <c r="BD35" s="38">
        <f>+'QTR Raw'!Z37</f>
        <v>0</v>
      </c>
      <c r="BE35" s="38">
        <f>+'QTR Raw'!AA37</f>
        <v>0</v>
      </c>
      <c r="BF35" s="38">
        <f>+'QTR Raw'!AB37</f>
        <v>0</v>
      </c>
      <c r="BG35" s="38">
        <f>+'QTR Raw'!AC37</f>
        <v>0</v>
      </c>
      <c r="BH35" s="38">
        <f>+'QTR Raw'!AD37</f>
        <v>0</v>
      </c>
      <c r="BI35" s="38">
        <f>+'QTR Raw'!AE37</f>
        <v>0</v>
      </c>
      <c r="BJ35" s="38">
        <f>+'QTR Raw'!AF37</f>
        <v>0</v>
      </c>
      <c r="BK35" s="38">
        <f>+'QTR Raw'!AG37</f>
        <v>0</v>
      </c>
      <c r="BL35" s="38">
        <f>+'QTR Raw'!AH37</f>
        <v>0</v>
      </c>
      <c r="BM35" s="38">
        <f>+'QTR Raw'!AI37</f>
        <v>0</v>
      </c>
      <c r="BN35" s="38">
        <f>+'QTR Raw'!AJ37</f>
        <v>0</v>
      </c>
      <c r="BO35" s="38">
        <f>+'QTR Raw'!AK37</f>
        <v>0</v>
      </c>
      <c r="BP35" s="38">
        <f>+'QTR Raw'!AL37</f>
        <v>0</v>
      </c>
      <c r="BQ35" s="38">
        <f>+'QTR Raw'!AM37</f>
        <v>0</v>
      </c>
      <c r="BR35" s="38">
        <f>+'QTR Raw'!AN37</f>
        <v>0</v>
      </c>
      <c r="BS35" s="38">
        <f>+'QTR Raw'!AO37</f>
        <v>0</v>
      </c>
      <c r="BT35" s="38">
        <f>+'QTR Raw'!AP37</f>
        <v>0</v>
      </c>
      <c r="BU35" s="38">
        <f>+'QTR Raw'!AQ37</f>
        <v>0</v>
      </c>
      <c r="BV35" s="38">
        <f>+'QTR Raw'!AR37</f>
        <v>0</v>
      </c>
      <c r="BW35" s="38">
        <f>+'QTR Raw'!AS37</f>
        <v>0</v>
      </c>
      <c r="BX35" s="38">
        <f>+'QTR Raw'!AT37</f>
        <v>0</v>
      </c>
      <c r="BY35" s="38">
        <f>+'QTR Raw'!AU37</f>
        <v>0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</row>
    <row r="36" spans="1:93" s="38" customFormat="1" x14ac:dyDescent="0.2">
      <c r="A36" s="38" t="s">
        <v>23</v>
      </c>
      <c r="B36" s="38">
        <f>+'Annual Raw'!C22</f>
        <v>0</v>
      </c>
      <c r="C36" s="38">
        <f>+'Annual Raw'!D22</f>
        <v>0</v>
      </c>
      <c r="D36" s="38">
        <f>+'Annual Raw'!E22</f>
        <v>0</v>
      </c>
      <c r="E36" s="38">
        <f>+'Annual Raw'!F22</f>
        <v>0</v>
      </c>
      <c r="F36" s="38">
        <f>+'Annual Raw'!G22</f>
        <v>0</v>
      </c>
      <c r="G36" s="38">
        <f>+'Annual Raw'!H22</f>
        <v>0</v>
      </c>
      <c r="H36" s="38">
        <f>+'Annual Raw'!I22</f>
        <v>0</v>
      </c>
      <c r="I36" s="38">
        <f>+'Annual Raw'!J22</f>
        <v>0</v>
      </c>
      <c r="J36" s="38">
        <f>+'Annual Raw'!K22</f>
        <v>0</v>
      </c>
      <c r="K36" s="38">
        <f>+'Annual Raw'!L22</f>
        <v>0</v>
      </c>
      <c r="L36" s="38">
        <f>+'Annual Raw'!M22</f>
        <v>0</v>
      </c>
      <c r="M36" s="38">
        <f>+'Annual Raw'!N22</f>
        <v>0</v>
      </c>
      <c r="N36" s="38">
        <f>+'Annual Raw'!O22</f>
        <v>0</v>
      </c>
      <c r="O36" s="38">
        <f>+'Annual Raw'!P22</f>
        <v>0</v>
      </c>
      <c r="P36" s="38">
        <f>+'Annual Raw'!Q22</f>
        <v>0</v>
      </c>
      <c r="Q36" s="38">
        <f>+'Annual Raw'!R22</f>
        <v>0</v>
      </c>
      <c r="R36" s="38">
        <f>+'Annual Raw'!S22</f>
        <v>0</v>
      </c>
      <c r="S36" s="38">
        <f>+'Annual Raw'!T22</f>
        <v>0</v>
      </c>
      <c r="T36" s="38">
        <f>+'Annual Raw'!U22</f>
        <v>0</v>
      </c>
      <c r="U36" s="38">
        <f>+'Annual Raw'!V22</f>
        <v>0</v>
      </c>
      <c r="V36" s="38">
        <f>+'Annual Raw'!W22</f>
        <v>0</v>
      </c>
      <c r="W36" s="38">
        <f>+'Annual Raw'!X22</f>
        <v>0</v>
      </c>
      <c r="X36" s="38">
        <f>+'Annual Raw'!Y22</f>
        <v>0</v>
      </c>
      <c r="Y36" s="38">
        <f>+'Annual Raw'!Z22</f>
        <v>0</v>
      </c>
      <c r="Z36" s="38">
        <f>+'Annual Raw'!AA22</f>
        <v>0</v>
      </c>
      <c r="AA36" s="39">
        <f>SUM(BV36:BY36)</f>
        <v>0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</row>
    <row r="37" spans="1:93" s="38" customFormat="1" x14ac:dyDescent="0.2">
      <c r="A37" s="38" t="s">
        <v>469</v>
      </c>
      <c r="AA37" s="39"/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3" s="43" customFormat="1" x14ac:dyDescent="0.2">
      <c r="A38" s="43" t="s">
        <v>50</v>
      </c>
      <c r="B38" s="43">
        <f>SUM(B33:B37)</f>
        <v>0</v>
      </c>
      <c r="C38" s="43">
        <f t="shared" ref="C38:AE38" si="483">SUM(C33:C37)</f>
        <v>0</v>
      </c>
      <c r="D38" s="43">
        <f t="shared" si="483"/>
        <v>0</v>
      </c>
      <c r="E38" s="43">
        <f t="shared" si="483"/>
        <v>0</v>
      </c>
      <c r="F38" s="43">
        <f t="shared" si="483"/>
        <v>0</v>
      </c>
      <c r="G38" s="43">
        <f t="shared" si="483"/>
        <v>0</v>
      </c>
      <c r="H38" s="43">
        <f t="shared" si="483"/>
        <v>0</v>
      </c>
      <c r="I38" s="43">
        <f t="shared" si="483"/>
        <v>0</v>
      </c>
      <c r="J38" s="43">
        <f t="shared" si="483"/>
        <v>0</v>
      </c>
      <c r="K38" s="43">
        <f t="shared" si="483"/>
        <v>0</v>
      </c>
      <c r="L38" s="43">
        <f t="shared" si="483"/>
        <v>0</v>
      </c>
      <c r="M38" s="43">
        <f t="shared" si="483"/>
        <v>0</v>
      </c>
      <c r="N38" s="43">
        <f t="shared" si="483"/>
        <v>0</v>
      </c>
      <c r="O38" s="43">
        <f t="shared" si="483"/>
        <v>0</v>
      </c>
      <c r="P38" s="43">
        <f t="shared" si="483"/>
        <v>0</v>
      </c>
      <c r="Q38" s="43">
        <f t="shared" si="483"/>
        <v>0</v>
      </c>
      <c r="R38" s="43">
        <f t="shared" si="483"/>
        <v>0</v>
      </c>
      <c r="S38" s="43">
        <f t="shared" si="483"/>
        <v>0</v>
      </c>
      <c r="T38" s="43">
        <f t="shared" si="483"/>
        <v>0</v>
      </c>
      <c r="U38" s="43">
        <f t="shared" si="483"/>
        <v>0</v>
      </c>
      <c r="V38" s="43">
        <f t="shared" si="483"/>
        <v>0</v>
      </c>
      <c r="W38" s="43">
        <f t="shared" si="483"/>
        <v>0</v>
      </c>
      <c r="X38" s="43">
        <f t="shared" si="483"/>
        <v>0</v>
      </c>
      <c r="Y38" s="43">
        <f t="shared" si="483"/>
        <v>0</v>
      </c>
      <c r="Z38" s="43">
        <f t="shared" si="483"/>
        <v>0</v>
      </c>
      <c r="AA38" s="44">
        <f t="shared" si="483"/>
        <v>0</v>
      </c>
      <c r="AB38" s="44" t="e">
        <f t="shared" si="483"/>
        <v>#DIV/0!</v>
      </c>
      <c r="AC38" s="44" t="e">
        <f t="shared" si="483"/>
        <v>#DIV/0!</v>
      </c>
      <c r="AD38" s="44" t="e">
        <f t="shared" si="483"/>
        <v>#DIV/0!</v>
      </c>
      <c r="AE38" s="44" t="e">
        <f t="shared" si="483"/>
        <v>#DIV/0!</v>
      </c>
      <c r="AG38" s="62"/>
      <c r="AH38" s="43">
        <f t="shared" ref="AH38:CO38" si="484">SUM(AH33:AH37)</f>
        <v>0</v>
      </c>
      <c r="AI38" s="43">
        <f t="shared" si="484"/>
        <v>0</v>
      </c>
      <c r="AJ38" s="43">
        <f t="shared" si="484"/>
        <v>0</v>
      </c>
      <c r="AK38" s="43">
        <f t="shared" si="484"/>
        <v>0</v>
      </c>
      <c r="AL38" s="43">
        <f t="shared" si="484"/>
        <v>0</v>
      </c>
      <c r="AM38" s="43">
        <f t="shared" si="484"/>
        <v>0</v>
      </c>
      <c r="AN38" s="43">
        <f t="shared" si="484"/>
        <v>0</v>
      </c>
      <c r="AO38" s="43">
        <f t="shared" si="484"/>
        <v>0</v>
      </c>
      <c r="AP38" s="43">
        <f t="shared" si="484"/>
        <v>0</v>
      </c>
      <c r="AQ38" s="43">
        <f t="shared" si="484"/>
        <v>0</v>
      </c>
      <c r="AR38" s="43">
        <f t="shared" si="484"/>
        <v>0</v>
      </c>
      <c r="AS38" s="43">
        <f t="shared" si="484"/>
        <v>0</v>
      </c>
      <c r="AT38" s="43">
        <f t="shared" si="484"/>
        <v>0</v>
      </c>
      <c r="AU38" s="43">
        <f t="shared" si="484"/>
        <v>0</v>
      </c>
      <c r="AV38" s="43">
        <f t="shared" si="484"/>
        <v>0</v>
      </c>
      <c r="AW38" s="43">
        <f t="shared" si="484"/>
        <v>0</v>
      </c>
      <c r="AX38" s="43">
        <f t="shared" si="484"/>
        <v>0</v>
      </c>
      <c r="AY38" s="43">
        <f t="shared" si="484"/>
        <v>0</v>
      </c>
      <c r="AZ38" s="43">
        <f t="shared" si="484"/>
        <v>0</v>
      </c>
      <c r="BA38" s="43">
        <f t="shared" si="484"/>
        <v>0</v>
      </c>
      <c r="BB38" s="43">
        <f t="shared" si="484"/>
        <v>0</v>
      </c>
      <c r="BC38" s="43">
        <f t="shared" si="484"/>
        <v>0</v>
      </c>
      <c r="BD38" s="43">
        <f t="shared" si="484"/>
        <v>0</v>
      </c>
      <c r="BE38" s="43">
        <f t="shared" si="484"/>
        <v>0</v>
      </c>
      <c r="BF38" s="43">
        <f t="shared" si="484"/>
        <v>0</v>
      </c>
      <c r="BG38" s="43">
        <f t="shared" si="484"/>
        <v>0</v>
      </c>
      <c r="BH38" s="43">
        <f t="shared" si="484"/>
        <v>0</v>
      </c>
      <c r="BI38" s="43">
        <f t="shared" si="484"/>
        <v>0</v>
      </c>
      <c r="BJ38" s="43">
        <f t="shared" si="484"/>
        <v>0</v>
      </c>
      <c r="BK38" s="43">
        <f t="shared" si="484"/>
        <v>0</v>
      </c>
      <c r="BL38" s="43">
        <f t="shared" si="484"/>
        <v>0</v>
      </c>
      <c r="BM38" s="43">
        <f t="shared" si="484"/>
        <v>0</v>
      </c>
      <c r="BN38" s="43">
        <f t="shared" si="484"/>
        <v>0</v>
      </c>
      <c r="BO38" s="43">
        <f t="shared" si="484"/>
        <v>0</v>
      </c>
      <c r="BP38" s="43">
        <f t="shared" si="484"/>
        <v>0</v>
      </c>
      <c r="BQ38" s="43">
        <f t="shared" si="484"/>
        <v>0</v>
      </c>
      <c r="BR38" s="43">
        <f t="shared" si="484"/>
        <v>0</v>
      </c>
      <c r="BS38" s="43">
        <f t="shared" si="484"/>
        <v>0</v>
      </c>
      <c r="BT38" s="43">
        <f t="shared" si="484"/>
        <v>0</v>
      </c>
      <c r="BU38" s="43">
        <f t="shared" si="484"/>
        <v>0</v>
      </c>
      <c r="BV38" s="43">
        <f t="shared" si="484"/>
        <v>0</v>
      </c>
      <c r="BW38" s="43">
        <f t="shared" si="484"/>
        <v>0</v>
      </c>
      <c r="BX38" s="43">
        <f t="shared" ref="BX38:BY38" si="485">SUM(BX33:BX37)</f>
        <v>0</v>
      </c>
      <c r="BY38" s="43">
        <f t="shared" si="485"/>
        <v>0</v>
      </c>
      <c r="BZ38" s="44" t="e">
        <f t="shared" si="484"/>
        <v>#DIV/0!</v>
      </c>
      <c r="CA38" s="44" t="e">
        <f t="shared" si="484"/>
        <v>#DIV/0!</v>
      </c>
      <c r="CB38" s="44" t="e">
        <f t="shared" si="484"/>
        <v>#DIV/0!</v>
      </c>
      <c r="CC38" s="44" t="e">
        <f t="shared" si="484"/>
        <v>#DIV/0!</v>
      </c>
      <c r="CD38" s="44" t="e">
        <f t="shared" si="484"/>
        <v>#DIV/0!</v>
      </c>
      <c r="CE38" s="44" t="e">
        <f t="shared" si="484"/>
        <v>#DIV/0!</v>
      </c>
      <c r="CF38" s="44" t="e">
        <f t="shared" si="484"/>
        <v>#DIV/0!</v>
      </c>
      <c r="CG38" s="44" t="e">
        <f t="shared" si="484"/>
        <v>#DIV/0!</v>
      </c>
      <c r="CH38" s="44" t="e">
        <f t="shared" si="484"/>
        <v>#DIV/0!</v>
      </c>
      <c r="CI38" s="44" t="e">
        <f t="shared" si="484"/>
        <v>#DIV/0!</v>
      </c>
      <c r="CJ38" s="44" t="e">
        <f t="shared" si="484"/>
        <v>#DIV/0!</v>
      </c>
      <c r="CK38" s="44" t="e">
        <f t="shared" si="484"/>
        <v>#DIV/0!</v>
      </c>
      <c r="CL38" s="44" t="e">
        <f t="shared" si="484"/>
        <v>#DIV/0!</v>
      </c>
      <c r="CM38" s="44" t="e">
        <f t="shared" si="484"/>
        <v>#DIV/0!</v>
      </c>
      <c r="CN38" s="44" t="e">
        <f t="shared" si="484"/>
        <v>#DIV/0!</v>
      </c>
      <c r="CO38" s="44" t="e">
        <f t="shared" si="484"/>
        <v>#DIV/0!</v>
      </c>
    </row>
    <row r="39" spans="1:93" s="40" customFormat="1" x14ac:dyDescent="0.2">
      <c r="A39" s="40" t="s">
        <v>11</v>
      </c>
      <c r="B39" s="40">
        <f t="shared" ref="B39:AE39" si="486">+B31-B38</f>
        <v>0</v>
      </c>
      <c r="C39" s="40">
        <f t="shared" si="486"/>
        <v>0</v>
      </c>
      <c r="D39" s="40">
        <f t="shared" si="486"/>
        <v>0</v>
      </c>
      <c r="E39" s="40">
        <f t="shared" si="486"/>
        <v>0</v>
      </c>
      <c r="F39" s="40">
        <f t="shared" si="486"/>
        <v>0</v>
      </c>
      <c r="G39" s="40">
        <f t="shared" si="486"/>
        <v>0</v>
      </c>
      <c r="H39" s="40">
        <f t="shared" si="486"/>
        <v>0</v>
      </c>
      <c r="I39" s="40">
        <f t="shared" si="486"/>
        <v>0</v>
      </c>
      <c r="J39" s="40">
        <f t="shared" si="486"/>
        <v>0</v>
      </c>
      <c r="K39" s="40">
        <f t="shared" si="486"/>
        <v>0</v>
      </c>
      <c r="L39" s="40">
        <f t="shared" si="486"/>
        <v>0</v>
      </c>
      <c r="M39" s="40">
        <f t="shared" si="486"/>
        <v>0</v>
      </c>
      <c r="N39" s="40">
        <f t="shared" si="486"/>
        <v>0</v>
      </c>
      <c r="O39" s="40">
        <f t="shared" si="486"/>
        <v>0</v>
      </c>
      <c r="P39" s="40">
        <f t="shared" si="486"/>
        <v>0</v>
      </c>
      <c r="Q39" s="40">
        <f t="shared" si="486"/>
        <v>0</v>
      </c>
      <c r="R39" s="40">
        <f t="shared" si="486"/>
        <v>0</v>
      </c>
      <c r="S39" s="40">
        <f t="shared" si="486"/>
        <v>0</v>
      </c>
      <c r="T39" s="40">
        <f t="shared" si="486"/>
        <v>0</v>
      </c>
      <c r="U39" s="40">
        <f t="shared" si="486"/>
        <v>0</v>
      </c>
      <c r="V39" s="40">
        <f t="shared" si="486"/>
        <v>0</v>
      </c>
      <c r="W39" s="40">
        <f t="shared" si="486"/>
        <v>0</v>
      </c>
      <c r="X39" s="40">
        <f t="shared" si="486"/>
        <v>0</v>
      </c>
      <c r="Y39" s="40">
        <f t="shared" si="486"/>
        <v>0</v>
      </c>
      <c r="Z39" s="40">
        <f t="shared" si="486"/>
        <v>0</v>
      </c>
      <c r="AA39" s="41">
        <f t="shared" si="486"/>
        <v>0</v>
      </c>
      <c r="AB39" s="41" t="e">
        <f t="shared" si="486"/>
        <v>#DIV/0!</v>
      </c>
      <c r="AC39" s="41" t="e">
        <f t="shared" si="486"/>
        <v>#DIV/0!</v>
      </c>
      <c r="AD39" s="41" t="e">
        <f t="shared" si="486"/>
        <v>#DIV/0!</v>
      </c>
      <c r="AE39" s="41" t="e">
        <f t="shared" si="486"/>
        <v>#DIV/0!</v>
      </c>
      <c r="AG39" s="61"/>
      <c r="AH39" s="40">
        <f t="shared" ref="AH39:AU39" si="487">+AH31-AH38</f>
        <v>0</v>
      </c>
      <c r="AI39" s="40">
        <f t="shared" si="487"/>
        <v>0</v>
      </c>
      <c r="AJ39" s="40">
        <f t="shared" si="487"/>
        <v>0</v>
      </c>
      <c r="AK39" s="40">
        <f t="shared" si="487"/>
        <v>0</v>
      </c>
      <c r="AL39" s="40">
        <f t="shared" si="487"/>
        <v>0</v>
      </c>
      <c r="AM39" s="40">
        <f t="shared" si="487"/>
        <v>0</v>
      </c>
      <c r="AN39" s="40">
        <f t="shared" si="487"/>
        <v>0</v>
      </c>
      <c r="AO39" s="40">
        <f t="shared" si="487"/>
        <v>0</v>
      </c>
      <c r="AP39" s="40">
        <f t="shared" si="487"/>
        <v>0</v>
      </c>
      <c r="AQ39" s="40">
        <f t="shared" si="487"/>
        <v>0</v>
      </c>
      <c r="AR39" s="40">
        <f t="shared" si="487"/>
        <v>0</v>
      </c>
      <c r="AS39" s="40">
        <f t="shared" si="487"/>
        <v>0</v>
      </c>
      <c r="AT39" s="40">
        <f t="shared" si="487"/>
        <v>0</v>
      </c>
      <c r="AU39" s="40">
        <f t="shared" si="487"/>
        <v>0</v>
      </c>
      <c r="AV39" s="40">
        <f t="shared" ref="AV39:BM39" si="488">+AV31-AV38</f>
        <v>0</v>
      </c>
      <c r="AW39" s="40">
        <f t="shared" si="488"/>
        <v>0</v>
      </c>
      <c r="AX39" s="40">
        <f t="shared" si="488"/>
        <v>0</v>
      </c>
      <c r="AY39" s="40">
        <f t="shared" si="488"/>
        <v>0</v>
      </c>
      <c r="AZ39" s="40">
        <f t="shared" si="488"/>
        <v>0</v>
      </c>
      <c r="BA39" s="40">
        <f t="shared" si="488"/>
        <v>0</v>
      </c>
      <c r="BB39" s="40">
        <f t="shared" si="488"/>
        <v>0</v>
      </c>
      <c r="BC39" s="40">
        <f t="shared" si="488"/>
        <v>0</v>
      </c>
      <c r="BD39" s="40">
        <f t="shared" si="488"/>
        <v>0</v>
      </c>
      <c r="BE39" s="40">
        <f t="shared" si="488"/>
        <v>0</v>
      </c>
      <c r="BF39" s="40">
        <f t="shared" si="488"/>
        <v>0</v>
      </c>
      <c r="BG39" s="40">
        <f t="shared" si="488"/>
        <v>0</v>
      </c>
      <c r="BH39" s="40">
        <f t="shared" si="488"/>
        <v>0</v>
      </c>
      <c r="BI39" s="40">
        <f t="shared" si="488"/>
        <v>0</v>
      </c>
      <c r="BJ39" s="40">
        <f t="shared" si="488"/>
        <v>0</v>
      </c>
      <c r="BK39" s="40">
        <f t="shared" si="488"/>
        <v>0</v>
      </c>
      <c r="BL39" s="40">
        <f t="shared" si="488"/>
        <v>0</v>
      </c>
      <c r="BM39" s="40">
        <f t="shared" si="488"/>
        <v>0</v>
      </c>
      <c r="BN39" s="40">
        <f t="shared" ref="BN39:CO39" si="489">+BN31-BN38</f>
        <v>0</v>
      </c>
      <c r="BO39" s="40">
        <f t="shared" si="489"/>
        <v>0</v>
      </c>
      <c r="BP39" s="40">
        <f t="shared" si="489"/>
        <v>0</v>
      </c>
      <c r="BQ39" s="40">
        <f t="shared" si="489"/>
        <v>0</v>
      </c>
      <c r="BR39" s="40">
        <f t="shared" si="489"/>
        <v>0</v>
      </c>
      <c r="BS39" s="40">
        <f t="shared" si="489"/>
        <v>0</v>
      </c>
      <c r="BT39" s="40">
        <f t="shared" si="489"/>
        <v>0</v>
      </c>
      <c r="BU39" s="40">
        <f t="shared" si="489"/>
        <v>0</v>
      </c>
      <c r="BV39" s="40">
        <f t="shared" si="489"/>
        <v>0</v>
      </c>
      <c r="BW39" s="40">
        <f t="shared" ref="BW39:BX39" si="490">+BW31-BW38</f>
        <v>0</v>
      </c>
      <c r="BX39" s="40">
        <f t="shared" si="490"/>
        <v>0</v>
      </c>
      <c r="BY39" s="40">
        <f t="shared" ref="BY39" si="491">+BY31-BY38</f>
        <v>0</v>
      </c>
      <c r="BZ39" s="41" t="e">
        <f t="shared" si="489"/>
        <v>#DIV/0!</v>
      </c>
      <c r="CA39" s="41" t="e">
        <f t="shared" si="489"/>
        <v>#DIV/0!</v>
      </c>
      <c r="CB39" s="41" t="e">
        <f t="shared" si="489"/>
        <v>#DIV/0!</v>
      </c>
      <c r="CC39" s="41" t="e">
        <f t="shared" si="489"/>
        <v>#DIV/0!</v>
      </c>
      <c r="CD39" s="41" t="e">
        <f t="shared" si="489"/>
        <v>#DIV/0!</v>
      </c>
      <c r="CE39" s="41" t="e">
        <f t="shared" si="489"/>
        <v>#DIV/0!</v>
      </c>
      <c r="CF39" s="41" t="e">
        <f t="shared" si="489"/>
        <v>#DIV/0!</v>
      </c>
      <c r="CG39" s="41" t="e">
        <f t="shared" si="489"/>
        <v>#DIV/0!</v>
      </c>
      <c r="CH39" s="41" t="e">
        <f t="shared" si="489"/>
        <v>#DIV/0!</v>
      </c>
      <c r="CI39" s="41" t="e">
        <f t="shared" si="489"/>
        <v>#DIV/0!</v>
      </c>
      <c r="CJ39" s="41" t="e">
        <f t="shared" si="489"/>
        <v>#DIV/0!</v>
      </c>
      <c r="CK39" s="41" t="e">
        <f t="shared" si="489"/>
        <v>#DIV/0!</v>
      </c>
      <c r="CL39" s="41" t="e">
        <f t="shared" si="489"/>
        <v>#DIV/0!</v>
      </c>
      <c r="CM39" s="41" t="e">
        <f t="shared" si="489"/>
        <v>#DIV/0!</v>
      </c>
      <c r="CN39" s="41" t="e">
        <f t="shared" si="489"/>
        <v>#DIV/0!</v>
      </c>
      <c r="CO39" s="41" t="e">
        <f t="shared" si="489"/>
        <v>#DIV/0!</v>
      </c>
    </row>
    <row r="40" spans="1:93" s="71" customFormat="1" x14ac:dyDescent="0.2">
      <c r="A40" s="71" t="s">
        <v>15</v>
      </c>
      <c r="C40" s="71" t="e">
        <f t="shared" ref="C40:AE40" si="492">+IF(B39&lt;0,1-C39/B39,C39/B39-1)</f>
        <v>#DIV/0!</v>
      </c>
      <c r="D40" s="71" t="e">
        <f t="shared" si="492"/>
        <v>#DIV/0!</v>
      </c>
      <c r="E40" s="71" t="e">
        <f t="shared" si="492"/>
        <v>#DIV/0!</v>
      </c>
      <c r="F40" s="71" t="e">
        <f t="shared" si="492"/>
        <v>#DIV/0!</v>
      </c>
      <c r="G40" s="71" t="e">
        <f t="shared" si="492"/>
        <v>#DIV/0!</v>
      </c>
      <c r="H40" s="71" t="e">
        <f t="shared" si="492"/>
        <v>#DIV/0!</v>
      </c>
      <c r="I40" s="71" t="e">
        <f t="shared" si="492"/>
        <v>#DIV/0!</v>
      </c>
      <c r="J40" s="71" t="e">
        <f t="shared" si="492"/>
        <v>#DIV/0!</v>
      </c>
      <c r="K40" s="71" t="e">
        <f t="shared" si="492"/>
        <v>#DIV/0!</v>
      </c>
      <c r="L40" s="71" t="e">
        <f t="shared" si="492"/>
        <v>#DIV/0!</v>
      </c>
      <c r="M40" s="71" t="e">
        <f t="shared" si="492"/>
        <v>#DIV/0!</v>
      </c>
      <c r="N40" s="71" t="e">
        <f t="shared" si="492"/>
        <v>#DIV/0!</v>
      </c>
      <c r="O40" s="71" t="e">
        <f t="shared" si="492"/>
        <v>#DIV/0!</v>
      </c>
      <c r="P40" s="71" t="e">
        <f t="shared" si="492"/>
        <v>#DIV/0!</v>
      </c>
      <c r="Q40" s="71" t="e">
        <f t="shared" si="492"/>
        <v>#DIV/0!</v>
      </c>
      <c r="R40" s="71" t="e">
        <f t="shared" si="492"/>
        <v>#DIV/0!</v>
      </c>
      <c r="S40" s="71" t="e">
        <f t="shared" si="492"/>
        <v>#DIV/0!</v>
      </c>
      <c r="T40" s="71" t="e">
        <f t="shared" si="492"/>
        <v>#DIV/0!</v>
      </c>
      <c r="U40" s="71" t="e">
        <f t="shared" si="492"/>
        <v>#DIV/0!</v>
      </c>
      <c r="V40" s="71" t="e">
        <f t="shared" si="492"/>
        <v>#DIV/0!</v>
      </c>
      <c r="W40" s="71" t="e">
        <f t="shared" si="492"/>
        <v>#DIV/0!</v>
      </c>
      <c r="X40" s="71" t="e">
        <f t="shared" si="492"/>
        <v>#DIV/0!</v>
      </c>
      <c r="Y40" s="71" t="e">
        <f t="shared" si="492"/>
        <v>#DIV/0!</v>
      </c>
      <c r="Z40" s="71" t="e">
        <f t="shared" si="492"/>
        <v>#DIV/0!</v>
      </c>
      <c r="AA40" s="72" t="e">
        <f t="shared" si="492"/>
        <v>#DIV/0!</v>
      </c>
      <c r="AB40" s="72" t="e">
        <f t="shared" si="492"/>
        <v>#DIV/0!</v>
      </c>
      <c r="AC40" s="72" t="e">
        <f t="shared" si="492"/>
        <v>#DIV/0!</v>
      </c>
      <c r="AD40" s="72" t="e">
        <f t="shared" si="492"/>
        <v>#DIV/0!</v>
      </c>
      <c r="AE40" s="72" t="e">
        <f t="shared" si="492"/>
        <v>#DIV/0!</v>
      </c>
      <c r="AG40" s="73"/>
      <c r="AH40" s="74"/>
      <c r="AI40" s="74"/>
      <c r="AJ40" s="74"/>
      <c r="AK40" s="74"/>
      <c r="AL40" s="74" t="e">
        <f t="shared" ref="AL40" si="493">+IF(AH39&lt;0,1-AL39/AH39,AL39/AH39-1)</f>
        <v>#DIV/0!</v>
      </c>
      <c r="AM40" s="74" t="e">
        <f t="shared" ref="AM40" si="494">+IF(AI39&lt;0,1-AM39/AI39,AM39/AI39-1)</f>
        <v>#DIV/0!</v>
      </c>
      <c r="AN40" s="74" t="e">
        <f t="shared" ref="AN40" si="495">+IF(AJ39&lt;0,1-AN39/AJ39,AN39/AJ39-1)</f>
        <v>#DIV/0!</v>
      </c>
      <c r="AO40" s="74" t="e">
        <f t="shared" ref="AO40" si="496">+IF(AK39&lt;0,1-AO39/AK39,AO39/AK39-1)</f>
        <v>#DIV/0!</v>
      </c>
      <c r="AP40" s="74" t="e">
        <f t="shared" ref="AP40" si="497">+IF(AL39&lt;0,1-AP39/AL39,AP39/AL39-1)</f>
        <v>#DIV/0!</v>
      </c>
      <c r="AQ40" s="74" t="e">
        <f t="shared" ref="AQ40" si="498">+IF(AM39&lt;0,1-AQ39/AM39,AQ39/AM39-1)</f>
        <v>#DIV/0!</v>
      </c>
      <c r="AR40" s="74" t="e">
        <f t="shared" ref="AR40" si="499">+IF(AN39&lt;0,1-AR39/AN39,AR39/AN39-1)</f>
        <v>#DIV/0!</v>
      </c>
      <c r="AS40" s="74" t="e">
        <f t="shared" ref="AS40" si="500">+IF(AO39&lt;0,1-AS39/AO39,AS39/AO39-1)</f>
        <v>#DIV/0!</v>
      </c>
      <c r="AT40" s="74" t="e">
        <f t="shared" ref="AT40" si="501">+IF(AP39&lt;0,1-AT39/AP39,AT39/AP39-1)</f>
        <v>#DIV/0!</v>
      </c>
      <c r="AU40" s="74" t="e">
        <f t="shared" ref="AU40" si="502">+IF(AQ39&lt;0,1-AU39/AQ39,AU39/AQ39-1)</f>
        <v>#DIV/0!</v>
      </c>
      <c r="AV40" s="74" t="e">
        <f t="shared" ref="AV40" si="503">+IF(AR39&lt;0,1-AV39/AR39,AV39/AR39-1)</f>
        <v>#DIV/0!</v>
      </c>
      <c r="AW40" s="74" t="e">
        <f t="shared" ref="AW40" si="504">+IF(AS39&lt;0,1-AW39/AS39,AW39/AS39-1)</f>
        <v>#DIV/0!</v>
      </c>
      <c r="AX40" s="74" t="e">
        <f t="shared" ref="AX40" si="505">+IF(AT39&lt;0,1-AX39/AT39,AX39/AT39-1)</f>
        <v>#DIV/0!</v>
      </c>
      <c r="AY40" s="74" t="e">
        <f t="shared" ref="AY40" si="506">+IF(AU39&lt;0,1-AY39/AU39,AY39/AU39-1)</f>
        <v>#DIV/0!</v>
      </c>
      <c r="AZ40" s="74" t="e">
        <f t="shared" ref="AZ40" si="507">+IF(AV39&lt;0,1-AZ39/AV39,AZ39/AV39-1)</f>
        <v>#DIV/0!</v>
      </c>
      <c r="BA40" s="74" t="e">
        <f t="shared" ref="BA40" si="508">+IF(AW39&lt;0,1-BA39/AW39,BA39/AW39-1)</f>
        <v>#DIV/0!</v>
      </c>
      <c r="BB40" s="74" t="e">
        <f t="shared" ref="BB40" si="509">+IF(AX39&lt;0,1-BB39/AX39,BB39/AX39-1)</f>
        <v>#DIV/0!</v>
      </c>
      <c r="BC40" s="74" t="e">
        <f t="shared" ref="BC40" si="510">+IF(AY39&lt;0,1-BC39/AY39,BC39/AY39-1)</f>
        <v>#DIV/0!</v>
      </c>
      <c r="BD40" s="74" t="e">
        <f t="shared" ref="BD40" si="511">+IF(AZ39&lt;0,1-BD39/AZ39,BD39/AZ39-1)</f>
        <v>#DIV/0!</v>
      </c>
      <c r="BE40" s="74" t="e">
        <f t="shared" ref="BE40" si="512">+IF(BA39&lt;0,1-BE39/BA39,BE39/BA39-1)</f>
        <v>#DIV/0!</v>
      </c>
      <c r="BF40" s="74" t="e">
        <f t="shared" ref="BF40" si="513">+IF(BB39&lt;0,1-BF39/BB39,BF39/BB39-1)</f>
        <v>#DIV/0!</v>
      </c>
      <c r="BG40" s="74" t="e">
        <f t="shared" ref="BG40" si="514">+IF(BC39&lt;0,1-BG39/BC39,BG39/BC39-1)</f>
        <v>#DIV/0!</v>
      </c>
      <c r="BH40" s="74" t="e">
        <f t="shared" ref="BH40" si="515">+IF(BD39&lt;0,1-BH39/BD39,BH39/BD39-1)</f>
        <v>#DIV/0!</v>
      </c>
      <c r="BI40" s="74" t="e">
        <f t="shared" ref="BI40" si="516">+IF(BE39&lt;0,1-BI39/BE39,BI39/BE39-1)</f>
        <v>#DIV/0!</v>
      </c>
      <c r="BJ40" s="74" t="e">
        <f t="shared" ref="BJ40" si="517">+IF(BF39&lt;0,1-BJ39/BF39,BJ39/BF39-1)</f>
        <v>#DIV/0!</v>
      </c>
      <c r="BK40" s="74" t="e">
        <f t="shared" ref="BK40" si="518">+IF(BG39&lt;0,1-BK39/BG39,BK39/BG39-1)</f>
        <v>#DIV/0!</v>
      </c>
      <c r="BL40" s="74" t="e">
        <f t="shared" ref="BL40" si="519">+IF(BH39&lt;0,1-BL39/BH39,BL39/BH39-1)</f>
        <v>#DIV/0!</v>
      </c>
      <c r="BM40" s="74" t="e">
        <f t="shared" ref="BM40" si="520">+IF(BI39&lt;0,1-BM39/BI39,BM39/BI39-1)</f>
        <v>#DIV/0!</v>
      </c>
      <c r="BN40" s="74" t="e">
        <f t="shared" ref="BN40" si="521">+IF(BJ39&lt;0,1-BN39/BJ39,BN39/BJ39-1)</f>
        <v>#DIV/0!</v>
      </c>
      <c r="BO40" s="74" t="e">
        <f t="shared" ref="BO40" si="522">+IF(BK39&lt;0,1-BO39/BK39,BO39/BK39-1)</f>
        <v>#DIV/0!</v>
      </c>
      <c r="BP40" s="74" t="e">
        <f t="shared" ref="BP40" si="523">+IF(BL39&lt;0,1-BP39/BL39,BP39/BL39-1)</f>
        <v>#DIV/0!</v>
      </c>
      <c r="BQ40" s="74" t="e">
        <f t="shared" ref="BQ40" si="524">+IF(BM39&lt;0,1-BQ39/BM39,BQ39/BM39-1)</f>
        <v>#DIV/0!</v>
      </c>
      <c r="BR40" s="74" t="e">
        <f t="shared" ref="BR40" si="525">+IF(BN39&lt;0,1-BR39/BN39,BR39/BN39-1)</f>
        <v>#DIV/0!</v>
      </c>
      <c r="BS40" s="74" t="e">
        <f t="shared" ref="BS40" si="526">+IF(BO39&lt;0,1-BS39/BO39,BS39/BO39-1)</f>
        <v>#DIV/0!</v>
      </c>
      <c r="BT40" s="74" t="e">
        <f t="shared" ref="BT40" si="527">+IF(BP39&lt;0,1-BT39/BP39,BT39/BP39-1)</f>
        <v>#DIV/0!</v>
      </c>
      <c r="BU40" s="74" t="e">
        <f t="shared" ref="BU40" si="528">+IF(BQ39&lt;0,1-BU39/BQ39,BU39/BQ39-1)</f>
        <v>#DIV/0!</v>
      </c>
      <c r="BV40" s="74" t="e">
        <f t="shared" ref="BV40" si="529">+IF(BR39&lt;0,1-BV39/BR39,BV39/BR39-1)</f>
        <v>#DIV/0!</v>
      </c>
      <c r="BW40" s="74" t="e">
        <f>+IF(BS39&lt;0,1-BW39/BS39,BW39/BS39-1)</f>
        <v>#DIV/0!</v>
      </c>
      <c r="BX40" s="74" t="e">
        <f>+IF(BT39&lt;0,1-BX39/BT39,BX39/BT39-1)</f>
        <v>#DIV/0!</v>
      </c>
      <c r="BY40" s="74" t="e">
        <f>+IF(BU39&lt;0,1-BY39/BU39,BY39/BU39-1)</f>
        <v>#DIV/0!</v>
      </c>
      <c r="BZ40" s="36" t="e">
        <f t="shared" ref="BZ40" si="530">+IF(BV39&lt;0,1-BZ39/BV39,BZ39/BV39-1)</f>
        <v>#DIV/0!</v>
      </c>
      <c r="CA40" s="36" t="e">
        <f t="shared" ref="CA40" si="531">+IF(BW39&lt;0,1-CA39/BW39,CA39/BW39-1)</f>
        <v>#DIV/0!</v>
      </c>
      <c r="CB40" s="36" t="e">
        <f t="shared" ref="CB40" si="532">+IF(BX39&lt;0,1-CB39/BX39,CB39/BX39-1)</f>
        <v>#DIV/0!</v>
      </c>
      <c r="CC40" s="36" t="e">
        <f t="shared" ref="CC40" si="533">+IF(BY39&lt;0,1-CC39/BY39,CC39/BY39-1)</f>
        <v>#DIV/0!</v>
      </c>
      <c r="CD40" s="36" t="e">
        <f t="shared" ref="CD40" si="534">+IF(BZ39&lt;0,1-CD39/BZ39,CD39/BZ39-1)</f>
        <v>#DIV/0!</v>
      </c>
      <c r="CE40" s="36" t="e">
        <f t="shared" ref="CE40" si="535">+IF(CA39&lt;0,1-CE39/CA39,CE39/CA39-1)</f>
        <v>#DIV/0!</v>
      </c>
      <c r="CF40" s="36" t="e">
        <f t="shared" ref="CF40" si="536">+IF(CB39&lt;0,1-CF39/CB39,CF39/CB39-1)</f>
        <v>#DIV/0!</v>
      </c>
      <c r="CG40" s="36" t="e">
        <f t="shared" ref="CG40" si="537">+IF(CC39&lt;0,1-CG39/CC39,CG39/CC39-1)</f>
        <v>#DIV/0!</v>
      </c>
      <c r="CH40" s="36" t="e">
        <f t="shared" ref="CH40" si="538">+IF(CD39&lt;0,1-CH39/CD39,CH39/CD39-1)</f>
        <v>#DIV/0!</v>
      </c>
      <c r="CI40" s="36" t="e">
        <f t="shared" ref="CI40" si="539">+IF(CE39&lt;0,1-CI39/CE39,CI39/CE39-1)</f>
        <v>#DIV/0!</v>
      </c>
      <c r="CJ40" s="36" t="e">
        <f t="shared" ref="CJ40" si="540">+IF(CF39&lt;0,1-CJ39/CF39,CJ39/CF39-1)</f>
        <v>#DIV/0!</v>
      </c>
      <c r="CK40" s="36" t="e">
        <f t="shared" ref="CK40" si="541">+IF(CG39&lt;0,1-CK39/CG39,CK39/CG39-1)</f>
        <v>#DIV/0!</v>
      </c>
      <c r="CL40" s="36" t="e">
        <f t="shared" ref="CL40" si="542">+IF(CH39&lt;0,1-CL39/CH39,CL39/CH39-1)</f>
        <v>#DIV/0!</v>
      </c>
      <c r="CM40" s="36" t="e">
        <f t="shared" ref="CM40" si="543">+IF(CI39&lt;0,1-CM39/CI39,CM39/CI39-1)</f>
        <v>#DIV/0!</v>
      </c>
      <c r="CN40" s="36" t="e">
        <f t="shared" ref="CN40" si="544">+IF(CJ39&lt;0,1-CN39/CJ39,CN39/CJ39-1)</f>
        <v>#DIV/0!</v>
      </c>
      <c r="CO40" s="36" t="e">
        <f t="shared" ref="CO40" si="545">+IF(CK39&lt;0,1-CO39/CK39,CO39/CK39-1)</f>
        <v>#DIV/0!</v>
      </c>
    </row>
    <row r="41" spans="1:93" s="38" customFormat="1" x14ac:dyDescent="0.2">
      <c r="A41" s="38" t="s">
        <v>2</v>
      </c>
      <c r="B41" s="38">
        <f>+'Annual Raw'!C23</f>
        <v>0</v>
      </c>
      <c r="C41" s="38">
        <f>+'Annual Raw'!D23</f>
        <v>0</v>
      </c>
      <c r="D41" s="38">
        <f>+'Annual Raw'!E23</f>
        <v>0</v>
      </c>
      <c r="E41" s="38">
        <f>+'Annual Raw'!F23</f>
        <v>0</v>
      </c>
      <c r="F41" s="38">
        <f>+'Annual Raw'!G23</f>
        <v>0</v>
      </c>
      <c r="G41" s="38">
        <f>+'Annual Raw'!H23</f>
        <v>0</v>
      </c>
      <c r="H41" s="38">
        <f>+'Annual Raw'!I23</f>
        <v>0</v>
      </c>
      <c r="I41" s="38">
        <f>+'Annual Raw'!J23</f>
        <v>0</v>
      </c>
      <c r="J41" s="38">
        <f>+'Annual Raw'!K23</f>
        <v>0</v>
      </c>
      <c r="K41" s="38">
        <f>+'Annual Raw'!L23</f>
        <v>0</v>
      </c>
      <c r="L41" s="38">
        <f>+'Annual Raw'!M23</f>
        <v>0</v>
      </c>
      <c r="M41" s="38">
        <f>+'Annual Raw'!N23</f>
        <v>0</v>
      </c>
      <c r="N41" s="38">
        <f>+'Annual Raw'!O23</f>
        <v>0</v>
      </c>
      <c r="O41" s="38">
        <f>+'Annual Raw'!P23</f>
        <v>0</v>
      </c>
      <c r="P41" s="38">
        <f>+'Annual Raw'!Q23</f>
        <v>0</v>
      </c>
      <c r="Q41" s="38">
        <f>+'Annual Raw'!R23</f>
        <v>0</v>
      </c>
      <c r="R41" s="38">
        <f>+'Annual Raw'!S23</f>
        <v>0</v>
      </c>
      <c r="S41" s="38">
        <f>+'Annual Raw'!T23</f>
        <v>0</v>
      </c>
      <c r="T41" s="38">
        <f>+'Annual Raw'!U23</f>
        <v>0</v>
      </c>
      <c r="U41" s="38">
        <f>+'Annual Raw'!V23</f>
        <v>0</v>
      </c>
      <c r="V41" s="38">
        <f>+'Annual Raw'!W23</f>
        <v>0</v>
      </c>
      <c r="W41" s="38">
        <f>+'Annual Raw'!X23</f>
        <v>0</v>
      </c>
      <c r="X41" s="38">
        <f>+'Annual Raw'!Y23</f>
        <v>0</v>
      </c>
      <c r="Y41" s="38">
        <f>+'Annual Raw'!Z23</f>
        <v>0</v>
      </c>
      <c r="Z41" s="38">
        <f>+'Annual Raw'!AA23</f>
        <v>0</v>
      </c>
      <c r="AA41" s="39">
        <f>SUM(BV41:BY41)</f>
        <v>0</v>
      </c>
      <c r="AB41" s="39" t="e">
        <f>SUM(BZ41:CC41)</f>
        <v>#DIV/0!</v>
      </c>
      <c r="AC41" s="39" t="e">
        <f>SUM(CD41:CG41)</f>
        <v>#DIV/0!</v>
      </c>
      <c r="AD41" s="39" t="e">
        <f>SUM(CH41:CK41)</f>
        <v>#DIV/0!</v>
      </c>
      <c r="AE41" s="39" t="e">
        <f>SUM(CL41:CO41)</f>
        <v>#DIV/0!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0</v>
      </c>
      <c r="AQ41" s="38">
        <f>+'QTR Raw'!M36+'QTR Raw'!M27</f>
        <v>0</v>
      </c>
      <c r="AR41" s="38">
        <f>+'QTR Raw'!N36+'QTR Raw'!N27</f>
        <v>0</v>
      </c>
      <c r="AS41" s="38">
        <f>+'QTR Raw'!O36+'QTR Raw'!O27</f>
        <v>0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0</v>
      </c>
      <c r="AW41" s="38">
        <f>+'QTR Raw'!S36+'QTR Raw'!S27</f>
        <v>0</v>
      </c>
      <c r="AX41" s="38">
        <f>+'QTR Raw'!T36+'QTR Raw'!T27</f>
        <v>0</v>
      </c>
      <c r="AY41" s="38">
        <f>+'QTR Raw'!U36+'QTR Raw'!U27</f>
        <v>0</v>
      </c>
      <c r="AZ41" s="38">
        <f>+'QTR Raw'!V36+'QTR Raw'!V27</f>
        <v>0</v>
      </c>
      <c r="BA41" s="38">
        <f>+'QTR Raw'!W36+'QTR Raw'!W27</f>
        <v>0</v>
      </c>
      <c r="BB41" s="38">
        <f>+'QTR Raw'!X36+'QTR Raw'!X27</f>
        <v>0</v>
      </c>
      <c r="BC41" s="38">
        <f>+'QTR Raw'!Y36+'QTR Raw'!Y27</f>
        <v>0</v>
      </c>
      <c r="BD41" s="38">
        <f>+'QTR Raw'!Z36+'QTR Raw'!Z27</f>
        <v>0</v>
      </c>
      <c r="BE41" s="38">
        <f>+'QTR Raw'!AA36+'QTR Raw'!AA27</f>
        <v>0</v>
      </c>
      <c r="BF41" s="38">
        <f>+'QTR Raw'!AB36+'QTR Raw'!AB27</f>
        <v>0</v>
      </c>
      <c r="BG41" s="38">
        <f>+'QTR Raw'!AC36+'QTR Raw'!AC27</f>
        <v>0</v>
      </c>
      <c r="BH41" s="38">
        <f>+'QTR Raw'!AD36+'QTR Raw'!AD27</f>
        <v>0</v>
      </c>
      <c r="BI41" s="38">
        <f>+'QTR Raw'!AE36+'QTR Raw'!AE27</f>
        <v>0</v>
      </c>
      <c r="BJ41" s="38">
        <f>+'QTR Raw'!AF36+'QTR Raw'!AF27</f>
        <v>0</v>
      </c>
      <c r="BK41" s="38">
        <f>+'QTR Raw'!AG36+'QTR Raw'!AG27</f>
        <v>0</v>
      </c>
      <c r="BL41" s="38">
        <f>+'QTR Raw'!AH36+'QTR Raw'!AH27</f>
        <v>0</v>
      </c>
      <c r="BM41" s="38">
        <f>+'QTR Raw'!AI36+'QTR Raw'!AI27</f>
        <v>0</v>
      </c>
      <c r="BN41" s="38">
        <f>+'QTR Raw'!AJ36+'QTR Raw'!AJ27</f>
        <v>0</v>
      </c>
      <c r="BO41" s="38">
        <f>+'QTR Raw'!AK36+'QTR Raw'!AK27</f>
        <v>0</v>
      </c>
      <c r="BP41" s="38">
        <f>+'QTR Raw'!AL36+'QTR Raw'!AL27</f>
        <v>0</v>
      </c>
      <c r="BQ41" s="38">
        <f>+'QTR Raw'!AM36+'QTR Raw'!AM27</f>
        <v>0</v>
      </c>
      <c r="BR41" s="38">
        <f>+'QTR Raw'!AN36+'QTR Raw'!AN27</f>
        <v>0</v>
      </c>
      <c r="BS41" s="38">
        <f>+'QTR Raw'!AO36+'QTR Raw'!AO27</f>
        <v>0</v>
      </c>
      <c r="BT41" s="38">
        <f>+'QTR Raw'!AP36+'QTR Raw'!AP27</f>
        <v>0</v>
      </c>
      <c r="BU41" s="38">
        <f>+'QTR Raw'!AQ36+'QTR Raw'!AQ27</f>
        <v>0</v>
      </c>
      <c r="BV41" s="38">
        <f>+'QTR Raw'!AR36+'QTR Raw'!AR27</f>
        <v>0</v>
      </c>
      <c r="BW41" s="38">
        <f>+'QTR Raw'!AS36+'QTR Raw'!AS27</f>
        <v>0</v>
      </c>
      <c r="BX41" s="38">
        <f>+'QTR Raw'!AT36+'QTR Raw'!AT27</f>
        <v>0</v>
      </c>
      <c r="BY41" s="38">
        <f>+'QTR Raw'!AU36+'QTR Raw'!AU27</f>
        <v>0</v>
      </c>
      <c r="BZ41" s="39" t="e">
        <f t="shared" ref="BZ41:CO41" si="546">BZ20*BY5</f>
        <v>#DIV/0!</v>
      </c>
      <c r="CA41" s="39" t="e">
        <f t="shared" si="546"/>
        <v>#DIV/0!</v>
      </c>
      <c r="CB41" s="39" t="e">
        <f t="shared" si="546"/>
        <v>#DIV/0!</v>
      </c>
      <c r="CC41" s="39" t="e">
        <f t="shared" si="546"/>
        <v>#DIV/0!</v>
      </c>
      <c r="CD41" s="39" t="e">
        <f t="shared" si="546"/>
        <v>#DIV/0!</v>
      </c>
      <c r="CE41" s="39" t="e">
        <f t="shared" si="546"/>
        <v>#DIV/0!</v>
      </c>
      <c r="CF41" s="39" t="e">
        <f t="shared" si="546"/>
        <v>#DIV/0!</v>
      </c>
      <c r="CG41" s="39" t="e">
        <f t="shared" si="546"/>
        <v>#DIV/0!</v>
      </c>
      <c r="CH41" s="39" t="e">
        <f t="shared" si="546"/>
        <v>#DIV/0!</v>
      </c>
      <c r="CI41" s="39" t="e">
        <f t="shared" si="546"/>
        <v>#DIV/0!</v>
      </c>
      <c r="CJ41" s="39" t="e">
        <f t="shared" si="546"/>
        <v>#DIV/0!</v>
      </c>
      <c r="CK41" s="39" t="e">
        <f t="shared" si="546"/>
        <v>#DIV/0!</v>
      </c>
      <c r="CL41" s="39" t="e">
        <f t="shared" si="546"/>
        <v>#DIV/0!</v>
      </c>
      <c r="CM41" s="39" t="e">
        <f t="shared" si="546"/>
        <v>#DIV/0!</v>
      </c>
      <c r="CN41" s="39" t="e">
        <f t="shared" si="546"/>
        <v>#DIV/0!</v>
      </c>
      <c r="CO41" s="39" t="e">
        <f t="shared" si="546"/>
        <v>#DIV/0!</v>
      </c>
    </row>
    <row r="42" spans="1:93" s="43" customFormat="1" x14ac:dyDescent="0.2">
      <c r="A42" s="43" t="s">
        <v>12</v>
      </c>
      <c r="B42" s="43">
        <f t="shared" ref="B42" si="547">B39-B41</f>
        <v>0</v>
      </c>
      <c r="C42" s="43">
        <f t="shared" ref="C42:Z42" si="548">C39-C41</f>
        <v>0</v>
      </c>
      <c r="D42" s="43">
        <f t="shared" si="548"/>
        <v>0</v>
      </c>
      <c r="E42" s="43">
        <f t="shared" si="548"/>
        <v>0</v>
      </c>
      <c r="F42" s="43">
        <f t="shared" si="548"/>
        <v>0</v>
      </c>
      <c r="G42" s="43">
        <f t="shared" si="548"/>
        <v>0</v>
      </c>
      <c r="H42" s="43">
        <f t="shared" si="548"/>
        <v>0</v>
      </c>
      <c r="I42" s="43">
        <f t="shared" si="548"/>
        <v>0</v>
      </c>
      <c r="J42" s="43">
        <f t="shared" si="548"/>
        <v>0</v>
      </c>
      <c r="K42" s="43">
        <f t="shared" si="548"/>
        <v>0</v>
      </c>
      <c r="L42" s="43">
        <f t="shared" si="548"/>
        <v>0</v>
      </c>
      <c r="M42" s="43">
        <f t="shared" si="548"/>
        <v>0</v>
      </c>
      <c r="N42" s="43">
        <f t="shared" si="548"/>
        <v>0</v>
      </c>
      <c r="O42" s="43">
        <f t="shared" si="548"/>
        <v>0</v>
      </c>
      <c r="P42" s="43">
        <f t="shared" si="548"/>
        <v>0</v>
      </c>
      <c r="Q42" s="43">
        <f t="shared" si="548"/>
        <v>0</v>
      </c>
      <c r="R42" s="43">
        <f t="shared" si="548"/>
        <v>0</v>
      </c>
      <c r="S42" s="43">
        <f t="shared" si="548"/>
        <v>0</v>
      </c>
      <c r="T42" s="43">
        <f t="shared" si="548"/>
        <v>0</v>
      </c>
      <c r="U42" s="43">
        <f t="shared" si="548"/>
        <v>0</v>
      </c>
      <c r="V42" s="43">
        <f t="shared" si="548"/>
        <v>0</v>
      </c>
      <c r="W42" s="43">
        <f t="shared" si="548"/>
        <v>0</v>
      </c>
      <c r="X42" s="43">
        <f t="shared" si="548"/>
        <v>0</v>
      </c>
      <c r="Y42" s="43">
        <f t="shared" si="548"/>
        <v>0</v>
      </c>
      <c r="Z42" s="43">
        <f t="shared" si="548"/>
        <v>0</v>
      </c>
      <c r="AA42" s="44">
        <f t="shared" ref="AA42" si="549">AA39-AA41</f>
        <v>0</v>
      </c>
      <c r="AB42" s="44" t="e">
        <f t="shared" ref="AB42" si="550">AB39-AB41</f>
        <v>#DIV/0!</v>
      </c>
      <c r="AC42" s="44" t="e">
        <f t="shared" ref="AC42" si="551">AC39-AC41</f>
        <v>#DIV/0!</v>
      </c>
      <c r="AD42" s="44" t="e">
        <f t="shared" ref="AD42" si="552">AD39-AD41</f>
        <v>#DIV/0!</v>
      </c>
      <c r="AE42" s="44" t="e">
        <f t="shared" ref="AE42" si="553">AE39-AE41</f>
        <v>#DIV/0!</v>
      </c>
      <c r="AG42" s="62"/>
      <c r="AH42" s="43">
        <f t="shared" ref="AH42:AU42" si="554">AH39-AH41</f>
        <v>0</v>
      </c>
      <c r="AI42" s="43">
        <f t="shared" si="554"/>
        <v>0</v>
      </c>
      <c r="AJ42" s="43">
        <f t="shared" si="554"/>
        <v>0</v>
      </c>
      <c r="AK42" s="43">
        <f t="shared" si="554"/>
        <v>0</v>
      </c>
      <c r="AL42" s="43">
        <f t="shared" si="554"/>
        <v>0</v>
      </c>
      <c r="AM42" s="43">
        <f t="shared" si="554"/>
        <v>0</v>
      </c>
      <c r="AN42" s="43">
        <f t="shared" si="554"/>
        <v>0</v>
      </c>
      <c r="AO42" s="43">
        <f t="shared" si="554"/>
        <v>0</v>
      </c>
      <c r="AP42" s="43">
        <f t="shared" si="554"/>
        <v>0</v>
      </c>
      <c r="AQ42" s="43">
        <f t="shared" si="554"/>
        <v>0</v>
      </c>
      <c r="AR42" s="43">
        <f t="shared" si="554"/>
        <v>0</v>
      </c>
      <c r="AS42" s="43">
        <f t="shared" si="554"/>
        <v>0</v>
      </c>
      <c r="AT42" s="43">
        <f t="shared" si="554"/>
        <v>0</v>
      </c>
      <c r="AU42" s="43">
        <f t="shared" si="554"/>
        <v>0</v>
      </c>
      <c r="AV42" s="43">
        <f t="shared" ref="AV42:BV42" si="555">AV39-AV41</f>
        <v>0</v>
      </c>
      <c r="AW42" s="43">
        <f t="shared" si="555"/>
        <v>0</v>
      </c>
      <c r="AX42" s="43">
        <f t="shared" si="555"/>
        <v>0</v>
      </c>
      <c r="AY42" s="43">
        <f t="shared" si="555"/>
        <v>0</v>
      </c>
      <c r="AZ42" s="43">
        <f t="shared" si="555"/>
        <v>0</v>
      </c>
      <c r="BA42" s="43">
        <f t="shared" si="555"/>
        <v>0</v>
      </c>
      <c r="BB42" s="43">
        <f t="shared" si="555"/>
        <v>0</v>
      </c>
      <c r="BC42" s="43">
        <f t="shared" si="555"/>
        <v>0</v>
      </c>
      <c r="BD42" s="43">
        <f t="shared" si="555"/>
        <v>0</v>
      </c>
      <c r="BE42" s="43">
        <f t="shared" si="555"/>
        <v>0</v>
      </c>
      <c r="BF42" s="43">
        <f t="shared" si="555"/>
        <v>0</v>
      </c>
      <c r="BG42" s="43">
        <f t="shared" si="555"/>
        <v>0</v>
      </c>
      <c r="BH42" s="43">
        <f t="shared" si="555"/>
        <v>0</v>
      </c>
      <c r="BI42" s="43">
        <f t="shared" si="555"/>
        <v>0</v>
      </c>
      <c r="BJ42" s="43">
        <f t="shared" si="555"/>
        <v>0</v>
      </c>
      <c r="BK42" s="43">
        <f t="shared" si="555"/>
        <v>0</v>
      </c>
      <c r="BL42" s="43">
        <f t="shared" si="555"/>
        <v>0</v>
      </c>
      <c r="BM42" s="43">
        <f t="shared" si="555"/>
        <v>0</v>
      </c>
      <c r="BN42" s="43">
        <f t="shared" si="555"/>
        <v>0</v>
      </c>
      <c r="BO42" s="43">
        <f t="shared" si="555"/>
        <v>0</v>
      </c>
      <c r="BP42" s="43">
        <f t="shared" si="555"/>
        <v>0</v>
      </c>
      <c r="BQ42" s="43">
        <f t="shared" si="555"/>
        <v>0</v>
      </c>
      <c r="BR42" s="43">
        <f t="shared" si="555"/>
        <v>0</v>
      </c>
      <c r="BS42" s="43">
        <f t="shared" si="555"/>
        <v>0</v>
      </c>
      <c r="BT42" s="43">
        <f t="shared" si="555"/>
        <v>0</v>
      </c>
      <c r="BU42" s="43">
        <f t="shared" si="555"/>
        <v>0</v>
      </c>
      <c r="BV42" s="43">
        <f t="shared" si="555"/>
        <v>0</v>
      </c>
      <c r="BW42" s="43">
        <f t="shared" ref="BW42:BX42" si="556">BW39-BW41</f>
        <v>0</v>
      </c>
      <c r="BX42" s="43">
        <f t="shared" si="556"/>
        <v>0</v>
      </c>
      <c r="BY42" s="43">
        <f t="shared" ref="BY42" si="557">BY39-BY41</f>
        <v>0</v>
      </c>
      <c r="BZ42" s="44" t="e">
        <f t="shared" ref="BZ42:CC42" si="558">BZ39-BZ41</f>
        <v>#DIV/0!</v>
      </c>
      <c r="CA42" s="44" t="e">
        <f t="shared" si="558"/>
        <v>#DIV/0!</v>
      </c>
      <c r="CB42" s="44" t="e">
        <f t="shared" si="558"/>
        <v>#DIV/0!</v>
      </c>
      <c r="CC42" s="44" t="e">
        <f t="shared" si="558"/>
        <v>#DIV/0!</v>
      </c>
      <c r="CD42" s="44" t="e">
        <f t="shared" ref="CD42:CO42" si="559">CD39-CD41</f>
        <v>#DIV/0!</v>
      </c>
      <c r="CE42" s="44" t="e">
        <f t="shared" si="559"/>
        <v>#DIV/0!</v>
      </c>
      <c r="CF42" s="44" t="e">
        <f t="shared" si="559"/>
        <v>#DIV/0!</v>
      </c>
      <c r="CG42" s="44" t="e">
        <f t="shared" si="559"/>
        <v>#DIV/0!</v>
      </c>
      <c r="CH42" s="44" t="e">
        <f t="shared" si="559"/>
        <v>#DIV/0!</v>
      </c>
      <c r="CI42" s="44" t="e">
        <f t="shared" si="559"/>
        <v>#DIV/0!</v>
      </c>
      <c r="CJ42" s="44" t="e">
        <f t="shared" si="559"/>
        <v>#DIV/0!</v>
      </c>
      <c r="CK42" s="44" t="e">
        <f t="shared" si="559"/>
        <v>#DIV/0!</v>
      </c>
      <c r="CL42" s="44" t="e">
        <f t="shared" si="559"/>
        <v>#DIV/0!</v>
      </c>
      <c r="CM42" s="44" t="e">
        <f t="shared" si="559"/>
        <v>#DIV/0!</v>
      </c>
      <c r="CN42" s="44" t="e">
        <f t="shared" si="559"/>
        <v>#DIV/0!</v>
      </c>
      <c r="CO42" s="44" t="e">
        <f t="shared" si="559"/>
        <v>#DIV/0!</v>
      </c>
    </row>
    <row r="43" spans="1:93" s="38" customFormat="1" x14ac:dyDescent="0.2">
      <c r="A43" s="38" t="s">
        <v>13</v>
      </c>
      <c r="B43" s="38">
        <f>+'Annual Raw'!C36</f>
        <v>0</v>
      </c>
      <c r="C43" s="38">
        <f>+'Annual Raw'!D36</f>
        <v>0</v>
      </c>
      <c r="D43" s="38">
        <f>+'Annual Raw'!E36</f>
        <v>0</v>
      </c>
      <c r="E43" s="38">
        <f>+'Annual Raw'!F36</f>
        <v>0</v>
      </c>
      <c r="F43" s="38">
        <f>+'Annual Raw'!G36</f>
        <v>0</v>
      </c>
      <c r="G43" s="38">
        <f>+'Annual Raw'!H36</f>
        <v>0</v>
      </c>
      <c r="H43" s="38">
        <f>+'Annual Raw'!I36</f>
        <v>0</v>
      </c>
      <c r="I43" s="38">
        <f>+'Annual Raw'!J36</f>
        <v>0</v>
      </c>
      <c r="J43" s="38">
        <f>+'Annual Raw'!K36</f>
        <v>0</v>
      </c>
      <c r="K43" s="38">
        <f>+'Annual Raw'!L36</f>
        <v>0</v>
      </c>
      <c r="L43" s="38">
        <f>+'Annual Raw'!M36</f>
        <v>0</v>
      </c>
      <c r="M43" s="38">
        <f>+'Annual Raw'!N36</f>
        <v>0</v>
      </c>
      <c r="N43" s="38">
        <f>+'Annual Raw'!O36</f>
        <v>0</v>
      </c>
      <c r="O43" s="38">
        <f>+'Annual Raw'!P36</f>
        <v>0</v>
      </c>
      <c r="P43" s="38">
        <f>+'Annual Raw'!Q36</f>
        <v>0</v>
      </c>
      <c r="Q43" s="38">
        <f>+'Annual Raw'!R36</f>
        <v>0</v>
      </c>
      <c r="R43" s="38">
        <f>+'Annual Raw'!S36</f>
        <v>0</v>
      </c>
      <c r="S43" s="38">
        <f>+'Annual Raw'!T36</f>
        <v>0</v>
      </c>
      <c r="T43" s="38">
        <f>+'Annual Raw'!U36</f>
        <v>0</v>
      </c>
      <c r="U43" s="38">
        <f>+'Annual Raw'!V36</f>
        <v>0</v>
      </c>
      <c r="V43" s="38">
        <f>+'Annual Raw'!W36</f>
        <v>0</v>
      </c>
      <c r="W43" s="38">
        <f>+'Annual Raw'!X36</f>
        <v>0</v>
      </c>
      <c r="X43" s="38">
        <f>+'Annual Raw'!Y36</f>
        <v>0</v>
      </c>
      <c r="Y43" s="38">
        <f>+'Annual Raw'!Z36</f>
        <v>0</v>
      </c>
      <c r="Z43" s="38">
        <f>+'Annual Raw'!AA36</f>
        <v>0</v>
      </c>
      <c r="AA43" s="39">
        <f>SUM(BV43:BY43)</f>
        <v>0</v>
      </c>
      <c r="AB43" s="39" t="e">
        <f>SUM(BZ43:CC43)</f>
        <v>#DIV/0!</v>
      </c>
      <c r="AC43" s="39" t="e">
        <f>SUM(CD43:CG43)</f>
        <v>#DIV/0!</v>
      </c>
      <c r="AD43" s="39" t="e">
        <f>SUM(CH43:CK43)</f>
        <v>#DIV/0!</v>
      </c>
      <c r="AE43" s="39" t="e">
        <f>SUM(CL43:CO43)</f>
        <v>#DIV/0!</v>
      </c>
      <c r="AG43" s="60"/>
      <c r="AH43" s="38">
        <f>+'QTR Raw'!D38</f>
        <v>0</v>
      </c>
      <c r="AI43" s="38">
        <f>+'QTR Raw'!E38</f>
        <v>0</v>
      </c>
      <c r="AJ43" s="38">
        <f>+'QTR Raw'!F38</f>
        <v>0</v>
      </c>
      <c r="AK43" s="38">
        <f>+'QTR Raw'!G38</f>
        <v>0</v>
      </c>
      <c r="AL43" s="38">
        <f>+'QTR Raw'!H38</f>
        <v>0</v>
      </c>
      <c r="AM43" s="38">
        <f>+'QTR Raw'!I38</f>
        <v>0</v>
      </c>
      <c r="AN43" s="38">
        <f>+'QTR Raw'!J38</f>
        <v>0</v>
      </c>
      <c r="AO43" s="38">
        <f>+'QTR Raw'!K38</f>
        <v>0</v>
      </c>
      <c r="AP43" s="38">
        <f>+'QTR Raw'!L38</f>
        <v>0</v>
      </c>
      <c r="AQ43" s="38">
        <f>+'QTR Raw'!M38</f>
        <v>0</v>
      </c>
      <c r="AR43" s="38">
        <f>+'QTR Raw'!N38</f>
        <v>0</v>
      </c>
      <c r="AS43" s="38">
        <f>+'QTR Raw'!O38</f>
        <v>0</v>
      </c>
      <c r="AT43" s="38">
        <f>+'QTR Raw'!P38</f>
        <v>0</v>
      </c>
      <c r="AU43" s="38">
        <f>+'QTR Raw'!Q38</f>
        <v>0</v>
      </c>
      <c r="AV43" s="38">
        <f>+'QTR Raw'!R38</f>
        <v>0</v>
      </c>
      <c r="AW43" s="38">
        <f>+'QTR Raw'!S38</f>
        <v>0</v>
      </c>
      <c r="AX43" s="38">
        <f>+'QTR Raw'!T38</f>
        <v>0</v>
      </c>
      <c r="AY43" s="38">
        <f>+'QTR Raw'!U38</f>
        <v>0</v>
      </c>
      <c r="AZ43" s="38">
        <f>+'QTR Raw'!V38</f>
        <v>0</v>
      </c>
      <c r="BA43" s="38">
        <f>+'QTR Raw'!W38</f>
        <v>0</v>
      </c>
      <c r="BB43" s="38">
        <f>+'QTR Raw'!X38</f>
        <v>0</v>
      </c>
      <c r="BC43" s="38">
        <f>+'QTR Raw'!Y38</f>
        <v>0</v>
      </c>
      <c r="BD43" s="38">
        <f>+'QTR Raw'!Z38</f>
        <v>0</v>
      </c>
      <c r="BE43" s="38">
        <f>+'QTR Raw'!AA38</f>
        <v>0</v>
      </c>
      <c r="BF43" s="38">
        <f>+'QTR Raw'!AB38</f>
        <v>0</v>
      </c>
      <c r="BG43" s="38">
        <f>+'QTR Raw'!AC38</f>
        <v>0</v>
      </c>
      <c r="BH43" s="38">
        <f>+'QTR Raw'!AD38</f>
        <v>0</v>
      </c>
      <c r="BI43" s="38">
        <f>+'QTR Raw'!AE38</f>
        <v>0</v>
      </c>
      <c r="BJ43" s="38">
        <f>+'QTR Raw'!AF38</f>
        <v>0</v>
      </c>
      <c r="BK43" s="38">
        <f>+'QTR Raw'!AG38</f>
        <v>0</v>
      </c>
      <c r="BL43" s="38">
        <f>+'QTR Raw'!AH38</f>
        <v>0</v>
      </c>
      <c r="BM43" s="38">
        <f>+'QTR Raw'!AI38</f>
        <v>0</v>
      </c>
      <c r="BN43" s="38">
        <f>+'QTR Raw'!AJ38</f>
        <v>0</v>
      </c>
      <c r="BO43" s="38">
        <f>+'QTR Raw'!AK38</f>
        <v>0</v>
      </c>
      <c r="BP43" s="38">
        <f>+'QTR Raw'!AL38</f>
        <v>0</v>
      </c>
      <c r="BQ43" s="38">
        <f>+'QTR Raw'!AM38</f>
        <v>0</v>
      </c>
      <c r="BR43" s="38">
        <f>+'QTR Raw'!AN38</f>
        <v>0</v>
      </c>
      <c r="BS43" s="38">
        <f>+'QTR Raw'!AO38</f>
        <v>0</v>
      </c>
      <c r="BT43" s="38">
        <f>+'QTR Raw'!AP38</f>
        <v>0</v>
      </c>
      <c r="BU43" s="38">
        <f>+'QTR Raw'!AQ38</f>
        <v>0</v>
      </c>
      <c r="BV43" s="38">
        <f>+'QTR Raw'!AR38</f>
        <v>0</v>
      </c>
      <c r="BW43" s="38">
        <f>+'QTR Raw'!AS38</f>
        <v>0</v>
      </c>
      <c r="BX43" s="38">
        <f>+'QTR Raw'!AT38</f>
        <v>0</v>
      </c>
      <c r="BY43" s="38">
        <f>+'QTR Raw'!AU38</f>
        <v>0</v>
      </c>
      <c r="BZ43" s="39" t="e">
        <f t="shared" ref="BZ43:CC43" si="560">BZ42*0.26</f>
        <v>#DIV/0!</v>
      </c>
      <c r="CA43" s="39" t="e">
        <f t="shared" si="560"/>
        <v>#DIV/0!</v>
      </c>
      <c r="CB43" s="39" t="e">
        <f t="shared" si="560"/>
        <v>#DIV/0!</v>
      </c>
      <c r="CC43" s="39" t="e">
        <f t="shared" si="560"/>
        <v>#DIV/0!</v>
      </c>
      <c r="CD43" s="39" t="e">
        <f t="shared" ref="CD43:CO43" si="561">CD42*0.26</f>
        <v>#DIV/0!</v>
      </c>
      <c r="CE43" s="39" t="e">
        <f t="shared" si="561"/>
        <v>#DIV/0!</v>
      </c>
      <c r="CF43" s="39" t="e">
        <f t="shared" si="561"/>
        <v>#DIV/0!</v>
      </c>
      <c r="CG43" s="39" t="e">
        <f t="shared" si="561"/>
        <v>#DIV/0!</v>
      </c>
      <c r="CH43" s="39" t="e">
        <f t="shared" si="561"/>
        <v>#DIV/0!</v>
      </c>
      <c r="CI43" s="39" t="e">
        <f t="shared" si="561"/>
        <v>#DIV/0!</v>
      </c>
      <c r="CJ43" s="39" t="e">
        <f t="shared" si="561"/>
        <v>#DIV/0!</v>
      </c>
      <c r="CK43" s="39" t="e">
        <f t="shared" si="561"/>
        <v>#DIV/0!</v>
      </c>
      <c r="CL43" s="39" t="e">
        <f t="shared" si="561"/>
        <v>#DIV/0!</v>
      </c>
      <c r="CM43" s="39" t="e">
        <f t="shared" si="561"/>
        <v>#DIV/0!</v>
      </c>
      <c r="CN43" s="39" t="e">
        <f t="shared" si="561"/>
        <v>#DIV/0!</v>
      </c>
      <c r="CO43" s="39" t="e">
        <f t="shared" si="561"/>
        <v>#DIV/0!</v>
      </c>
    </row>
    <row r="44" spans="1:93" s="43" customFormat="1" x14ac:dyDescent="0.2">
      <c r="A44" s="43" t="s">
        <v>14</v>
      </c>
      <c r="B44" s="43">
        <f t="shared" ref="B44" si="562">B42-B43</f>
        <v>0</v>
      </c>
      <c r="C44" s="43">
        <f t="shared" ref="C44:Z44" si="563">C42-C43</f>
        <v>0</v>
      </c>
      <c r="D44" s="43">
        <f t="shared" si="563"/>
        <v>0</v>
      </c>
      <c r="E44" s="43">
        <f t="shared" si="563"/>
        <v>0</v>
      </c>
      <c r="F44" s="43">
        <f t="shared" si="563"/>
        <v>0</v>
      </c>
      <c r="G44" s="43">
        <f t="shared" si="563"/>
        <v>0</v>
      </c>
      <c r="H44" s="43">
        <f t="shared" si="563"/>
        <v>0</v>
      </c>
      <c r="I44" s="43">
        <f t="shared" si="563"/>
        <v>0</v>
      </c>
      <c r="J44" s="43">
        <f t="shared" si="563"/>
        <v>0</v>
      </c>
      <c r="K44" s="43">
        <f t="shared" si="563"/>
        <v>0</v>
      </c>
      <c r="L44" s="43">
        <f t="shared" si="563"/>
        <v>0</v>
      </c>
      <c r="M44" s="43">
        <f t="shared" si="563"/>
        <v>0</v>
      </c>
      <c r="N44" s="43">
        <f t="shared" si="563"/>
        <v>0</v>
      </c>
      <c r="O44" s="43">
        <f t="shared" si="563"/>
        <v>0</v>
      </c>
      <c r="P44" s="43">
        <f t="shared" si="563"/>
        <v>0</v>
      </c>
      <c r="Q44" s="43">
        <f t="shared" si="563"/>
        <v>0</v>
      </c>
      <c r="R44" s="43">
        <f t="shared" si="563"/>
        <v>0</v>
      </c>
      <c r="S44" s="43">
        <f t="shared" si="563"/>
        <v>0</v>
      </c>
      <c r="T44" s="43">
        <f t="shared" si="563"/>
        <v>0</v>
      </c>
      <c r="U44" s="43">
        <f t="shared" si="563"/>
        <v>0</v>
      </c>
      <c r="V44" s="43">
        <f t="shared" si="563"/>
        <v>0</v>
      </c>
      <c r="W44" s="43">
        <f t="shared" si="563"/>
        <v>0</v>
      </c>
      <c r="X44" s="43">
        <f t="shared" si="563"/>
        <v>0</v>
      </c>
      <c r="Y44" s="43">
        <f t="shared" si="563"/>
        <v>0</v>
      </c>
      <c r="Z44" s="43">
        <f t="shared" si="563"/>
        <v>0</v>
      </c>
      <c r="AA44" s="44">
        <f t="shared" ref="AA44" si="564">AA42-AA43</f>
        <v>0</v>
      </c>
      <c r="AB44" s="44" t="e">
        <f t="shared" ref="AB44" si="565">AB42-AB43</f>
        <v>#DIV/0!</v>
      </c>
      <c r="AC44" s="44" t="e">
        <f t="shared" ref="AC44" si="566">AC42-AC43</f>
        <v>#DIV/0!</v>
      </c>
      <c r="AD44" s="44" t="e">
        <f t="shared" ref="AD44" si="567">AD42-AD43</f>
        <v>#DIV/0!</v>
      </c>
      <c r="AE44" s="44" t="e">
        <f t="shared" ref="AE44" si="568">AE42-AE43</f>
        <v>#DIV/0!</v>
      </c>
      <c r="AG44" s="62"/>
      <c r="AH44" s="43">
        <f t="shared" ref="AH44:AU44" si="569">AH42-AH43</f>
        <v>0</v>
      </c>
      <c r="AI44" s="43">
        <f t="shared" si="569"/>
        <v>0</v>
      </c>
      <c r="AJ44" s="43">
        <f t="shared" si="569"/>
        <v>0</v>
      </c>
      <c r="AK44" s="43">
        <f t="shared" si="569"/>
        <v>0</v>
      </c>
      <c r="AL44" s="43">
        <f t="shared" si="569"/>
        <v>0</v>
      </c>
      <c r="AM44" s="43">
        <f t="shared" si="569"/>
        <v>0</v>
      </c>
      <c r="AN44" s="43">
        <f t="shared" si="569"/>
        <v>0</v>
      </c>
      <c r="AO44" s="43">
        <f t="shared" si="569"/>
        <v>0</v>
      </c>
      <c r="AP44" s="43">
        <f t="shared" si="569"/>
        <v>0</v>
      </c>
      <c r="AQ44" s="43">
        <f t="shared" si="569"/>
        <v>0</v>
      </c>
      <c r="AR44" s="43">
        <f t="shared" si="569"/>
        <v>0</v>
      </c>
      <c r="AS44" s="43">
        <f t="shared" si="569"/>
        <v>0</v>
      </c>
      <c r="AT44" s="43">
        <f t="shared" si="569"/>
        <v>0</v>
      </c>
      <c r="AU44" s="43">
        <f t="shared" si="569"/>
        <v>0</v>
      </c>
      <c r="AV44" s="43">
        <f t="shared" ref="AV44:BV44" si="570">AV42-AV43</f>
        <v>0</v>
      </c>
      <c r="AW44" s="43">
        <f t="shared" si="570"/>
        <v>0</v>
      </c>
      <c r="AX44" s="43">
        <f t="shared" si="570"/>
        <v>0</v>
      </c>
      <c r="AY44" s="43">
        <f t="shared" si="570"/>
        <v>0</v>
      </c>
      <c r="AZ44" s="43">
        <f t="shared" si="570"/>
        <v>0</v>
      </c>
      <c r="BA44" s="43">
        <f t="shared" si="570"/>
        <v>0</v>
      </c>
      <c r="BB44" s="43">
        <f t="shared" si="570"/>
        <v>0</v>
      </c>
      <c r="BC44" s="43">
        <f t="shared" si="570"/>
        <v>0</v>
      </c>
      <c r="BD44" s="43">
        <f t="shared" si="570"/>
        <v>0</v>
      </c>
      <c r="BE44" s="43">
        <f t="shared" si="570"/>
        <v>0</v>
      </c>
      <c r="BF44" s="43">
        <f t="shared" si="570"/>
        <v>0</v>
      </c>
      <c r="BG44" s="43">
        <f t="shared" si="570"/>
        <v>0</v>
      </c>
      <c r="BH44" s="43">
        <f t="shared" si="570"/>
        <v>0</v>
      </c>
      <c r="BI44" s="43">
        <f t="shared" si="570"/>
        <v>0</v>
      </c>
      <c r="BJ44" s="43">
        <f t="shared" si="570"/>
        <v>0</v>
      </c>
      <c r="BK44" s="43">
        <f t="shared" si="570"/>
        <v>0</v>
      </c>
      <c r="BL44" s="43">
        <f t="shared" si="570"/>
        <v>0</v>
      </c>
      <c r="BM44" s="43">
        <f t="shared" si="570"/>
        <v>0</v>
      </c>
      <c r="BN44" s="43">
        <f t="shared" si="570"/>
        <v>0</v>
      </c>
      <c r="BO44" s="43">
        <f t="shared" si="570"/>
        <v>0</v>
      </c>
      <c r="BP44" s="43">
        <f t="shared" si="570"/>
        <v>0</v>
      </c>
      <c r="BQ44" s="43">
        <f t="shared" si="570"/>
        <v>0</v>
      </c>
      <c r="BR44" s="43">
        <f t="shared" si="570"/>
        <v>0</v>
      </c>
      <c r="BS44" s="43">
        <f t="shared" si="570"/>
        <v>0</v>
      </c>
      <c r="BT44" s="43">
        <f t="shared" si="570"/>
        <v>0</v>
      </c>
      <c r="BU44" s="43">
        <f t="shared" si="570"/>
        <v>0</v>
      </c>
      <c r="BV44" s="43">
        <f t="shared" si="570"/>
        <v>0</v>
      </c>
      <c r="BW44" s="43">
        <f t="shared" ref="BW44:BX44" si="571">BW42-BW43</f>
        <v>0</v>
      </c>
      <c r="BX44" s="43">
        <f t="shared" si="571"/>
        <v>0</v>
      </c>
      <c r="BY44" s="43">
        <f t="shared" ref="BY44" si="572">BY42-BY43</f>
        <v>0</v>
      </c>
      <c r="BZ44" s="44" t="e">
        <f t="shared" ref="BZ44:CC44" si="573">BZ42-BZ43</f>
        <v>#DIV/0!</v>
      </c>
      <c r="CA44" s="44" t="e">
        <f t="shared" si="573"/>
        <v>#DIV/0!</v>
      </c>
      <c r="CB44" s="44" t="e">
        <f t="shared" si="573"/>
        <v>#DIV/0!</v>
      </c>
      <c r="CC44" s="44" t="e">
        <f t="shared" si="573"/>
        <v>#DIV/0!</v>
      </c>
      <c r="CD44" s="44" t="e">
        <f t="shared" ref="CD44:CO44" si="574">CD42-CD43</f>
        <v>#DIV/0!</v>
      </c>
      <c r="CE44" s="44" t="e">
        <f t="shared" si="574"/>
        <v>#DIV/0!</v>
      </c>
      <c r="CF44" s="44" t="e">
        <f t="shared" si="574"/>
        <v>#DIV/0!</v>
      </c>
      <c r="CG44" s="44" t="e">
        <f t="shared" si="574"/>
        <v>#DIV/0!</v>
      </c>
      <c r="CH44" s="44" t="e">
        <f t="shared" si="574"/>
        <v>#DIV/0!</v>
      </c>
      <c r="CI44" s="44" t="e">
        <f t="shared" si="574"/>
        <v>#DIV/0!</v>
      </c>
      <c r="CJ44" s="44" t="e">
        <f t="shared" si="574"/>
        <v>#DIV/0!</v>
      </c>
      <c r="CK44" s="44" t="e">
        <f t="shared" si="574"/>
        <v>#DIV/0!</v>
      </c>
      <c r="CL44" s="44" t="e">
        <f t="shared" si="574"/>
        <v>#DIV/0!</v>
      </c>
      <c r="CM44" s="44" t="e">
        <f t="shared" si="574"/>
        <v>#DIV/0!</v>
      </c>
      <c r="CN44" s="44" t="e">
        <f t="shared" si="574"/>
        <v>#DIV/0!</v>
      </c>
      <c r="CO44" s="44" t="e">
        <f t="shared" si="574"/>
        <v>#DIV/0!</v>
      </c>
    </row>
    <row r="45" spans="1:93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9">
        <f>SUM(BV45:BY45)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575">+BY45</f>
        <v>0</v>
      </c>
      <c r="CA45" s="39">
        <f t="shared" ref="CA45:CA46" si="576">+BZ45</f>
        <v>0</v>
      </c>
      <c r="CB45" s="39">
        <f t="shared" ref="CB45:CB46" si="577">+CA45</f>
        <v>0</v>
      </c>
      <c r="CC45" s="39">
        <f t="shared" ref="CC45:CC46" si="578">+CB45</f>
        <v>0</v>
      </c>
      <c r="CD45" s="39">
        <f t="shared" ref="CD45:CD46" si="579">+CC45</f>
        <v>0</v>
      </c>
      <c r="CE45" s="39">
        <f t="shared" ref="CE45:CE46" si="580">+CD45</f>
        <v>0</v>
      </c>
      <c r="CF45" s="39">
        <f t="shared" ref="CF45:CF46" si="581">+CE45</f>
        <v>0</v>
      </c>
      <c r="CG45" s="39">
        <f t="shared" ref="CG45:CG46" si="582">+CF45</f>
        <v>0</v>
      </c>
      <c r="CH45" s="39">
        <f t="shared" ref="CH45:CH46" si="583">+CG45</f>
        <v>0</v>
      </c>
      <c r="CI45" s="39">
        <f t="shared" ref="CI45:CI46" si="584">+CH45</f>
        <v>0</v>
      </c>
      <c r="CJ45" s="39">
        <f t="shared" ref="CJ45:CJ46" si="585">+CI45</f>
        <v>0</v>
      </c>
      <c r="CK45" s="39">
        <f t="shared" ref="CK45:CK46" si="586">+CJ45</f>
        <v>0</v>
      </c>
      <c r="CL45" s="39">
        <f t="shared" ref="CL45:CL46" si="587">+CK45</f>
        <v>0</v>
      </c>
      <c r="CM45" s="39">
        <f t="shared" ref="CM45:CM46" si="588">+CL45</f>
        <v>0</v>
      </c>
      <c r="CN45" s="39">
        <f t="shared" ref="CN45:CN46" si="589">+CM45</f>
        <v>0</v>
      </c>
      <c r="CO45" s="39">
        <f t="shared" ref="CO45:CO46" si="590">+CN45</f>
        <v>0</v>
      </c>
    </row>
    <row r="46" spans="1:93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9">
        <f>SUM(BV46:BY46)</f>
        <v>0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</v>
      </c>
      <c r="AU46" s="38">
        <f>+'QTR Raw'!Q40</f>
        <v>0</v>
      </c>
      <c r="AV46" s="38">
        <f>+'QTR Raw'!R40</f>
        <v>0</v>
      </c>
      <c r="AW46" s="38">
        <f>+'QTR Raw'!S40</f>
        <v>0</v>
      </c>
      <c r="AX46" s="38">
        <f>+'QTR Raw'!T40</f>
        <v>0</v>
      </c>
      <c r="AY46" s="38">
        <f>+'QTR Raw'!U40</f>
        <v>0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38">
        <f>+'QTR Raw'!AF40</f>
        <v>0</v>
      </c>
      <c r="BK46" s="38">
        <f>+'QTR Raw'!AG40</f>
        <v>0</v>
      </c>
      <c r="BL46" s="38">
        <f>+'QTR Raw'!AH40</f>
        <v>0</v>
      </c>
      <c r="BM46" s="38">
        <f>+'QTR Raw'!AI40</f>
        <v>0</v>
      </c>
      <c r="BN46" s="38">
        <f>+'QTR Raw'!AJ40</f>
        <v>0</v>
      </c>
      <c r="BO46" s="38">
        <f>+'QTR Raw'!AK40</f>
        <v>0</v>
      </c>
      <c r="BP46" s="38">
        <f>+'QTR Raw'!AL40</f>
        <v>0</v>
      </c>
      <c r="BQ46" s="38">
        <f>+'QTR Raw'!AM40</f>
        <v>0</v>
      </c>
      <c r="BR46" s="38">
        <f>+'QTR Raw'!AN40</f>
        <v>0</v>
      </c>
      <c r="BS46" s="38">
        <f>+'QTR Raw'!AO40</f>
        <v>0</v>
      </c>
      <c r="BT46" s="38">
        <f>+'QTR Raw'!AP40</f>
        <v>0</v>
      </c>
      <c r="BU46" s="38">
        <f>+'QTR Raw'!AQ40</f>
        <v>0</v>
      </c>
      <c r="BV46" s="38">
        <f>+'QTR Raw'!AR40</f>
        <v>0</v>
      </c>
      <c r="BW46" s="38">
        <f>+'QTR Raw'!AS40</f>
        <v>0</v>
      </c>
      <c r="BX46" s="38">
        <f>+'QTR Raw'!AT40</f>
        <v>0</v>
      </c>
      <c r="BY46" s="38">
        <f>+'QTR Raw'!AU40</f>
        <v>0</v>
      </c>
      <c r="BZ46" s="39">
        <f t="shared" si="575"/>
        <v>0</v>
      </c>
      <c r="CA46" s="39">
        <f t="shared" si="576"/>
        <v>0</v>
      </c>
      <c r="CB46" s="39">
        <f t="shared" si="577"/>
        <v>0</v>
      </c>
      <c r="CC46" s="39">
        <f t="shared" si="578"/>
        <v>0</v>
      </c>
      <c r="CD46" s="39">
        <f t="shared" si="579"/>
        <v>0</v>
      </c>
      <c r="CE46" s="39">
        <f t="shared" si="580"/>
        <v>0</v>
      </c>
      <c r="CF46" s="39">
        <f t="shared" si="581"/>
        <v>0</v>
      </c>
      <c r="CG46" s="39">
        <f t="shared" si="582"/>
        <v>0</v>
      </c>
      <c r="CH46" s="39">
        <f t="shared" si="583"/>
        <v>0</v>
      </c>
      <c r="CI46" s="39">
        <f t="shared" si="584"/>
        <v>0</v>
      </c>
      <c r="CJ46" s="39">
        <f t="shared" si="585"/>
        <v>0</v>
      </c>
      <c r="CK46" s="39">
        <f t="shared" si="586"/>
        <v>0</v>
      </c>
      <c r="CL46" s="39">
        <f t="shared" si="587"/>
        <v>0</v>
      </c>
      <c r="CM46" s="39">
        <f t="shared" si="588"/>
        <v>0</v>
      </c>
      <c r="CN46" s="39">
        <f t="shared" si="589"/>
        <v>0</v>
      </c>
      <c r="CO46" s="39">
        <f t="shared" si="590"/>
        <v>0</v>
      </c>
    </row>
    <row r="47" spans="1:93" s="38" customFormat="1" x14ac:dyDescent="0.2">
      <c r="A47" s="38" t="s">
        <v>281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0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9"/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0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3" s="40" customFormat="1" x14ac:dyDescent="0.2">
      <c r="A48" s="40" t="s">
        <v>6</v>
      </c>
      <c r="B48" s="40">
        <f t="shared" ref="B48:Y48" si="591">B44+B45+B46+B47</f>
        <v>0</v>
      </c>
      <c r="C48" s="40">
        <f t="shared" si="591"/>
        <v>0</v>
      </c>
      <c r="D48" s="40">
        <f t="shared" si="591"/>
        <v>0</v>
      </c>
      <c r="E48" s="40">
        <f t="shared" si="591"/>
        <v>0</v>
      </c>
      <c r="F48" s="40">
        <f t="shared" si="591"/>
        <v>0</v>
      </c>
      <c r="G48" s="40">
        <f t="shared" si="591"/>
        <v>0</v>
      </c>
      <c r="H48" s="40">
        <f t="shared" si="591"/>
        <v>0</v>
      </c>
      <c r="I48" s="40">
        <f t="shared" si="591"/>
        <v>0</v>
      </c>
      <c r="J48" s="40">
        <f t="shared" si="591"/>
        <v>0</v>
      </c>
      <c r="K48" s="40">
        <f t="shared" si="591"/>
        <v>0</v>
      </c>
      <c r="L48" s="40">
        <f t="shared" si="591"/>
        <v>0</v>
      </c>
      <c r="M48" s="40">
        <f t="shared" si="591"/>
        <v>0</v>
      </c>
      <c r="N48" s="40">
        <f t="shared" si="591"/>
        <v>0</v>
      </c>
      <c r="O48" s="40">
        <f t="shared" si="591"/>
        <v>0</v>
      </c>
      <c r="P48" s="40">
        <f t="shared" si="591"/>
        <v>0</v>
      </c>
      <c r="Q48" s="40">
        <f t="shared" si="591"/>
        <v>0</v>
      </c>
      <c r="R48" s="40">
        <f t="shared" si="591"/>
        <v>0</v>
      </c>
      <c r="S48" s="40">
        <f t="shared" si="591"/>
        <v>0</v>
      </c>
      <c r="T48" s="40">
        <f t="shared" si="591"/>
        <v>0</v>
      </c>
      <c r="U48" s="40">
        <f t="shared" si="591"/>
        <v>0</v>
      </c>
      <c r="V48" s="40">
        <f t="shared" si="591"/>
        <v>0</v>
      </c>
      <c r="W48" s="40">
        <f t="shared" si="591"/>
        <v>0</v>
      </c>
      <c r="X48" s="40">
        <f t="shared" si="591"/>
        <v>0</v>
      </c>
      <c r="Y48" s="40">
        <f t="shared" si="591"/>
        <v>0</v>
      </c>
      <c r="Z48" s="40">
        <f>Z44+Z45+Z46+Z47</f>
        <v>0</v>
      </c>
      <c r="AA48" s="41">
        <f t="shared" ref="AA48" si="592">AA44+AA45+AA46</f>
        <v>0</v>
      </c>
      <c r="AB48" s="41" t="e">
        <f t="shared" ref="AB48" si="593">AB44+AB45+AB46</f>
        <v>#DIV/0!</v>
      </c>
      <c r="AC48" s="41" t="e">
        <f t="shared" ref="AC48" si="594">AC44+AC45+AC46</f>
        <v>#DIV/0!</v>
      </c>
      <c r="AD48" s="41" t="e">
        <f t="shared" ref="AD48" si="595">AD44+AD45+AD46</f>
        <v>#DIV/0!</v>
      </c>
      <c r="AE48" s="41" t="e">
        <f t="shared" ref="AE48" si="596">AE44+AE45+AE46</f>
        <v>#DIV/0!</v>
      </c>
      <c r="AG48" s="61"/>
      <c r="AH48" s="40">
        <f t="shared" ref="AH48" si="597">AH44+AH45+AH46+AH47</f>
        <v>0</v>
      </c>
      <c r="AI48" s="40">
        <f t="shared" ref="AI48" si="598">AI44+AI45+AI46+AI47</f>
        <v>0</v>
      </c>
      <c r="AJ48" s="40">
        <f t="shared" ref="AJ48" si="599">AJ44+AJ45+AJ46+AJ47</f>
        <v>0</v>
      </c>
      <c r="AK48" s="40">
        <f t="shared" ref="AK48" si="600">AK44+AK45+AK46+AK47</f>
        <v>0</v>
      </c>
      <c r="AL48" s="40">
        <f t="shared" ref="AL48" si="601">AL44+AL45+AL46+AL47</f>
        <v>0</v>
      </c>
      <c r="AM48" s="40">
        <f t="shared" ref="AM48" si="602">AM44+AM45+AM46+AM47</f>
        <v>0</v>
      </c>
      <c r="AN48" s="40">
        <f t="shared" ref="AN48" si="603">AN44+AN45+AN46+AN47</f>
        <v>0</v>
      </c>
      <c r="AO48" s="40">
        <f t="shared" ref="AO48" si="604">AO44+AO45+AO46+AO47</f>
        <v>0</v>
      </c>
      <c r="AP48" s="40">
        <f t="shared" ref="AP48" si="605">AP44+AP45+AP46+AP47</f>
        <v>0</v>
      </c>
      <c r="AQ48" s="40">
        <f t="shared" ref="AQ48" si="606">AQ44+AQ45+AQ46+AQ47</f>
        <v>0</v>
      </c>
      <c r="AR48" s="40">
        <f t="shared" ref="AR48" si="607">AR44+AR45+AR46+AR47</f>
        <v>0</v>
      </c>
      <c r="AS48" s="40">
        <f t="shared" ref="AS48" si="608">AS44+AS45+AS46+AS47</f>
        <v>0</v>
      </c>
      <c r="AT48" s="40">
        <f t="shared" ref="AT48" si="609">AT44+AT45+AT46+AT47</f>
        <v>0</v>
      </c>
      <c r="AU48" s="40">
        <f t="shared" ref="AU48" si="610">AU44+AU45+AU46+AU47</f>
        <v>0</v>
      </c>
      <c r="AV48" s="40">
        <f t="shared" ref="AV48:BV48" si="611">AV44+AV45+AV46+AV47</f>
        <v>0</v>
      </c>
      <c r="AW48" s="40">
        <f t="shared" si="611"/>
        <v>0</v>
      </c>
      <c r="AX48" s="40">
        <f t="shared" si="611"/>
        <v>0</v>
      </c>
      <c r="AY48" s="40">
        <f t="shared" si="611"/>
        <v>0</v>
      </c>
      <c r="AZ48" s="40">
        <f t="shared" si="611"/>
        <v>0</v>
      </c>
      <c r="BA48" s="40">
        <f t="shared" si="611"/>
        <v>0</v>
      </c>
      <c r="BB48" s="40">
        <f t="shared" si="611"/>
        <v>0</v>
      </c>
      <c r="BC48" s="40">
        <f t="shared" si="611"/>
        <v>0</v>
      </c>
      <c r="BD48" s="40">
        <f t="shared" si="611"/>
        <v>0</v>
      </c>
      <c r="BE48" s="40">
        <f t="shared" si="611"/>
        <v>0</v>
      </c>
      <c r="BF48" s="40">
        <f t="shared" si="611"/>
        <v>0</v>
      </c>
      <c r="BG48" s="40">
        <f t="shared" si="611"/>
        <v>0</v>
      </c>
      <c r="BH48" s="40">
        <f t="shared" si="611"/>
        <v>0</v>
      </c>
      <c r="BI48" s="40">
        <f t="shared" si="611"/>
        <v>0</v>
      </c>
      <c r="BJ48" s="40">
        <f t="shared" si="611"/>
        <v>0</v>
      </c>
      <c r="BK48" s="40">
        <f t="shared" si="611"/>
        <v>0</v>
      </c>
      <c r="BL48" s="40">
        <f t="shared" si="611"/>
        <v>0</v>
      </c>
      <c r="BM48" s="40">
        <f t="shared" si="611"/>
        <v>0</v>
      </c>
      <c r="BN48" s="40">
        <f t="shared" si="611"/>
        <v>0</v>
      </c>
      <c r="BO48" s="40">
        <f t="shared" si="611"/>
        <v>0</v>
      </c>
      <c r="BP48" s="40">
        <f t="shared" si="611"/>
        <v>0</v>
      </c>
      <c r="BQ48" s="40">
        <f t="shared" si="611"/>
        <v>0</v>
      </c>
      <c r="BR48" s="40">
        <f t="shared" si="611"/>
        <v>0</v>
      </c>
      <c r="BS48" s="40">
        <f t="shared" si="611"/>
        <v>0</v>
      </c>
      <c r="BT48" s="40">
        <f t="shared" si="611"/>
        <v>0</v>
      </c>
      <c r="BU48" s="40">
        <f t="shared" si="611"/>
        <v>0</v>
      </c>
      <c r="BV48" s="40">
        <f t="shared" si="611"/>
        <v>0</v>
      </c>
      <c r="BW48" s="40">
        <f>BW44+BW45+BW46+BW47</f>
        <v>0</v>
      </c>
      <c r="BX48" s="40">
        <f>BX44+BX45+BX46+BX47</f>
        <v>0</v>
      </c>
      <c r="BY48" s="40">
        <f>BY44+BY45+BY46+BY47</f>
        <v>0</v>
      </c>
      <c r="BZ48" s="41" t="e">
        <f t="shared" ref="BZ48:CC48" si="612">BZ44+BZ45+BZ46</f>
        <v>#DIV/0!</v>
      </c>
      <c r="CA48" s="41" t="e">
        <f t="shared" si="612"/>
        <v>#DIV/0!</v>
      </c>
      <c r="CB48" s="41" t="e">
        <f t="shared" si="612"/>
        <v>#DIV/0!</v>
      </c>
      <c r="CC48" s="41" t="e">
        <f t="shared" si="612"/>
        <v>#DIV/0!</v>
      </c>
      <c r="CD48" s="41" t="e">
        <f t="shared" ref="CD48:CO48" si="613">CD44+CD45+CD46</f>
        <v>#DIV/0!</v>
      </c>
      <c r="CE48" s="41" t="e">
        <f t="shared" si="613"/>
        <v>#DIV/0!</v>
      </c>
      <c r="CF48" s="41" t="e">
        <f t="shared" si="613"/>
        <v>#DIV/0!</v>
      </c>
      <c r="CG48" s="41" t="e">
        <f t="shared" si="613"/>
        <v>#DIV/0!</v>
      </c>
      <c r="CH48" s="41" t="e">
        <f t="shared" si="613"/>
        <v>#DIV/0!</v>
      </c>
      <c r="CI48" s="41" t="e">
        <f t="shared" si="613"/>
        <v>#DIV/0!</v>
      </c>
      <c r="CJ48" s="41" t="e">
        <f t="shared" si="613"/>
        <v>#DIV/0!</v>
      </c>
      <c r="CK48" s="41" t="e">
        <f t="shared" si="613"/>
        <v>#DIV/0!</v>
      </c>
      <c r="CL48" s="41" t="e">
        <f t="shared" si="613"/>
        <v>#DIV/0!</v>
      </c>
      <c r="CM48" s="41" t="e">
        <f t="shared" si="613"/>
        <v>#DIV/0!</v>
      </c>
      <c r="CN48" s="41" t="e">
        <f t="shared" si="613"/>
        <v>#DIV/0!</v>
      </c>
      <c r="CO48" s="41" t="e">
        <f t="shared" si="613"/>
        <v>#DIV/0!</v>
      </c>
    </row>
    <row r="49" spans="1:93" s="71" customFormat="1" x14ac:dyDescent="0.2">
      <c r="A49" s="71" t="s">
        <v>15</v>
      </c>
      <c r="C49" s="71" t="e">
        <f t="shared" ref="C49:AE49" si="614">+IF(B48&lt;0,1-C48/B48,C48/B48-1)</f>
        <v>#DIV/0!</v>
      </c>
      <c r="D49" s="71" t="e">
        <f t="shared" si="614"/>
        <v>#DIV/0!</v>
      </c>
      <c r="E49" s="71" t="e">
        <f t="shared" si="614"/>
        <v>#DIV/0!</v>
      </c>
      <c r="F49" s="71" t="e">
        <f t="shared" si="614"/>
        <v>#DIV/0!</v>
      </c>
      <c r="G49" s="71" t="e">
        <f t="shared" si="614"/>
        <v>#DIV/0!</v>
      </c>
      <c r="H49" s="71" t="e">
        <f t="shared" si="614"/>
        <v>#DIV/0!</v>
      </c>
      <c r="I49" s="71" t="e">
        <f t="shared" si="614"/>
        <v>#DIV/0!</v>
      </c>
      <c r="J49" s="71" t="e">
        <f t="shared" si="614"/>
        <v>#DIV/0!</v>
      </c>
      <c r="K49" s="71" t="e">
        <f t="shared" si="614"/>
        <v>#DIV/0!</v>
      </c>
      <c r="L49" s="71" t="e">
        <f t="shared" si="614"/>
        <v>#DIV/0!</v>
      </c>
      <c r="M49" s="71" t="e">
        <f t="shared" si="614"/>
        <v>#DIV/0!</v>
      </c>
      <c r="N49" s="71" t="e">
        <f t="shared" si="614"/>
        <v>#DIV/0!</v>
      </c>
      <c r="O49" s="71" t="e">
        <f t="shared" si="614"/>
        <v>#DIV/0!</v>
      </c>
      <c r="P49" s="71" t="e">
        <f t="shared" si="614"/>
        <v>#DIV/0!</v>
      </c>
      <c r="Q49" s="71" t="e">
        <f t="shared" si="614"/>
        <v>#DIV/0!</v>
      </c>
      <c r="R49" s="71" t="e">
        <f t="shared" si="614"/>
        <v>#DIV/0!</v>
      </c>
      <c r="S49" s="71" t="e">
        <f t="shared" si="614"/>
        <v>#DIV/0!</v>
      </c>
      <c r="T49" s="71" t="e">
        <f t="shared" si="614"/>
        <v>#DIV/0!</v>
      </c>
      <c r="U49" s="71" t="e">
        <f t="shared" si="614"/>
        <v>#DIV/0!</v>
      </c>
      <c r="V49" s="71" t="e">
        <f t="shared" si="614"/>
        <v>#DIV/0!</v>
      </c>
      <c r="W49" s="71" t="e">
        <f t="shared" si="614"/>
        <v>#DIV/0!</v>
      </c>
      <c r="X49" s="71" t="e">
        <f t="shared" si="614"/>
        <v>#DIV/0!</v>
      </c>
      <c r="Y49" s="71" t="e">
        <f t="shared" si="614"/>
        <v>#DIV/0!</v>
      </c>
      <c r="Z49" s="71" t="e">
        <f t="shared" si="614"/>
        <v>#DIV/0!</v>
      </c>
      <c r="AA49" s="72" t="e">
        <f t="shared" si="614"/>
        <v>#DIV/0!</v>
      </c>
      <c r="AB49" s="72" t="e">
        <f t="shared" si="614"/>
        <v>#DIV/0!</v>
      </c>
      <c r="AC49" s="72" t="e">
        <f t="shared" si="614"/>
        <v>#DIV/0!</v>
      </c>
      <c r="AD49" s="72" t="e">
        <f t="shared" si="614"/>
        <v>#DIV/0!</v>
      </c>
      <c r="AE49" s="72" t="e">
        <f t="shared" si="614"/>
        <v>#DIV/0!</v>
      </c>
      <c r="AG49" s="73"/>
      <c r="AH49" s="74"/>
      <c r="AI49" s="74"/>
      <c r="AJ49" s="74"/>
      <c r="AK49" s="74"/>
      <c r="AL49" s="74" t="e">
        <f t="shared" ref="AL49" si="615">+IF(AH48&lt;0,1-AL48/AH48,AL48/AH48-1)</f>
        <v>#DIV/0!</v>
      </c>
      <c r="AM49" s="74" t="e">
        <f t="shared" ref="AM49" si="616">+IF(AI48&lt;0,1-AM48/AI48,AM48/AI48-1)</f>
        <v>#DIV/0!</v>
      </c>
      <c r="AN49" s="74" t="e">
        <f t="shared" ref="AN49" si="617">+IF(AJ48&lt;0,1-AN48/AJ48,AN48/AJ48-1)</f>
        <v>#DIV/0!</v>
      </c>
      <c r="AO49" s="74" t="e">
        <f t="shared" ref="AO49" si="618">+IF(AK48&lt;0,1-AO48/AK48,AO48/AK48-1)</f>
        <v>#DIV/0!</v>
      </c>
      <c r="AP49" s="74" t="e">
        <f t="shared" ref="AP49" si="619">+IF(AL48&lt;0,1-AP48/AL48,AP48/AL48-1)</f>
        <v>#DIV/0!</v>
      </c>
      <c r="AQ49" s="74" t="e">
        <f t="shared" ref="AQ49" si="620">+IF(AM48&lt;0,1-AQ48/AM48,AQ48/AM48-1)</f>
        <v>#DIV/0!</v>
      </c>
      <c r="AR49" s="74" t="e">
        <f t="shared" ref="AR49" si="621">+IF(AN48&lt;0,1-AR48/AN48,AR48/AN48-1)</f>
        <v>#DIV/0!</v>
      </c>
      <c r="AS49" s="74" t="e">
        <f t="shared" ref="AS49" si="622">+IF(AO48&lt;0,1-AS48/AO48,AS48/AO48-1)</f>
        <v>#DIV/0!</v>
      </c>
      <c r="AT49" s="74" t="e">
        <f t="shared" ref="AT49" si="623">+IF(AP48&lt;0,1-AT48/AP48,AT48/AP48-1)</f>
        <v>#DIV/0!</v>
      </c>
      <c r="AU49" s="74" t="e">
        <f t="shared" ref="AU49" si="624">+IF(AQ48&lt;0,1-AU48/AQ48,AU48/AQ48-1)</f>
        <v>#DIV/0!</v>
      </c>
      <c r="AV49" s="74" t="e">
        <f t="shared" ref="AV49" si="625">+IF(AR48&lt;0,1-AV48/AR48,AV48/AR48-1)</f>
        <v>#DIV/0!</v>
      </c>
      <c r="AW49" s="74" t="e">
        <f t="shared" ref="AW49" si="626">+IF(AS48&lt;0,1-AW48/AS48,AW48/AS48-1)</f>
        <v>#DIV/0!</v>
      </c>
      <c r="AX49" s="74" t="e">
        <f t="shared" ref="AX49" si="627">+IF(AT48&lt;0,1-AX48/AT48,AX48/AT48-1)</f>
        <v>#DIV/0!</v>
      </c>
      <c r="AY49" s="74" t="e">
        <f t="shared" ref="AY49" si="628">+IF(AU48&lt;0,1-AY48/AU48,AY48/AU48-1)</f>
        <v>#DIV/0!</v>
      </c>
      <c r="AZ49" s="74" t="e">
        <f t="shared" ref="AZ49" si="629">+IF(AV48&lt;0,1-AZ48/AV48,AZ48/AV48-1)</f>
        <v>#DIV/0!</v>
      </c>
      <c r="BA49" s="74" t="e">
        <f t="shared" ref="BA49" si="630">+IF(AW48&lt;0,1-BA48/AW48,BA48/AW48-1)</f>
        <v>#DIV/0!</v>
      </c>
      <c r="BB49" s="74" t="e">
        <f t="shared" ref="BB49" si="631">+IF(AX48&lt;0,1-BB48/AX48,BB48/AX48-1)</f>
        <v>#DIV/0!</v>
      </c>
      <c r="BC49" s="74" t="e">
        <f t="shared" ref="BC49" si="632">+IF(AY48&lt;0,1-BC48/AY48,BC48/AY48-1)</f>
        <v>#DIV/0!</v>
      </c>
      <c r="BD49" s="74" t="e">
        <f t="shared" ref="BD49" si="633">+IF(AZ48&lt;0,1-BD48/AZ48,BD48/AZ48-1)</f>
        <v>#DIV/0!</v>
      </c>
      <c r="BE49" s="74" t="e">
        <f t="shared" ref="BE49" si="634">+IF(BA48&lt;0,1-BE48/BA48,BE48/BA48-1)</f>
        <v>#DIV/0!</v>
      </c>
      <c r="BF49" s="74" t="e">
        <f t="shared" ref="BF49" si="635">+IF(BB48&lt;0,1-BF48/BB48,BF48/BB48-1)</f>
        <v>#DIV/0!</v>
      </c>
      <c r="BG49" s="74" t="e">
        <f t="shared" ref="BG49" si="636">+IF(BC48&lt;0,1-BG48/BC48,BG48/BC48-1)</f>
        <v>#DIV/0!</v>
      </c>
      <c r="BH49" s="74" t="e">
        <f t="shared" ref="BH49" si="637">+IF(BD48&lt;0,1-BH48/BD48,BH48/BD48-1)</f>
        <v>#DIV/0!</v>
      </c>
      <c r="BI49" s="74" t="e">
        <f t="shared" ref="BI49" si="638">+IF(BE48&lt;0,1-BI48/BE48,BI48/BE48-1)</f>
        <v>#DIV/0!</v>
      </c>
      <c r="BJ49" s="74" t="e">
        <f t="shared" ref="BJ49" si="639">+IF(BF48&lt;0,1-BJ48/BF48,BJ48/BF48-1)</f>
        <v>#DIV/0!</v>
      </c>
      <c r="BK49" s="74" t="e">
        <f t="shared" ref="BK49" si="640">+IF(BG48&lt;0,1-BK48/BG48,BK48/BG48-1)</f>
        <v>#DIV/0!</v>
      </c>
      <c r="BL49" s="74" t="e">
        <f t="shared" ref="BL49" si="641">+IF(BH48&lt;0,1-BL48/BH48,BL48/BH48-1)</f>
        <v>#DIV/0!</v>
      </c>
      <c r="BM49" s="74" t="e">
        <f t="shared" ref="BM49" si="642">+IF(BI48&lt;0,1-BM48/BI48,BM48/BI48-1)</f>
        <v>#DIV/0!</v>
      </c>
      <c r="BN49" s="74" t="e">
        <f t="shared" ref="BN49" si="643">+IF(BJ48&lt;0,1-BN48/BJ48,BN48/BJ48-1)</f>
        <v>#DIV/0!</v>
      </c>
      <c r="BO49" s="74" t="e">
        <f t="shared" ref="BO49" si="644">+IF(BK48&lt;0,1-BO48/BK48,BO48/BK48-1)</f>
        <v>#DIV/0!</v>
      </c>
      <c r="BP49" s="74" t="e">
        <f t="shared" ref="BP49" si="645">+IF(BL48&lt;0,1-BP48/BL48,BP48/BL48-1)</f>
        <v>#DIV/0!</v>
      </c>
      <c r="BQ49" s="74" t="e">
        <f t="shared" ref="BQ49" si="646">+IF(BM48&lt;0,1-BQ48/BM48,BQ48/BM48-1)</f>
        <v>#DIV/0!</v>
      </c>
      <c r="BR49" s="74" t="e">
        <f t="shared" ref="BR49" si="647">+IF(BN48&lt;0,1-BR48/BN48,BR48/BN48-1)</f>
        <v>#DIV/0!</v>
      </c>
      <c r="BS49" s="74" t="e">
        <f t="shared" ref="BS49" si="648">+IF(BO48&lt;0,1-BS48/BO48,BS48/BO48-1)</f>
        <v>#DIV/0!</v>
      </c>
      <c r="BT49" s="74" t="e">
        <f t="shared" ref="BT49" si="649">+IF(BP48&lt;0,1-BT48/BP48,BT48/BP48-1)</f>
        <v>#DIV/0!</v>
      </c>
      <c r="BU49" s="74" t="e">
        <f t="shared" ref="BU49" si="650">+IF(BQ48&lt;0,1-BU48/BQ48,BU48/BQ48-1)</f>
        <v>#DIV/0!</v>
      </c>
      <c r="BV49" s="74" t="e">
        <f t="shared" ref="BV49" si="651">+IF(BR48&lt;0,1-BV48/BR48,BV48/BR48-1)</f>
        <v>#DIV/0!</v>
      </c>
      <c r="BW49" s="74" t="e">
        <f>+IF(BS48&lt;0,1-BW48/BS48,BW48/BS48-1)</f>
        <v>#DIV/0!</v>
      </c>
      <c r="BX49" s="74" t="e">
        <f>+IF(BT48&lt;0,1-BX48/BT48,BX48/BT48-1)</f>
        <v>#DIV/0!</v>
      </c>
      <c r="BY49" s="74" t="e">
        <f>+IF(BU48&lt;0,1-BY48/BU48,BY48/BU48-1)</f>
        <v>#DIV/0!</v>
      </c>
      <c r="BZ49" s="36" t="e">
        <f t="shared" ref="BZ49" si="652">+IF(BV48&lt;0,1-BZ48/BV48,BZ48/BV48-1)</f>
        <v>#DIV/0!</v>
      </c>
      <c r="CA49" s="36" t="e">
        <f t="shared" ref="CA49" si="653">+IF(BW48&lt;0,1-CA48/BW48,CA48/BW48-1)</f>
        <v>#DIV/0!</v>
      </c>
      <c r="CB49" s="36" t="e">
        <f t="shared" ref="CB49" si="654">+IF(BX48&lt;0,1-CB48/BX48,CB48/BX48-1)</f>
        <v>#DIV/0!</v>
      </c>
      <c r="CC49" s="36" t="e">
        <f t="shared" ref="CC49" si="655">+IF(BY48&lt;0,1-CC48/BY48,CC48/BY48-1)</f>
        <v>#DIV/0!</v>
      </c>
      <c r="CD49" s="36" t="e">
        <f t="shared" ref="CD49" si="656">+IF(BZ48&lt;0,1-CD48/BZ48,CD48/BZ48-1)</f>
        <v>#DIV/0!</v>
      </c>
      <c r="CE49" s="36" t="e">
        <f t="shared" ref="CE49" si="657">+IF(CA48&lt;0,1-CE48/CA48,CE48/CA48-1)</f>
        <v>#DIV/0!</v>
      </c>
      <c r="CF49" s="36" t="e">
        <f t="shared" ref="CF49" si="658">+IF(CB48&lt;0,1-CF48/CB48,CF48/CB48-1)</f>
        <v>#DIV/0!</v>
      </c>
      <c r="CG49" s="36" t="e">
        <f t="shared" ref="CG49" si="659">+IF(CC48&lt;0,1-CG48/CC48,CG48/CC48-1)</f>
        <v>#DIV/0!</v>
      </c>
      <c r="CH49" s="36" t="e">
        <f t="shared" ref="CH49" si="660">+IF(CD48&lt;0,1-CH48/CD48,CH48/CD48-1)</f>
        <v>#DIV/0!</v>
      </c>
      <c r="CI49" s="36" t="e">
        <f t="shared" ref="CI49" si="661">+IF(CE48&lt;0,1-CI48/CE48,CI48/CE48-1)</f>
        <v>#DIV/0!</v>
      </c>
      <c r="CJ49" s="36" t="e">
        <f t="shared" ref="CJ49" si="662">+IF(CF48&lt;0,1-CJ48/CF48,CJ48/CF48-1)</f>
        <v>#DIV/0!</v>
      </c>
      <c r="CK49" s="36" t="e">
        <f t="shared" ref="CK49" si="663">+IF(CG48&lt;0,1-CK48/CG48,CK48/CG48-1)</f>
        <v>#DIV/0!</v>
      </c>
      <c r="CL49" s="36" t="e">
        <f t="shared" ref="CL49" si="664">+IF(CH48&lt;0,1-CL48/CH48,CL48/CH48-1)</f>
        <v>#DIV/0!</v>
      </c>
      <c r="CM49" s="36" t="e">
        <f t="shared" ref="CM49" si="665">+IF(CI48&lt;0,1-CM48/CI48,CM48/CI48-1)</f>
        <v>#DIV/0!</v>
      </c>
      <c r="CN49" s="36" t="e">
        <f t="shared" ref="CN49" si="666">+IF(CJ48&lt;0,1-CN48/CJ48,CN48/CJ48-1)</f>
        <v>#DIV/0!</v>
      </c>
      <c r="CO49" s="36" t="e">
        <f t="shared" ref="CO49" si="667">+IF(CK48&lt;0,1-CO48/CK48,CO48/CK48-1)</f>
        <v>#DIV/0!</v>
      </c>
    </row>
    <row r="50" spans="1:93" s="45" customFormat="1" x14ac:dyDescent="0.2">
      <c r="A50" s="113" t="s">
        <v>164</v>
      </c>
      <c r="AA50" s="39"/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35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3" s="67" customFormat="1" x14ac:dyDescent="0.2">
      <c r="A51" s="67" t="s">
        <v>43</v>
      </c>
      <c r="B51" s="67">
        <f>+'Annual Raw'!C45</f>
        <v>0</v>
      </c>
      <c r="C51" s="67">
        <f>+'Annual Raw'!D45</f>
        <v>0</v>
      </c>
      <c r="D51" s="67">
        <f>+'Annual Raw'!E45</f>
        <v>0</v>
      </c>
      <c r="E51" s="67">
        <f>+'Annual Raw'!F45</f>
        <v>0</v>
      </c>
      <c r="F51" s="67">
        <f>+'Annual Raw'!G45</f>
        <v>0</v>
      </c>
      <c r="G51" s="67">
        <f>+'Annual Raw'!H45</f>
        <v>0</v>
      </c>
      <c r="H51" s="67">
        <f>+'Annual Raw'!I45</f>
        <v>0</v>
      </c>
      <c r="I51" s="67">
        <f>+'Annual Raw'!J45</f>
        <v>0</v>
      </c>
      <c r="J51" s="67">
        <f>+'Annual Raw'!K45</f>
        <v>0</v>
      </c>
      <c r="K51" s="67">
        <f>+'Annual Raw'!L45</f>
        <v>0</v>
      </c>
      <c r="L51" s="67">
        <f>+'Annual Raw'!M45</f>
        <v>0</v>
      </c>
      <c r="M51" s="67">
        <f>+'Annual Raw'!N45</f>
        <v>0</v>
      </c>
      <c r="N51" s="67">
        <f>+'Annual Raw'!O45</f>
        <v>0</v>
      </c>
      <c r="O51" s="67">
        <f>+'Annual Raw'!P45</f>
        <v>0</v>
      </c>
      <c r="P51" s="67">
        <f>+'Annual Raw'!Q45</f>
        <v>0</v>
      </c>
      <c r="Q51" s="67">
        <f>+'Annual Raw'!R45</f>
        <v>0</v>
      </c>
      <c r="R51" s="67">
        <f>+'Annual Raw'!S45</f>
        <v>0</v>
      </c>
      <c r="S51" s="67">
        <f>+'Annual Raw'!T45</f>
        <v>0</v>
      </c>
      <c r="T51" s="67">
        <f>+'Annual Raw'!U45</f>
        <v>0</v>
      </c>
      <c r="U51" s="67">
        <f>+'Annual Raw'!V45</f>
        <v>0</v>
      </c>
      <c r="V51" s="67">
        <f>+'Annual Raw'!W45</f>
        <v>0</v>
      </c>
      <c r="W51" s="67">
        <f>+'Annual Raw'!X45</f>
        <v>0</v>
      </c>
      <c r="X51" s="67">
        <f>+'Annual Raw'!Y45</f>
        <v>0</v>
      </c>
      <c r="Y51" s="67">
        <f>+'Annual Raw'!Z45</f>
        <v>0</v>
      </c>
      <c r="Z51" s="67">
        <f>+'Annual Raw'!AA45</f>
        <v>0</v>
      </c>
      <c r="AA51" s="39"/>
      <c r="AB51" s="39"/>
      <c r="AC51" s="39"/>
      <c r="AD51" s="39"/>
      <c r="AE51" s="39"/>
      <c r="AG51" s="62"/>
      <c r="AH51" s="68">
        <f>+'QTR Raw'!D45</f>
        <v>0</v>
      </c>
      <c r="AI51" s="68">
        <f>+'QTR Raw'!E45</f>
        <v>0</v>
      </c>
      <c r="AJ51" s="68">
        <f>+'QTR Raw'!F45</f>
        <v>0</v>
      </c>
      <c r="AK51" s="68">
        <f>+'QTR Raw'!G45</f>
        <v>0</v>
      </c>
      <c r="AL51" s="68">
        <f>+'QTR Raw'!H45</f>
        <v>0</v>
      </c>
      <c r="AM51" s="68">
        <f>+'QTR Raw'!I45</f>
        <v>0</v>
      </c>
      <c r="AN51" s="68">
        <f>+'QTR Raw'!J45</f>
        <v>0</v>
      </c>
      <c r="AO51" s="68">
        <f>+'QTR Raw'!K45</f>
        <v>0</v>
      </c>
      <c r="AP51" s="68">
        <f>+'QTR Raw'!L45</f>
        <v>0</v>
      </c>
      <c r="AQ51" s="68">
        <f>+'QTR Raw'!M45</f>
        <v>0</v>
      </c>
      <c r="AR51" s="68">
        <f>+'QTR Raw'!N45</f>
        <v>0</v>
      </c>
      <c r="AS51" s="68">
        <f>+'QTR Raw'!O45</f>
        <v>0</v>
      </c>
      <c r="AT51" s="68">
        <f>+'QTR Raw'!P45</f>
        <v>0</v>
      </c>
      <c r="AU51" s="68">
        <f>+'QTR Raw'!Q45</f>
        <v>0</v>
      </c>
      <c r="AV51" s="68">
        <f>+'QTR Raw'!R45</f>
        <v>0</v>
      </c>
      <c r="AW51" s="68">
        <f>+'QTR Raw'!S45</f>
        <v>0</v>
      </c>
      <c r="AX51" s="68">
        <f>+'QTR Raw'!T45</f>
        <v>0</v>
      </c>
      <c r="AY51" s="68">
        <f>+'QTR Raw'!U45</f>
        <v>0</v>
      </c>
      <c r="AZ51" s="68">
        <f>+'QTR Raw'!V45</f>
        <v>0</v>
      </c>
      <c r="BA51" s="68">
        <f>+'QTR Raw'!W45</f>
        <v>0</v>
      </c>
      <c r="BB51" s="68">
        <f>+'QTR Raw'!X45</f>
        <v>0</v>
      </c>
      <c r="BC51" s="68">
        <f>+'QTR Raw'!Y45</f>
        <v>0</v>
      </c>
      <c r="BD51" s="68">
        <f>+'QTR Raw'!Z45</f>
        <v>0</v>
      </c>
      <c r="BE51" s="68">
        <f>+'QTR Raw'!AA45</f>
        <v>0</v>
      </c>
      <c r="BF51" s="68">
        <f>+'QTR Raw'!AB45</f>
        <v>0</v>
      </c>
      <c r="BG51" s="68">
        <f>+'QTR Raw'!AC45</f>
        <v>0</v>
      </c>
      <c r="BH51" s="68">
        <f>+'QTR Raw'!AD45</f>
        <v>0</v>
      </c>
      <c r="BI51" s="68">
        <f>+'QTR Raw'!AE45</f>
        <v>0</v>
      </c>
      <c r="BJ51" s="68">
        <f>+'QTR Raw'!AF45</f>
        <v>0</v>
      </c>
      <c r="BK51" s="68">
        <f>+'QTR Raw'!AG45</f>
        <v>0</v>
      </c>
      <c r="BL51" s="68">
        <f>+'QTR Raw'!AH45</f>
        <v>0</v>
      </c>
      <c r="BM51" s="68">
        <f>+'QTR Raw'!AI45</f>
        <v>0</v>
      </c>
      <c r="BN51" s="68">
        <f>+'QTR Raw'!AJ45</f>
        <v>0</v>
      </c>
      <c r="BO51" s="68">
        <f>+'QTR Raw'!AK45</f>
        <v>0</v>
      </c>
      <c r="BP51" s="68">
        <f>+'QTR Raw'!AL45</f>
        <v>0</v>
      </c>
      <c r="BQ51" s="68">
        <f>+'QTR Raw'!AM45</f>
        <v>0</v>
      </c>
      <c r="BR51" s="68">
        <f>+'QTR Raw'!AN45</f>
        <v>0</v>
      </c>
      <c r="BS51" s="68">
        <f>+'QTR Raw'!AO45</f>
        <v>0</v>
      </c>
      <c r="BT51" s="68">
        <f>+'QTR Raw'!AP45</f>
        <v>0</v>
      </c>
      <c r="BU51" s="68">
        <f>+'QTR Raw'!AQ45</f>
        <v>0</v>
      </c>
      <c r="BV51" s="68">
        <f>+'QTR Raw'!AR45</f>
        <v>0</v>
      </c>
      <c r="BW51" s="68">
        <f>+'QTR Raw'!AS45</f>
        <v>0</v>
      </c>
      <c r="BX51" s="68">
        <f>+'QTR Raw'!AT45</f>
        <v>0</v>
      </c>
      <c r="BY51" s="68">
        <f>+'QTR Raw'!AU45</f>
        <v>0</v>
      </c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</row>
    <row r="52" spans="1:93" s="45" customFormat="1" x14ac:dyDescent="0.2">
      <c r="A52" s="45" t="s">
        <v>279</v>
      </c>
      <c r="B52" s="45">
        <f t="shared" ref="B52:X52" si="668">+B48-B51</f>
        <v>0</v>
      </c>
      <c r="C52" s="45">
        <f t="shared" si="668"/>
        <v>0</v>
      </c>
      <c r="D52" s="45">
        <f t="shared" si="668"/>
        <v>0</v>
      </c>
      <c r="E52" s="45">
        <f t="shared" si="668"/>
        <v>0</v>
      </c>
      <c r="F52" s="45">
        <f t="shared" si="668"/>
        <v>0</v>
      </c>
      <c r="G52" s="45">
        <f t="shared" si="668"/>
        <v>0</v>
      </c>
      <c r="H52" s="45">
        <f t="shared" si="668"/>
        <v>0</v>
      </c>
      <c r="I52" s="45">
        <f t="shared" si="668"/>
        <v>0</v>
      </c>
      <c r="J52" s="45">
        <f t="shared" si="668"/>
        <v>0</v>
      </c>
      <c r="K52" s="45">
        <f t="shared" si="668"/>
        <v>0</v>
      </c>
      <c r="L52" s="45">
        <f t="shared" si="668"/>
        <v>0</v>
      </c>
      <c r="M52" s="45">
        <f t="shared" si="668"/>
        <v>0</v>
      </c>
      <c r="N52" s="45">
        <f t="shared" si="668"/>
        <v>0</v>
      </c>
      <c r="O52" s="45">
        <f t="shared" si="668"/>
        <v>0</v>
      </c>
      <c r="P52" s="45">
        <f t="shared" si="668"/>
        <v>0</v>
      </c>
      <c r="Q52" s="45">
        <f t="shared" si="668"/>
        <v>0</v>
      </c>
      <c r="R52" s="45">
        <f t="shared" si="668"/>
        <v>0</v>
      </c>
      <c r="S52" s="45">
        <f t="shared" si="668"/>
        <v>0</v>
      </c>
      <c r="T52" s="104">
        <f t="shared" si="668"/>
        <v>0</v>
      </c>
      <c r="U52" s="104">
        <f t="shared" si="668"/>
        <v>0</v>
      </c>
      <c r="V52" s="104">
        <f t="shared" si="668"/>
        <v>0</v>
      </c>
      <c r="W52" s="104">
        <f t="shared" si="668"/>
        <v>0</v>
      </c>
      <c r="X52" s="104">
        <f t="shared" si="668"/>
        <v>0</v>
      </c>
      <c r="Y52" s="104">
        <f t="shared" ref="Y52:Z52" si="669">+Y48-Y51</f>
        <v>0</v>
      </c>
      <c r="Z52" s="104">
        <f t="shared" si="669"/>
        <v>0</v>
      </c>
      <c r="AA52" s="39"/>
      <c r="AB52" s="39"/>
      <c r="AC52" s="39"/>
      <c r="AD52" s="39"/>
      <c r="AE52" s="39"/>
      <c r="AG52" s="60"/>
      <c r="AH52" s="104">
        <f t="shared" ref="AH52" si="670">+AH48-AH51</f>
        <v>0</v>
      </c>
      <c r="AI52" s="104">
        <f t="shared" ref="AI52" si="671">+AI48-AI51</f>
        <v>0</v>
      </c>
      <c r="AJ52" s="104">
        <f t="shared" ref="AJ52" si="672">+AJ48-AJ51</f>
        <v>0</v>
      </c>
      <c r="AK52" s="104">
        <f t="shared" ref="AK52" si="673">+AK48-AK51</f>
        <v>0</v>
      </c>
      <c r="AL52" s="104">
        <f t="shared" ref="AL52" si="674">+AL48-AL51</f>
        <v>0</v>
      </c>
      <c r="AM52" s="104">
        <f t="shared" ref="AM52" si="675">+AM48-AM51</f>
        <v>0</v>
      </c>
      <c r="AN52" s="104">
        <f t="shared" ref="AN52" si="676">+AN48-AN51</f>
        <v>0</v>
      </c>
      <c r="AO52" s="104">
        <f t="shared" ref="AO52" si="677">+AO48-AO51</f>
        <v>0</v>
      </c>
      <c r="AP52" s="104">
        <f t="shared" ref="AP52" si="678">+AP48-AP51</f>
        <v>0</v>
      </c>
      <c r="AQ52" s="104">
        <f t="shared" ref="AQ52" si="679">+AQ48-AQ51</f>
        <v>0</v>
      </c>
      <c r="AR52" s="104">
        <f t="shared" ref="AR52" si="680">+AR48-AR51</f>
        <v>0</v>
      </c>
      <c r="AS52" s="104">
        <f t="shared" ref="AS52" si="681">+AS48-AS51</f>
        <v>0</v>
      </c>
      <c r="AT52" s="104">
        <f t="shared" ref="AT52" si="682">+AT48-AT51</f>
        <v>0</v>
      </c>
      <c r="AU52" s="104">
        <f t="shared" ref="AU52" si="683">+AU48-AU51</f>
        <v>0</v>
      </c>
      <c r="AV52" s="104">
        <f t="shared" ref="AV52" si="684">+AV48-AV51</f>
        <v>0</v>
      </c>
      <c r="AW52" s="104">
        <f t="shared" ref="AW52" si="685">+AW48-AW51</f>
        <v>0</v>
      </c>
      <c r="AX52" s="104">
        <f t="shared" ref="AX52" si="686">+AX48-AX51</f>
        <v>0</v>
      </c>
      <c r="AY52" s="104">
        <f t="shared" ref="AY52" si="687">+AY48-AY51</f>
        <v>0</v>
      </c>
      <c r="AZ52" s="104">
        <f t="shared" ref="AZ52" si="688">+AZ48-AZ51</f>
        <v>0</v>
      </c>
      <c r="BA52" s="104">
        <f t="shared" ref="BA52" si="689">+BA48-BA51</f>
        <v>0</v>
      </c>
      <c r="BB52" s="104">
        <f t="shared" ref="BB52" si="690">+BB48-BB51</f>
        <v>0</v>
      </c>
      <c r="BC52" s="104">
        <f t="shared" ref="BC52" si="691">+BC48-BC51</f>
        <v>0</v>
      </c>
      <c r="BD52" s="104">
        <f t="shared" ref="BD52" si="692">+BD48-BD51</f>
        <v>0</v>
      </c>
      <c r="BE52" s="104">
        <f t="shared" ref="BE52" si="693">+BE48-BE51</f>
        <v>0</v>
      </c>
      <c r="BF52" s="104">
        <f t="shared" ref="BF52" si="694">+BF48-BF51</f>
        <v>0</v>
      </c>
      <c r="BG52" s="104">
        <f t="shared" ref="BG52" si="695">+BG48-BG51</f>
        <v>0</v>
      </c>
      <c r="BH52" s="104">
        <f t="shared" ref="BH52" si="696">+BH48-BH51</f>
        <v>0</v>
      </c>
      <c r="BI52" s="104">
        <f t="shared" ref="BI52" si="697">+BI48-BI51</f>
        <v>0</v>
      </c>
      <c r="BJ52" s="104">
        <f t="shared" ref="BJ52" si="698">+BJ48-BJ51</f>
        <v>0</v>
      </c>
      <c r="BK52" s="104">
        <f t="shared" ref="BK52" si="699">+BK48-BK51</f>
        <v>0</v>
      </c>
      <c r="BL52" s="104">
        <f t="shared" ref="BL52" si="700">+BL48-BL51</f>
        <v>0</v>
      </c>
      <c r="BM52" s="104">
        <f t="shared" ref="BM52" si="701">+BM48-BM51</f>
        <v>0</v>
      </c>
      <c r="BN52" s="104">
        <f t="shared" ref="BN52" si="702">+BN48-BN51</f>
        <v>0</v>
      </c>
      <c r="BO52" s="104">
        <f t="shared" ref="BO52" si="703">+BO48-BO51</f>
        <v>0</v>
      </c>
      <c r="BP52" s="104">
        <f t="shared" ref="BP52" si="704">+BP48-BP51</f>
        <v>0</v>
      </c>
      <c r="BQ52" s="104">
        <f t="shared" ref="BQ52" si="705">+BQ48-BQ51</f>
        <v>0</v>
      </c>
      <c r="BR52" s="104">
        <f t="shared" ref="BR52" si="706">+BR48-BR51</f>
        <v>0</v>
      </c>
      <c r="BS52" s="104">
        <f t="shared" ref="BS52" si="707">+BS48-BS51</f>
        <v>0</v>
      </c>
      <c r="BT52" s="104">
        <f t="shared" ref="BT52" si="708">+BT48-BT51</f>
        <v>0</v>
      </c>
      <c r="BU52" s="104">
        <f t="shared" ref="BU52" si="709">+BU48-BU51</f>
        <v>0</v>
      </c>
      <c r="BV52" s="104">
        <f t="shared" ref="BV52:BW52" si="710">+BV48-BV51</f>
        <v>0</v>
      </c>
      <c r="BW52" s="104">
        <f t="shared" si="710"/>
        <v>0</v>
      </c>
      <c r="BX52" s="104">
        <f t="shared" ref="BX52:BY52" si="711">+BX48-BX51</f>
        <v>0</v>
      </c>
      <c r="BY52" s="104">
        <f t="shared" si="711"/>
        <v>0</v>
      </c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</row>
    <row r="53" spans="1:93" s="45" customFormat="1" x14ac:dyDescent="0.2">
      <c r="A53" s="116" t="s">
        <v>165</v>
      </c>
      <c r="AA53" s="39"/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3" s="50" customFormat="1" x14ac:dyDescent="0.2">
      <c r="A54" s="50" t="s">
        <v>32</v>
      </c>
      <c r="B54" s="50">
        <f t="shared" ref="B54:Y54" si="712">+C54</f>
        <v>0</v>
      </c>
      <c r="C54" s="50">
        <f t="shared" si="712"/>
        <v>0</v>
      </c>
      <c r="D54" s="50">
        <f t="shared" si="712"/>
        <v>0</v>
      </c>
      <c r="E54" s="50">
        <f t="shared" si="712"/>
        <v>0</v>
      </c>
      <c r="F54" s="50">
        <f t="shared" si="712"/>
        <v>0</v>
      </c>
      <c r="G54" s="50">
        <f t="shared" si="712"/>
        <v>0</v>
      </c>
      <c r="H54" s="50">
        <f t="shared" si="712"/>
        <v>0</v>
      </c>
      <c r="I54" s="50">
        <f t="shared" si="712"/>
        <v>0</v>
      </c>
      <c r="J54" s="50">
        <f t="shared" si="712"/>
        <v>0</v>
      </c>
      <c r="K54" s="50">
        <f t="shared" si="712"/>
        <v>0</v>
      </c>
      <c r="L54" s="50">
        <f t="shared" si="712"/>
        <v>0</v>
      </c>
      <c r="M54" s="50">
        <f t="shared" si="712"/>
        <v>0</v>
      </c>
      <c r="N54" s="50">
        <f t="shared" si="712"/>
        <v>0</v>
      </c>
      <c r="O54" s="50">
        <f t="shared" si="712"/>
        <v>0</v>
      </c>
      <c r="P54" s="50">
        <f t="shared" si="712"/>
        <v>0</v>
      </c>
      <c r="Q54" s="50">
        <f t="shared" si="712"/>
        <v>0</v>
      </c>
      <c r="R54" s="50">
        <f t="shared" si="712"/>
        <v>0</v>
      </c>
      <c r="S54" s="50">
        <f t="shared" si="712"/>
        <v>0</v>
      </c>
      <c r="T54" s="50">
        <f t="shared" si="712"/>
        <v>0</v>
      </c>
      <c r="U54" s="50">
        <f t="shared" si="712"/>
        <v>0</v>
      </c>
      <c r="V54" s="50">
        <f t="shared" si="712"/>
        <v>0</v>
      </c>
      <c r="W54" s="50">
        <f t="shared" si="712"/>
        <v>0</v>
      </c>
      <c r="X54" s="50">
        <f t="shared" si="712"/>
        <v>0</v>
      </c>
      <c r="Y54" s="50">
        <f t="shared" si="712"/>
        <v>0</v>
      </c>
      <c r="Z54" s="50">
        <f>+AA54</f>
        <v>0</v>
      </c>
      <c r="AA54" s="51">
        <f>+BY54</f>
        <v>0</v>
      </c>
      <c r="AB54" s="51">
        <f>+CC54</f>
        <v>0</v>
      </c>
      <c r="AC54" s="51">
        <f>+CG54</f>
        <v>0</v>
      </c>
      <c r="AD54" s="51">
        <f>+CK54</f>
        <v>0</v>
      </c>
      <c r="AE54" s="51">
        <f>+CO54</f>
        <v>0</v>
      </c>
      <c r="AG54" s="64"/>
      <c r="AH54" s="50">
        <f t="shared" ref="AH54:BU55" si="713">+AI54</f>
        <v>0</v>
      </c>
      <c r="AI54" s="50">
        <f t="shared" si="713"/>
        <v>0</v>
      </c>
      <c r="AJ54" s="50">
        <f t="shared" si="713"/>
        <v>0</v>
      </c>
      <c r="AK54" s="50">
        <f t="shared" si="713"/>
        <v>0</v>
      </c>
      <c r="AL54" s="50">
        <f t="shared" si="713"/>
        <v>0</v>
      </c>
      <c r="AM54" s="50">
        <f t="shared" si="713"/>
        <v>0</v>
      </c>
      <c r="AN54" s="50">
        <f t="shared" si="713"/>
        <v>0</v>
      </c>
      <c r="AO54" s="50">
        <f t="shared" si="713"/>
        <v>0</v>
      </c>
      <c r="AP54" s="50">
        <f t="shared" si="713"/>
        <v>0</v>
      </c>
      <c r="AQ54" s="50">
        <f t="shared" si="713"/>
        <v>0</v>
      </c>
      <c r="AR54" s="50">
        <f t="shared" si="713"/>
        <v>0</v>
      </c>
      <c r="AS54" s="50">
        <f t="shared" si="713"/>
        <v>0</v>
      </c>
      <c r="AT54" s="50">
        <f t="shared" si="713"/>
        <v>0</v>
      </c>
      <c r="AU54" s="50">
        <f t="shared" si="713"/>
        <v>0</v>
      </c>
      <c r="AV54" s="50">
        <f t="shared" si="713"/>
        <v>0</v>
      </c>
      <c r="AW54" s="50">
        <f t="shared" si="713"/>
        <v>0</v>
      </c>
      <c r="AX54" s="50">
        <f t="shared" si="713"/>
        <v>0</v>
      </c>
      <c r="AY54" s="50">
        <f t="shared" si="713"/>
        <v>0</v>
      </c>
      <c r="AZ54" s="50">
        <f t="shared" si="713"/>
        <v>0</v>
      </c>
      <c r="BA54" s="50">
        <f t="shared" si="713"/>
        <v>0</v>
      </c>
      <c r="BB54" s="50">
        <f t="shared" si="713"/>
        <v>0</v>
      </c>
      <c r="BC54" s="50">
        <f t="shared" si="713"/>
        <v>0</v>
      </c>
      <c r="BD54" s="50">
        <f t="shared" si="713"/>
        <v>0</v>
      </c>
      <c r="BE54" s="50">
        <f t="shared" si="713"/>
        <v>0</v>
      </c>
      <c r="BF54" s="50">
        <f t="shared" si="713"/>
        <v>0</v>
      </c>
      <c r="BG54" s="50">
        <f t="shared" si="713"/>
        <v>0</v>
      </c>
      <c r="BH54" s="50">
        <f t="shared" si="713"/>
        <v>0</v>
      </c>
      <c r="BI54" s="50">
        <f t="shared" si="713"/>
        <v>0</v>
      </c>
      <c r="BJ54" s="50">
        <f t="shared" si="713"/>
        <v>0</v>
      </c>
      <c r="BK54" s="50">
        <f t="shared" si="713"/>
        <v>0</v>
      </c>
      <c r="BL54" s="50">
        <f t="shared" si="713"/>
        <v>0</v>
      </c>
      <c r="BM54" s="50">
        <f t="shared" si="713"/>
        <v>0</v>
      </c>
      <c r="BN54" s="50">
        <f t="shared" si="713"/>
        <v>0</v>
      </c>
      <c r="BO54" s="50">
        <f t="shared" si="713"/>
        <v>0</v>
      </c>
      <c r="BP54" s="50">
        <f t="shared" si="713"/>
        <v>0</v>
      </c>
      <c r="BQ54" s="50">
        <f t="shared" si="713"/>
        <v>0</v>
      </c>
      <c r="BR54" s="50">
        <f t="shared" si="713"/>
        <v>0</v>
      </c>
      <c r="BS54" s="50">
        <f t="shared" si="713"/>
        <v>0</v>
      </c>
      <c r="BT54" s="50">
        <f t="shared" si="713"/>
        <v>0</v>
      </c>
      <c r="BU54" s="50">
        <f t="shared" si="713"/>
        <v>0</v>
      </c>
      <c r="BV54" s="50">
        <f>+BW54</f>
        <v>0</v>
      </c>
      <c r="BW54" s="50">
        <f>+'QTR Raw'!AS51</f>
        <v>0</v>
      </c>
      <c r="BX54" s="50">
        <f>+'QTR Raw'!AT51</f>
        <v>0</v>
      </c>
      <c r="BY54" s="50">
        <f>+'QTR Raw'!AU51</f>
        <v>0</v>
      </c>
      <c r="BZ54" s="51">
        <f t="shared" ref="BZ54:CO54" si="714">BZ95</f>
        <v>0</v>
      </c>
      <c r="CA54" s="51">
        <f t="shared" si="714"/>
        <v>0</v>
      </c>
      <c r="CB54" s="51">
        <f t="shared" si="714"/>
        <v>0</v>
      </c>
      <c r="CC54" s="51">
        <f t="shared" si="714"/>
        <v>0</v>
      </c>
      <c r="CD54" s="51">
        <f t="shared" si="714"/>
        <v>0</v>
      </c>
      <c r="CE54" s="51">
        <f t="shared" si="714"/>
        <v>0</v>
      </c>
      <c r="CF54" s="51">
        <f t="shared" si="714"/>
        <v>0</v>
      </c>
      <c r="CG54" s="51">
        <f t="shared" si="714"/>
        <v>0</v>
      </c>
      <c r="CH54" s="51">
        <f t="shared" si="714"/>
        <v>0</v>
      </c>
      <c r="CI54" s="51">
        <f t="shared" si="714"/>
        <v>0</v>
      </c>
      <c r="CJ54" s="51">
        <f t="shared" si="714"/>
        <v>0</v>
      </c>
      <c r="CK54" s="51">
        <f t="shared" si="714"/>
        <v>0</v>
      </c>
      <c r="CL54" s="51">
        <f t="shared" si="714"/>
        <v>0</v>
      </c>
      <c r="CM54" s="51">
        <f t="shared" si="714"/>
        <v>0</v>
      </c>
      <c r="CN54" s="51">
        <f t="shared" si="714"/>
        <v>0</v>
      </c>
      <c r="CO54" s="51">
        <f t="shared" si="714"/>
        <v>0</v>
      </c>
    </row>
    <row r="55" spans="1:93" s="50" customFormat="1" x14ac:dyDescent="0.2">
      <c r="A55" s="50" t="s">
        <v>33</v>
      </c>
      <c r="B55" s="50">
        <f t="shared" ref="B55:Y55" si="715">+C55</f>
        <v>0</v>
      </c>
      <c r="C55" s="50">
        <f t="shared" si="715"/>
        <v>0</v>
      </c>
      <c r="D55" s="50">
        <f t="shared" si="715"/>
        <v>0</v>
      </c>
      <c r="E55" s="50">
        <f t="shared" si="715"/>
        <v>0</v>
      </c>
      <c r="F55" s="50">
        <f t="shared" si="715"/>
        <v>0</v>
      </c>
      <c r="G55" s="50">
        <f t="shared" si="715"/>
        <v>0</v>
      </c>
      <c r="H55" s="50">
        <f t="shared" si="715"/>
        <v>0</v>
      </c>
      <c r="I55" s="50">
        <f t="shared" si="715"/>
        <v>0</v>
      </c>
      <c r="J55" s="50">
        <f t="shared" si="715"/>
        <v>0</v>
      </c>
      <c r="K55" s="50">
        <f t="shared" si="715"/>
        <v>0</v>
      </c>
      <c r="L55" s="50">
        <f t="shared" si="715"/>
        <v>0</v>
      </c>
      <c r="M55" s="50">
        <f t="shared" si="715"/>
        <v>0</v>
      </c>
      <c r="N55" s="50">
        <f t="shared" si="715"/>
        <v>0</v>
      </c>
      <c r="O55" s="50">
        <f t="shared" si="715"/>
        <v>0</v>
      </c>
      <c r="P55" s="50">
        <f t="shared" si="715"/>
        <v>0</v>
      </c>
      <c r="Q55" s="50">
        <f t="shared" si="715"/>
        <v>0</v>
      </c>
      <c r="R55" s="50">
        <f t="shared" si="715"/>
        <v>0</v>
      </c>
      <c r="S55" s="50">
        <f t="shared" si="715"/>
        <v>0</v>
      </c>
      <c r="T55" s="50">
        <f t="shared" si="715"/>
        <v>0</v>
      </c>
      <c r="U55" s="50">
        <f t="shared" si="715"/>
        <v>0</v>
      </c>
      <c r="V55" s="50">
        <f t="shared" si="715"/>
        <v>0</v>
      </c>
      <c r="W55" s="50">
        <f t="shared" si="715"/>
        <v>0</v>
      </c>
      <c r="X55" s="50">
        <f t="shared" si="715"/>
        <v>0</v>
      </c>
      <c r="Y55" s="50">
        <f t="shared" si="715"/>
        <v>0</v>
      </c>
      <c r="Z55" s="50">
        <f>+AA55</f>
        <v>0</v>
      </c>
      <c r="AA55" s="51">
        <f>+BY55</f>
        <v>0</v>
      </c>
      <c r="AB55" s="51">
        <f>+CC55</f>
        <v>0</v>
      </c>
      <c r="AC55" s="51">
        <f>+CG55</f>
        <v>0</v>
      </c>
      <c r="AD55" s="51">
        <f>+CK55</f>
        <v>0</v>
      </c>
      <c r="AE55" s="51">
        <f>+CO55</f>
        <v>0</v>
      </c>
      <c r="AG55" s="64"/>
      <c r="AH55" s="50">
        <f t="shared" si="713"/>
        <v>0</v>
      </c>
      <c r="AI55" s="50">
        <f t="shared" si="713"/>
        <v>0</v>
      </c>
      <c r="AJ55" s="50">
        <f t="shared" si="713"/>
        <v>0</v>
      </c>
      <c r="AK55" s="50">
        <f t="shared" si="713"/>
        <v>0</v>
      </c>
      <c r="AL55" s="50">
        <f t="shared" si="713"/>
        <v>0</v>
      </c>
      <c r="AM55" s="50">
        <f t="shared" si="713"/>
        <v>0</v>
      </c>
      <c r="AN55" s="50">
        <f t="shared" si="713"/>
        <v>0</v>
      </c>
      <c r="AO55" s="50">
        <f t="shared" si="713"/>
        <v>0</v>
      </c>
      <c r="AP55" s="50">
        <f t="shared" si="713"/>
        <v>0</v>
      </c>
      <c r="AQ55" s="50">
        <f t="shared" si="713"/>
        <v>0</v>
      </c>
      <c r="AR55" s="50">
        <f t="shared" si="713"/>
        <v>0</v>
      </c>
      <c r="AS55" s="50">
        <f t="shared" si="713"/>
        <v>0</v>
      </c>
      <c r="AT55" s="50">
        <f t="shared" si="713"/>
        <v>0</v>
      </c>
      <c r="AU55" s="50">
        <f t="shared" si="713"/>
        <v>0</v>
      </c>
      <c r="AV55" s="50">
        <f t="shared" si="713"/>
        <v>0</v>
      </c>
      <c r="AW55" s="50">
        <f t="shared" si="713"/>
        <v>0</v>
      </c>
      <c r="AX55" s="50">
        <f t="shared" si="713"/>
        <v>0</v>
      </c>
      <c r="AY55" s="50">
        <f t="shared" si="713"/>
        <v>0</v>
      </c>
      <c r="AZ55" s="50">
        <f t="shared" si="713"/>
        <v>0</v>
      </c>
      <c r="BA55" s="50">
        <f t="shared" si="713"/>
        <v>0</v>
      </c>
      <c r="BB55" s="50">
        <f t="shared" si="713"/>
        <v>0</v>
      </c>
      <c r="BC55" s="50">
        <f t="shared" si="713"/>
        <v>0</v>
      </c>
      <c r="BD55" s="50">
        <f t="shared" si="713"/>
        <v>0</v>
      </c>
      <c r="BE55" s="50">
        <f t="shared" si="713"/>
        <v>0</v>
      </c>
      <c r="BF55" s="50">
        <f t="shared" si="713"/>
        <v>0</v>
      </c>
      <c r="BG55" s="50">
        <f t="shared" si="713"/>
        <v>0</v>
      </c>
      <c r="BH55" s="50">
        <f t="shared" si="713"/>
        <v>0</v>
      </c>
      <c r="BI55" s="50">
        <f t="shared" si="713"/>
        <v>0</v>
      </c>
      <c r="BJ55" s="50">
        <f t="shared" si="713"/>
        <v>0</v>
      </c>
      <c r="BK55" s="50">
        <f t="shared" si="713"/>
        <v>0</v>
      </c>
      <c r="BL55" s="50">
        <f t="shared" si="713"/>
        <v>0</v>
      </c>
      <c r="BM55" s="50">
        <f t="shared" si="713"/>
        <v>0</v>
      </c>
      <c r="BN55" s="50">
        <f t="shared" si="713"/>
        <v>0</v>
      </c>
      <c r="BO55" s="50">
        <f t="shared" si="713"/>
        <v>0</v>
      </c>
      <c r="BP55" s="50">
        <f t="shared" si="713"/>
        <v>0</v>
      </c>
      <c r="BQ55" s="50">
        <f t="shared" si="713"/>
        <v>0</v>
      </c>
      <c r="BR55" s="50">
        <f t="shared" si="713"/>
        <v>0</v>
      </c>
      <c r="BS55" s="50">
        <f t="shared" si="713"/>
        <v>0</v>
      </c>
      <c r="BT55" s="50">
        <f t="shared" si="713"/>
        <v>0</v>
      </c>
      <c r="BU55" s="50">
        <f t="shared" si="713"/>
        <v>0</v>
      </c>
      <c r="BV55" s="50">
        <f>+BW55</f>
        <v>0</v>
      </c>
      <c r="BW55" s="50">
        <f>+'QTR Raw'!AS52</f>
        <v>0</v>
      </c>
      <c r="BX55" s="50">
        <f>+'QTR Raw'!AT52</f>
        <v>0</v>
      </c>
      <c r="BY55" s="50">
        <f>+'QTR Raw'!AU52</f>
        <v>0</v>
      </c>
      <c r="BZ55" s="51">
        <f t="shared" ref="BZ55:CO55" si="716">+BY55</f>
        <v>0</v>
      </c>
      <c r="CA55" s="51">
        <f t="shared" si="716"/>
        <v>0</v>
      </c>
      <c r="CB55" s="51">
        <f t="shared" si="716"/>
        <v>0</v>
      </c>
      <c r="CC55" s="51">
        <f t="shared" si="716"/>
        <v>0</v>
      </c>
      <c r="CD55" s="51">
        <f t="shared" si="716"/>
        <v>0</v>
      </c>
      <c r="CE55" s="51">
        <f t="shared" si="716"/>
        <v>0</v>
      </c>
      <c r="CF55" s="51">
        <f t="shared" si="716"/>
        <v>0</v>
      </c>
      <c r="CG55" s="51">
        <f t="shared" si="716"/>
        <v>0</v>
      </c>
      <c r="CH55" s="51">
        <f t="shared" si="716"/>
        <v>0</v>
      </c>
      <c r="CI55" s="51">
        <f t="shared" si="716"/>
        <v>0</v>
      </c>
      <c r="CJ55" s="51">
        <f t="shared" si="716"/>
        <v>0</v>
      </c>
      <c r="CK55" s="51">
        <f t="shared" si="716"/>
        <v>0</v>
      </c>
      <c r="CL55" s="51">
        <f t="shared" si="716"/>
        <v>0</v>
      </c>
      <c r="CM55" s="51">
        <f t="shared" si="716"/>
        <v>0</v>
      </c>
      <c r="CN55" s="51">
        <f t="shared" si="716"/>
        <v>0</v>
      </c>
      <c r="CO55" s="51">
        <f t="shared" si="716"/>
        <v>0</v>
      </c>
    </row>
    <row r="56" spans="1:93" s="43" customFormat="1" x14ac:dyDescent="0.2">
      <c r="A56" s="43" t="s">
        <v>41</v>
      </c>
      <c r="B56" s="43" t="e">
        <f t="shared" ref="B56:X56" si="717">B54/B55</f>
        <v>#DIV/0!</v>
      </c>
      <c r="C56" s="43" t="e">
        <f t="shared" si="717"/>
        <v>#DIV/0!</v>
      </c>
      <c r="D56" s="43" t="e">
        <f t="shared" si="717"/>
        <v>#DIV/0!</v>
      </c>
      <c r="E56" s="43" t="e">
        <f t="shared" si="717"/>
        <v>#DIV/0!</v>
      </c>
      <c r="F56" s="43" t="e">
        <f t="shared" si="717"/>
        <v>#DIV/0!</v>
      </c>
      <c r="G56" s="43" t="e">
        <f t="shared" si="717"/>
        <v>#DIV/0!</v>
      </c>
      <c r="H56" s="43" t="e">
        <f t="shared" si="717"/>
        <v>#DIV/0!</v>
      </c>
      <c r="I56" s="43" t="e">
        <f t="shared" si="717"/>
        <v>#DIV/0!</v>
      </c>
      <c r="J56" s="43" t="e">
        <f t="shared" si="717"/>
        <v>#DIV/0!</v>
      </c>
      <c r="K56" s="43" t="e">
        <f t="shared" si="717"/>
        <v>#DIV/0!</v>
      </c>
      <c r="L56" s="43" t="e">
        <f t="shared" si="717"/>
        <v>#DIV/0!</v>
      </c>
      <c r="M56" s="43" t="e">
        <f t="shared" si="717"/>
        <v>#DIV/0!</v>
      </c>
      <c r="N56" s="43" t="e">
        <f t="shared" si="717"/>
        <v>#DIV/0!</v>
      </c>
      <c r="O56" s="43" t="e">
        <f t="shared" si="717"/>
        <v>#DIV/0!</v>
      </c>
      <c r="P56" s="43" t="e">
        <f t="shared" si="717"/>
        <v>#DIV/0!</v>
      </c>
      <c r="Q56" s="43" t="e">
        <f t="shared" si="717"/>
        <v>#DIV/0!</v>
      </c>
      <c r="R56" s="43" t="e">
        <f t="shared" si="717"/>
        <v>#DIV/0!</v>
      </c>
      <c r="S56" s="43" t="e">
        <f t="shared" si="717"/>
        <v>#DIV/0!</v>
      </c>
      <c r="T56" s="43" t="e">
        <f t="shared" si="717"/>
        <v>#DIV/0!</v>
      </c>
      <c r="U56" s="43" t="e">
        <f t="shared" si="717"/>
        <v>#DIV/0!</v>
      </c>
      <c r="V56" s="43" t="e">
        <f t="shared" si="717"/>
        <v>#DIV/0!</v>
      </c>
      <c r="W56" s="43" t="e">
        <f t="shared" si="717"/>
        <v>#DIV/0!</v>
      </c>
      <c r="X56" s="43" t="e">
        <f t="shared" si="717"/>
        <v>#DIV/0!</v>
      </c>
      <c r="Y56" s="43" t="e">
        <f t="shared" ref="Y56" si="718">Y54/Y55</f>
        <v>#DIV/0!</v>
      </c>
      <c r="Z56" s="43" t="e">
        <f t="shared" ref="Z56" si="719">Z54/Z55</f>
        <v>#DIV/0!</v>
      </c>
      <c r="AA56" s="44" t="e">
        <f t="shared" ref="AA56" si="720">AA54/AA55</f>
        <v>#DIV/0!</v>
      </c>
      <c r="AB56" s="44" t="e">
        <f t="shared" ref="AB56" si="721">AB54/AB55</f>
        <v>#DIV/0!</v>
      </c>
      <c r="AC56" s="44" t="e">
        <f t="shared" ref="AC56" si="722">AC54/AC55</f>
        <v>#DIV/0!</v>
      </c>
      <c r="AD56" s="44" t="e">
        <f t="shared" ref="AD56" si="723">AD54/AD55</f>
        <v>#DIV/0!</v>
      </c>
      <c r="AE56" s="44" t="e">
        <f t="shared" ref="AE56" si="724">AE54/AE55</f>
        <v>#DIV/0!</v>
      </c>
      <c r="AG56" s="62"/>
      <c r="AH56" s="43" t="e">
        <f t="shared" ref="AH56:AL56" si="725">AH54/AH55</f>
        <v>#DIV/0!</v>
      </c>
      <c r="AI56" s="43" t="e">
        <f t="shared" si="725"/>
        <v>#DIV/0!</v>
      </c>
      <c r="AJ56" s="43" t="e">
        <f t="shared" si="725"/>
        <v>#DIV/0!</v>
      </c>
      <c r="AK56" s="43" t="e">
        <f t="shared" si="725"/>
        <v>#DIV/0!</v>
      </c>
      <c r="AL56" s="43" t="e">
        <f t="shared" si="725"/>
        <v>#DIV/0!</v>
      </c>
      <c r="AM56" s="43" t="e">
        <f t="shared" ref="AM56" si="726">AM54/AM55</f>
        <v>#DIV/0!</v>
      </c>
      <c r="AN56" s="43" t="e">
        <f t="shared" ref="AN56" si="727">AN54/AN55</f>
        <v>#DIV/0!</v>
      </c>
      <c r="AO56" s="43" t="e">
        <f t="shared" ref="AO56" si="728">AO54/AO55</f>
        <v>#DIV/0!</v>
      </c>
      <c r="AP56" s="43" t="e">
        <f t="shared" ref="AP56" si="729">AP54/AP55</f>
        <v>#DIV/0!</v>
      </c>
      <c r="AQ56" s="43" t="e">
        <f t="shared" ref="AQ56" si="730">AQ54/AQ55</f>
        <v>#DIV/0!</v>
      </c>
      <c r="AR56" s="43" t="e">
        <f t="shared" ref="AR56" si="731">AR54/AR55</f>
        <v>#DIV/0!</v>
      </c>
      <c r="AS56" s="43" t="e">
        <f t="shared" ref="AS56" si="732">AS54/AS55</f>
        <v>#DIV/0!</v>
      </c>
      <c r="AT56" s="43" t="e">
        <f t="shared" ref="AT56" si="733">AT54/AT55</f>
        <v>#DIV/0!</v>
      </c>
      <c r="AU56" s="43" t="e">
        <f t="shared" ref="AU56" si="734">AU54/AU55</f>
        <v>#DIV/0!</v>
      </c>
      <c r="AV56" s="43" t="e">
        <f t="shared" ref="AV56:AW56" si="735">AV54/AV55</f>
        <v>#DIV/0!</v>
      </c>
      <c r="AW56" s="43" t="e">
        <f t="shared" si="735"/>
        <v>#DIV/0!</v>
      </c>
      <c r="AX56" s="43" t="e">
        <f t="shared" ref="AX56:BB56" si="736">AX54/AX55</f>
        <v>#DIV/0!</v>
      </c>
      <c r="AY56" s="43" t="e">
        <f t="shared" si="736"/>
        <v>#DIV/0!</v>
      </c>
      <c r="AZ56" s="43" t="e">
        <f t="shared" si="736"/>
        <v>#DIV/0!</v>
      </c>
      <c r="BA56" s="43" t="e">
        <f t="shared" si="736"/>
        <v>#DIV/0!</v>
      </c>
      <c r="BB56" s="43" t="e">
        <f t="shared" si="736"/>
        <v>#DIV/0!</v>
      </c>
      <c r="BC56" s="43" t="e">
        <f t="shared" ref="BC56:BG56" si="737">BC54/BC55</f>
        <v>#DIV/0!</v>
      </c>
      <c r="BD56" s="43" t="e">
        <f t="shared" si="737"/>
        <v>#DIV/0!</v>
      </c>
      <c r="BE56" s="43" t="e">
        <f t="shared" si="737"/>
        <v>#DIV/0!</v>
      </c>
      <c r="BF56" s="43" t="e">
        <f t="shared" si="737"/>
        <v>#DIV/0!</v>
      </c>
      <c r="BG56" s="43" t="e">
        <f t="shared" si="737"/>
        <v>#DIV/0!</v>
      </c>
      <c r="BH56" s="43" t="e">
        <f t="shared" ref="BH56:BJ56" si="738">BH54/BH55</f>
        <v>#DIV/0!</v>
      </c>
      <c r="BI56" s="43" t="e">
        <f t="shared" si="738"/>
        <v>#DIV/0!</v>
      </c>
      <c r="BJ56" s="43" t="e">
        <f t="shared" si="738"/>
        <v>#DIV/0!</v>
      </c>
      <c r="BK56" s="43" t="e">
        <f t="shared" ref="BK56" si="739">BK54/BK55</f>
        <v>#DIV/0!</v>
      </c>
      <c r="BL56" s="43" t="e">
        <f t="shared" ref="BL56:BM56" si="740">BL54/BL55</f>
        <v>#DIV/0!</v>
      </c>
      <c r="BM56" s="43" t="e">
        <f t="shared" si="740"/>
        <v>#DIV/0!</v>
      </c>
      <c r="BN56" s="43" t="e">
        <f t="shared" ref="BN56:BO56" si="741">BN54/BN55</f>
        <v>#DIV/0!</v>
      </c>
      <c r="BO56" s="43" t="e">
        <f t="shared" si="741"/>
        <v>#DIV/0!</v>
      </c>
      <c r="BP56" s="43" t="e">
        <f t="shared" ref="BP56:BQ56" si="742">BP54/BP55</f>
        <v>#DIV/0!</v>
      </c>
      <c r="BQ56" s="43" t="e">
        <f t="shared" si="742"/>
        <v>#DIV/0!</v>
      </c>
      <c r="BR56" s="43" t="e">
        <f t="shared" ref="BR56" si="743">BR54/BR55</f>
        <v>#DIV/0!</v>
      </c>
      <c r="BS56" s="43" t="e">
        <f t="shared" ref="BS56:BT56" si="744">BS54/BS55</f>
        <v>#DIV/0!</v>
      </c>
      <c r="BT56" s="43" t="e">
        <f t="shared" si="744"/>
        <v>#DIV/0!</v>
      </c>
      <c r="BU56" s="43" t="e">
        <f t="shared" ref="BU56" si="745">BU54/BU55</f>
        <v>#DIV/0!</v>
      </c>
      <c r="BV56" s="43" t="e">
        <f t="shared" ref="BV56" si="746">BV54/BV55</f>
        <v>#DIV/0!</v>
      </c>
      <c r="BW56" s="43" t="e">
        <f t="shared" ref="BW56:BX56" si="747">BW54/BW55</f>
        <v>#DIV/0!</v>
      </c>
      <c r="BX56" s="43" t="e">
        <f t="shared" si="747"/>
        <v>#DIV/0!</v>
      </c>
      <c r="BY56" s="43" t="e">
        <f t="shared" ref="BY56" si="748">BY54/BY55</f>
        <v>#DIV/0!</v>
      </c>
      <c r="BZ56" s="44" t="e">
        <f t="shared" ref="BZ56:CC56" si="749">BZ54/BZ55</f>
        <v>#DIV/0!</v>
      </c>
      <c r="CA56" s="44" t="e">
        <f t="shared" si="749"/>
        <v>#DIV/0!</v>
      </c>
      <c r="CB56" s="44" t="e">
        <f t="shared" si="749"/>
        <v>#DIV/0!</v>
      </c>
      <c r="CC56" s="44" t="e">
        <f t="shared" si="749"/>
        <v>#DIV/0!</v>
      </c>
      <c r="CD56" s="44" t="e">
        <f t="shared" ref="CD56:CO56" si="750">CD54/CD55</f>
        <v>#DIV/0!</v>
      </c>
      <c r="CE56" s="44" t="e">
        <f t="shared" si="750"/>
        <v>#DIV/0!</v>
      </c>
      <c r="CF56" s="44" t="e">
        <f t="shared" si="750"/>
        <v>#DIV/0!</v>
      </c>
      <c r="CG56" s="44" t="e">
        <f t="shared" si="750"/>
        <v>#DIV/0!</v>
      </c>
      <c r="CH56" s="44" t="e">
        <f t="shared" si="750"/>
        <v>#DIV/0!</v>
      </c>
      <c r="CI56" s="44" t="e">
        <f t="shared" si="750"/>
        <v>#DIV/0!</v>
      </c>
      <c r="CJ56" s="44" t="e">
        <f t="shared" si="750"/>
        <v>#DIV/0!</v>
      </c>
      <c r="CK56" s="44" t="e">
        <f t="shared" si="750"/>
        <v>#DIV/0!</v>
      </c>
      <c r="CL56" s="44" t="e">
        <f t="shared" si="750"/>
        <v>#DIV/0!</v>
      </c>
      <c r="CM56" s="44" t="e">
        <f t="shared" si="750"/>
        <v>#DIV/0!</v>
      </c>
      <c r="CN56" s="44" t="e">
        <f t="shared" si="750"/>
        <v>#DIV/0!</v>
      </c>
      <c r="CO56" s="44" t="e">
        <f t="shared" si="750"/>
        <v>#DIV/0!</v>
      </c>
    </row>
    <row r="57" spans="1:93" s="38" customFormat="1" x14ac:dyDescent="0.2">
      <c r="A57" s="38" t="s">
        <v>34</v>
      </c>
      <c r="B57" s="38" t="e">
        <f t="shared" ref="B57:X57" si="751">B48/B56</f>
        <v>#DIV/0!</v>
      </c>
      <c r="C57" s="38" t="e">
        <f t="shared" si="751"/>
        <v>#DIV/0!</v>
      </c>
      <c r="D57" s="38" t="e">
        <f t="shared" si="751"/>
        <v>#DIV/0!</v>
      </c>
      <c r="E57" s="38" t="e">
        <f t="shared" si="751"/>
        <v>#DIV/0!</v>
      </c>
      <c r="F57" s="38" t="e">
        <f t="shared" si="751"/>
        <v>#DIV/0!</v>
      </c>
      <c r="G57" s="38" t="e">
        <f t="shared" si="751"/>
        <v>#DIV/0!</v>
      </c>
      <c r="H57" s="38" t="e">
        <f t="shared" si="751"/>
        <v>#DIV/0!</v>
      </c>
      <c r="I57" s="38" t="e">
        <f t="shared" si="751"/>
        <v>#DIV/0!</v>
      </c>
      <c r="J57" s="38" t="e">
        <f t="shared" si="751"/>
        <v>#DIV/0!</v>
      </c>
      <c r="K57" s="38" t="e">
        <f t="shared" si="751"/>
        <v>#DIV/0!</v>
      </c>
      <c r="L57" s="38" t="e">
        <f t="shared" si="751"/>
        <v>#DIV/0!</v>
      </c>
      <c r="M57" s="38" t="e">
        <f t="shared" si="751"/>
        <v>#DIV/0!</v>
      </c>
      <c r="N57" s="38" t="e">
        <f t="shared" si="751"/>
        <v>#DIV/0!</v>
      </c>
      <c r="O57" s="38" t="e">
        <f t="shared" si="751"/>
        <v>#DIV/0!</v>
      </c>
      <c r="P57" s="38" t="e">
        <f t="shared" si="751"/>
        <v>#DIV/0!</v>
      </c>
      <c r="Q57" s="38" t="e">
        <f t="shared" si="751"/>
        <v>#DIV/0!</v>
      </c>
      <c r="R57" s="38" t="e">
        <f t="shared" si="751"/>
        <v>#DIV/0!</v>
      </c>
      <c r="S57" s="38" t="e">
        <f t="shared" si="751"/>
        <v>#DIV/0!</v>
      </c>
      <c r="T57" s="38" t="e">
        <f t="shared" si="751"/>
        <v>#DIV/0!</v>
      </c>
      <c r="U57" s="38" t="e">
        <f t="shared" si="751"/>
        <v>#DIV/0!</v>
      </c>
      <c r="V57" s="38" t="e">
        <f t="shared" si="751"/>
        <v>#DIV/0!</v>
      </c>
      <c r="W57" s="38" t="e">
        <f t="shared" si="751"/>
        <v>#DIV/0!</v>
      </c>
      <c r="X57" s="38" t="e">
        <f t="shared" si="751"/>
        <v>#DIV/0!</v>
      </c>
      <c r="Y57" s="38" t="e">
        <f t="shared" ref="Y57" si="752">Y48/Y56</f>
        <v>#DIV/0!</v>
      </c>
      <c r="Z57" s="38" t="e">
        <f t="shared" ref="Z57" si="753">Z48/Z56</f>
        <v>#DIV/0!</v>
      </c>
      <c r="AA57" s="39" t="e">
        <f t="shared" ref="AA57" si="754">AA48/AA56</f>
        <v>#DIV/0!</v>
      </c>
      <c r="AB57" s="39" t="e">
        <f t="shared" ref="AB57" si="755">AB48/AB56</f>
        <v>#DIV/0!</v>
      </c>
      <c r="AC57" s="39" t="e">
        <f t="shared" ref="AC57" si="756">AC48/AC56</f>
        <v>#DIV/0!</v>
      </c>
      <c r="AD57" s="39" t="e">
        <f t="shared" ref="AD57" si="757">AD48/AD56</f>
        <v>#DIV/0!</v>
      </c>
      <c r="AE57" s="39" t="e">
        <f t="shared" ref="AE57" si="758">AE48/AE56</f>
        <v>#DIV/0!</v>
      </c>
      <c r="AG57" s="60"/>
      <c r="AH57" s="38" t="e">
        <f t="shared" ref="AH57:AL57" si="759">AH48/AH56</f>
        <v>#DIV/0!</v>
      </c>
      <c r="AI57" s="38" t="e">
        <f t="shared" si="759"/>
        <v>#DIV/0!</v>
      </c>
      <c r="AJ57" s="38" t="e">
        <f t="shared" si="759"/>
        <v>#DIV/0!</v>
      </c>
      <c r="AK57" s="38" t="e">
        <f t="shared" si="759"/>
        <v>#DIV/0!</v>
      </c>
      <c r="AL57" s="38" t="e">
        <f t="shared" si="759"/>
        <v>#DIV/0!</v>
      </c>
      <c r="AM57" s="38" t="e">
        <f t="shared" ref="AM57" si="760">AM48/AM56</f>
        <v>#DIV/0!</v>
      </c>
      <c r="AN57" s="38" t="e">
        <f t="shared" ref="AN57" si="761">AN48/AN56</f>
        <v>#DIV/0!</v>
      </c>
      <c r="AO57" s="38" t="e">
        <f t="shared" ref="AO57" si="762">AO48/AO56</f>
        <v>#DIV/0!</v>
      </c>
      <c r="AP57" s="38" t="e">
        <f t="shared" ref="AP57" si="763">AP48/AP56</f>
        <v>#DIV/0!</v>
      </c>
      <c r="AQ57" s="38" t="e">
        <f t="shared" ref="AQ57" si="764">AQ48/AQ56</f>
        <v>#DIV/0!</v>
      </c>
      <c r="AR57" s="38" t="e">
        <f t="shared" ref="AR57" si="765">AR48/AR56</f>
        <v>#DIV/0!</v>
      </c>
      <c r="AS57" s="38" t="e">
        <f t="shared" ref="AS57" si="766">AS48/AS56</f>
        <v>#DIV/0!</v>
      </c>
      <c r="AT57" s="38" t="e">
        <f t="shared" ref="AT57" si="767">AT48/AT56</f>
        <v>#DIV/0!</v>
      </c>
      <c r="AU57" s="38" t="e">
        <f t="shared" ref="AU57" si="768">AU48/AU56</f>
        <v>#DIV/0!</v>
      </c>
      <c r="AV57" s="38" t="e">
        <f t="shared" ref="AV57:AW57" si="769">AV48/AV56</f>
        <v>#DIV/0!</v>
      </c>
      <c r="AW57" s="38" t="e">
        <f t="shared" si="769"/>
        <v>#DIV/0!</v>
      </c>
      <c r="AX57" s="38" t="e">
        <f t="shared" ref="AX57:BB57" si="770">AX48/AX56</f>
        <v>#DIV/0!</v>
      </c>
      <c r="AY57" s="38" t="e">
        <f t="shared" si="770"/>
        <v>#DIV/0!</v>
      </c>
      <c r="AZ57" s="38" t="e">
        <f t="shared" si="770"/>
        <v>#DIV/0!</v>
      </c>
      <c r="BA57" s="38" t="e">
        <f t="shared" si="770"/>
        <v>#DIV/0!</v>
      </c>
      <c r="BB57" s="38" t="e">
        <f t="shared" si="770"/>
        <v>#DIV/0!</v>
      </c>
      <c r="BC57" s="38" t="e">
        <f t="shared" ref="BC57:BF57" si="771">BC48/BC56</f>
        <v>#DIV/0!</v>
      </c>
      <c r="BD57" s="38" t="e">
        <f t="shared" si="771"/>
        <v>#DIV/0!</v>
      </c>
      <c r="BE57" s="38" t="e">
        <f t="shared" si="771"/>
        <v>#DIV/0!</v>
      </c>
      <c r="BF57" s="38" t="e">
        <f t="shared" si="771"/>
        <v>#DIV/0!</v>
      </c>
      <c r="BG57" s="38" t="e">
        <f t="shared" ref="BG57:BH57" si="772">BG48/BG56</f>
        <v>#DIV/0!</v>
      </c>
      <c r="BH57" s="38" t="e">
        <f t="shared" si="772"/>
        <v>#DIV/0!</v>
      </c>
      <c r="BI57" s="38" t="e">
        <f t="shared" ref="BI57:BJ57" si="773">BI48/BI56</f>
        <v>#DIV/0!</v>
      </c>
      <c r="BJ57" s="38" t="e">
        <f t="shared" si="773"/>
        <v>#DIV/0!</v>
      </c>
      <c r="BK57" s="38" t="e">
        <f t="shared" ref="BK57" si="774">BK48/BK56</f>
        <v>#DIV/0!</v>
      </c>
      <c r="BL57" s="38" t="e">
        <f t="shared" ref="BL57:BM57" si="775">BL48/BL56</f>
        <v>#DIV/0!</v>
      </c>
      <c r="BM57" s="38" t="e">
        <f t="shared" si="775"/>
        <v>#DIV/0!</v>
      </c>
      <c r="BN57" s="38" t="e">
        <f t="shared" ref="BN57:BO57" si="776">BN48/BN56</f>
        <v>#DIV/0!</v>
      </c>
      <c r="BO57" s="38" t="e">
        <f t="shared" si="776"/>
        <v>#DIV/0!</v>
      </c>
      <c r="BP57" s="38" t="e">
        <f t="shared" ref="BP57:BQ57" si="777">BP48/BP56</f>
        <v>#DIV/0!</v>
      </c>
      <c r="BQ57" s="38" t="e">
        <f t="shared" si="777"/>
        <v>#DIV/0!</v>
      </c>
      <c r="BR57" s="38" t="e">
        <f t="shared" ref="BR57" si="778">BR48/BR56</f>
        <v>#DIV/0!</v>
      </c>
      <c r="BS57" s="38" t="e">
        <f t="shared" ref="BS57:BT57" si="779">BS48/BS56</f>
        <v>#DIV/0!</v>
      </c>
      <c r="BT57" s="38" t="e">
        <f t="shared" si="779"/>
        <v>#DIV/0!</v>
      </c>
      <c r="BU57" s="38" t="e">
        <f t="shared" ref="BU57" si="780">BU48/BU56</f>
        <v>#DIV/0!</v>
      </c>
      <c r="BV57" s="38" t="e">
        <f t="shared" ref="BV57" si="781">BV48/BV56</f>
        <v>#DIV/0!</v>
      </c>
      <c r="BW57" s="38" t="e">
        <f t="shared" ref="BW57:BX57" si="782">BW48/BW56</f>
        <v>#DIV/0!</v>
      </c>
      <c r="BX57" s="38" t="e">
        <f t="shared" si="782"/>
        <v>#DIV/0!</v>
      </c>
      <c r="BY57" s="38" t="e">
        <f t="shared" ref="BY57" si="783">BY48/BY56</f>
        <v>#DIV/0!</v>
      </c>
      <c r="BZ57" s="39" t="e">
        <f t="shared" ref="BZ57:CC57" si="784">BZ48/BZ56</f>
        <v>#DIV/0!</v>
      </c>
      <c r="CA57" s="39" t="e">
        <f t="shared" si="784"/>
        <v>#DIV/0!</v>
      </c>
      <c r="CB57" s="39" t="e">
        <f t="shared" si="784"/>
        <v>#DIV/0!</v>
      </c>
      <c r="CC57" s="39" t="e">
        <f t="shared" si="784"/>
        <v>#DIV/0!</v>
      </c>
      <c r="CD57" s="39" t="e">
        <f t="shared" ref="CD57:CO57" si="785">CD48/CD56</f>
        <v>#DIV/0!</v>
      </c>
      <c r="CE57" s="39" t="e">
        <f t="shared" si="785"/>
        <v>#DIV/0!</v>
      </c>
      <c r="CF57" s="39" t="e">
        <f t="shared" si="785"/>
        <v>#DIV/0!</v>
      </c>
      <c r="CG57" s="39" t="e">
        <f t="shared" si="785"/>
        <v>#DIV/0!</v>
      </c>
      <c r="CH57" s="39" t="e">
        <f t="shared" si="785"/>
        <v>#DIV/0!</v>
      </c>
      <c r="CI57" s="39" t="e">
        <f t="shared" si="785"/>
        <v>#DIV/0!</v>
      </c>
      <c r="CJ57" s="39" t="e">
        <f t="shared" si="785"/>
        <v>#DIV/0!</v>
      </c>
      <c r="CK57" s="39" t="e">
        <f t="shared" si="785"/>
        <v>#DIV/0!</v>
      </c>
      <c r="CL57" s="39" t="e">
        <f t="shared" si="785"/>
        <v>#DIV/0!</v>
      </c>
      <c r="CM57" s="39" t="e">
        <f t="shared" si="785"/>
        <v>#DIV/0!</v>
      </c>
      <c r="CN57" s="39" t="e">
        <f t="shared" si="785"/>
        <v>#DIV/0!</v>
      </c>
      <c r="CO57" s="39" t="e">
        <f t="shared" si="785"/>
        <v>#DIV/0!</v>
      </c>
    </row>
    <row r="58" spans="1:93" s="43" customFormat="1" x14ac:dyDescent="0.2">
      <c r="A58" s="43" t="s">
        <v>42</v>
      </c>
      <c r="B58" s="43" t="e">
        <f t="shared" ref="B58:AB58" si="786">+B57</f>
        <v>#DIV/0!</v>
      </c>
      <c r="C58" s="43" t="e">
        <f t="shared" si="786"/>
        <v>#DIV/0!</v>
      </c>
      <c r="D58" s="43" t="e">
        <f t="shared" si="786"/>
        <v>#DIV/0!</v>
      </c>
      <c r="E58" s="43" t="e">
        <f t="shared" si="786"/>
        <v>#DIV/0!</v>
      </c>
      <c r="F58" s="43" t="e">
        <f t="shared" si="786"/>
        <v>#DIV/0!</v>
      </c>
      <c r="G58" s="43" t="e">
        <f t="shared" si="786"/>
        <v>#DIV/0!</v>
      </c>
      <c r="H58" s="43" t="e">
        <f t="shared" si="786"/>
        <v>#DIV/0!</v>
      </c>
      <c r="I58" s="43" t="e">
        <f t="shared" si="786"/>
        <v>#DIV/0!</v>
      </c>
      <c r="J58" s="43" t="e">
        <f t="shared" si="786"/>
        <v>#DIV/0!</v>
      </c>
      <c r="K58" s="43" t="e">
        <f t="shared" si="786"/>
        <v>#DIV/0!</v>
      </c>
      <c r="L58" s="43" t="e">
        <f t="shared" si="786"/>
        <v>#DIV/0!</v>
      </c>
      <c r="M58" s="43" t="e">
        <f t="shared" si="786"/>
        <v>#DIV/0!</v>
      </c>
      <c r="N58" s="43" t="e">
        <f t="shared" si="786"/>
        <v>#DIV/0!</v>
      </c>
      <c r="O58" s="43" t="e">
        <f t="shared" si="786"/>
        <v>#DIV/0!</v>
      </c>
      <c r="P58" s="43" t="e">
        <f t="shared" si="786"/>
        <v>#DIV/0!</v>
      </c>
      <c r="Q58" s="43" t="e">
        <f t="shared" si="786"/>
        <v>#DIV/0!</v>
      </c>
      <c r="R58" s="43" t="e">
        <f t="shared" si="786"/>
        <v>#DIV/0!</v>
      </c>
      <c r="S58" s="43" t="e">
        <f t="shared" si="786"/>
        <v>#DIV/0!</v>
      </c>
      <c r="T58" s="43" t="e">
        <f t="shared" si="786"/>
        <v>#DIV/0!</v>
      </c>
      <c r="U58" s="43" t="e">
        <f t="shared" si="786"/>
        <v>#DIV/0!</v>
      </c>
      <c r="V58" s="43" t="e">
        <f t="shared" si="786"/>
        <v>#DIV/0!</v>
      </c>
      <c r="W58" s="43" t="e">
        <f t="shared" si="786"/>
        <v>#DIV/0!</v>
      </c>
      <c r="X58" s="43" t="e">
        <f t="shared" si="786"/>
        <v>#DIV/0!</v>
      </c>
      <c r="Y58" s="43" t="e">
        <f t="shared" si="786"/>
        <v>#DIV/0!</v>
      </c>
      <c r="Z58" s="43" t="e">
        <f t="shared" si="786"/>
        <v>#DIV/0!</v>
      </c>
      <c r="AA58" s="44" t="e">
        <f t="shared" si="786"/>
        <v>#DIV/0!</v>
      </c>
      <c r="AB58" s="44" t="e">
        <f t="shared" si="786"/>
        <v>#DIV/0!</v>
      </c>
      <c r="AC58" s="44" t="e">
        <f t="shared" ref="AC58" si="787">+AC57</f>
        <v>#DIV/0!</v>
      </c>
      <c r="AD58" s="44" t="e">
        <f t="shared" ref="AD58" si="788">+AD57</f>
        <v>#DIV/0!</v>
      </c>
      <c r="AE58" s="44" t="e">
        <f t="shared" ref="AE58" si="789">+AE57</f>
        <v>#DIV/0!</v>
      </c>
      <c r="AG58" s="62"/>
      <c r="AO58" s="43" t="e">
        <f>AO57+AN57+AM57+AL57</f>
        <v>#DIV/0!</v>
      </c>
      <c r="AP58" s="43" t="e">
        <f t="shared" ref="AP58:AV58" si="790">AP57+AO57+AN57+AM57</f>
        <v>#DIV/0!</v>
      </c>
      <c r="AQ58" s="43" t="e">
        <f t="shared" si="790"/>
        <v>#DIV/0!</v>
      </c>
      <c r="AR58" s="43" t="e">
        <f t="shared" si="790"/>
        <v>#DIV/0!</v>
      </c>
      <c r="AS58" s="43" t="e">
        <f t="shared" si="790"/>
        <v>#DIV/0!</v>
      </c>
      <c r="AT58" s="43" t="e">
        <f t="shared" si="790"/>
        <v>#DIV/0!</v>
      </c>
      <c r="AU58" s="43" t="e">
        <f t="shared" si="790"/>
        <v>#DIV/0!</v>
      </c>
      <c r="AV58" s="43" t="e">
        <f t="shared" si="790"/>
        <v>#DIV/0!</v>
      </c>
      <c r="AW58" s="43" t="e">
        <f>AW57+AV57+AU57+AT57</f>
        <v>#DIV/0!</v>
      </c>
      <c r="AX58" s="43" t="e">
        <f t="shared" ref="AX58:BB58" si="791">AX57+AW57+AV57+AU57</f>
        <v>#DIV/0!</v>
      </c>
      <c r="AY58" s="43" t="e">
        <f t="shared" si="791"/>
        <v>#DIV/0!</v>
      </c>
      <c r="AZ58" s="43" t="e">
        <f t="shared" si="791"/>
        <v>#DIV/0!</v>
      </c>
      <c r="BA58" s="43" t="e">
        <f t="shared" si="791"/>
        <v>#DIV/0!</v>
      </c>
      <c r="BB58" s="43" t="e">
        <f t="shared" si="791"/>
        <v>#DIV/0!</v>
      </c>
      <c r="BC58" s="43" t="e">
        <f t="shared" ref="BC58" si="792">BC57+BB57+BA57+AZ57</f>
        <v>#DIV/0!</v>
      </c>
      <c r="BD58" s="43" t="e">
        <f t="shared" ref="BD58" si="793">BD57+BC57+BB57+BA57</f>
        <v>#DIV/0!</v>
      </c>
      <c r="BE58" s="43" t="e">
        <f t="shared" ref="BE58" si="794">BE57+BD57+BC57+BB57</f>
        <v>#DIV/0!</v>
      </c>
      <c r="BF58" s="43" t="e">
        <f t="shared" ref="BF58:BH58" si="795">BF57+BE57+BD57+BC57</f>
        <v>#DIV/0!</v>
      </c>
      <c r="BG58" s="43" t="e">
        <f t="shared" si="795"/>
        <v>#DIV/0!</v>
      </c>
      <c r="BH58" s="43" t="e">
        <f t="shared" si="795"/>
        <v>#DIV/0!</v>
      </c>
      <c r="BI58" s="43" t="e">
        <f t="shared" ref="BI58" si="796">BI57+BH57+BG57+BF57</f>
        <v>#DIV/0!</v>
      </c>
      <c r="BJ58" s="43" t="e">
        <f t="shared" ref="BJ58:BK58" si="797">BJ57+BI57+BH57+BG57</f>
        <v>#DIV/0!</v>
      </c>
      <c r="BK58" s="43" t="e">
        <f t="shared" si="797"/>
        <v>#DIV/0!</v>
      </c>
      <c r="BL58" s="43" t="e">
        <f t="shared" ref="BL58" si="798">BL57+BK57+BJ57+BI57</f>
        <v>#DIV/0!</v>
      </c>
      <c r="BM58" s="43" t="e">
        <f t="shared" ref="BM58" si="799">BM57+BL57+BK57+BJ57</f>
        <v>#DIV/0!</v>
      </c>
      <c r="BN58" s="43" t="e">
        <f t="shared" ref="BN58" si="800">BN57+BM57+BL57+BK57</f>
        <v>#DIV/0!</v>
      </c>
      <c r="BO58" s="43" t="e">
        <f t="shared" ref="BO58" si="801">BO57+BN57+BM57+BL57</f>
        <v>#DIV/0!</v>
      </c>
      <c r="BP58" s="43" t="e">
        <f t="shared" ref="BP58" si="802">BP57+BO57+BN57+BM57</f>
        <v>#DIV/0!</v>
      </c>
      <c r="BQ58" s="43" t="e">
        <f t="shared" ref="BQ58" si="803">BQ57+BP57+BO57+BN57</f>
        <v>#DIV/0!</v>
      </c>
      <c r="BR58" s="43" t="e">
        <f t="shared" ref="BR58" si="804">BR57+BQ57+BP57+BO57</f>
        <v>#DIV/0!</v>
      </c>
      <c r="BS58" s="43" t="e">
        <f t="shared" ref="BS58" si="805">BS57+BR57+BQ57+BP57</f>
        <v>#DIV/0!</v>
      </c>
      <c r="BT58" s="43" t="e">
        <f t="shared" ref="BT58:BU58" si="806">BT57+BS57+BR57+BQ57</f>
        <v>#DIV/0!</v>
      </c>
      <c r="BU58" s="43" t="e">
        <f t="shared" si="806"/>
        <v>#DIV/0!</v>
      </c>
      <c r="BV58" s="43" t="e">
        <f t="shared" ref="BV58:BY58" si="807">BV57+BU57+BT57+BS57</f>
        <v>#DIV/0!</v>
      </c>
      <c r="BW58" s="43" t="e">
        <f t="shared" si="807"/>
        <v>#DIV/0!</v>
      </c>
      <c r="BX58" s="43" t="e">
        <f t="shared" si="807"/>
        <v>#DIV/0!</v>
      </c>
      <c r="BY58" s="43" t="e">
        <f t="shared" si="807"/>
        <v>#DIV/0!</v>
      </c>
      <c r="BZ58" s="44" t="e">
        <f t="shared" ref="BZ58" si="808">BZ57+BY57+BX57+BW57</f>
        <v>#DIV/0!</v>
      </c>
      <c r="CA58" s="44" t="e">
        <f t="shared" ref="CA58" si="809">CA57+BZ57+BY57+BX57</f>
        <v>#DIV/0!</v>
      </c>
      <c r="CB58" s="44" t="e">
        <f t="shared" ref="CB58" si="810">CB57+CA57+BZ57+BY57</f>
        <v>#DIV/0!</v>
      </c>
      <c r="CC58" s="44" t="e">
        <f t="shared" ref="CC58" si="811">CC57+CB57+CA57+BZ57</f>
        <v>#DIV/0!</v>
      </c>
      <c r="CD58" s="44" t="e">
        <f t="shared" ref="CD58" si="812">CD57+CC57+CB57+CA57</f>
        <v>#DIV/0!</v>
      </c>
      <c r="CE58" s="44" t="e">
        <f t="shared" ref="CE58" si="813">CE57+CD57+CC57+CB57</f>
        <v>#DIV/0!</v>
      </c>
      <c r="CF58" s="44" t="e">
        <f t="shared" ref="CF58" si="814">CF57+CE57+CD57+CC57</f>
        <v>#DIV/0!</v>
      </c>
      <c r="CG58" s="44" t="e">
        <f t="shared" ref="CG58" si="815">CG57+CF57+CE57+CD57</f>
        <v>#DIV/0!</v>
      </c>
      <c r="CH58" s="44" t="e">
        <f t="shared" ref="CH58" si="816">CH57+CG57+CF57+CE57</f>
        <v>#DIV/0!</v>
      </c>
      <c r="CI58" s="44" t="e">
        <f t="shared" ref="CI58" si="817">CI57+CH57+CG57+CF57</f>
        <v>#DIV/0!</v>
      </c>
      <c r="CJ58" s="44" t="e">
        <f t="shared" ref="CJ58" si="818">CJ57+CI57+CH57+CG57</f>
        <v>#DIV/0!</v>
      </c>
      <c r="CK58" s="44" t="e">
        <f t="shared" ref="CK58" si="819">CK57+CJ57+CI57+CH57</f>
        <v>#DIV/0!</v>
      </c>
      <c r="CL58" s="44" t="e">
        <f t="shared" ref="CL58" si="820">CL57+CK57+CJ57+CI57</f>
        <v>#DIV/0!</v>
      </c>
      <c r="CM58" s="44" t="e">
        <f t="shared" ref="CM58" si="821">CM57+CL57+CK57+CJ57</f>
        <v>#DIV/0!</v>
      </c>
      <c r="CN58" s="44" t="e">
        <f t="shared" ref="CN58" si="822">CN57+CM57+CL57+CK57</f>
        <v>#DIV/0!</v>
      </c>
      <c r="CO58" s="44" t="e">
        <f t="shared" ref="CO58" si="823">CO57+CN57+CM57+CL57</f>
        <v>#DIV/0!</v>
      </c>
    </row>
    <row r="59" spans="1:93" s="120" customFormat="1" x14ac:dyDescent="0.2">
      <c r="A59" s="120" t="s">
        <v>180</v>
      </c>
      <c r="AA59" s="121"/>
      <c r="AB59" s="121"/>
      <c r="AC59" s="121"/>
      <c r="AD59" s="121"/>
      <c r="AE59" s="121"/>
      <c r="AG59" s="122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</row>
    <row r="60" spans="1:93" s="120" customFormat="1" x14ac:dyDescent="0.2">
      <c r="A60" s="120" t="s">
        <v>181</v>
      </c>
      <c r="AA60" s="121"/>
      <c r="AB60" s="121"/>
      <c r="AC60" s="121"/>
      <c r="AD60" s="121"/>
      <c r="AE60" s="121"/>
      <c r="AG60" s="122"/>
      <c r="BZ60" s="121"/>
      <c r="CA60" s="121"/>
      <c r="CB60" s="121"/>
      <c r="CC60" s="121" t="e">
        <f>+CC58/CC59-1</f>
        <v>#DIV/0!</v>
      </c>
      <c r="CD60" s="121"/>
      <c r="CE60" s="121"/>
      <c r="CF60" s="121"/>
      <c r="CG60" s="121" t="e">
        <f>+CG58/CG59-1</f>
        <v>#DIV/0!</v>
      </c>
      <c r="CH60" s="121"/>
      <c r="CI60" s="121"/>
      <c r="CJ60" s="121"/>
      <c r="CK60" s="121" t="e">
        <f>+CK58/CK59-1</f>
        <v>#DIV/0!</v>
      </c>
      <c r="CL60" s="121"/>
      <c r="CM60" s="121"/>
      <c r="CN60" s="121"/>
      <c r="CO60" s="121" t="e">
        <f>+CO58/CO59-1</f>
        <v>#DIV/0!</v>
      </c>
    </row>
    <row r="61" spans="1:93" s="50" customFormat="1" x14ac:dyDescent="0.2">
      <c r="A61" s="50" t="s">
        <v>35</v>
      </c>
      <c r="B61" s="50" t="e">
        <f t="shared" ref="B61:AE61" si="824">B97/B56</f>
        <v>#DIV/0!</v>
      </c>
      <c r="C61" s="50" t="e">
        <f t="shared" si="824"/>
        <v>#DIV/0!</v>
      </c>
      <c r="D61" s="50" t="e">
        <f t="shared" si="824"/>
        <v>#DIV/0!</v>
      </c>
      <c r="E61" s="50" t="e">
        <f t="shared" si="824"/>
        <v>#DIV/0!</v>
      </c>
      <c r="F61" s="50" t="e">
        <f t="shared" si="824"/>
        <v>#DIV/0!</v>
      </c>
      <c r="G61" s="50" t="e">
        <f t="shared" si="824"/>
        <v>#DIV/0!</v>
      </c>
      <c r="H61" s="50" t="e">
        <f t="shared" si="824"/>
        <v>#DIV/0!</v>
      </c>
      <c r="I61" s="50" t="e">
        <f t="shared" si="824"/>
        <v>#DIV/0!</v>
      </c>
      <c r="J61" s="50" t="e">
        <f t="shared" si="824"/>
        <v>#DIV/0!</v>
      </c>
      <c r="K61" s="50" t="e">
        <f t="shared" si="824"/>
        <v>#DIV/0!</v>
      </c>
      <c r="L61" s="50" t="e">
        <f t="shared" si="824"/>
        <v>#DIV/0!</v>
      </c>
      <c r="M61" s="50" t="e">
        <f t="shared" si="824"/>
        <v>#DIV/0!</v>
      </c>
      <c r="N61" s="50" t="e">
        <f t="shared" si="824"/>
        <v>#DIV/0!</v>
      </c>
      <c r="O61" s="50" t="e">
        <f t="shared" si="824"/>
        <v>#DIV/0!</v>
      </c>
      <c r="P61" s="50" t="e">
        <f t="shared" si="824"/>
        <v>#DIV/0!</v>
      </c>
      <c r="Q61" s="50" t="e">
        <f t="shared" si="824"/>
        <v>#DIV/0!</v>
      </c>
      <c r="R61" s="50" t="e">
        <f t="shared" si="824"/>
        <v>#DIV/0!</v>
      </c>
      <c r="S61" s="50" t="e">
        <f t="shared" si="824"/>
        <v>#DIV/0!</v>
      </c>
      <c r="T61" s="50" t="e">
        <f t="shared" si="824"/>
        <v>#DIV/0!</v>
      </c>
      <c r="U61" s="50" t="e">
        <f t="shared" si="824"/>
        <v>#DIV/0!</v>
      </c>
      <c r="V61" s="50" t="e">
        <f t="shared" si="824"/>
        <v>#DIV/0!</v>
      </c>
      <c r="W61" s="50" t="e">
        <f t="shared" si="824"/>
        <v>#DIV/0!</v>
      </c>
      <c r="X61" s="50" t="e">
        <f t="shared" si="824"/>
        <v>#DIV/0!</v>
      </c>
      <c r="Y61" s="50" t="e">
        <f t="shared" si="824"/>
        <v>#DIV/0!</v>
      </c>
      <c r="Z61" s="50" t="e">
        <f t="shared" si="824"/>
        <v>#DIV/0!</v>
      </c>
      <c r="AA61" s="51" t="e">
        <f t="shared" si="824"/>
        <v>#DIV/0!</v>
      </c>
      <c r="AB61" s="51" t="e">
        <f t="shared" si="824"/>
        <v>#DIV/0!</v>
      </c>
      <c r="AC61" s="51" t="e">
        <f t="shared" si="824"/>
        <v>#DIV/0!</v>
      </c>
      <c r="AD61" s="51" t="e">
        <f t="shared" si="824"/>
        <v>#DIV/0!</v>
      </c>
      <c r="AE61" s="51" t="e">
        <f t="shared" si="824"/>
        <v>#DIV/0!</v>
      </c>
      <c r="AG61" s="64"/>
      <c r="AH61" s="50" t="e">
        <f t="shared" ref="AH61:BM61" si="825">AH97/AH56</f>
        <v>#DIV/0!</v>
      </c>
      <c r="AI61" s="50" t="e">
        <f t="shared" si="825"/>
        <v>#DIV/0!</v>
      </c>
      <c r="AJ61" s="50" t="e">
        <f t="shared" si="825"/>
        <v>#DIV/0!</v>
      </c>
      <c r="AK61" s="50" t="e">
        <f t="shared" si="825"/>
        <v>#DIV/0!</v>
      </c>
      <c r="AL61" s="50" t="e">
        <f t="shared" si="825"/>
        <v>#DIV/0!</v>
      </c>
      <c r="AM61" s="50" t="e">
        <f t="shared" si="825"/>
        <v>#DIV/0!</v>
      </c>
      <c r="AN61" s="50" t="e">
        <f t="shared" si="825"/>
        <v>#DIV/0!</v>
      </c>
      <c r="AO61" s="50" t="e">
        <f t="shared" si="825"/>
        <v>#DIV/0!</v>
      </c>
      <c r="AP61" s="50" t="e">
        <f t="shared" si="825"/>
        <v>#DIV/0!</v>
      </c>
      <c r="AQ61" s="50" t="e">
        <f t="shared" si="825"/>
        <v>#DIV/0!</v>
      </c>
      <c r="AR61" s="50" t="e">
        <f t="shared" si="825"/>
        <v>#DIV/0!</v>
      </c>
      <c r="AS61" s="50" t="e">
        <f t="shared" si="825"/>
        <v>#DIV/0!</v>
      </c>
      <c r="AT61" s="50" t="e">
        <f t="shared" si="825"/>
        <v>#DIV/0!</v>
      </c>
      <c r="AU61" s="50" t="e">
        <f t="shared" si="825"/>
        <v>#DIV/0!</v>
      </c>
      <c r="AV61" s="50" t="e">
        <f t="shared" si="825"/>
        <v>#DIV/0!</v>
      </c>
      <c r="AW61" s="50" t="e">
        <f t="shared" si="825"/>
        <v>#DIV/0!</v>
      </c>
      <c r="AX61" s="50" t="e">
        <f t="shared" si="825"/>
        <v>#DIV/0!</v>
      </c>
      <c r="AY61" s="50" t="e">
        <f t="shared" si="825"/>
        <v>#DIV/0!</v>
      </c>
      <c r="AZ61" s="50" t="e">
        <f t="shared" si="825"/>
        <v>#DIV/0!</v>
      </c>
      <c r="BA61" s="50" t="e">
        <f t="shared" si="825"/>
        <v>#DIV/0!</v>
      </c>
      <c r="BB61" s="50" t="e">
        <f t="shared" si="825"/>
        <v>#DIV/0!</v>
      </c>
      <c r="BC61" s="50" t="e">
        <f t="shared" si="825"/>
        <v>#DIV/0!</v>
      </c>
      <c r="BD61" s="50" t="e">
        <f t="shared" si="825"/>
        <v>#DIV/0!</v>
      </c>
      <c r="BE61" s="50" t="e">
        <f t="shared" si="825"/>
        <v>#DIV/0!</v>
      </c>
      <c r="BF61" s="50" t="e">
        <f t="shared" si="825"/>
        <v>#DIV/0!</v>
      </c>
      <c r="BG61" s="50" t="e">
        <f t="shared" si="825"/>
        <v>#DIV/0!</v>
      </c>
      <c r="BH61" s="50" t="e">
        <f t="shared" si="825"/>
        <v>#DIV/0!</v>
      </c>
      <c r="BI61" s="50" t="e">
        <f t="shared" si="825"/>
        <v>#DIV/0!</v>
      </c>
      <c r="BJ61" s="50" t="e">
        <f t="shared" si="825"/>
        <v>#DIV/0!</v>
      </c>
      <c r="BK61" s="50" t="e">
        <f t="shared" si="825"/>
        <v>#DIV/0!</v>
      </c>
      <c r="BL61" s="50" t="e">
        <f t="shared" si="825"/>
        <v>#DIV/0!</v>
      </c>
      <c r="BM61" s="50" t="e">
        <f t="shared" si="825"/>
        <v>#DIV/0!</v>
      </c>
      <c r="BN61" s="50" t="e">
        <f t="shared" ref="BN61:CO61" si="826">BN97/BN56</f>
        <v>#DIV/0!</v>
      </c>
      <c r="BO61" s="50" t="e">
        <f t="shared" si="826"/>
        <v>#DIV/0!</v>
      </c>
      <c r="BP61" s="50" t="e">
        <f t="shared" si="826"/>
        <v>#DIV/0!</v>
      </c>
      <c r="BQ61" s="50" t="e">
        <f t="shared" si="826"/>
        <v>#DIV/0!</v>
      </c>
      <c r="BR61" s="50" t="e">
        <f t="shared" si="826"/>
        <v>#DIV/0!</v>
      </c>
      <c r="BS61" s="50" t="e">
        <f t="shared" si="826"/>
        <v>#DIV/0!</v>
      </c>
      <c r="BT61" s="50" t="e">
        <f t="shared" si="826"/>
        <v>#DIV/0!</v>
      </c>
      <c r="BU61" s="50" t="e">
        <f t="shared" si="826"/>
        <v>#DIV/0!</v>
      </c>
      <c r="BV61" s="50" t="e">
        <f t="shared" si="826"/>
        <v>#DIV/0!</v>
      </c>
      <c r="BW61" s="50" t="e">
        <f t="shared" si="826"/>
        <v>#DIV/0!</v>
      </c>
      <c r="BX61" s="50" t="e">
        <f t="shared" si="826"/>
        <v>#DIV/0!</v>
      </c>
      <c r="BY61" s="50" t="e">
        <f t="shared" ref="BY61" si="827">BY97/BY56</f>
        <v>#DIV/0!</v>
      </c>
      <c r="BZ61" s="51" t="e">
        <f t="shared" si="826"/>
        <v>#DIV/0!</v>
      </c>
      <c r="CA61" s="51" t="e">
        <f t="shared" si="826"/>
        <v>#DIV/0!</v>
      </c>
      <c r="CB61" s="51" t="e">
        <f t="shared" si="826"/>
        <v>#DIV/0!</v>
      </c>
      <c r="CC61" s="51" t="e">
        <f t="shared" si="826"/>
        <v>#DIV/0!</v>
      </c>
      <c r="CD61" s="51" t="e">
        <f t="shared" si="826"/>
        <v>#DIV/0!</v>
      </c>
      <c r="CE61" s="51" t="e">
        <f t="shared" si="826"/>
        <v>#DIV/0!</v>
      </c>
      <c r="CF61" s="51" t="e">
        <f t="shared" si="826"/>
        <v>#DIV/0!</v>
      </c>
      <c r="CG61" s="51" t="e">
        <f t="shared" si="826"/>
        <v>#DIV/0!</v>
      </c>
      <c r="CH61" s="51" t="e">
        <f t="shared" si="826"/>
        <v>#DIV/0!</v>
      </c>
      <c r="CI61" s="51" t="e">
        <f t="shared" si="826"/>
        <v>#DIV/0!</v>
      </c>
      <c r="CJ61" s="51" t="e">
        <f t="shared" si="826"/>
        <v>#DIV/0!</v>
      </c>
      <c r="CK61" s="51" t="e">
        <f t="shared" si="826"/>
        <v>#DIV/0!</v>
      </c>
      <c r="CL61" s="51" t="e">
        <f t="shared" si="826"/>
        <v>#DIV/0!</v>
      </c>
      <c r="CM61" s="51" t="e">
        <f t="shared" si="826"/>
        <v>#DIV/0!</v>
      </c>
      <c r="CN61" s="51" t="e">
        <f t="shared" si="826"/>
        <v>#DIV/0!</v>
      </c>
      <c r="CO61" s="51" t="e">
        <f t="shared" si="826"/>
        <v>#DIV/0!</v>
      </c>
    </row>
    <row r="62" spans="1:93" s="50" customFormat="1" x14ac:dyDescent="0.2">
      <c r="A62" s="50" t="s">
        <v>158</v>
      </c>
      <c r="C62" s="50" t="e">
        <f t="shared" ref="C62:AE62" si="828">+C61-C66</f>
        <v>#DIV/0!</v>
      </c>
      <c r="D62" s="50" t="e">
        <f t="shared" si="828"/>
        <v>#DIV/0!</v>
      </c>
      <c r="E62" s="50" t="e">
        <f t="shared" si="828"/>
        <v>#DIV/0!</v>
      </c>
      <c r="F62" s="50" t="e">
        <f t="shared" si="828"/>
        <v>#DIV/0!</v>
      </c>
      <c r="G62" s="50" t="e">
        <f t="shared" si="828"/>
        <v>#DIV/0!</v>
      </c>
      <c r="H62" s="50" t="e">
        <f t="shared" si="828"/>
        <v>#DIV/0!</v>
      </c>
      <c r="I62" s="50" t="e">
        <f t="shared" si="828"/>
        <v>#DIV/0!</v>
      </c>
      <c r="J62" s="50" t="e">
        <f t="shared" si="828"/>
        <v>#DIV/0!</v>
      </c>
      <c r="K62" s="50" t="e">
        <f t="shared" si="828"/>
        <v>#DIV/0!</v>
      </c>
      <c r="L62" s="50" t="e">
        <f t="shared" si="828"/>
        <v>#DIV/0!</v>
      </c>
      <c r="M62" s="50" t="e">
        <f t="shared" si="828"/>
        <v>#DIV/0!</v>
      </c>
      <c r="N62" s="50" t="e">
        <f t="shared" si="828"/>
        <v>#DIV/0!</v>
      </c>
      <c r="O62" s="50" t="e">
        <f t="shared" si="828"/>
        <v>#DIV/0!</v>
      </c>
      <c r="P62" s="50" t="e">
        <f t="shared" si="828"/>
        <v>#DIV/0!</v>
      </c>
      <c r="Q62" s="50" t="e">
        <f t="shared" si="828"/>
        <v>#DIV/0!</v>
      </c>
      <c r="R62" s="50" t="e">
        <f t="shared" si="828"/>
        <v>#DIV/0!</v>
      </c>
      <c r="S62" s="50" t="e">
        <f t="shared" si="828"/>
        <v>#DIV/0!</v>
      </c>
      <c r="T62" s="50" t="e">
        <f t="shared" si="828"/>
        <v>#DIV/0!</v>
      </c>
      <c r="U62" s="50" t="e">
        <f t="shared" si="828"/>
        <v>#DIV/0!</v>
      </c>
      <c r="V62" s="50" t="e">
        <f t="shared" si="828"/>
        <v>#DIV/0!</v>
      </c>
      <c r="W62" s="50" t="e">
        <f t="shared" si="828"/>
        <v>#DIV/0!</v>
      </c>
      <c r="X62" s="50" t="e">
        <f t="shared" si="828"/>
        <v>#DIV/0!</v>
      </c>
      <c r="Y62" s="50" t="e">
        <f t="shared" si="828"/>
        <v>#DIV/0!</v>
      </c>
      <c r="Z62" s="50" t="e">
        <f t="shared" si="828"/>
        <v>#DIV/0!</v>
      </c>
      <c r="AA62" s="51" t="e">
        <f t="shared" si="828"/>
        <v>#DIV/0!</v>
      </c>
      <c r="AB62" s="51" t="e">
        <f t="shared" si="828"/>
        <v>#DIV/0!</v>
      </c>
      <c r="AC62" s="51" t="e">
        <f t="shared" si="828"/>
        <v>#DIV/0!</v>
      </c>
      <c r="AD62" s="51" t="e">
        <f t="shared" si="828"/>
        <v>#DIV/0!</v>
      </c>
      <c r="AE62" s="51" t="e">
        <f t="shared" si="828"/>
        <v>#DIV/0!</v>
      </c>
      <c r="AG62" s="64"/>
      <c r="AH62" s="50" t="e">
        <f t="shared" ref="AH62:AS62" si="829">+AH61-AH66</f>
        <v>#DIV/0!</v>
      </c>
      <c r="AI62" s="50" t="e">
        <f t="shared" si="829"/>
        <v>#DIV/0!</v>
      </c>
      <c r="AJ62" s="50" t="e">
        <f t="shared" si="829"/>
        <v>#DIV/0!</v>
      </c>
      <c r="AK62" s="50" t="e">
        <f t="shared" si="829"/>
        <v>#DIV/0!</v>
      </c>
      <c r="AL62" s="50" t="e">
        <f t="shared" si="829"/>
        <v>#DIV/0!</v>
      </c>
      <c r="AM62" s="50" t="e">
        <f t="shared" si="829"/>
        <v>#DIV/0!</v>
      </c>
      <c r="AN62" s="50" t="e">
        <f t="shared" si="829"/>
        <v>#DIV/0!</v>
      </c>
      <c r="AO62" s="50" t="e">
        <f t="shared" si="829"/>
        <v>#DIV/0!</v>
      </c>
      <c r="AP62" s="50" t="e">
        <f t="shared" si="829"/>
        <v>#DIV/0!</v>
      </c>
      <c r="AQ62" s="50" t="e">
        <f t="shared" si="829"/>
        <v>#DIV/0!</v>
      </c>
      <c r="AR62" s="50" t="e">
        <f t="shared" si="829"/>
        <v>#DIV/0!</v>
      </c>
      <c r="AS62" s="50" t="e">
        <f t="shared" si="829"/>
        <v>#DIV/0!</v>
      </c>
      <c r="AT62" s="50" t="e">
        <f t="shared" ref="AT62:CO62" si="830">+AT61-AT66</f>
        <v>#DIV/0!</v>
      </c>
      <c r="AU62" s="50" t="e">
        <f t="shared" si="830"/>
        <v>#DIV/0!</v>
      </c>
      <c r="AV62" s="50" t="e">
        <f t="shared" si="830"/>
        <v>#DIV/0!</v>
      </c>
      <c r="AW62" s="50" t="e">
        <f t="shared" si="830"/>
        <v>#DIV/0!</v>
      </c>
      <c r="AX62" s="50" t="e">
        <f t="shared" si="830"/>
        <v>#DIV/0!</v>
      </c>
      <c r="AY62" s="50" t="e">
        <f t="shared" si="830"/>
        <v>#DIV/0!</v>
      </c>
      <c r="AZ62" s="50" t="e">
        <f t="shared" si="830"/>
        <v>#DIV/0!</v>
      </c>
      <c r="BA62" s="50" t="e">
        <f t="shared" si="830"/>
        <v>#DIV/0!</v>
      </c>
      <c r="BB62" s="50" t="e">
        <f t="shared" si="830"/>
        <v>#DIV/0!</v>
      </c>
      <c r="BC62" s="50" t="e">
        <f t="shared" si="830"/>
        <v>#DIV/0!</v>
      </c>
      <c r="BD62" s="50" t="e">
        <f t="shared" si="830"/>
        <v>#DIV/0!</v>
      </c>
      <c r="BE62" s="50" t="e">
        <f t="shared" si="830"/>
        <v>#DIV/0!</v>
      </c>
      <c r="BF62" s="50" t="e">
        <f t="shared" si="830"/>
        <v>#DIV/0!</v>
      </c>
      <c r="BG62" s="50" t="e">
        <f t="shared" si="830"/>
        <v>#DIV/0!</v>
      </c>
      <c r="BH62" s="50" t="e">
        <f t="shared" si="830"/>
        <v>#DIV/0!</v>
      </c>
      <c r="BI62" s="50" t="e">
        <f t="shared" si="830"/>
        <v>#DIV/0!</v>
      </c>
      <c r="BJ62" s="50" t="e">
        <f t="shared" si="830"/>
        <v>#DIV/0!</v>
      </c>
      <c r="BK62" s="50" t="e">
        <f t="shared" si="830"/>
        <v>#DIV/0!</v>
      </c>
      <c r="BL62" s="50" t="e">
        <f t="shared" si="830"/>
        <v>#DIV/0!</v>
      </c>
      <c r="BM62" s="50" t="e">
        <f t="shared" si="830"/>
        <v>#DIV/0!</v>
      </c>
      <c r="BN62" s="50" t="e">
        <f t="shared" si="830"/>
        <v>#DIV/0!</v>
      </c>
      <c r="BO62" s="50" t="e">
        <f t="shared" si="830"/>
        <v>#DIV/0!</v>
      </c>
      <c r="BP62" s="50" t="e">
        <f t="shared" si="830"/>
        <v>#DIV/0!</v>
      </c>
      <c r="BQ62" s="50" t="e">
        <f t="shared" si="830"/>
        <v>#DIV/0!</v>
      </c>
      <c r="BR62" s="50" t="e">
        <f t="shared" si="830"/>
        <v>#DIV/0!</v>
      </c>
      <c r="BS62" s="50" t="e">
        <f t="shared" si="830"/>
        <v>#DIV/0!</v>
      </c>
      <c r="BT62" s="50" t="e">
        <f t="shared" si="830"/>
        <v>#DIV/0!</v>
      </c>
      <c r="BU62" s="50" t="e">
        <f t="shared" si="830"/>
        <v>#DIV/0!</v>
      </c>
      <c r="BV62" s="50" t="e">
        <f t="shared" si="830"/>
        <v>#DIV/0!</v>
      </c>
      <c r="BW62" s="50" t="e">
        <f t="shared" ref="BW62:BX62" si="831">+BW61-BW66</f>
        <v>#DIV/0!</v>
      </c>
      <c r="BX62" s="50" t="e">
        <f t="shared" si="831"/>
        <v>#DIV/0!</v>
      </c>
      <c r="BY62" s="50" t="e">
        <f t="shared" ref="BY62" si="832">+BY61-BY66</f>
        <v>#DIV/0!</v>
      </c>
      <c r="BZ62" s="51" t="e">
        <f t="shared" si="830"/>
        <v>#DIV/0!</v>
      </c>
      <c r="CA62" s="51" t="e">
        <f t="shared" si="830"/>
        <v>#DIV/0!</v>
      </c>
      <c r="CB62" s="51" t="e">
        <f t="shared" si="830"/>
        <v>#DIV/0!</v>
      </c>
      <c r="CC62" s="51" t="e">
        <f t="shared" si="830"/>
        <v>#DIV/0!</v>
      </c>
      <c r="CD62" s="51" t="e">
        <f t="shared" si="830"/>
        <v>#DIV/0!</v>
      </c>
      <c r="CE62" s="51" t="e">
        <f t="shared" si="830"/>
        <v>#DIV/0!</v>
      </c>
      <c r="CF62" s="51" t="e">
        <f t="shared" si="830"/>
        <v>#DIV/0!</v>
      </c>
      <c r="CG62" s="51" t="e">
        <f t="shared" si="830"/>
        <v>#DIV/0!</v>
      </c>
      <c r="CH62" s="51" t="e">
        <f t="shared" si="830"/>
        <v>#DIV/0!</v>
      </c>
      <c r="CI62" s="51" t="e">
        <f t="shared" si="830"/>
        <v>#DIV/0!</v>
      </c>
      <c r="CJ62" s="51" t="e">
        <f t="shared" si="830"/>
        <v>#DIV/0!</v>
      </c>
      <c r="CK62" s="51" t="e">
        <f t="shared" si="830"/>
        <v>#DIV/0!</v>
      </c>
      <c r="CL62" s="51" t="e">
        <f t="shared" si="830"/>
        <v>#DIV/0!</v>
      </c>
      <c r="CM62" s="51" t="e">
        <f t="shared" si="830"/>
        <v>#DIV/0!</v>
      </c>
      <c r="CN62" s="51" t="e">
        <f t="shared" si="830"/>
        <v>#DIV/0!</v>
      </c>
      <c r="CO62" s="51" t="e">
        <f t="shared" si="830"/>
        <v>#DIV/0!</v>
      </c>
    </row>
    <row r="63" spans="1:93" s="50" customFormat="1" x14ac:dyDescent="0.2">
      <c r="AA63" s="51"/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3" s="50" customFormat="1" x14ac:dyDescent="0.2">
      <c r="A64" s="50" t="s">
        <v>142</v>
      </c>
      <c r="B64" s="50">
        <f>+'Annual Raw'!C151</f>
        <v>0</v>
      </c>
      <c r="C64" s="50">
        <f>+'Annual Raw'!D151</f>
        <v>0</v>
      </c>
      <c r="D64" s="50">
        <f>+'Annual Raw'!E151</f>
        <v>0</v>
      </c>
      <c r="E64" s="50">
        <f>+'Annual Raw'!F151</f>
        <v>0</v>
      </c>
      <c r="F64" s="50">
        <f>+'Annual Raw'!G151</f>
        <v>0</v>
      </c>
      <c r="G64" s="50">
        <f>+'Annual Raw'!H151</f>
        <v>0</v>
      </c>
      <c r="H64" s="50">
        <f>+'Annual Raw'!I151</f>
        <v>0</v>
      </c>
      <c r="I64" s="50">
        <f>+'Annual Raw'!J151</f>
        <v>0</v>
      </c>
      <c r="J64" s="50">
        <f>+'Annual Raw'!K151</f>
        <v>0</v>
      </c>
      <c r="K64" s="50">
        <f>+'Annual Raw'!L151</f>
        <v>0</v>
      </c>
      <c r="L64" s="50">
        <f>+'Annual Raw'!M151</f>
        <v>0</v>
      </c>
      <c r="M64" s="50">
        <f>+'Annual Raw'!N151</f>
        <v>0</v>
      </c>
      <c r="N64" s="50">
        <f>+'Annual Raw'!O151</f>
        <v>0</v>
      </c>
      <c r="O64" s="50">
        <f>+'Annual Raw'!P151</f>
        <v>0</v>
      </c>
      <c r="P64" s="50">
        <f>+'Annual Raw'!Q151</f>
        <v>0</v>
      </c>
      <c r="Q64" s="50">
        <f>+'Annual Raw'!R151</f>
        <v>0</v>
      </c>
      <c r="R64" s="50">
        <f>+'Annual Raw'!S151</f>
        <v>0</v>
      </c>
      <c r="S64" s="50">
        <f>+'Annual Raw'!T151</f>
        <v>0</v>
      </c>
      <c r="T64" s="50">
        <f>+'Annual Raw'!U151</f>
        <v>0</v>
      </c>
      <c r="U64" s="50">
        <f>+'Annual Raw'!V151</f>
        <v>0</v>
      </c>
      <c r="V64" s="50">
        <f>+'Annual Raw'!W151</f>
        <v>0</v>
      </c>
      <c r="W64" s="50">
        <f>+'Annual Raw'!X151</f>
        <v>0</v>
      </c>
      <c r="X64" s="50">
        <f>+'Annual Raw'!Y151</f>
        <v>0</v>
      </c>
      <c r="Y64" s="50">
        <f>+'Annual Raw'!Z151</f>
        <v>0</v>
      </c>
      <c r="Z64" s="50">
        <f>+'Annual Raw'!AA151</f>
        <v>0</v>
      </c>
      <c r="AA64" s="51"/>
      <c r="AB64" s="51"/>
      <c r="AC64" s="51"/>
      <c r="AD64" s="51"/>
      <c r="AE64" s="51"/>
      <c r="AG64" s="64"/>
      <c r="AW64" s="50">
        <f>+AW68*AW109</f>
        <v>0</v>
      </c>
      <c r="AX64" s="50">
        <f t="shared" ref="AX64:BY64" si="833">+AX68*AX109</f>
        <v>0</v>
      </c>
      <c r="AY64" s="50">
        <f t="shared" si="833"/>
        <v>0</v>
      </c>
      <c r="AZ64" s="50">
        <f t="shared" si="833"/>
        <v>0</v>
      </c>
      <c r="BA64" s="50">
        <f t="shared" si="833"/>
        <v>0</v>
      </c>
      <c r="BB64" s="50">
        <f t="shared" si="833"/>
        <v>0</v>
      </c>
      <c r="BC64" s="50">
        <f t="shared" si="833"/>
        <v>0</v>
      </c>
      <c r="BD64" s="50">
        <f t="shared" si="833"/>
        <v>0</v>
      </c>
      <c r="BE64" s="50">
        <f t="shared" si="833"/>
        <v>0</v>
      </c>
      <c r="BF64" s="50">
        <f t="shared" si="833"/>
        <v>0</v>
      </c>
      <c r="BG64" s="50">
        <f t="shared" si="833"/>
        <v>0</v>
      </c>
      <c r="BH64" s="50">
        <f t="shared" si="833"/>
        <v>0</v>
      </c>
      <c r="BI64" s="50">
        <f t="shared" si="833"/>
        <v>0</v>
      </c>
      <c r="BJ64" s="50">
        <f t="shared" si="833"/>
        <v>0</v>
      </c>
      <c r="BK64" s="50">
        <f t="shared" si="833"/>
        <v>0</v>
      </c>
      <c r="BL64" s="50">
        <f t="shared" si="833"/>
        <v>0</v>
      </c>
      <c r="BM64" s="50">
        <f t="shared" si="833"/>
        <v>0</v>
      </c>
      <c r="BN64" s="50">
        <f t="shared" si="833"/>
        <v>0</v>
      </c>
      <c r="BO64" s="50">
        <f t="shared" si="833"/>
        <v>0</v>
      </c>
      <c r="BP64" s="50">
        <f t="shared" si="833"/>
        <v>0</v>
      </c>
      <c r="BQ64" s="50">
        <f t="shared" si="833"/>
        <v>0</v>
      </c>
      <c r="BR64" s="50">
        <f t="shared" si="833"/>
        <v>0</v>
      </c>
      <c r="BS64" s="50">
        <f t="shared" si="833"/>
        <v>0</v>
      </c>
      <c r="BT64" s="50">
        <f t="shared" si="833"/>
        <v>0</v>
      </c>
      <c r="BU64" s="50">
        <f t="shared" si="833"/>
        <v>0</v>
      </c>
      <c r="BV64" s="50">
        <f t="shared" si="833"/>
        <v>0</v>
      </c>
      <c r="BW64" s="50">
        <f t="shared" si="833"/>
        <v>0</v>
      </c>
      <c r="BX64" s="50">
        <f t="shared" si="833"/>
        <v>0</v>
      </c>
      <c r="BY64" s="50">
        <f t="shared" si="833"/>
        <v>0</v>
      </c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3" s="50" customFormat="1" x14ac:dyDescent="0.2">
      <c r="A65" s="50" t="s">
        <v>143</v>
      </c>
      <c r="B65" s="50">
        <f>+'Annual Raw'!C152</f>
        <v>0</v>
      </c>
      <c r="C65" s="50">
        <f>+'Annual Raw'!D152</f>
        <v>0</v>
      </c>
      <c r="D65" s="50">
        <f>+'Annual Raw'!E152</f>
        <v>0</v>
      </c>
      <c r="E65" s="50">
        <f>+'Annual Raw'!F152</f>
        <v>0</v>
      </c>
      <c r="F65" s="50">
        <f>+'Annual Raw'!G152</f>
        <v>0</v>
      </c>
      <c r="G65" s="50">
        <f>+'Annual Raw'!H152</f>
        <v>0</v>
      </c>
      <c r="H65" s="50">
        <f>+'Annual Raw'!I152</f>
        <v>0</v>
      </c>
      <c r="I65" s="50">
        <f>+'Annual Raw'!J152</f>
        <v>0</v>
      </c>
      <c r="J65" s="50">
        <f>+'Annual Raw'!K152</f>
        <v>0</v>
      </c>
      <c r="K65" s="50">
        <f>+'Annual Raw'!L152</f>
        <v>0</v>
      </c>
      <c r="L65" s="50">
        <f>+'Annual Raw'!M152</f>
        <v>0</v>
      </c>
      <c r="M65" s="50">
        <f>+'Annual Raw'!N152</f>
        <v>0</v>
      </c>
      <c r="N65" s="50">
        <f>+'Annual Raw'!O152</f>
        <v>0</v>
      </c>
      <c r="O65" s="50">
        <f>+'Annual Raw'!P152</f>
        <v>0</v>
      </c>
      <c r="P65" s="50">
        <f>+'Annual Raw'!Q152</f>
        <v>0</v>
      </c>
      <c r="Q65" s="50">
        <f>+'Annual Raw'!R152</f>
        <v>0</v>
      </c>
      <c r="R65" s="50">
        <f>+'Annual Raw'!S152</f>
        <v>0</v>
      </c>
      <c r="S65" s="50">
        <f>+'Annual Raw'!T152</f>
        <v>0</v>
      </c>
      <c r="T65" s="50">
        <f>+'Annual Raw'!U152</f>
        <v>0</v>
      </c>
      <c r="U65" s="50">
        <f>+'Annual Raw'!V152</f>
        <v>0</v>
      </c>
      <c r="V65" s="50">
        <f>+'Annual Raw'!W152</f>
        <v>0</v>
      </c>
      <c r="W65" s="50">
        <f>+'Annual Raw'!X152</f>
        <v>0</v>
      </c>
      <c r="X65" s="50">
        <f>+'Annual Raw'!Y152</f>
        <v>0</v>
      </c>
      <c r="Y65" s="50">
        <f>+'Annual Raw'!Z152</f>
        <v>0</v>
      </c>
      <c r="Z65" s="50">
        <f>+'Annual Raw'!AA152</f>
        <v>0</v>
      </c>
      <c r="AA65" s="51"/>
      <c r="AB65" s="51"/>
      <c r="AC65" s="51"/>
      <c r="AD65" s="51"/>
      <c r="AE65" s="51"/>
      <c r="AG65" s="64"/>
      <c r="AW65" s="50">
        <f>+AW69*AW109</f>
        <v>0</v>
      </c>
      <c r="AX65" s="50">
        <f t="shared" ref="AX65:BY65" si="834">+AX69*AX109</f>
        <v>0</v>
      </c>
      <c r="AY65" s="50">
        <f t="shared" si="834"/>
        <v>0</v>
      </c>
      <c r="AZ65" s="50">
        <f t="shared" si="834"/>
        <v>0</v>
      </c>
      <c r="BA65" s="50">
        <f t="shared" si="834"/>
        <v>0</v>
      </c>
      <c r="BB65" s="50">
        <f t="shared" si="834"/>
        <v>0</v>
      </c>
      <c r="BC65" s="50">
        <f t="shared" si="834"/>
        <v>0</v>
      </c>
      <c r="BD65" s="50">
        <f t="shared" si="834"/>
        <v>0</v>
      </c>
      <c r="BE65" s="50">
        <f t="shared" si="834"/>
        <v>0</v>
      </c>
      <c r="BF65" s="50">
        <f t="shared" si="834"/>
        <v>0</v>
      </c>
      <c r="BG65" s="50">
        <f t="shared" si="834"/>
        <v>0</v>
      </c>
      <c r="BH65" s="50">
        <f t="shared" si="834"/>
        <v>0</v>
      </c>
      <c r="BI65" s="50">
        <f t="shared" si="834"/>
        <v>0</v>
      </c>
      <c r="BJ65" s="50">
        <f t="shared" si="834"/>
        <v>0</v>
      </c>
      <c r="BK65" s="50">
        <f t="shared" si="834"/>
        <v>0</v>
      </c>
      <c r="BL65" s="50">
        <f t="shared" si="834"/>
        <v>0</v>
      </c>
      <c r="BM65" s="50">
        <f t="shared" si="834"/>
        <v>0</v>
      </c>
      <c r="BN65" s="50">
        <f t="shared" si="834"/>
        <v>0</v>
      </c>
      <c r="BO65" s="50">
        <f t="shared" si="834"/>
        <v>0</v>
      </c>
      <c r="BP65" s="50">
        <f t="shared" si="834"/>
        <v>0</v>
      </c>
      <c r="BQ65" s="50">
        <f t="shared" si="834"/>
        <v>0</v>
      </c>
      <c r="BR65" s="50">
        <f t="shared" si="834"/>
        <v>0</v>
      </c>
      <c r="BS65" s="50">
        <f t="shared" si="834"/>
        <v>0</v>
      </c>
      <c r="BT65" s="50">
        <f t="shared" si="834"/>
        <v>0</v>
      </c>
      <c r="BU65" s="50">
        <f t="shared" si="834"/>
        <v>0</v>
      </c>
      <c r="BV65" s="50">
        <f t="shared" si="834"/>
        <v>0</v>
      </c>
      <c r="BW65" s="50">
        <f t="shared" si="834"/>
        <v>0</v>
      </c>
      <c r="BX65" s="50">
        <f t="shared" si="834"/>
        <v>0</v>
      </c>
      <c r="BY65" s="50">
        <f t="shared" si="834"/>
        <v>0</v>
      </c>
      <c r="BZ65" s="39" t="e">
        <f t="shared" ref="BZ65:CO65" si="835">+BZ69*BZ109</f>
        <v>#DIV/0!</v>
      </c>
      <c r="CA65" s="39" t="e">
        <f t="shared" si="835"/>
        <v>#DIV/0!</v>
      </c>
      <c r="CB65" s="39" t="e">
        <f t="shared" si="835"/>
        <v>#DIV/0!</v>
      </c>
      <c r="CC65" s="39" t="e">
        <f t="shared" si="835"/>
        <v>#DIV/0!</v>
      </c>
      <c r="CD65" s="39" t="e">
        <f t="shared" si="835"/>
        <v>#DIV/0!</v>
      </c>
      <c r="CE65" s="39" t="e">
        <f t="shared" si="835"/>
        <v>#DIV/0!</v>
      </c>
      <c r="CF65" s="39" t="e">
        <f t="shared" si="835"/>
        <v>#DIV/0!</v>
      </c>
      <c r="CG65" s="39" t="e">
        <f t="shared" si="835"/>
        <v>#DIV/0!</v>
      </c>
      <c r="CH65" s="39" t="e">
        <f t="shared" si="835"/>
        <v>#DIV/0!</v>
      </c>
      <c r="CI65" s="39" t="e">
        <f t="shared" si="835"/>
        <v>#DIV/0!</v>
      </c>
      <c r="CJ65" s="39" t="e">
        <f t="shared" si="835"/>
        <v>#DIV/0!</v>
      </c>
      <c r="CK65" s="39" t="e">
        <f t="shared" si="835"/>
        <v>#DIV/0!</v>
      </c>
      <c r="CL65" s="39" t="e">
        <f t="shared" si="835"/>
        <v>#DIV/0!</v>
      </c>
      <c r="CM65" s="39" t="e">
        <f t="shared" si="835"/>
        <v>#DIV/0!</v>
      </c>
      <c r="CN65" s="39" t="e">
        <f t="shared" si="835"/>
        <v>#DIV/0!</v>
      </c>
      <c r="CO65" s="39" t="e">
        <f t="shared" si="835"/>
        <v>#DIV/0!</v>
      </c>
    </row>
    <row r="66" spans="1:93" s="50" customFormat="1" x14ac:dyDescent="0.2">
      <c r="A66" s="50" t="s">
        <v>159</v>
      </c>
      <c r="C66" s="50" t="e">
        <f t="shared" ref="C66:Z66" si="836">+C65/C56</f>
        <v>#DIV/0!</v>
      </c>
      <c r="D66" s="50" t="e">
        <f t="shared" si="836"/>
        <v>#DIV/0!</v>
      </c>
      <c r="E66" s="50" t="e">
        <f t="shared" si="836"/>
        <v>#DIV/0!</v>
      </c>
      <c r="F66" s="50" t="e">
        <f t="shared" si="836"/>
        <v>#DIV/0!</v>
      </c>
      <c r="G66" s="50" t="e">
        <f t="shared" si="836"/>
        <v>#DIV/0!</v>
      </c>
      <c r="H66" s="50" t="e">
        <f t="shared" si="836"/>
        <v>#DIV/0!</v>
      </c>
      <c r="I66" s="50" t="e">
        <f t="shared" si="836"/>
        <v>#DIV/0!</v>
      </c>
      <c r="J66" s="50" t="e">
        <f t="shared" si="836"/>
        <v>#DIV/0!</v>
      </c>
      <c r="K66" s="50" t="e">
        <f t="shared" si="836"/>
        <v>#DIV/0!</v>
      </c>
      <c r="L66" s="50" t="e">
        <f t="shared" si="836"/>
        <v>#DIV/0!</v>
      </c>
      <c r="M66" s="50" t="e">
        <f t="shared" si="836"/>
        <v>#DIV/0!</v>
      </c>
      <c r="N66" s="50" t="e">
        <f t="shared" si="836"/>
        <v>#DIV/0!</v>
      </c>
      <c r="O66" s="50" t="e">
        <f t="shared" si="836"/>
        <v>#DIV/0!</v>
      </c>
      <c r="P66" s="50" t="e">
        <f t="shared" si="836"/>
        <v>#DIV/0!</v>
      </c>
      <c r="Q66" s="50" t="e">
        <f t="shared" si="836"/>
        <v>#DIV/0!</v>
      </c>
      <c r="R66" s="50" t="e">
        <f t="shared" si="836"/>
        <v>#DIV/0!</v>
      </c>
      <c r="S66" s="50" t="e">
        <f t="shared" si="836"/>
        <v>#DIV/0!</v>
      </c>
      <c r="T66" s="50" t="e">
        <f t="shared" si="836"/>
        <v>#DIV/0!</v>
      </c>
      <c r="U66" s="50" t="e">
        <f t="shared" si="836"/>
        <v>#DIV/0!</v>
      </c>
      <c r="V66" s="50" t="e">
        <f t="shared" si="836"/>
        <v>#DIV/0!</v>
      </c>
      <c r="W66" s="50" t="e">
        <f t="shared" si="836"/>
        <v>#DIV/0!</v>
      </c>
      <c r="X66" s="50" t="e">
        <f t="shared" si="836"/>
        <v>#DIV/0!</v>
      </c>
      <c r="Y66" s="50" t="e">
        <f t="shared" si="836"/>
        <v>#DIV/0!</v>
      </c>
      <c r="Z66" s="50" t="e">
        <f t="shared" si="836"/>
        <v>#DIV/0!</v>
      </c>
      <c r="AA66" s="51"/>
      <c r="AB66" s="51"/>
      <c r="AC66" s="51"/>
      <c r="AD66" s="51"/>
      <c r="AE66" s="51"/>
      <c r="AG66" s="64"/>
      <c r="AW66" s="50" t="e">
        <f t="shared" ref="AW66:BX66" si="837">+AW65/AW56</f>
        <v>#DIV/0!</v>
      </c>
      <c r="AX66" s="50" t="e">
        <f t="shared" si="837"/>
        <v>#DIV/0!</v>
      </c>
      <c r="AY66" s="50" t="e">
        <f t="shared" si="837"/>
        <v>#DIV/0!</v>
      </c>
      <c r="AZ66" s="50" t="e">
        <f t="shared" si="837"/>
        <v>#DIV/0!</v>
      </c>
      <c r="BA66" s="50" t="e">
        <f t="shared" si="837"/>
        <v>#DIV/0!</v>
      </c>
      <c r="BB66" s="50" t="e">
        <f t="shared" si="837"/>
        <v>#DIV/0!</v>
      </c>
      <c r="BC66" s="50" t="e">
        <f t="shared" si="837"/>
        <v>#DIV/0!</v>
      </c>
      <c r="BD66" s="50" t="e">
        <f t="shared" si="837"/>
        <v>#DIV/0!</v>
      </c>
      <c r="BE66" s="50" t="e">
        <f t="shared" si="837"/>
        <v>#DIV/0!</v>
      </c>
      <c r="BF66" s="50" t="e">
        <f t="shared" si="837"/>
        <v>#DIV/0!</v>
      </c>
      <c r="BG66" s="50" t="e">
        <f t="shared" si="837"/>
        <v>#DIV/0!</v>
      </c>
      <c r="BH66" s="50" t="e">
        <f t="shared" si="837"/>
        <v>#DIV/0!</v>
      </c>
      <c r="BI66" s="50" t="e">
        <f t="shared" si="837"/>
        <v>#DIV/0!</v>
      </c>
      <c r="BJ66" s="50" t="e">
        <f t="shared" si="837"/>
        <v>#DIV/0!</v>
      </c>
      <c r="BK66" s="50" t="e">
        <f t="shared" si="837"/>
        <v>#DIV/0!</v>
      </c>
      <c r="BL66" s="50" t="e">
        <f t="shared" si="837"/>
        <v>#DIV/0!</v>
      </c>
      <c r="BM66" s="50" t="e">
        <f t="shared" si="837"/>
        <v>#DIV/0!</v>
      </c>
      <c r="BN66" s="50" t="e">
        <f t="shared" si="837"/>
        <v>#DIV/0!</v>
      </c>
      <c r="BO66" s="50" t="e">
        <f t="shared" si="837"/>
        <v>#DIV/0!</v>
      </c>
      <c r="BP66" s="50" t="e">
        <f t="shared" si="837"/>
        <v>#DIV/0!</v>
      </c>
      <c r="BQ66" s="50" t="e">
        <f t="shared" si="837"/>
        <v>#DIV/0!</v>
      </c>
      <c r="BR66" s="50" t="e">
        <f t="shared" si="837"/>
        <v>#DIV/0!</v>
      </c>
      <c r="BS66" s="50" t="e">
        <f t="shared" si="837"/>
        <v>#DIV/0!</v>
      </c>
      <c r="BT66" s="50" t="e">
        <f t="shared" si="837"/>
        <v>#DIV/0!</v>
      </c>
      <c r="BU66" s="50" t="e">
        <f t="shared" si="837"/>
        <v>#DIV/0!</v>
      </c>
      <c r="BV66" s="50" t="e">
        <f t="shared" si="837"/>
        <v>#DIV/0!</v>
      </c>
      <c r="BW66" s="50" t="e">
        <f t="shared" si="837"/>
        <v>#DIV/0!</v>
      </c>
      <c r="BX66" s="50" t="e">
        <f t="shared" si="837"/>
        <v>#DIV/0!</v>
      </c>
      <c r="BY66" s="50" t="e">
        <f>+BY65/BY56</f>
        <v>#DIV/0!</v>
      </c>
      <c r="BZ66" s="51" t="e">
        <f t="shared" ref="BZ66:CO66" si="838">+BZ65/BZ56</f>
        <v>#DIV/0!</v>
      </c>
      <c r="CA66" s="51" t="e">
        <f t="shared" si="838"/>
        <v>#DIV/0!</v>
      </c>
      <c r="CB66" s="51" t="e">
        <f t="shared" si="838"/>
        <v>#DIV/0!</v>
      </c>
      <c r="CC66" s="51" t="e">
        <f t="shared" si="838"/>
        <v>#DIV/0!</v>
      </c>
      <c r="CD66" s="51" t="e">
        <f t="shared" si="838"/>
        <v>#DIV/0!</v>
      </c>
      <c r="CE66" s="51" t="e">
        <f t="shared" si="838"/>
        <v>#DIV/0!</v>
      </c>
      <c r="CF66" s="51" t="e">
        <f t="shared" si="838"/>
        <v>#DIV/0!</v>
      </c>
      <c r="CG66" s="51" t="e">
        <f t="shared" si="838"/>
        <v>#DIV/0!</v>
      </c>
      <c r="CH66" s="51" t="e">
        <f t="shared" si="838"/>
        <v>#DIV/0!</v>
      </c>
      <c r="CI66" s="51" t="e">
        <f t="shared" si="838"/>
        <v>#DIV/0!</v>
      </c>
      <c r="CJ66" s="51" t="e">
        <f t="shared" si="838"/>
        <v>#DIV/0!</v>
      </c>
      <c r="CK66" s="51" t="e">
        <f t="shared" si="838"/>
        <v>#DIV/0!</v>
      </c>
      <c r="CL66" s="51" t="e">
        <f t="shared" si="838"/>
        <v>#DIV/0!</v>
      </c>
      <c r="CM66" s="51" t="e">
        <f t="shared" si="838"/>
        <v>#DIV/0!</v>
      </c>
      <c r="CN66" s="51" t="e">
        <f t="shared" si="838"/>
        <v>#DIV/0!</v>
      </c>
      <c r="CO66" s="51" t="e">
        <f t="shared" si="838"/>
        <v>#DIV/0!</v>
      </c>
    </row>
    <row r="67" spans="1:93" s="50" customFormat="1" x14ac:dyDescent="0.2">
      <c r="AA67" s="51"/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3" s="136" customFormat="1" x14ac:dyDescent="0.2">
      <c r="A68" s="136" t="s">
        <v>489</v>
      </c>
      <c r="B68" s="136" t="e">
        <f t="shared" ref="B68:Z68" si="839">+B64/B109</f>
        <v>#DIV/0!</v>
      </c>
      <c r="C68" s="136" t="e">
        <f t="shared" si="839"/>
        <v>#DIV/0!</v>
      </c>
      <c r="D68" s="136" t="e">
        <f t="shared" si="839"/>
        <v>#DIV/0!</v>
      </c>
      <c r="E68" s="136" t="e">
        <f t="shared" si="839"/>
        <v>#DIV/0!</v>
      </c>
      <c r="F68" s="136" t="e">
        <f t="shared" si="839"/>
        <v>#DIV/0!</v>
      </c>
      <c r="G68" s="136" t="e">
        <f t="shared" si="839"/>
        <v>#DIV/0!</v>
      </c>
      <c r="H68" s="136" t="e">
        <f t="shared" si="839"/>
        <v>#DIV/0!</v>
      </c>
      <c r="I68" s="136" t="e">
        <f t="shared" si="839"/>
        <v>#DIV/0!</v>
      </c>
      <c r="J68" s="136" t="e">
        <f t="shared" si="839"/>
        <v>#DIV/0!</v>
      </c>
      <c r="K68" s="136" t="e">
        <f t="shared" si="839"/>
        <v>#DIV/0!</v>
      </c>
      <c r="L68" s="136" t="e">
        <f t="shared" si="839"/>
        <v>#DIV/0!</v>
      </c>
      <c r="M68" s="136" t="e">
        <f t="shared" si="839"/>
        <v>#DIV/0!</v>
      </c>
      <c r="N68" s="136" t="e">
        <f t="shared" si="839"/>
        <v>#DIV/0!</v>
      </c>
      <c r="O68" s="136" t="e">
        <f t="shared" si="839"/>
        <v>#DIV/0!</v>
      </c>
      <c r="P68" s="136" t="e">
        <f t="shared" si="839"/>
        <v>#DIV/0!</v>
      </c>
      <c r="Q68" s="136" t="e">
        <f t="shared" si="839"/>
        <v>#DIV/0!</v>
      </c>
      <c r="R68" s="136" t="e">
        <f t="shared" si="839"/>
        <v>#DIV/0!</v>
      </c>
      <c r="S68" s="136" t="e">
        <f t="shared" si="839"/>
        <v>#DIV/0!</v>
      </c>
      <c r="T68" s="136" t="e">
        <f t="shared" si="839"/>
        <v>#DIV/0!</v>
      </c>
      <c r="U68" s="136" t="e">
        <f t="shared" si="839"/>
        <v>#DIV/0!</v>
      </c>
      <c r="V68" s="136" t="e">
        <f t="shared" si="839"/>
        <v>#DIV/0!</v>
      </c>
      <c r="W68" s="136" t="e">
        <f t="shared" si="839"/>
        <v>#DIV/0!</v>
      </c>
      <c r="X68" s="136" t="e">
        <f t="shared" si="839"/>
        <v>#DIV/0!</v>
      </c>
      <c r="Y68" s="136" t="e">
        <f t="shared" si="839"/>
        <v>#DIV/0!</v>
      </c>
      <c r="Z68" s="136" t="e">
        <f t="shared" si="839"/>
        <v>#DIV/0!</v>
      </c>
      <c r="AA68" s="112"/>
      <c r="AB68" s="112"/>
      <c r="AC68" s="112"/>
      <c r="AD68" s="112"/>
      <c r="AE68" s="112"/>
      <c r="AG68" s="137"/>
      <c r="BZ68" s="112"/>
      <c r="CA68" s="112"/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</row>
    <row r="69" spans="1:93" s="136" customFormat="1" x14ac:dyDescent="0.2">
      <c r="A69" s="136" t="s">
        <v>490</v>
      </c>
      <c r="B69" s="136" t="e">
        <f t="shared" ref="B69:Z69" si="840">+B65/B109</f>
        <v>#DIV/0!</v>
      </c>
      <c r="C69" s="136" t="e">
        <f t="shared" si="840"/>
        <v>#DIV/0!</v>
      </c>
      <c r="D69" s="136" t="e">
        <f t="shared" si="840"/>
        <v>#DIV/0!</v>
      </c>
      <c r="E69" s="136" t="e">
        <f t="shared" si="840"/>
        <v>#DIV/0!</v>
      </c>
      <c r="F69" s="136" t="e">
        <f t="shared" si="840"/>
        <v>#DIV/0!</v>
      </c>
      <c r="G69" s="136" t="e">
        <f t="shared" si="840"/>
        <v>#DIV/0!</v>
      </c>
      <c r="H69" s="136" t="e">
        <f t="shared" si="840"/>
        <v>#DIV/0!</v>
      </c>
      <c r="I69" s="136" t="e">
        <f t="shared" si="840"/>
        <v>#DIV/0!</v>
      </c>
      <c r="J69" s="136" t="e">
        <f t="shared" si="840"/>
        <v>#DIV/0!</v>
      </c>
      <c r="K69" s="136" t="e">
        <f t="shared" si="840"/>
        <v>#DIV/0!</v>
      </c>
      <c r="L69" s="136" t="e">
        <f t="shared" si="840"/>
        <v>#DIV/0!</v>
      </c>
      <c r="M69" s="136" t="e">
        <f t="shared" si="840"/>
        <v>#DIV/0!</v>
      </c>
      <c r="N69" s="136" t="e">
        <f t="shared" si="840"/>
        <v>#DIV/0!</v>
      </c>
      <c r="O69" s="136" t="e">
        <f t="shared" si="840"/>
        <v>#DIV/0!</v>
      </c>
      <c r="P69" s="136" t="e">
        <f t="shared" si="840"/>
        <v>#DIV/0!</v>
      </c>
      <c r="Q69" s="136" t="e">
        <f t="shared" si="840"/>
        <v>#DIV/0!</v>
      </c>
      <c r="R69" s="136" t="e">
        <f t="shared" si="840"/>
        <v>#DIV/0!</v>
      </c>
      <c r="S69" s="136" t="e">
        <f t="shared" si="840"/>
        <v>#DIV/0!</v>
      </c>
      <c r="T69" s="136" t="e">
        <f t="shared" si="840"/>
        <v>#DIV/0!</v>
      </c>
      <c r="U69" s="136" t="e">
        <f t="shared" si="840"/>
        <v>#DIV/0!</v>
      </c>
      <c r="V69" s="136" t="e">
        <f t="shared" si="840"/>
        <v>#DIV/0!</v>
      </c>
      <c r="W69" s="136" t="e">
        <f t="shared" si="840"/>
        <v>#DIV/0!</v>
      </c>
      <c r="X69" s="136" t="e">
        <f t="shared" si="840"/>
        <v>#DIV/0!</v>
      </c>
      <c r="Y69" s="136" t="e">
        <f t="shared" si="840"/>
        <v>#DIV/0!</v>
      </c>
      <c r="Z69" s="136" t="e">
        <f t="shared" si="840"/>
        <v>#DIV/0!</v>
      </c>
      <c r="AA69" s="112"/>
      <c r="AB69" s="112"/>
      <c r="AC69" s="112"/>
      <c r="AD69" s="112"/>
      <c r="AE69" s="112"/>
      <c r="AG69" s="137"/>
      <c r="BZ69" s="112">
        <f t="shared" ref="BZ69:CO69" si="841">+BY69</f>
        <v>0</v>
      </c>
      <c r="CA69" s="112">
        <f t="shared" si="841"/>
        <v>0</v>
      </c>
      <c r="CB69" s="112">
        <f t="shared" si="841"/>
        <v>0</v>
      </c>
      <c r="CC69" s="112">
        <f t="shared" si="841"/>
        <v>0</v>
      </c>
      <c r="CD69" s="112">
        <f t="shared" si="841"/>
        <v>0</v>
      </c>
      <c r="CE69" s="112">
        <f t="shared" si="841"/>
        <v>0</v>
      </c>
      <c r="CF69" s="112">
        <f t="shared" si="841"/>
        <v>0</v>
      </c>
      <c r="CG69" s="112">
        <f t="shared" si="841"/>
        <v>0</v>
      </c>
      <c r="CH69" s="112">
        <f t="shared" si="841"/>
        <v>0</v>
      </c>
      <c r="CI69" s="112">
        <f t="shared" si="841"/>
        <v>0</v>
      </c>
      <c r="CJ69" s="112">
        <f t="shared" si="841"/>
        <v>0</v>
      </c>
      <c r="CK69" s="112">
        <f t="shared" si="841"/>
        <v>0</v>
      </c>
      <c r="CL69" s="112">
        <f t="shared" si="841"/>
        <v>0</v>
      </c>
      <c r="CM69" s="112">
        <f t="shared" si="841"/>
        <v>0</v>
      </c>
      <c r="CN69" s="112">
        <f t="shared" si="841"/>
        <v>0</v>
      </c>
      <c r="CO69" s="112">
        <f t="shared" si="841"/>
        <v>0</v>
      </c>
    </row>
    <row r="70" spans="1:93" s="50" customFormat="1" x14ac:dyDescent="0.2">
      <c r="AA70" s="51"/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3" s="50" customFormat="1" x14ac:dyDescent="0.2">
      <c r="AA71" s="51"/>
      <c r="AB71" s="51"/>
      <c r="AC71" s="51"/>
      <c r="AD71" s="51"/>
      <c r="AE71" s="51"/>
      <c r="AF71" s="139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3" s="149" customFormat="1" x14ac:dyDescent="0.2">
      <c r="A72" s="149" t="s">
        <v>278</v>
      </c>
      <c r="D72" s="109" t="e">
        <f t="shared" ref="D72:Z72" si="842">+D29/D74</f>
        <v>#DIV/0!</v>
      </c>
      <c r="E72" s="109" t="e">
        <f t="shared" si="842"/>
        <v>#DIV/0!</v>
      </c>
      <c r="F72" s="109" t="e">
        <f t="shared" si="842"/>
        <v>#DIV/0!</v>
      </c>
      <c r="G72" s="109" t="e">
        <f t="shared" si="842"/>
        <v>#DIV/0!</v>
      </c>
      <c r="H72" s="109" t="e">
        <f t="shared" si="842"/>
        <v>#DIV/0!</v>
      </c>
      <c r="I72" s="109" t="e">
        <f t="shared" si="842"/>
        <v>#DIV/0!</v>
      </c>
      <c r="J72" s="109" t="e">
        <f t="shared" si="842"/>
        <v>#DIV/0!</v>
      </c>
      <c r="K72" s="109" t="e">
        <f t="shared" si="842"/>
        <v>#DIV/0!</v>
      </c>
      <c r="L72" s="109" t="e">
        <f t="shared" si="842"/>
        <v>#DIV/0!</v>
      </c>
      <c r="M72" s="109" t="e">
        <f t="shared" si="842"/>
        <v>#DIV/0!</v>
      </c>
      <c r="N72" s="109" t="e">
        <f t="shared" si="842"/>
        <v>#DIV/0!</v>
      </c>
      <c r="O72" s="109" t="e">
        <f t="shared" si="842"/>
        <v>#DIV/0!</v>
      </c>
      <c r="P72" s="109" t="e">
        <f t="shared" si="842"/>
        <v>#DIV/0!</v>
      </c>
      <c r="Q72" s="109" t="e">
        <f t="shared" si="842"/>
        <v>#DIV/0!</v>
      </c>
      <c r="R72" s="109" t="e">
        <f t="shared" si="842"/>
        <v>#DIV/0!</v>
      </c>
      <c r="S72" s="109" t="e">
        <f t="shared" si="842"/>
        <v>#DIV/0!</v>
      </c>
      <c r="T72" s="109" t="e">
        <f t="shared" si="842"/>
        <v>#DIV/0!</v>
      </c>
      <c r="U72" s="109" t="e">
        <f t="shared" si="842"/>
        <v>#DIV/0!</v>
      </c>
      <c r="V72" s="109" t="e">
        <f t="shared" si="842"/>
        <v>#DIV/0!</v>
      </c>
      <c r="W72" s="109" t="e">
        <f t="shared" si="842"/>
        <v>#DIV/0!</v>
      </c>
      <c r="X72" s="109" t="e">
        <f t="shared" si="842"/>
        <v>#DIV/0!</v>
      </c>
      <c r="Y72" s="109" t="e">
        <f t="shared" si="842"/>
        <v>#DIV/0!</v>
      </c>
      <c r="Z72" s="109" t="e">
        <f t="shared" si="842"/>
        <v>#DIV/0!</v>
      </c>
      <c r="AA72" s="150"/>
      <c r="AB72" s="150"/>
      <c r="AC72" s="150"/>
      <c r="AD72" s="150"/>
      <c r="AE72" s="150"/>
      <c r="AG72" s="151"/>
      <c r="AI72" s="109" t="e">
        <f t="shared" ref="AI72:AT72" si="843">+AI29/AI74*4</f>
        <v>#DIV/0!</v>
      </c>
      <c r="AJ72" s="109" t="e">
        <f t="shared" si="843"/>
        <v>#DIV/0!</v>
      </c>
      <c r="AK72" s="109" t="e">
        <f t="shared" si="843"/>
        <v>#DIV/0!</v>
      </c>
      <c r="AL72" s="109" t="e">
        <f t="shared" si="843"/>
        <v>#DIV/0!</v>
      </c>
      <c r="AM72" s="109" t="e">
        <f t="shared" si="843"/>
        <v>#DIV/0!</v>
      </c>
      <c r="AN72" s="109" t="e">
        <f t="shared" si="843"/>
        <v>#DIV/0!</v>
      </c>
      <c r="AO72" s="109" t="e">
        <f t="shared" si="843"/>
        <v>#DIV/0!</v>
      </c>
      <c r="AP72" s="109" t="e">
        <f t="shared" si="843"/>
        <v>#DIV/0!</v>
      </c>
      <c r="AQ72" s="109" t="e">
        <f t="shared" si="843"/>
        <v>#DIV/0!</v>
      </c>
      <c r="AR72" s="109" t="e">
        <f t="shared" si="843"/>
        <v>#DIV/0!</v>
      </c>
      <c r="AS72" s="109" t="e">
        <f t="shared" si="843"/>
        <v>#DIV/0!</v>
      </c>
      <c r="AT72" s="109" t="e">
        <f t="shared" si="843"/>
        <v>#DIV/0!</v>
      </c>
      <c r="AU72" s="109" t="e">
        <f t="shared" ref="AU72:CO72" si="844">+AU29/AU74*4</f>
        <v>#DIV/0!</v>
      </c>
      <c r="AV72" s="109" t="e">
        <f t="shared" si="844"/>
        <v>#DIV/0!</v>
      </c>
      <c r="AW72" s="109" t="e">
        <f t="shared" si="844"/>
        <v>#DIV/0!</v>
      </c>
      <c r="AX72" s="109" t="e">
        <f t="shared" si="844"/>
        <v>#DIV/0!</v>
      </c>
      <c r="AY72" s="109" t="e">
        <f t="shared" si="844"/>
        <v>#DIV/0!</v>
      </c>
      <c r="AZ72" s="109" t="e">
        <f t="shared" si="844"/>
        <v>#DIV/0!</v>
      </c>
      <c r="BA72" s="109" t="e">
        <f t="shared" si="844"/>
        <v>#DIV/0!</v>
      </c>
      <c r="BB72" s="109" t="e">
        <f t="shared" si="844"/>
        <v>#DIV/0!</v>
      </c>
      <c r="BC72" s="109" t="e">
        <f t="shared" si="844"/>
        <v>#DIV/0!</v>
      </c>
      <c r="BD72" s="109" t="e">
        <f t="shared" si="844"/>
        <v>#DIV/0!</v>
      </c>
      <c r="BE72" s="109" t="e">
        <f t="shared" si="844"/>
        <v>#DIV/0!</v>
      </c>
      <c r="BF72" s="109" t="e">
        <f t="shared" si="844"/>
        <v>#DIV/0!</v>
      </c>
      <c r="BG72" s="109" t="e">
        <f t="shared" si="844"/>
        <v>#DIV/0!</v>
      </c>
      <c r="BH72" s="109" t="e">
        <f t="shared" si="844"/>
        <v>#DIV/0!</v>
      </c>
      <c r="BI72" s="109" t="e">
        <f t="shared" si="844"/>
        <v>#DIV/0!</v>
      </c>
      <c r="BJ72" s="109" t="e">
        <f t="shared" si="844"/>
        <v>#DIV/0!</v>
      </c>
      <c r="BK72" s="109" t="e">
        <f t="shared" si="844"/>
        <v>#DIV/0!</v>
      </c>
      <c r="BL72" s="109" t="e">
        <f t="shared" si="844"/>
        <v>#DIV/0!</v>
      </c>
      <c r="BM72" s="109" t="e">
        <f t="shared" si="844"/>
        <v>#DIV/0!</v>
      </c>
      <c r="BN72" s="109" t="e">
        <f t="shared" si="844"/>
        <v>#DIV/0!</v>
      </c>
      <c r="BO72" s="109" t="e">
        <f t="shared" si="844"/>
        <v>#DIV/0!</v>
      </c>
      <c r="BP72" s="109" t="e">
        <f t="shared" si="844"/>
        <v>#DIV/0!</v>
      </c>
      <c r="BQ72" s="109" t="e">
        <f t="shared" si="844"/>
        <v>#DIV/0!</v>
      </c>
      <c r="BR72" s="109" t="e">
        <f t="shared" si="844"/>
        <v>#DIV/0!</v>
      </c>
      <c r="BS72" s="109" t="e">
        <f t="shared" si="844"/>
        <v>#DIV/0!</v>
      </c>
      <c r="BT72" s="109" t="e">
        <f t="shared" si="844"/>
        <v>#DIV/0!</v>
      </c>
      <c r="BU72" s="109" t="e">
        <f t="shared" si="844"/>
        <v>#DIV/0!</v>
      </c>
      <c r="BV72" s="109" t="e">
        <f t="shared" si="844"/>
        <v>#DIV/0!</v>
      </c>
      <c r="BW72" s="109" t="e">
        <f t="shared" ref="BW72:BX72" si="845">+BW29/BW74*4</f>
        <v>#DIV/0!</v>
      </c>
      <c r="BX72" s="109" t="e">
        <f t="shared" si="845"/>
        <v>#DIV/0!</v>
      </c>
      <c r="BY72" s="109" t="e">
        <f t="shared" ref="BY72" si="846">+BY29/BY74*4</f>
        <v>#DIV/0!</v>
      </c>
      <c r="BZ72" s="152" t="e">
        <f t="shared" si="844"/>
        <v>#DIV/0!</v>
      </c>
      <c r="CA72" s="152" t="e">
        <f t="shared" si="844"/>
        <v>#DIV/0!</v>
      </c>
      <c r="CB72" s="152" t="e">
        <f t="shared" si="844"/>
        <v>#DIV/0!</v>
      </c>
      <c r="CC72" s="152" t="e">
        <f t="shared" si="844"/>
        <v>#DIV/0!</v>
      </c>
      <c r="CD72" s="152" t="e">
        <f t="shared" si="844"/>
        <v>#DIV/0!</v>
      </c>
      <c r="CE72" s="152" t="e">
        <f t="shared" si="844"/>
        <v>#DIV/0!</v>
      </c>
      <c r="CF72" s="152" t="e">
        <f t="shared" si="844"/>
        <v>#DIV/0!</v>
      </c>
      <c r="CG72" s="152" t="e">
        <f t="shared" si="844"/>
        <v>#DIV/0!</v>
      </c>
      <c r="CH72" s="152" t="e">
        <f t="shared" si="844"/>
        <v>#DIV/0!</v>
      </c>
      <c r="CI72" s="152" t="e">
        <f t="shared" si="844"/>
        <v>#DIV/0!</v>
      </c>
      <c r="CJ72" s="152" t="e">
        <f t="shared" si="844"/>
        <v>#DIV/0!</v>
      </c>
      <c r="CK72" s="152" t="e">
        <f t="shared" si="844"/>
        <v>#DIV/0!</v>
      </c>
      <c r="CL72" s="152" t="e">
        <f t="shared" si="844"/>
        <v>#DIV/0!</v>
      </c>
      <c r="CM72" s="152" t="e">
        <f t="shared" si="844"/>
        <v>#DIV/0!</v>
      </c>
      <c r="CN72" s="152" t="e">
        <f t="shared" si="844"/>
        <v>#DIV/0!</v>
      </c>
      <c r="CO72" s="152" t="e">
        <f t="shared" si="844"/>
        <v>#DIV/0!</v>
      </c>
    </row>
    <row r="73" spans="1:93" s="50" customFormat="1" x14ac:dyDescent="0.2">
      <c r="A73" s="50" t="s">
        <v>156</v>
      </c>
      <c r="B73" s="50">
        <f t="shared" ref="B73:Z73" si="847">+B113+B109</f>
        <v>0</v>
      </c>
      <c r="C73" s="50">
        <f t="shared" si="847"/>
        <v>0</v>
      </c>
      <c r="D73" s="50">
        <f t="shared" si="847"/>
        <v>0</v>
      </c>
      <c r="E73" s="50">
        <f t="shared" si="847"/>
        <v>0</v>
      </c>
      <c r="F73" s="50">
        <f t="shared" si="847"/>
        <v>0</v>
      </c>
      <c r="G73" s="50">
        <f t="shared" si="847"/>
        <v>0</v>
      </c>
      <c r="H73" s="50">
        <f t="shared" si="847"/>
        <v>0</v>
      </c>
      <c r="I73" s="50">
        <f t="shared" si="847"/>
        <v>0</v>
      </c>
      <c r="J73" s="50">
        <f t="shared" si="847"/>
        <v>0</v>
      </c>
      <c r="K73" s="50">
        <f t="shared" si="847"/>
        <v>0</v>
      </c>
      <c r="L73" s="50">
        <f t="shared" si="847"/>
        <v>0</v>
      </c>
      <c r="M73" s="50">
        <f t="shared" si="847"/>
        <v>0</v>
      </c>
      <c r="N73" s="50">
        <f t="shared" si="847"/>
        <v>0</v>
      </c>
      <c r="O73" s="50">
        <f t="shared" si="847"/>
        <v>0</v>
      </c>
      <c r="P73" s="50">
        <f t="shared" si="847"/>
        <v>0</v>
      </c>
      <c r="Q73" s="50">
        <f t="shared" si="847"/>
        <v>0</v>
      </c>
      <c r="R73" s="50">
        <f t="shared" si="847"/>
        <v>0</v>
      </c>
      <c r="S73" s="50">
        <f t="shared" si="847"/>
        <v>0</v>
      </c>
      <c r="T73" s="50">
        <f t="shared" si="847"/>
        <v>0</v>
      </c>
      <c r="U73" s="50">
        <f t="shared" si="847"/>
        <v>0</v>
      </c>
      <c r="V73" s="50">
        <f t="shared" si="847"/>
        <v>0</v>
      </c>
      <c r="W73" s="50">
        <f t="shared" si="847"/>
        <v>0</v>
      </c>
      <c r="X73" s="50">
        <f t="shared" si="847"/>
        <v>0</v>
      </c>
      <c r="Y73" s="50">
        <f t="shared" si="847"/>
        <v>0</v>
      </c>
      <c r="Z73" s="50">
        <f t="shared" si="847"/>
        <v>0</v>
      </c>
      <c r="AA73" s="51"/>
      <c r="AB73" s="51"/>
      <c r="AC73" s="51"/>
      <c r="AD73" s="51"/>
      <c r="AE73" s="51"/>
      <c r="AG73" s="64"/>
      <c r="AI73" s="50">
        <f t="shared" ref="AI73:BW73" si="848">+AI113+AI109</f>
        <v>0</v>
      </c>
      <c r="AJ73" s="50">
        <f t="shared" si="848"/>
        <v>0</v>
      </c>
      <c r="AK73" s="50">
        <f t="shared" si="848"/>
        <v>0</v>
      </c>
      <c r="AL73" s="50">
        <f t="shared" si="848"/>
        <v>0</v>
      </c>
      <c r="AM73" s="50">
        <f t="shared" si="848"/>
        <v>0</v>
      </c>
      <c r="AN73" s="50">
        <f t="shared" si="848"/>
        <v>0</v>
      </c>
      <c r="AO73" s="50">
        <f t="shared" si="848"/>
        <v>0</v>
      </c>
      <c r="AP73" s="50">
        <f t="shared" si="848"/>
        <v>0</v>
      </c>
      <c r="AQ73" s="50">
        <f t="shared" si="848"/>
        <v>0</v>
      </c>
      <c r="AR73" s="50">
        <f t="shared" si="848"/>
        <v>0</v>
      </c>
      <c r="AS73" s="50">
        <f t="shared" si="848"/>
        <v>0</v>
      </c>
      <c r="AT73" s="50">
        <f t="shared" si="848"/>
        <v>0</v>
      </c>
      <c r="AU73" s="50">
        <f t="shared" si="848"/>
        <v>0</v>
      </c>
      <c r="AV73" s="50">
        <f t="shared" si="848"/>
        <v>0</v>
      </c>
      <c r="AW73" s="50">
        <f t="shared" si="848"/>
        <v>0</v>
      </c>
      <c r="AX73" s="50">
        <f t="shared" si="848"/>
        <v>0</v>
      </c>
      <c r="AY73" s="50">
        <f t="shared" si="848"/>
        <v>0</v>
      </c>
      <c r="AZ73" s="50">
        <f t="shared" si="848"/>
        <v>0</v>
      </c>
      <c r="BA73" s="50">
        <f t="shared" si="848"/>
        <v>0</v>
      </c>
      <c r="BB73" s="50">
        <f t="shared" si="848"/>
        <v>0</v>
      </c>
      <c r="BC73" s="50">
        <f t="shared" si="848"/>
        <v>0</v>
      </c>
      <c r="BD73" s="50">
        <f t="shared" si="848"/>
        <v>0</v>
      </c>
      <c r="BE73" s="50">
        <f t="shared" si="848"/>
        <v>0</v>
      </c>
      <c r="BF73" s="50">
        <f t="shared" si="848"/>
        <v>0</v>
      </c>
      <c r="BG73" s="50">
        <f t="shared" si="848"/>
        <v>0</v>
      </c>
      <c r="BH73" s="50">
        <f t="shared" si="848"/>
        <v>0</v>
      </c>
      <c r="BI73" s="50">
        <f t="shared" si="848"/>
        <v>0</v>
      </c>
      <c r="BJ73" s="50">
        <f t="shared" si="848"/>
        <v>0</v>
      </c>
      <c r="BK73" s="50">
        <f t="shared" si="848"/>
        <v>0</v>
      </c>
      <c r="BL73" s="50">
        <f t="shared" si="848"/>
        <v>0</v>
      </c>
      <c r="BM73" s="50">
        <f t="shared" si="848"/>
        <v>0</v>
      </c>
      <c r="BN73" s="50">
        <f t="shared" si="848"/>
        <v>0</v>
      </c>
      <c r="BO73" s="50">
        <f t="shared" si="848"/>
        <v>0</v>
      </c>
      <c r="BP73" s="50">
        <f t="shared" si="848"/>
        <v>0</v>
      </c>
      <c r="BQ73" s="50">
        <f t="shared" si="848"/>
        <v>0</v>
      </c>
      <c r="BR73" s="50">
        <f t="shared" si="848"/>
        <v>0</v>
      </c>
      <c r="BS73" s="50">
        <f t="shared" si="848"/>
        <v>0</v>
      </c>
      <c r="BT73" s="50">
        <f t="shared" si="848"/>
        <v>0</v>
      </c>
      <c r="BU73" s="50">
        <f t="shared" si="848"/>
        <v>0</v>
      </c>
      <c r="BV73" s="50">
        <f t="shared" si="848"/>
        <v>0</v>
      </c>
      <c r="BW73" s="50">
        <f t="shared" si="848"/>
        <v>0</v>
      </c>
      <c r="BX73" s="50">
        <f>+BX113+BX109</f>
        <v>0</v>
      </c>
      <c r="BY73" s="50">
        <f>+BY113+BY109</f>
        <v>0</v>
      </c>
      <c r="BZ73" s="51" t="e">
        <f t="shared" ref="BZ73:CO73" si="849">+BZ113+BZ109</f>
        <v>#DIV/0!</v>
      </c>
      <c r="CA73" s="51" t="e">
        <f t="shared" si="849"/>
        <v>#DIV/0!</v>
      </c>
      <c r="CB73" s="51" t="e">
        <f t="shared" si="849"/>
        <v>#DIV/0!</v>
      </c>
      <c r="CC73" s="51" t="e">
        <f t="shared" si="849"/>
        <v>#DIV/0!</v>
      </c>
      <c r="CD73" s="51" t="e">
        <f t="shared" si="849"/>
        <v>#DIV/0!</v>
      </c>
      <c r="CE73" s="51" t="e">
        <f t="shared" si="849"/>
        <v>#DIV/0!</v>
      </c>
      <c r="CF73" s="51" t="e">
        <f t="shared" si="849"/>
        <v>#DIV/0!</v>
      </c>
      <c r="CG73" s="51" t="e">
        <f t="shared" si="849"/>
        <v>#DIV/0!</v>
      </c>
      <c r="CH73" s="51" t="e">
        <f t="shared" si="849"/>
        <v>#DIV/0!</v>
      </c>
      <c r="CI73" s="51" t="e">
        <f t="shared" si="849"/>
        <v>#DIV/0!</v>
      </c>
      <c r="CJ73" s="51" t="e">
        <f t="shared" si="849"/>
        <v>#DIV/0!</v>
      </c>
      <c r="CK73" s="51" t="e">
        <f t="shared" si="849"/>
        <v>#DIV/0!</v>
      </c>
      <c r="CL73" s="51" t="e">
        <f t="shared" si="849"/>
        <v>#DIV/0!</v>
      </c>
      <c r="CM73" s="51" t="e">
        <f t="shared" si="849"/>
        <v>#DIV/0!</v>
      </c>
      <c r="CN73" s="51" t="e">
        <f t="shared" si="849"/>
        <v>#DIV/0!</v>
      </c>
      <c r="CO73" s="51" t="e">
        <f t="shared" si="849"/>
        <v>#DIV/0!</v>
      </c>
    </row>
    <row r="74" spans="1:93" x14ac:dyDescent="0.2">
      <c r="A74" s="47" t="s">
        <v>157</v>
      </c>
      <c r="D74" s="110">
        <f t="shared" ref="D74:Z74" si="850">+AVERAGE(C73:D73)</f>
        <v>0</v>
      </c>
      <c r="E74" s="110">
        <f t="shared" si="850"/>
        <v>0</v>
      </c>
      <c r="F74" s="110">
        <f t="shared" si="850"/>
        <v>0</v>
      </c>
      <c r="G74" s="110">
        <f t="shared" si="850"/>
        <v>0</v>
      </c>
      <c r="H74" s="110">
        <f t="shared" si="850"/>
        <v>0</v>
      </c>
      <c r="I74" s="110">
        <f t="shared" si="850"/>
        <v>0</v>
      </c>
      <c r="J74" s="110">
        <f t="shared" si="850"/>
        <v>0</v>
      </c>
      <c r="K74" s="110">
        <f t="shared" si="850"/>
        <v>0</v>
      </c>
      <c r="L74" s="110">
        <f t="shared" si="850"/>
        <v>0</v>
      </c>
      <c r="M74" s="110">
        <f t="shared" si="850"/>
        <v>0</v>
      </c>
      <c r="N74" s="110">
        <f t="shared" si="850"/>
        <v>0</v>
      </c>
      <c r="O74" s="110">
        <f t="shared" si="850"/>
        <v>0</v>
      </c>
      <c r="P74" s="110">
        <f t="shared" si="850"/>
        <v>0</v>
      </c>
      <c r="Q74" s="110">
        <f t="shared" si="850"/>
        <v>0</v>
      </c>
      <c r="R74" s="110">
        <f t="shared" si="850"/>
        <v>0</v>
      </c>
      <c r="S74" s="110">
        <f t="shared" si="850"/>
        <v>0</v>
      </c>
      <c r="T74" s="110">
        <f t="shared" si="850"/>
        <v>0</v>
      </c>
      <c r="U74" s="110">
        <f t="shared" si="850"/>
        <v>0</v>
      </c>
      <c r="V74" s="110">
        <f t="shared" si="850"/>
        <v>0</v>
      </c>
      <c r="W74" s="110">
        <f t="shared" si="850"/>
        <v>0</v>
      </c>
      <c r="X74" s="110">
        <f t="shared" si="850"/>
        <v>0</v>
      </c>
      <c r="Y74" s="110">
        <f t="shared" si="850"/>
        <v>0</v>
      </c>
      <c r="Z74" s="110">
        <f t="shared" si="850"/>
        <v>0</v>
      </c>
      <c r="AH74" s="48"/>
      <c r="AI74" s="110">
        <f t="shared" ref="AI74" si="851">+AVERAGE(AH73:AI73)</f>
        <v>0</v>
      </c>
      <c r="AJ74" s="110">
        <f t="shared" ref="AJ74" si="852">+AVERAGE(AI73:AJ73)</f>
        <v>0</v>
      </c>
      <c r="AK74" s="110">
        <f t="shared" ref="AK74" si="853">+AVERAGE(AJ73:AK73)</f>
        <v>0</v>
      </c>
      <c r="AL74" s="110">
        <f t="shared" ref="AL74" si="854">+AVERAGE(AK73:AL73)</f>
        <v>0</v>
      </c>
      <c r="AM74" s="110">
        <f t="shared" ref="AM74" si="855">+AVERAGE(AL73:AM73)</f>
        <v>0</v>
      </c>
      <c r="AN74" s="110">
        <f t="shared" ref="AN74" si="856">+AVERAGE(AM73:AN73)</f>
        <v>0</v>
      </c>
      <c r="AO74" s="110">
        <f t="shared" ref="AO74" si="857">+AVERAGE(AN73:AO73)</f>
        <v>0</v>
      </c>
      <c r="AP74" s="110">
        <f t="shared" ref="AP74" si="858">+AVERAGE(AO73:AP73)</f>
        <v>0</v>
      </c>
      <c r="AQ74" s="110">
        <f t="shared" ref="AQ74" si="859">+AVERAGE(AP73:AQ73)</f>
        <v>0</v>
      </c>
      <c r="AR74" s="110">
        <f t="shared" ref="AR74" si="860">+AVERAGE(AQ73:AR73)</f>
        <v>0</v>
      </c>
      <c r="AS74" s="110">
        <f t="shared" ref="AS74" si="861">+AVERAGE(AR73:AS73)</f>
        <v>0</v>
      </c>
      <c r="AT74" s="110">
        <f t="shared" ref="AT74" si="862">+AVERAGE(AS73:AT73)</f>
        <v>0</v>
      </c>
      <c r="AU74" s="110">
        <f t="shared" ref="AU74:CO74" si="863">+AVERAGE(AT73:AU73)</f>
        <v>0</v>
      </c>
      <c r="AV74" s="110">
        <f t="shared" si="863"/>
        <v>0</v>
      </c>
      <c r="AW74" s="110">
        <f t="shared" si="863"/>
        <v>0</v>
      </c>
      <c r="AX74" s="110">
        <f t="shared" si="863"/>
        <v>0</v>
      </c>
      <c r="AY74" s="110">
        <f t="shared" si="863"/>
        <v>0</v>
      </c>
      <c r="AZ74" s="110">
        <f t="shared" si="863"/>
        <v>0</v>
      </c>
      <c r="BA74" s="110">
        <f t="shared" si="863"/>
        <v>0</v>
      </c>
      <c r="BB74" s="110">
        <f t="shared" si="863"/>
        <v>0</v>
      </c>
      <c r="BC74" s="110">
        <f t="shared" si="863"/>
        <v>0</v>
      </c>
      <c r="BD74" s="110">
        <f t="shared" si="863"/>
        <v>0</v>
      </c>
      <c r="BE74" s="110">
        <f t="shared" si="863"/>
        <v>0</v>
      </c>
      <c r="BF74" s="110">
        <f t="shared" si="863"/>
        <v>0</v>
      </c>
      <c r="BG74" s="110">
        <f t="shared" si="863"/>
        <v>0</v>
      </c>
      <c r="BH74" s="110">
        <f t="shared" si="863"/>
        <v>0</v>
      </c>
      <c r="BI74" s="110">
        <f t="shared" si="863"/>
        <v>0</v>
      </c>
      <c r="BJ74" s="110">
        <f t="shared" si="863"/>
        <v>0</v>
      </c>
      <c r="BK74" s="110">
        <f t="shared" si="863"/>
        <v>0</v>
      </c>
      <c r="BL74" s="110">
        <f t="shared" si="863"/>
        <v>0</v>
      </c>
      <c r="BM74" s="110">
        <f t="shared" si="863"/>
        <v>0</v>
      </c>
      <c r="BN74" s="110">
        <f t="shared" si="863"/>
        <v>0</v>
      </c>
      <c r="BO74" s="110">
        <f t="shared" si="863"/>
        <v>0</v>
      </c>
      <c r="BP74" s="110">
        <f t="shared" si="863"/>
        <v>0</v>
      </c>
      <c r="BQ74" s="110">
        <f t="shared" si="863"/>
        <v>0</v>
      </c>
      <c r="BR74" s="110">
        <f t="shared" si="863"/>
        <v>0</v>
      </c>
      <c r="BS74" s="110">
        <f t="shared" si="863"/>
        <v>0</v>
      </c>
      <c r="BT74" s="110">
        <f t="shared" si="863"/>
        <v>0</v>
      </c>
      <c r="BU74" s="110">
        <f t="shared" si="863"/>
        <v>0</v>
      </c>
      <c r="BV74" s="110">
        <f>+AVERAGE(BU73:BV73)</f>
        <v>0</v>
      </c>
      <c r="BW74" s="110">
        <f>+AVERAGE(BV73:BW73)</f>
        <v>0</v>
      </c>
      <c r="BX74" s="110">
        <f>+AVERAGE(BW73:BX73)</f>
        <v>0</v>
      </c>
      <c r="BY74" s="110">
        <f>+AVERAGE(BX73:BY73)</f>
        <v>0</v>
      </c>
      <c r="BZ74" s="39" t="e">
        <f t="shared" si="863"/>
        <v>#DIV/0!</v>
      </c>
      <c r="CA74" s="39" t="e">
        <f t="shared" si="863"/>
        <v>#DIV/0!</v>
      </c>
      <c r="CB74" s="39" t="e">
        <f t="shared" si="863"/>
        <v>#DIV/0!</v>
      </c>
      <c r="CC74" s="39" t="e">
        <f t="shared" si="863"/>
        <v>#DIV/0!</v>
      </c>
      <c r="CD74" s="39" t="e">
        <f t="shared" si="863"/>
        <v>#DIV/0!</v>
      </c>
      <c r="CE74" s="39" t="e">
        <f t="shared" si="863"/>
        <v>#DIV/0!</v>
      </c>
      <c r="CF74" s="39" t="e">
        <f t="shared" si="863"/>
        <v>#DIV/0!</v>
      </c>
      <c r="CG74" s="39" t="e">
        <f t="shared" si="863"/>
        <v>#DIV/0!</v>
      </c>
      <c r="CH74" s="39" t="e">
        <f t="shared" si="863"/>
        <v>#DIV/0!</v>
      </c>
      <c r="CI74" s="39" t="e">
        <f t="shared" si="863"/>
        <v>#DIV/0!</v>
      </c>
      <c r="CJ74" s="39" t="e">
        <f t="shared" si="863"/>
        <v>#DIV/0!</v>
      </c>
      <c r="CK74" s="39" t="e">
        <f t="shared" si="863"/>
        <v>#DIV/0!</v>
      </c>
      <c r="CL74" s="39" t="e">
        <f t="shared" si="863"/>
        <v>#DIV/0!</v>
      </c>
      <c r="CM74" s="39" t="e">
        <f t="shared" si="863"/>
        <v>#DIV/0!</v>
      </c>
      <c r="CN74" s="39" t="e">
        <f t="shared" si="863"/>
        <v>#DIV/0!</v>
      </c>
      <c r="CO74" s="39" t="e">
        <f t="shared" si="863"/>
        <v>#DIV/0!</v>
      </c>
    </row>
    <row r="75" spans="1:93" s="126" customFormat="1" x14ac:dyDescent="0.2">
      <c r="A75" s="126" t="s">
        <v>171</v>
      </c>
      <c r="D75" s="126" t="e">
        <f t="shared" ref="D75:AE75" si="864">D48/D97</f>
        <v>#DIV/0!</v>
      </c>
      <c r="E75" s="126" t="e">
        <f t="shared" si="864"/>
        <v>#DIV/0!</v>
      </c>
      <c r="F75" s="126" t="e">
        <f t="shared" si="864"/>
        <v>#DIV/0!</v>
      </c>
      <c r="G75" s="126" t="e">
        <f t="shared" si="864"/>
        <v>#DIV/0!</v>
      </c>
      <c r="H75" s="126" t="e">
        <f t="shared" si="864"/>
        <v>#DIV/0!</v>
      </c>
      <c r="I75" s="126" t="e">
        <f t="shared" si="864"/>
        <v>#DIV/0!</v>
      </c>
      <c r="J75" s="126" t="e">
        <f t="shared" si="864"/>
        <v>#DIV/0!</v>
      </c>
      <c r="K75" s="126" t="e">
        <f t="shared" si="864"/>
        <v>#DIV/0!</v>
      </c>
      <c r="L75" s="126" t="e">
        <f t="shared" si="864"/>
        <v>#DIV/0!</v>
      </c>
      <c r="M75" s="126" t="e">
        <f t="shared" si="864"/>
        <v>#DIV/0!</v>
      </c>
      <c r="N75" s="126" t="e">
        <f t="shared" si="864"/>
        <v>#DIV/0!</v>
      </c>
      <c r="O75" s="126" t="e">
        <f t="shared" si="864"/>
        <v>#DIV/0!</v>
      </c>
      <c r="P75" s="126" t="e">
        <f t="shared" si="864"/>
        <v>#DIV/0!</v>
      </c>
      <c r="Q75" s="126" t="e">
        <f t="shared" si="864"/>
        <v>#DIV/0!</v>
      </c>
      <c r="R75" s="126" t="e">
        <f t="shared" si="864"/>
        <v>#DIV/0!</v>
      </c>
      <c r="S75" s="126" t="e">
        <f t="shared" si="864"/>
        <v>#DIV/0!</v>
      </c>
      <c r="T75" s="126" t="e">
        <f t="shared" si="864"/>
        <v>#DIV/0!</v>
      </c>
      <c r="U75" s="126" t="e">
        <f t="shared" si="864"/>
        <v>#DIV/0!</v>
      </c>
      <c r="V75" s="126" t="e">
        <f t="shared" si="864"/>
        <v>#DIV/0!</v>
      </c>
      <c r="W75" s="126" t="e">
        <f t="shared" si="864"/>
        <v>#DIV/0!</v>
      </c>
      <c r="X75" s="126" t="e">
        <f t="shared" si="864"/>
        <v>#DIV/0!</v>
      </c>
      <c r="Y75" s="126" t="e">
        <f t="shared" si="864"/>
        <v>#DIV/0!</v>
      </c>
      <c r="Z75" s="126" t="e">
        <f t="shared" si="864"/>
        <v>#DIV/0!</v>
      </c>
      <c r="AA75" s="111" t="e">
        <f t="shared" si="864"/>
        <v>#DIV/0!</v>
      </c>
      <c r="AB75" s="111" t="e">
        <f t="shared" si="864"/>
        <v>#DIV/0!</v>
      </c>
      <c r="AC75" s="111" t="e">
        <f t="shared" si="864"/>
        <v>#DIV/0!</v>
      </c>
      <c r="AD75" s="111" t="e">
        <f t="shared" si="864"/>
        <v>#DIV/0!</v>
      </c>
      <c r="AE75" s="111" t="e">
        <f t="shared" si="864"/>
        <v>#DIV/0!</v>
      </c>
      <c r="AG75" s="127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</row>
    <row r="76" spans="1:93" x14ac:dyDescent="0.2"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  <c r="BY76" s="110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3" x14ac:dyDescent="0.2">
      <c r="A77" s="116" t="s">
        <v>166</v>
      </c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  <c r="BY77" s="110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3" x14ac:dyDescent="0.2">
      <c r="A78" s="116" t="s">
        <v>167</v>
      </c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  <c r="BY78" s="110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3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49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3" s="88" customFormat="1" x14ac:dyDescent="0.2">
      <c r="A80" s="88" t="s">
        <v>36</v>
      </c>
      <c r="AA80" s="19"/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3" s="95" customFormat="1" x14ac:dyDescent="0.2">
      <c r="A81" s="95" t="s">
        <v>483</v>
      </c>
      <c r="B81" s="95">
        <f>+'Annual Raw'!C59</f>
        <v>0</v>
      </c>
      <c r="C81" s="95">
        <f>+'Annual Raw'!D59</f>
        <v>0</v>
      </c>
      <c r="D81" s="95">
        <f>+'Annual Raw'!E59</f>
        <v>0</v>
      </c>
      <c r="E81" s="95">
        <f>+'Annual Raw'!F59</f>
        <v>0</v>
      </c>
      <c r="F81" s="95">
        <f>+'Annual Raw'!G59</f>
        <v>0</v>
      </c>
      <c r="G81" s="95">
        <f>+'Annual Raw'!H59</f>
        <v>0</v>
      </c>
      <c r="H81" s="95">
        <f>+'Annual Raw'!I59</f>
        <v>0</v>
      </c>
      <c r="I81" s="95">
        <f>+'Annual Raw'!J59</f>
        <v>0</v>
      </c>
      <c r="J81" s="95">
        <f>+'Annual Raw'!K59</f>
        <v>0</v>
      </c>
      <c r="K81" s="95">
        <f>+'Annual Raw'!L59</f>
        <v>0</v>
      </c>
      <c r="L81" s="95">
        <f>+'Annual Raw'!M59</f>
        <v>0</v>
      </c>
      <c r="M81" s="95">
        <f>+'Annual Raw'!N59</f>
        <v>0</v>
      </c>
      <c r="N81" s="95">
        <f>+'Annual Raw'!O59</f>
        <v>0</v>
      </c>
      <c r="O81" s="95">
        <f>+'Annual Raw'!P59</f>
        <v>0</v>
      </c>
      <c r="P81" s="95">
        <f>+'Annual Raw'!Q59</f>
        <v>0</v>
      </c>
      <c r="Q81" s="95">
        <f>+'Annual Raw'!R59</f>
        <v>0</v>
      </c>
      <c r="R81" s="95">
        <f>+'Annual Raw'!S59</f>
        <v>0</v>
      </c>
      <c r="S81" s="95">
        <f>+'Annual Raw'!T59</f>
        <v>0</v>
      </c>
      <c r="T81" s="95">
        <f>+'Annual Raw'!U59</f>
        <v>0</v>
      </c>
      <c r="U81" s="95">
        <f>+'Annual Raw'!V59</f>
        <v>0</v>
      </c>
      <c r="V81" s="95">
        <f>+'Annual Raw'!W59</f>
        <v>0</v>
      </c>
      <c r="W81" s="95">
        <f>+'Annual Raw'!X59</f>
        <v>0</v>
      </c>
      <c r="X81" s="95">
        <f>+'Annual Raw'!Y59</f>
        <v>0</v>
      </c>
      <c r="Y81" s="95">
        <f>+'Annual Raw'!Z59</f>
        <v>0</v>
      </c>
      <c r="Z81" s="95">
        <f>+'Annual Raw'!AA59</f>
        <v>0</v>
      </c>
      <c r="AA81" s="78">
        <f>+BY81</f>
        <v>0</v>
      </c>
      <c r="AB81" s="78">
        <f>+CC81</f>
        <v>0</v>
      </c>
      <c r="AC81" s="78">
        <f>+CG81</f>
        <v>0</v>
      </c>
      <c r="AD81" s="78">
        <f>+CK81</f>
        <v>0</v>
      </c>
      <c r="AE81" s="78">
        <f>+CO81</f>
        <v>0</v>
      </c>
      <c r="AG81" s="77"/>
      <c r="AH81" s="95">
        <f>+'QTR Share Price'!IA21</f>
        <v>0</v>
      </c>
      <c r="AI81" s="95">
        <f>+'QTR Share Price'!IB21</f>
        <v>0</v>
      </c>
      <c r="AJ81" s="95">
        <f>+'QTR Share Price'!IC21</f>
        <v>0</v>
      </c>
      <c r="AK81" s="95">
        <f>+'QTR Share Price'!ID21</f>
        <v>0</v>
      </c>
      <c r="AL81" s="95">
        <f>+'QTR Share Price'!IE21</f>
        <v>0</v>
      </c>
      <c r="AM81" s="95">
        <f>+'QTR Share Price'!IF21</f>
        <v>0</v>
      </c>
      <c r="AN81" s="95">
        <f>+'QTR Share Price'!IG21</f>
        <v>0</v>
      </c>
      <c r="AO81" s="95">
        <f>+'QTR Share Price'!IH21</f>
        <v>0</v>
      </c>
      <c r="AP81" s="95">
        <f>+'QTR Share Price'!II21</f>
        <v>0</v>
      </c>
      <c r="AQ81" s="95">
        <f>+'QTR Share Price'!IJ21</f>
        <v>0</v>
      </c>
      <c r="AR81" s="95">
        <f>+'QTR Share Price'!IK21</f>
        <v>0</v>
      </c>
      <c r="AS81" s="95">
        <f>+'QTR Share Price'!IL21</f>
        <v>0</v>
      </c>
      <c r="AT81" s="95">
        <f>+'QTR Share Price'!IM21</f>
        <v>0</v>
      </c>
      <c r="AU81" s="95">
        <f>+'QTR Share Price'!IN21</f>
        <v>0</v>
      </c>
      <c r="AV81" s="95">
        <f>+'QTR Share Price'!IO21</f>
        <v>0</v>
      </c>
      <c r="AW81" s="95">
        <f>+'QTR Share Price'!IP21</f>
        <v>0</v>
      </c>
      <c r="AX81" s="95">
        <f>+'QTR Share Price'!IQ21</f>
        <v>0</v>
      </c>
      <c r="AY81" s="95">
        <f>+'QTR Share Price'!IR21</f>
        <v>0</v>
      </c>
      <c r="AZ81" s="95">
        <f>+'QTR Share Price'!IS21</f>
        <v>0</v>
      </c>
      <c r="BA81" s="95">
        <f>+'QTR Share Price'!IT21</f>
        <v>0</v>
      </c>
      <c r="BB81" s="95">
        <f>+'QTR Share Price'!IU21</f>
        <v>0</v>
      </c>
      <c r="BC81" s="95">
        <f>+'QTR Share Price'!IV21</f>
        <v>0</v>
      </c>
      <c r="BD81" s="95">
        <f>+'QTR Share Price'!IW21</f>
        <v>0</v>
      </c>
      <c r="BE81" s="95">
        <f>+'QTR Share Price'!IX21</f>
        <v>0</v>
      </c>
      <c r="BF81" s="95">
        <f>+'QTR Share Price'!IY21</f>
        <v>0</v>
      </c>
      <c r="BG81" s="95">
        <f>+'QTR Share Price'!IZ21</f>
        <v>0</v>
      </c>
      <c r="BH81" s="95">
        <f>+'QTR Share Price'!JA21</f>
        <v>0</v>
      </c>
      <c r="BI81" s="95">
        <f>+'QTR Share Price'!JB21</f>
        <v>0</v>
      </c>
      <c r="BJ81" s="95">
        <f>+'QTR Share Price'!JC21</f>
        <v>0</v>
      </c>
      <c r="BK81" s="95">
        <f>+'QTR Share Price'!JD21</f>
        <v>0</v>
      </c>
      <c r="BL81" s="95">
        <f>+'QTR Share Price'!JE21</f>
        <v>0</v>
      </c>
      <c r="BM81" s="95">
        <f>+'QTR Share Price'!JF21</f>
        <v>0</v>
      </c>
      <c r="BN81" s="95">
        <f>+'QTR Share Price'!JG21</f>
        <v>0</v>
      </c>
      <c r="BO81" s="95">
        <f>+'QTR Share Price'!JH21</f>
        <v>0</v>
      </c>
      <c r="BP81" s="95">
        <f>+'QTR Share Price'!JI21</f>
        <v>0</v>
      </c>
      <c r="BQ81" s="95">
        <f>+'QTR Share Price'!JJ21</f>
        <v>0</v>
      </c>
      <c r="BR81" s="95">
        <f>+'QTR Share Price'!JK21</f>
        <v>0</v>
      </c>
      <c r="BS81" s="95">
        <f>+'QTR Share Price'!JL21</f>
        <v>0</v>
      </c>
      <c r="BT81" s="95">
        <f>+'QTR Share Price'!JM21</f>
        <v>0</v>
      </c>
      <c r="BU81" s="95">
        <f>+'QTR Share Price'!JN21</f>
        <v>0</v>
      </c>
      <c r="BV81" s="95">
        <f>+'QTR Share Price'!JO21</f>
        <v>0</v>
      </c>
      <c r="BW81" s="95">
        <f>+'QTR Share Price'!JP21</f>
        <v>0</v>
      </c>
      <c r="BX81" s="95">
        <f>+'QTR Share Price'!JQ21</f>
        <v>0</v>
      </c>
      <c r="BY81" s="95">
        <f>+'QTR Share Price'!JR21</f>
        <v>0</v>
      </c>
      <c r="BZ81" s="78">
        <f>+BY81</f>
        <v>0</v>
      </c>
      <c r="CA81" s="78">
        <f t="shared" ref="CA81" si="865">+BZ81</f>
        <v>0</v>
      </c>
      <c r="CB81" s="78">
        <f t="shared" ref="CB81" si="866">+CA81</f>
        <v>0</v>
      </c>
      <c r="CC81" s="78">
        <f t="shared" ref="CC81" si="867">+CB81</f>
        <v>0</v>
      </c>
      <c r="CD81" s="78">
        <f t="shared" ref="CD81" si="868">+CC81</f>
        <v>0</v>
      </c>
      <c r="CE81" s="78">
        <f t="shared" ref="CE81" si="869">+CD81</f>
        <v>0</v>
      </c>
      <c r="CF81" s="78">
        <f t="shared" ref="CF81" si="870">+CE81</f>
        <v>0</v>
      </c>
      <c r="CG81" s="78">
        <f t="shared" ref="CG81" si="871">+CF81</f>
        <v>0</v>
      </c>
      <c r="CH81" s="78">
        <f t="shared" ref="CH81" si="872">+CG81</f>
        <v>0</v>
      </c>
      <c r="CI81" s="78">
        <f t="shared" ref="CI81" si="873">+CH81</f>
        <v>0</v>
      </c>
      <c r="CJ81" s="78">
        <f t="shared" ref="CJ81" si="874">+CI81</f>
        <v>0</v>
      </c>
      <c r="CK81" s="78">
        <f t="shared" ref="CK81" si="875">+CJ81</f>
        <v>0</v>
      </c>
      <c r="CL81" s="78">
        <f t="shared" ref="CL81" si="876">+CK81</f>
        <v>0</v>
      </c>
      <c r="CM81" s="78">
        <f t="shared" ref="CM81" si="877">+CL81</f>
        <v>0</v>
      </c>
      <c r="CN81" s="78">
        <f t="shared" ref="CN81" si="878">+CM81</f>
        <v>0</v>
      </c>
      <c r="CO81" s="78">
        <f t="shared" ref="CO81" si="879">+CN81</f>
        <v>0</v>
      </c>
    </row>
    <row r="82" spans="1:93" s="95" customFormat="1" x14ac:dyDescent="0.2">
      <c r="A82" s="95" t="s">
        <v>484</v>
      </c>
      <c r="B82" s="95">
        <f>+'Annual Raw'!C60</f>
        <v>0</v>
      </c>
      <c r="C82" s="95">
        <f>+'Annual Raw'!D60</f>
        <v>0</v>
      </c>
      <c r="D82" s="95">
        <f>+'Annual Raw'!E60</f>
        <v>0</v>
      </c>
      <c r="E82" s="95">
        <f>+'Annual Raw'!F60</f>
        <v>0</v>
      </c>
      <c r="F82" s="95">
        <f>+'Annual Raw'!G60</f>
        <v>0</v>
      </c>
      <c r="G82" s="95">
        <f>+'Annual Raw'!H60</f>
        <v>0</v>
      </c>
      <c r="H82" s="95">
        <f>+'Annual Raw'!I60</f>
        <v>0</v>
      </c>
      <c r="I82" s="95">
        <f>+'Annual Raw'!J60</f>
        <v>0</v>
      </c>
      <c r="J82" s="95">
        <f>+'Annual Raw'!K60</f>
        <v>0</v>
      </c>
      <c r="K82" s="95">
        <f>+'Annual Raw'!L60</f>
        <v>0</v>
      </c>
      <c r="L82" s="95">
        <f>+'Annual Raw'!M60</f>
        <v>0</v>
      </c>
      <c r="M82" s="95">
        <f>+'Annual Raw'!N60</f>
        <v>0</v>
      </c>
      <c r="N82" s="95">
        <f>+'Annual Raw'!O60</f>
        <v>0</v>
      </c>
      <c r="O82" s="95">
        <f>+'Annual Raw'!P60</f>
        <v>0</v>
      </c>
      <c r="P82" s="95">
        <f>+'Annual Raw'!Q60</f>
        <v>0</v>
      </c>
      <c r="Q82" s="95">
        <f>+'Annual Raw'!R60</f>
        <v>0</v>
      </c>
      <c r="R82" s="95">
        <f>+'Annual Raw'!S60</f>
        <v>0</v>
      </c>
      <c r="S82" s="95">
        <f>+'Annual Raw'!T60</f>
        <v>0</v>
      </c>
      <c r="T82" s="95">
        <f>+'Annual Raw'!U60</f>
        <v>0</v>
      </c>
      <c r="U82" s="95">
        <f>+'Annual Raw'!V60</f>
        <v>0</v>
      </c>
      <c r="V82" s="95">
        <f>+'Annual Raw'!W60</f>
        <v>0</v>
      </c>
      <c r="W82" s="95">
        <f>+'Annual Raw'!X60</f>
        <v>0</v>
      </c>
      <c r="X82" s="95">
        <f>+'Annual Raw'!Y60</f>
        <v>0</v>
      </c>
      <c r="Y82" s="95">
        <f>+'Annual Raw'!Z60</f>
        <v>0</v>
      </c>
      <c r="Z82" s="95">
        <f>+'Annual Raw'!AA60</f>
        <v>0</v>
      </c>
      <c r="AA82" s="78">
        <f>+MAX(BV82:BY82)</f>
        <v>0</v>
      </c>
      <c r="AB82" s="78" t="e">
        <f>+MAX(BZ82:CC82)</f>
        <v>#DIV/0!</v>
      </c>
      <c r="AC82" s="78" t="e">
        <f>+MAX(CD82:CG82)</f>
        <v>#DIV/0!</v>
      </c>
      <c r="AD82" s="78" t="e">
        <f>+MAX(CH82:CK82)</f>
        <v>#DIV/0!</v>
      </c>
      <c r="AE82" s="78" t="e">
        <f>+MAX(CL82:CO82)</f>
        <v>#DIV/0!</v>
      </c>
      <c r="AG82" s="77"/>
      <c r="AH82" s="95">
        <f>+'QTR Share Price'!IA19</f>
        <v>0</v>
      </c>
      <c r="AI82" s="95">
        <f>+'QTR Share Price'!IB19</f>
        <v>0</v>
      </c>
      <c r="AJ82" s="95">
        <f>+'QTR Share Price'!IC19</f>
        <v>0</v>
      </c>
      <c r="AK82" s="95">
        <f>+'QTR Share Price'!ID19</f>
        <v>0</v>
      </c>
      <c r="AL82" s="95">
        <f>+'QTR Share Price'!IE19</f>
        <v>0</v>
      </c>
      <c r="AM82" s="95">
        <f>+'QTR Share Price'!IF19</f>
        <v>0</v>
      </c>
      <c r="AN82" s="95">
        <f>+'QTR Share Price'!IG19</f>
        <v>0</v>
      </c>
      <c r="AO82" s="95">
        <f>+'QTR Share Price'!IH19</f>
        <v>0</v>
      </c>
      <c r="AP82" s="95">
        <f>+'QTR Share Price'!II19</f>
        <v>0</v>
      </c>
      <c r="AQ82" s="95">
        <f>+'QTR Share Price'!IJ19</f>
        <v>0</v>
      </c>
      <c r="AR82" s="95">
        <f>+'QTR Share Price'!IK19</f>
        <v>0</v>
      </c>
      <c r="AS82" s="95">
        <f>+'QTR Share Price'!IL19</f>
        <v>0</v>
      </c>
      <c r="AT82" s="95">
        <f>+'QTR Share Price'!IM19</f>
        <v>0</v>
      </c>
      <c r="AU82" s="95">
        <f>+'QTR Share Price'!IN19</f>
        <v>0</v>
      </c>
      <c r="AV82" s="95">
        <f>+'QTR Share Price'!IO19</f>
        <v>0</v>
      </c>
      <c r="AW82" s="95">
        <f>+'QTR Share Price'!IP19</f>
        <v>0</v>
      </c>
      <c r="AX82" s="95">
        <f>+'QTR Share Price'!IQ19</f>
        <v>0</v>
      </c>
      <c r="AY82" s="95">
        <f>+'QTR Share Price'!IR19</f>
        <v>0</v>
      </c>
      <c r="AZ82" s="95">
        <f>+'QTR Share Price'!IS19</f>
        <v>0</v>
      </c>
      <c r="BA82" s="95">
        <f>+'QTR Share Price'!IT19</f>
        <v>0</v>
      </c>
      <c r="BB82" s="95">
        <f>+'QTR Share Price'!IU19</f>
        <v>0</v>
      </c>
      <c r="BC82" s="95">
        <f>+'QTR Share Price'!IV19</f>
        <v>0</v>
      </c>
      <c r="BD82" s="95">
        <f>+'QTR Share Price'!IW19</f>
        <v>0</v>
      </c>
      <c r="BE82" s="95">
        <f>+'QTR Share Price'!IX19</f>
        <v>0</v>
      </c>
      <c r="BF82" s="95">
        <f>+'QTR Share Price'!IY19</f>
        <v>0</v>
      </c>
      <c r="BG82" s="95">
        <f>+'QTR Share Price'!IZ19</f>
        <v>0</v>
      </c>
      <c r="BH82" s="95">
        <f>+'QTR Share Price'!JA19</f>
        <v>0</v>
      </c>
      <c r="BI82" s="95">
        <f>+'QTR Share Price'!JB19</f>
        <v>0</v>
      </c>
      <c r="BJ82" s="95">
        <f>+'QTR Share Price'!JC19</f>
        <v>0</v>
      </c>
      <c r="BK82" s="95">
        <f>+'QTR Share Price'!JD19</f>
        <v>0</v>
      </c>
      <c r="BL82" s="95">
        <f>+'QTR Share Price'!JE19</f>
        <v>0</v>
      </c>
      <c r="BM82" s="95">
        <f>+'QTR Share Price'!JF19</f>
        <v>0</v>
      </c>
      <c r="BN82" s="95">
        <f>+'QTR Share Price'!JG19</f>
        <v>0</v>
      </c>
      <c r="BO82" s="95">
        <f>+'QTR Share Price'!JH19</f>
        <v>0</v>
      </c>
      <c r="BP82" s="95">
        <f>+'QTR Share Price'!JI19</f>
        <v>0</v>
      </c>
      <c r="BQ82" s="95">
        <f>+'QTR Share Price'!JJ19</f>
        <v>0</v>
      </c>
      <c r="BR82" s="95">
        <f>+'QTR Share Price'!JK19</f>
        <v>0</v>
      </c>
      <c r="BS82" s="95">
        <f>+'QTR Share Price'!JL19</f>
        <v>0</v>
      </c>
      <c r="BT82" s="95">
        <f>+'QTR Share Price'!JM19</f>
        <v>0</v>
      </c>
      <c r="BU82" s="95">
        <f>+'QTR Share Price'!JN19</f>
        <v>0</v>
      </c>
      <c r="BV82" s="95">
        <f>+'QTR Share Price'!JO19</f>
        <v>0</v>
      </c>
      <c r="BW82" s="95">
        <f>+'QTR Share Price'!JP19</f>
        <v>0</v>
      </c>
      <c r="BX82" s="95">
        <f>+'QTR Share Price'!JQ19</f>
        <v>0</v>
      </c>
      <c r="BY82" s="95">
        <f>+'QTR Share Price'!JR19</f>
        <v>0</v>
      </c>
      <c r="BZ82" s="78" t="e">
        <f t="shared" ref="BZ82:CO82" si="880">+BZ90*BZ62</f>
        <v>#DIV/0!</v>
      </c>
      <c r="CA82" s="78" t="e">
        <f t="shared" si="880"/>
        <v>#DIV/0!</v>
      </c>
      <c r="CB82" s="78" t="e">
        <f t="shared" si="880"/>
        <v>#DIV/0!</v>
      </c>
      <c r="CC82" s="78" t="e">
        <f t="shared" si="880"/>
        <v>#DIV/0!</v>
      </c>
      <c r="CD82" s="78" t="e">
        <f t="shared" si="880"/>
        <v>#DIV/0!</v>
      </c>
      <c r="CE82" s="78" t="e">
        <f t="shared" si="880"/>
        <v>#DIV/0!</v>
      </c>
      <c r="CF82" s="78" t="e">
        <f t="shared" si="880"/>
        <v>#DIV/0!</v>
      </c>
      <c r="CG82" s="78" t="e">
        <f t="shared" si="880"/>
        <v>#DIV/0!</v>
      </c>
      <c r="CH82" s="78" t="e">
        <f t="shared" si="880"/>
        <v>#DIV/0!</v>
      </c>
      <c r="CI82" s="78" t="e">
        <f t="shared" si="880"/>
        <v>#DIV/0!</v>
      </c>
      <c r="CJ82" s="78" t="e">
        <f t="shared" si="880"/>
        <v>#DIV/0!</v>
      </c>
      <c r="CK82" s="78" t="e">
        <f t="shared" si="880"/>
        <v>#DIV/0!</v>
      </c>
      <c r="CL82" s="78" t="e">
        <f t="shared" si="880"/>
        <v>#DIV/0!</v>
      </c>
      <c r="CM82" s="78" t="e">
        <f t="shared" si="880"/>
        <v>#DIV/0!</v>
      </c>
      <c r="CN82" s="78" t="e">
        <f t="shared" si="880"/>
        <v>#DIV/0!</v>
      </c>
      <c r="CO82" s="78" t="e">
        <f t="shared" si="880"/>
        <v>#DIV/0!</v>
      </c>
    </row>
    <row r="83" spans="1:93" s="95" customFormat="1" x14ac:dyDescent="0.2">
      <c r="A83" s="95" t="s">
        <v>485</v>
      </c>
      <c r="B83" s="95">
        <f>+'Annual Raw'!C61</f>
        <v>0</v>
      </c>
      <c r="C83" s="95">
        <f>+'Annual Raw'!D61</f>
        <v>0</v>
      </c>
      <c r="D83" s="95">
        <f>+'Annual Raw'!E61</f>
        <v>0</v>
      </c>
      <c r="E83" s="95">
        <f>+'Annual Raw'!F61</f>
        <v>0</v>
      </c>
      <c r="F83" s="95">
        <f>+'Annual Raw'!G61</f>
        <v>0</v>
      </c>
      <c r="G83" s="95">
        <f>+'Annual Raw'!H61</f>
        <v>0</v>
      </c>
      <c r="H83" s="95">
        <f>+'Annual Raw'!I61</f>
        <v>0</v>
      </c>
      <c r="I83" s="95">
        <f>+'Annual Raw'!J61</f>
        <v>0</v>
      </c>
      <c r="J83" s="95">
        <f>+'Annual Raw'!K61</f>
        <v>0</v>
      </c>
      <c r="K83" s="95">
        <f>+'Annual Raw'!L61</f>
        <v>0</v>
      </c>
      <c r="L83" s="95">
        <f>+'Annual Raw'!M61</f>
        <v>0</v>
      </c>
      <c r="M83" s="95">
        <f>+'Annual Raw'!N61</f>
        <v>0</v>
      </c>
      <c r="N83" s="95">
        <f>+'Annual Raw'!O61</f>
        <v>0</v>
      </c>
      <c r="O83" s="95">
        <f>+'Annual Raw'!P61</f>
        <v>0</v>
      </c>
      <c r="P83" s="95">
        <f>+'Annual Raw'!Q61</f>
        <v>0</v>
      </c>
      <c r="Q83" s="95">
        <f>+'Annual Raw'!R61</f>
        <v>0</v>
      </c>
      <c r="R83" s="95">
        <f>+'Annual Raw'!S61</f>
        <v>0</v>
      </c>
      <c r="S83" s="95">
        <f>+'Annual Raw'!T61</f>
        <v>0</v>
      </c>
      <c r="T83" s="95">
        <f>+'Annual Raw'!U61</f>
        <v>0</v>
      </c>
      <c r="U83" s="95">
        <f>+'Annual Raw'!V61</f>
        <v>0</v>
      </c>
      <c r="V83" s="95">
        <f>+'Annual Raw'!W61</f>
        <v>0</v>
      </c>
      <c r="W83" s="95">
        <f>+'Annual Raw'!X61</f>
        <v>0</v>
      </c>
      <c r="X83" s="95">
        <f>+'Annual Raw'!Y61</f>
        <v>0</v>
      </c>
      <c r="Y83" s="95">
        <f>+'Annual Raw'!Z61</f>
        <v>0</v>
      </c>
      <c r="Z83" s="95">
        <f>+'Annual Raw'!AA61</f>
        <v>0</v>
      </c>
      <c r="AA83" s="78">
        <f>+MIN(BV83:BY83)</f>
        <v>0</v>
      </c>
      <c r="AB83" s="78" t="e">
        <f>+MIN(BZ83:CC83)</f>
        <v>#DIV/0!</v>
      </c>
      <c r="AC83" s="78" t="e">
        <f>+MIN(CD83:CG83)</f>
        <v>#DIV/0!</v>
      </c>
      <c r="AD83" s="78" t="e">
        <f>+MIN(CH83:CK83)</f>
        <v>#DIV/0!</v>
      </c>
      <c r="AE83" s="78" t="e">
        <f>+MIN(CL83:CO83)</f>
        <v>#DIV/0!</v>
      </c>
      <c r="AG83" s="77"/>
      <c r="AH83" s="95">
        <f>+'QTR Share Price'!IA20</f>
        <v>0</v>
      </c>
      <c r="AI83" s="95">
        <f>+'QTR Share Price'!IB20</f>
        <v>0</v>
      </c>
      <c r="AJ83" s="95">
        <f>+'QTR Share Price'!IC20</f>
        <v>0</v>
      </c>
      <c r="AK83" s="95">
        <f>+'QTR Share Price'!ID20</f>
        <v>0</v>
      </c>
      <c r="AL83" s="95">
        <f>+'QTR Share Price'!IE20</f>
        <v>0</v>
      </c>
      <c r="AM83" s="95">
        <f>+'QTR Share Price'!IF20</f>
        <v>0</v>
      </c>
      <c r="AN83" s="95">
        <f>+'QTR Share Price'!IG20</f>
        <v>0</v>
      </c>
      <c r="AO83" s="95">
        <f>+'QTR Share Price'!IH20</f>
        <v>0</v>
      </c>
      <c r="AP83" s="95">
        <f>+'QTR Share Price'!II20</f>
        <v>0</v>
      </c>
      <c r="AQ83" s="95">
        <f>+'QTR Share Price'!IJ20</f>
        <v>0</v>
      </c>
      <c r="AR83" s="95">
        <f>+'QTR Share Price'!IK20</f>
        <v>0</v>
      </c>
      <c r="AS83" s="95">
        <f>+'QTR Share Price'!IL20</f>
        <v>0</v>
      </c>
      <c r="AT83" s="95">
        <f>+'QTR Share Price'!IM20</f>
        <v>0</v>
      </c>
      <c r="AU83" s="95">
        <f>+'QTR Share Price'!IN20</f>
        <v>0</v>
      </c>
      <c r="AV83" s="95">
        <f>+'QTR Share Price'!IO20</f>
        <v>0</v>
      </c>
      <c r="AW83" s="95">
        <f>+'QTR Share Price'!IP20</f>
        <v>0</v>
      </c>
      <c r="AX83" s="95">
        <f>+'QTR Share Price'!IQ20</f>
        <v>0</v>
      </c>
      <c r="AY83" s="95">
        <f>+'QTR Share Price'!IR20</f>
        <v>0</v>
      </c>
      <c r="AZ83" s="95">
        <f>+'QTR Share Price'!IS20</f>
        <v>0</v>
      </c>
      <c r="BA83" s="95">
        <f>+'QTR Share Price'!IT20</f>
        <v>0</v>
      </c>
      <c r="BB83" s="95">
        <f>+'QTR Share Price'!IU20</f>
        <v>0</v>
      </c>
      <c r="BC83" s="95">
        <f>+'QTR Share Price'!IV20</f>
        <v>0</v>
      </c>
      <c r="BD83" s="95">
        <f>+'QTR Share Price'!IW20</f>
        <v>0</v>
      </c>
      <c r="BE83" s="95">
        <f>+'QTR Share Price'!IX20</f>
        <v>0</v>
      </c>
      <c r="BF83" s="95">
        <f>+'QTR Share Price'!IY20</f>
        <v>0</v>
      </c>
      <c r="BG83" s="95">
        <f>+'QTR Share Price'!IZ20</f>
        <v>0</v>
      </c>
      <c r="BH83" s="95">
        <f>+'QTR Share Price'!JA20</f>
        <v>0</v>
      </c>
      <c r="BI83" s="95">
        <f>+'QTR Share Price'!JB20</f>
        <v>0</v>
      </c>
      <c r="BJ83" s="95">
        <f>+'QTR Share Price'!JC20</f>
        <v>0</v>
      </c>
      <c r="BK83" s="95">
        <f>+'QTR Share Price'!JD20</f>
        <v>0</v>
      </c>
      <c r="BL83" s="95">
        <f>+'QTR Share Price'!JE20</f>
        <v>0</v>
      </c>
      <c r="BM83" s="95">
        <f>+'QTR Share Price'!JF20</f>
        <v>0</v>
      </c>
      <c r="BN83" s="95">
        <f>+'QTR Share Price'!JG20</f>
        <v>0</v>
      </c>
      <c r="BO83" s="95">
        <f>+'QTR Share Price'!JH20</f>
        <v>0</v>
      </c>
      <c r="BP83" s="95">
        <f>+'QTR Share Price'!JI20</f>
        <v>0</v>
      </c>
      <c r="BQ83" s="95">
        <f>+'QTR Share Price'!JJ20</f>
        <v>0</v>
      </c>
      <c r="BR83" s="95">
        <f>+'QTR Share Price'!JK20</f>
        <v>0</v>
      </c>
      <c r="BS83" s="95">
        <f>+'QTR Share Price'!JL20</f>
        <v>0</v>
      </c>
      <c r="BT83" s="95">
        <f>+'QTR Share Price'!JM20</f>
        <v>0</v>
      </c>
      <c r="BU83" s="95">
        <f>+'QTR Share Price'!JN20</f>
        <v>0</v>
      </c>
      <c r="BV83" s="95">
        <f>+'QTR Share Price'!JO20</f>
        <v>0</v>
      </c>
      <c r="BW83" s="95">
        <f>+'QTR Share Price'!JP20</f>
        <v>0</v>
      </c>
      <c r="BX83" s="95">
        <f>+'QTR Share Price'!JQ20</f>
        <v>0</v>
      </c>
      <c r="BY83" s="95">
        <f>+'QTR Share Price'!JR20</f>
        <v>0</v>
      </c>
      <c r="BZ83" s="78" t="e">
        <f t="shared" ref="BZ83:CO83" si="881">+BZ91*BZ62</f>
        <v>#DIV/0!</v>
      </c>
      <c r="CA83" s="78" t="e">
        <f t="shared" si="881"/>
        <v>#DIV/0!</v>
      </c>
      <c r="CB83" s="78" t="e">
        <f t="shared" si="881"/>
        <v>#DIV/0!</v>
      </c>
      <c r="CC83" s="78" t="e">
        <f t="shared" si="881"/>
        <v>#DIV/0!</v>
      </c>
      <c r="CD83" s="78" t="e">
        <f t="shared" si="881"/>
        <v>#DIV/0!</v>
      </c>
      <c r="CE83" s="78" t="e">
        <f t="shared" si="881"/>
        <v>#DIV/0!</v>
      </c>
      <c r="CF83" s="78" t="e">
        <f t="shared" si="881"/>
        <v>#DIV/0!</v>
      </c>
      <c r="CG83" s="78" t="e">
        <f t="shared" si="881"/>
        <v>#DIV/0!</v>
      </c>
      <c r="CH83" s="78" t="e">
        <f t="shared" si="881"/>
        <v>#DIV/0!</v>
      </c>
      <c r="CI83" s="78" t="e">
        <f t="shared" si="881"/>
        <v>#DIV/0!</v>
      </c>
      <c r="CJ83" s="78" t="e">
        <f t="shared" si="881"/>
        <v>#DIV/0!</v>
      </c>
      <c r="CK83" s="78" t="e">
        <f t="shared" si="881"/>
        <v>#DIV/0!</v>
      </c>
      <c r="CL83" s="78" t="e">
        <f t="shared" si="881"/>
        <v>#DIV/0!</v>
      </c>
      <c r="CM83" s="78" t="e">
        <f t="shared" si="881"/>
        <v>#DIV/0!</v>
      </c>
      <c r="CN83" s="78" t="e">
        <f t="shared" si="881"/>
        <v>#DIV/0!</v>
      </c>
      <c r="CO83" s="78" t="e">
        <f t="shared" si="881"/>
        <v>#DIV/0!</v>
      </c>
    </row>
    <row r="84" spans="1:93" s="89" customFormat="1" x14ac:dyDescent="0.2">
      <c r="AA84" s="83"/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3" s="90" customFormat="1" x14ac:dyDescent="0.2">
      <c r="A85" s="90" t="s">
        <v>46</v>
      </c>
      <c r="AA85" s="69"/>
      <c r="AB85" s="69"/>
      <c r="AC85" s="69"/>
      <c r="AD85" s="69"/>
      <c r="AE85" s="69"/>
      <c r="AG85" s="70"/>
      <c r="BZ85" s="69" t="e">
        <f t="shared" ref="BZ85:CC85" si="882">+BZ82/BZ81-1</f>
        <v>#DIV/0!</v>
      </c>
      <c r="CA85" s="69" t="e">
        <f t="shared" si="882"/>
        <v>#DIV/0!</v>
      </c>
      <c r="CB85" s="69" t="e">
        <f t="shared" si="882"/>
        <v>#DIV/0!</v>
      </c>
      <c r="CC85" s="69" t="e">
        <f t="shared" si="882"/>
        <v>#DIV/0!</v>
      </c>
      <c r="CD85" s="69" t="e">
        <f t="shared" ref="CD85:CO85" si="883">+CD82/CD81-1</f>
        <v>#DIV/0!</v>
      </c>
      <c r="CE85" s="69" t="e">
        <f t="shared" si="883"/>
        <v>#DIV/0!</v>
      </c>
      <c r="CF85" s="69" t="e">
        <f t="shared" si="883"/>
        <v>#DIV/0!</v>
      </c>
      <c r="CG85" s="69" t="e">
        <f t="shared" si="883"/>
        <v>#DIV/0!</v>
      </c>
      <c r="CH85" s="69" t="e">
        <f t="shared" si="883"/>
        <v>#DIV/0!</v>
      </c>
      <c r="CI85" s="69" t="e">
        <f t="shared" si="883"/>
        <v>#DIV/0!</v>
      </c>
      <c r="CJ85" s="69" t="e">
        <f t="shared" si="883"/>
        <v>#DIV/0!</v>
      </c>
      <c r="CK85" s="69" t="e">
        <f t="shared" si="883"/>
        <v>#DIV/0!</v>
      </c>
      <c r="CL85" s="69" t="e">
        <f t="shared" si="883"/>
        <v>#DIV/0!</v>
      </c>
      <c r="CM85" s="69" t="e">
        <f t="shared" si="883"/>
        <v>#DIV/0!</v>
      </c>
      <c r="CN85" s="69" t="e">
        <f t="shared" si="883"/>
        <v>#DIV/0!</v>
      </c>
      <c r="CO85" s="69" t="e">
        <f t="shared" si="883"/>
        <v>#DIV/0!</v>
      </c>
    </row>
    <row r="86" spans="1:93" s="90" customFormat="1" x14ac:dyDescent="0.2">
      <c r="A86" s="90" t="s">
        <v>47</v>
      </c>
      <c r="AA86" s="69"/>
      <c r="AB86" s="69"/>
      <c r="AC86" s="69"/>
      <c r="AD86" s="69"/>
      <c r="AE86" s="69"/>
      <c r="AG86" s="70"/>
      <c r="BZ86" s="69" t="e">
        <f t="shared" ref="BZ86:CC86" si="884">+BZ83/BZ81-1</f>
        <v>#DIV/0!</v>
      </c>
      <c r="CA86" s="69" t="e">
        <f t="shared" si="884"/>
        <v>#DIV/0!</v>
      </c>
      <c r="CB86" s="69" t="e">
        <f t="shared" si="884"/>
        <v>#DIV/0!</v>
      </c>
      <c r="CC86" s="69" t="e">
        <f t="shared" si="884"/>
        <v>#DIV/0!</v>
      </c>
      <c r="CD86" s="69" t="e">
        <f t="shared" ref="CD86:CO86" si="885">+CD83/CD81-1</f>
        <v>#DIV/0!</v>
      </c>
      <c r="CE86" s="69" t="e">
        <f t="shared" si="885"/>
        <v>#DIV/0!</v>
      </c>
      <c r="CF86" s="69" t="e">
        <f t="shared" si="885"/>
        <v>#DIV/0!</v>
      </c>
      <c r="CG86" s="69" t="e">
        <f t="shared" si="885"/>
        <v>#DIV/0!</v>
      </c>
      <c r="CH86" s="69" t="e">
        <f t="shared" si="885"/>
        <v>#DIV/0!</v>
      </c>
      <c r="CI86" s="69" t="e">
        <f t="shared" si="885"/>
        <v>#DIV/0!</v>
      </c>
      <c r="CJ86" s="69" t="e">
        <f t="shared" si="885"/>
        <v>#DIV/0!</v>
      </c>
      <c r="CK86" s="69" t="e">
        <f t="shared" si="885"/>
        <v>#DIV/0!</v>
      </c>
      <c r="CL86" s="69" t="e">
        <f t="shared" si="885"/>
        <v>#DIV/0!</v>
      </c>
      <c r="CM86" s="69" t="e">
        <f t="shared" si="885"/>
        <v>#DIV/0!</v>
      </c>
      <c r="CN86" s="69" t="e">
        <f t="shared" si="885"/>
        <v>#DIV/0!</v>
      </c>
      <c r="CO86" s="69" t="e">
        <f t="shared" si="885"/>
        <v>#DIV/0!</v>
      </c>
    </row>
    <row r="87" spans="1:93" s="90" customFormat="1" x14ac:dyDescent="0.2">
      <c r="AA87" s="69"/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3" s="89" customFormat="1" x14ac:dyDescent="0.2">
      <c r="A88" s="89" t="s">
        <v>160</v>
      </c>
      <c r="AA88" s="83"/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3" s="89" customFormat="1" x14ac:dyDescent="0.2">
      <c r="A89" s="89" t="s">
        <v>486</v>
      </c>
      <c r="B89" s="89" t="e">
        <f t="shared" ref="B89:AE89" si="886">+B81/B62</f>
        <v>#DIV/0!</v>
      </c>
      <c r="C89" s="89" t="e">
        <f t="shared" si="886"/>
        <v>#DIV/0!</v>
      </c>
      <c r="D89" s="89" t="e">
        <f t="shared" si="886"/>
        <v>#DIV/0!</v>
      </c>
      <c r="E89" s="89" t="e">
        <f t="shared" si="886"/>
        <v>#DIV/0!</v>
      </c>
      <c r="F89" s="89" t="e">
        <f t="shared" si="886"/>
        <v>#DIV/0!</v>
      </c>
      <c r="G89" s="89" t="e">
        <f t="shared" si="886"/>
        <v>#DIV/0!</v>
      </c>
      <c r="H89" s="89" t="e">
        <f t="shared" si="886"/>
        <v>#DIV/0!</v>
      </c>
      <c r="I89" s="89" t="e">
        <f t="shared" si="886"/>
        <v>#DIV/0!</v>
      </c>
      <c r="J89" s="89" t="e">
        <f t="shared" si="886"/>
        <v>#DIV/0!</v>
      </c>
      <c r="K89" s="89" t="e">
        <f t="shared" si="886"/>
        <v>#DIV/0!</v>
      </c>
      <c r="L89" s="89" t="e">
        <f t="shared" si="886"/>
        <v>#DIV/0!</v>
      </c>
      <c r="M89" s="89" t="e">
        <f t="shared" si="886"/>
        <v>#DIV/0!</v>
      </c>
      <c r="N89" s="89" t="e">
        <f t="shared" si="886"/>
        <v>#DIV/0!</v>
      </c>
      <c r="O89" s="89" t="e">
        <f t="shared" si="886"/>
        <v>#DIV/0!</v>
      </c>
      <c r="P89" s="89" t="e">
        <f t="shared" si="886"/>
        <v>#DIV/0!</v>
      </c>
      <c r="Q89" s="89" t="e">
        <f t="shared" si="886"/>
        <v>#DIV/0!</v>
      </c>
      <c r="R89" s="89" t="e">
        <f t="shared" si="886"/>
        <v>#DIV/0!</v>
      </c>
      <c r="S89" s="89" t="e">
        <f t="shared" si="886"/>
        <v>#DIV/0!</v>
      </c>
      <c r="T89" s="89" t="e">
        <f t="shared" si="886"/>
        <v>#DIV/0!</v>
      </c>
      <c r="U89" s="89" t="e">
        <f t="shared" si="886"/>
        <v>#DIV/0!</v>
      </c>
      <c r="V89" s="89" t="e">
        <f t="shared" si="886"/>
        <v>#DIV/0!</v>
      </c>
      <c r="W89" s="89" t="e">
        <f t="shared" si="886"/>
        <v>#DIV/0!</v>
      </c>
      <c r="X89" s="89" t="e">
        <f t="shared" si="886"/>
        <v>#DIV/0!</v>
      </c>
      <c r="Y89" s="89" t="e">
        <f t="shared" si="886"/>
        <v>#DIV/0!</v>
      </c>
      <c r="Z89" s="89" t="e">
        <f t="shared" si="886"/>
        <v>#DIV/0!</v>
      </c>
      <c r="AA89" s="83" t="e">
        <f t="shared" si="886"/>
        <v>#DIV/0!</v>
      </c>
      <c r="AB89" s="83" t="e">
        <f t="shared" si="886"/>
        <v>#DIV/0!</v>
      </c>
      <c r="AC89" s="83" t="e">
        <f t="shared" si="886"/>
        <v>#DIV/0!</v>
      </c>
      <c r="AD89" s="83" t="e">
        <f t="shared" si="886"/>
        <v>#DIV/0!</v>
      </c>
      <c r="AE89" s="83" t="e">
        <f t="shared" si="886"/>
        <v>#DIV/0!</v>
      </c>
      <c r="AG89" s="82"/>
      <c r="AH89" s="89" t="e">
        <f t="shared" ref="AH89:AS89" si="887">+AH81/AH62</f>
        <v>#DIV/0!</v>
      </c>
      <c r="AI89" s="89" t="e">
        <f t="shared" si="887"/>
        <v>#DIV/0!</v>
      </c>
      <c r="AJ89" s="89" t="e">
        <f t="shared" si="887"/>
        <v>#DIV/0!</v>
      </c>
      <c r="AK89" s="89" t="e">
        <f t="shared" si="887"/>
        <v>#DIV/0!</v>
      </c>
      <c r="AL89" s="89" t="e">
        <f t="shared" si="887"/>
        <v>#DIV/0!</v>
      </c>
      <c r="AM89" s="89" t="e">
        <f t="shared" si="887"/>
        <v>#DIV/0!</v>
      </c>
      <c r="AN89" s="89" t="e">
        <f t="shared" si="887"/>
        <v>#DIV/0!</v>
      </c>
      <c r="AO89" s="89" t="e">
        <f t="shared" si="887"/>
        <v>#DIV/0!</v>
      </c>
      <c r="AP89" s="89" t="e">
        <f t="shared" si="887"/>
        <v>#DIV/0!</v>
      </c>
      <c r="AQ89" s="89" t="e">
        <f t="shared" si="887"/>
        <v>#DIV/0!</v>
      </c>
      <c r="AR89" s="89" t="e">
        <f t="shared" si="887"/>
        <v>#DIV/0!</v>
      </c>
      <c r="AS89" s="89" t="e">
        <f t="shared" si="887"/>
        <v>#DIV/0!</v>
      </c>
      <c r="AT89" s="89" t="e">
        <f t="shared" ref="AT89:CO89" si="888">+AT81/AT62</f>
        <v>#DIV/0!</v>
      </c>
      <c r="AU89" s="89" t="e">
        <f t="shared" si="888"/>
        <v>#DIV/0!</v>
      </c>
      <c r="AV89" s="89" t="e">
        <f t="shared" si="888"/>
        <v>#DIV/0!</v>
      </c>
      <c r="AW89" s="89" t="e">
        <f t="shared" si="888"/>
        <v>#DIV/0!</v>
      </c>
      <c r="AX89" s="89" t="e">
        <f t="shared" si="888"/>
        <v>#DIV/0!</v>
      </c>
      <c r="AY89" s="89" t="e">
        <f t="shared" si="888"/>
        <v>#DIV/0!</v>
      </c>
      <c r="AZ89" s="89" t="e">
        <f t="shared" si="888"/>
        <v>#DIV/0!</v>
      </c>
      <c r="BA89" s="89" t="e">
        <f t="shared" si="888"/>
        <v>#DIV/0!</v>
      </c>
      <c r="BB89" s="89" t="e">
        <f t="shared" si="888"/>
        <v>#DIV/0!</v>
      </c>
      <c r="BC89" s="89" t="e">
        <f t="shared" si="888"/>
        <v>#DIV/0!</v>
      </c>
      <c r="BD89" s="89" t="e">
        <f t="shared" si="888"/>
        <v>#DIV/0!</v>
      </c>
      <c r="BE89" s="89" t="e">
        <f t="shared" si="888"/>
        <v>#DIV/0!</v>
      </c>
      <c r="BF89" s="89" t="e">
        <f t="shared" si="888"/>
        <v>#DIV/0!</v>
      </c>
      <c r="BG89" s="89" t="e">
        <f t="shared" si="888"/>
        <v>#DIV/0!</v>
      </c>
      <c r="BH89" s="89" t="e">
        <f t="shared" si="888"/>
        <v>#DIV/0!</v>
      </c>
      <c r="BI89" s="89" t="e">
        <f t="shared" si="888"/>
        <v>#DIV/0!</v>
      </c>
      <c r="BJ89" s="89" t="e">
        <f t="shared" si="888"/>
        <v>#DIV/0!</v>
      </c>
      <c r="BK89" s="89" t="e">
        <f t="shared" si="888"/>
        <v>#DIV/0!</v>
      </c>
      <c r="BL89" s="89" t="e">
        <f t="shared" si="888"/>
        <v>#DIV/0!</v>
      </c>
      <c r="BM89" s="89" t="e">
        <f t="shared" si="888"/>
        <v>#DIV/0!</v>
      </c>
      <c r="BN89" s="89" t="e">
        <f t="shared" si="888"/>
        <v>#DIV/0!</v>
      </c>
      <c r="BO89" s="89" t="e">
        <f t="shared" si="888"/>
        <v>#DIV/0!</v>
      </c>
      <c r="BP89" s="89" t="e">
        <f t="shared" si="888"/>
        <v>#DIV/0!</v>
      </c>
      <c r="BQ89" s="89" t="e">
        <f t="shared" si="888"/>
        <v>#DIV/0!</v>
      </c>
      <c r="BR89" s="89" t="e">
        <f t="shared" si="888"/>
        <v>#DIV/0!</v>
      </c>
      <c r="BS89" s="89" t="e">
        <f t="shared" si="888"/>
        <v>#DIV/0!</v>
      </c>
      <c r="BT89" s="89" t="e">
        <f t="shared" si="888"/>
        <v>#DIV/0!</v>
      </c>
      <c r="BU89" s="89" t="e">
        <f t="shared" si="888"/>
        <v>#DIV/0!</v>
      </c>
      <c r="BV89" s="89" t="e">
        <f t="shared" si="888"/>
        <v>#DIV/0!</v>
      </c>
      <c r="BW89" s="89" t="e">
        <f t="shared" ref="BW89:BX89" si="889">+BW81/BW62</f>
        <v>#DIV/0!</v>
      </c>
      <c r="BX89" s="89" t="e">
        <f t="shared" si="889"/>
        <v>#DIV/0!</v>
      </c>
      <c r="BY89" s="89" t="e">
        <f t="shared" ref="BY89" si="890">+BY81/BY62</f>
        <v>#DIV/0!</v>
      </c>
      <c r="BZ89" s="83" t="e">
        <f t="shared" si="888"/>
        <v>#DIV/0!</v>
      </c>
      <c r="CA89" s="83" t="e">
        <f t="shared" si="888"/>
        <v>#DIV/0!</v>
      </c>
      <c r="CB89" s="83" t="e">
        <f t="shared" si="888"/>
        <v>#DIV/0!</v>
      </c>
      <c r="CC89" s="83" t="e">
        <f t="shared" si="888"/>
        <v>#DIV/0!</v>
      </c>
      <c r="CD89" s="83" t="e">
        <f t="shared" si="888"/>
        <v>#DIV/0!</v>
      </c>
      <c r="CE89" s="83" t="e">
        <f t="shared" si="888"/>
        <v>#DIV/0!</v>
      </c>
      <c r="CF89" s="83" t="e">
        <f t="shared" si="888"/>
        <v>#DIV/0!</v>
      </c>
      <c r="CG89" s="83" t="e">
        <f t="shared" si="888"/>
        <v>#DIV/0!</v>
      </c>
      <c r="CH89" s="83" t="e">
        <f t="shared" si="888"/>
        <v>#DIV/0!</v>
      </c>
      <c r="CI89" s="83" t="e">
        <f t="shared" si="888"/>
        <v>#DIV/0!</v>
      </c>
      <c r="CJ89" s="83" t="e">
        <f t="shared" si="888"/>
        <v>#DIV/0!</v>
      </c>
      <c r="CK89" s="83" t="e">
        <f t="shared" si="888"/>
        <v>#DIV/0!</v>
      </c>
      <c r="CL89" s="83" t="e">
        <f t="shared" si="888"/>
        <v>#DIV/0!</v>
      </c>
      <c r="CM89" s="83" t="e">
        <f t="shared" si="888"/>
        <v>#DIV/0!</v>
      </c>
      <c r="CN89" s="83" t="e">
        <f t="shared" si="888"/>
        <v>#DIV/0!</v>
      </c>
      <c r="CO89" s="83" t="e">
        <f t="shared" si="888"/>
        <v>#DIV/0!</v>
      </c>
    </row>
    <row r="90" spans="1:93" s="89" customFormat="1" x14ac:dyDescent="0.2">
      <c r="A90" s="89" t="s">
        <v>487</v>
      </c>
      <c r="B90" s="89" t="e">
        <f>B82/B57</f>
        <v>#DIV/0!</v>
      </c>
      <c r="C90" s="89" t="e">
        <f>C82/C57</f>
        <v>#DIV/0!</v>
      </c>
      <c r="D90" s="89" t="e">
        <f t="shared" ref="D90:AE90" si="891">D82/D62</f>
        <v>#DIV/0!</v>
      </c>
      <c r="E90" s="89" t="e">
        <f t="shared" si="891"/>
        <v>#DIV/0!</v>
      </c>
      <c r="F90" s="89" t="e">
        <f t="shared" si="891"/>
        <v>#DIV/0!</v>
      </c>
      <c r="G90" s="89" t="e">
        <f t="shared" si="891"/>
        <v>#DIV/0!</v>
      </c>
      <c r="H90" s="89" t="e">
        <f t="shared" si="891"/>
        <v>#DIV/0!</v>
      </c>
      <c r="I90" s="89" t="e">
        <f t="shared" si="891"/>
        <v>#DIV/0!</v>
      </c>
      <c r="J90" s="89" t="e">
        <f t="shared" si="891"/>
        <v>#DIV/0!</v>
      </c>
      <c r="K90" s="89" t="e">
        <f t="shared" si="891"/>
        <v>#DIV/0!</v>
      </c>
      <c r="L90" s="89" t="e">
        <f t="shared" si="891"/>
        <v>#DIV/0!</v>
      </c>
      <c r="M90" s="89" t="e">
        <f t="shared" si="891"/>
        <v>#DIV/0!</v>
      </c>
      <c r="N90" s="89" t="e">
        <f t="shared" si="891"/>
        <v>#DIV/0!</v>
      </c>
      <c r="O90" s="89" t="e">
        <f t="shared" si="891"/>
        <v>#DIV/0!</v>
      </c>
      <c r="P90" s="89" t="e">
        <f t="shared" si="891"/>
        <v>#DIV/0!</v>
      </c>
      <c r="Q90" s="89" t="e">
        <f t="shared" si="891"/>
        <v>#DIV/0!</v>
      </c>
      <c r="R90" s="89" t="e">
        <f t="shared" si="891"/>
        <v>#DIV/0!</v>
      </c>
      <c r="S90" s="89" t="e">
        <f t="shared" si="891"/>
        <v>#DIV/0!</v>
      </c>
      <c r="T90" s="89" t="e">
        <f t="shared" si="891"/>
        <v>#DIV/0!</v>
      </c>
      <c r="U90" s="89" t="e">
        <f t="shared" si="891"/>
        <v>#DIV/0!</v>
      </c>
      <c r="V90" s="89" t="e">
        <f t="shared" si="891"/>
        <v>#DIV/0!</v>
      </c>
      <c r="W90" s="89" t="e">
        <f t="shared" si="891"/>
        <v>#DIV/0!</v>
      </c>
      <c r="X90" s="89" t="e">
        <f t="shared" si="891"/>
        <v>#DIV/0!</v>
      </c>
      <c r="Y90" s="89" t="e">
        <f t="shared" si="891"/>
        <v>#DIV/0!</v>
      </c>
      <c r="Z90" s="89" t="e">
        <f t="shared" si="891"/>
        <v>#DIV/0!</v>
      </c>
      <c r="AA90" s="83" t="e">
        <f t="shared" si="891"/>
        <v>#DIV/0!</v>
      </c>
      <c r="AB90" s="83" t="e">
        <f t="shared" si="891"/>
        <v>#DIV/0!</v>
      </c>
      <c r="AC90" s="83" t="e">
        <f t="shared" si="891"/>
        <v>#DIV/0!</v>
      </c>
      <c r="AD90" s="83" t="e">
        <f t="shared" si="891"/>
        <v>#DIV/0!</v>
      </c>
      <c r="AE90" s="83" t="e">
        <f t="shared" si="891"/>
        <v>#DIV/0!</v>
      </c>
      <c r="AG90" s="82"/>
      <c r="AH90" s="89" t="e">
        <f t="shared" ref="AH90:AS90" si="892">AH82/AH62</f>
        <v>#DIV/0!</v>
      </c>
      <c r="AI90" s="89" t="e">
        <f t="shared" si="892"/>
        <v>#DIV/0!</v>
      </c>
      <c r="AJ90" s="89" t="e">
        <f t="shared" si="892"/>
        <v>#DIV/0!</v>
      </c>
      <c r="AK90" s="89" t="e">
        <f t="shared" si="892"/>
        <v>#DIV/0!</v>
      </c>
      <c r="AL90" s="89" t="e">
        <f t="shared" si="892"/>
        <v>#DIV/0!</v>
      </c>
      <c r="AM90" s="89" t="e">
        <f t="shared" si="892"/>
        <v>#DIV/0!</v>
      </c>
      <c r="AN90" s="89" t="e">
        <f t="shared" si="892"/>
        <v>#DIV/0!</v>
      </c>
      <c r="AO90" s="89" t="e">
        <f t="shared" si="892"/>
        <v>#DIV/0!</v>
      </c>
      <c r="AP90" s="89" t="e">
        <f t="shared" si="892"/>
        <v>#DIV/0!</v>
      </c>
      <c r="AQ90" s="89" t="e">
        <f t="shared" si="892"/>
        <v>#DIV/0!</v>
      </c>
      <c r="AR90" s="89" t="e">
        <f t="shared" si="892"/>
        <v>#DIV/0!</v>
      </c>
      <c r="AS90" s="89" t="e">
        <f t="shared" si="892"/>
        <v>#DIV/0!</v>
      </c>
      <c r="AT90" s="89" t="e">
        <f t="shared" ref="AT90:BV90" si="893">AT82/AT62</f>
        <v>#DIV/0!</v>
      </c>
      <c r="AU90" s="89" t="e">
        <f t="shared" si="893"/>
        <v>#DIV/0!</v>
      </c>
      <c r="AV90" s="89" t="e">
        <f t="shared" si="893"/>
        <v>#DIV/0!</v>
      </c>
      <c r="AW90" s="89" t="e">
        <f t="shared" si="893"/>
        <v>#DIV/0!</v>
      </c>
      <c r="AX90" s="89" t="e">
        <f t="shared" si="893"/>
        <v>#DIV/0!</v>
      </c>
      <c r="AY90" s="89" t="e">
        <f t="shared" si="893"/>
        <v>#DIV/0!</v>
      </c>
      <c r="AZ90" s="89" t="e">
        <f t="shared" si="893"/>
        <v>#DIV/0!</v>
      </c>
      <c r="BA90" s="89" t="e">
        <f t="shared" si="893"/>
        <v>#DIV/0!</v>
      </c>
      <c r="BB90" s="89" t="e">
        <f t="shared" si="893"/>
        <v>#DIV/0!</v>
      </c>
      <c r="BC90" s="89" t="e">
        <f t="shared" si="893"/>
        <v>#DIV/0!</v>
      </c>
      <c r="BD90" s="89" t="e">
        <f t="shared" si="893"/>
        <v>#DIV/0!</v>
      </c>
      <c r="BE90" s="89" t="e">
        <f t="shared" si="893"/>
        <v>#DIV/0!</v>
      </c>
      <c r="BF90" s="89" t="e">
        <f t="shared" si="893"/>
        <v>#DIV/0!</v>
      </c>
      <c r="BG90" s="89" t="e">
        <f t="shared" si="893"/>
        <v>#DIV/0!</v>
      </c>
      <c r="BH90" s="89" t="e">
        <f t="shared" si="893"/>
        <v>#DIV/0!</v>
      </c>
      <c r="BI90" s="89" t="e">
        <f t="shared" si="893"/>
        <v>#DIV/0!</v>
      </c>
      <c r="BJ90" s="89" t="e">
        <f t="shared" si="893"/>
        <v>#DIV/0!</v>
      </c>
      <c r="BK90" s="89" t="e">
        <f t="shared" si="893"/>
        <v>#DIV/0!</v>
      </c>
      <c r="BL90" s="89" t="e">
        <f t="shared" si="893"/>
        <v>#DIV/0!</v>
      </c>
      <c r="BM90" s="89" t="e">
        <f t="shared" si="893"/>
        <v>#DIV/0!</v>
      </c>
      <c r="BN90" s="89" t="e">
        <f t="shared" si="893"/>
        <v>#DIV/0!</v>
      </c>
      <c r="BO90" s="89" t="e">
        <f t="shared" si="893"/>
        <v>#DIV/0!</v>
      </c>
      <c r="BP90" s="89" t="e">
        <f t="shared" si="893"/>
        <v>#DIV/0!</v>
      </c>
      <c r="BQ90" s="89" t="e">
        <f t="shared" si="893"/>
        <v>#DIV/0!</v>
      </c>
      <c r="BR90" s="89" t="e">
        <f t="shared" si="893"/>
        <v>#DIV/0!</v>
      </c>
      <c r="BS90" s="89" t="e">
        <f t="shared" si="893"/>
        <v>#DIV/0!</v>
      </c>
      <c r="BT90" s="89" t="e">
        <f t="shared" si="893"/>
        <v>#DIV/0!</v>
      </c>
      <c r="BU90" s="89" t="e">
        <f t="shared" si="893"/>
        <v>#DIV/0!</v>
      </c>
      <c r="BV90" s="89" t="e">
        <f t="shared" si="893"/>
        <v>#DIV/0!</v>
      </c>
      <c r="BW90" s="89" t="e">
        <f>BW82/BW62</f>
        <v>#DIV/0!</v>
      </c>
      <c r="BX90" s="89" t="e">
        <f t="shared" ref="BX90" si="894">BX82/BX62</f>
        <v>#DIV/0!</v>
      </c>
      <c r="BY90" s="89" t="e">
        <f t="shared" ref="BY90" si="895">BY82/BY62</f>
        <v>#DIV/0!</v>
      </c>
      <c r="BZ90" s="83" t="e">
        <f t="shared" ref="BZ90:BZ91" si="896">BY90</f>
        <v>#DIV/0!</v>
      </c>
      <c r="CA90" s="83" t="e">
        <f t="shared" ref="CA90:CA91" si="897">BZ90</f>
        <v>#DIV/0!</v>
      </c>
      <c r="CB90" s="83" t="e">
        <f t="shared" ref="CB90:CB91" si="898">CA90</f>
        <v>#DIV/0!</v>
      </c>
      <c r="CC90" s="83" t="e">
        <f t="shared" ref="CC90:CC91" si="899">CB90</f>
        <v>#DIV/0!</v>
      </c>
      <c r="CD90" s="83" t="e">
        <f t="shared" ref="CD90:CD91" si="900">CC90</f>
        <v>#DIV/0!</v>
      </c>
      <c r="CE90" s="83" t="e">
        <f t="shared" ref="CE90:CE91" si="901">CD90</f>
        <v>#DIV/0!</v>
      </c>
      <c r="CF90" s="83" t="e">
        <f t="shared" ref="CF90:CF91" si="902">CE90</f>
        <v>#DIV/0!</v>
      </c>
      <c r="CG90" s="83" t="e">
        <f t="shared" ref="CG90:CG91" si="903">CF90</f>
        <v>#DIV/0!</v>
      </c>
      <c r="CH90" s="83" t="e">
        <f t="shared" ref="CH90:CH91" si="904">CG90</f>
        <v>#DIV/0!</v>
      </c>
      <c r="CI90" s="83" t="e">
        <f t="shared" ref="CI90:CI91" si="905">CH90</f>
        <v>#DIV/0!</v>
      </c>
      <c r="CJ90" s="83" t="e">
        <f t="shared" ref="CJ90:CJ91" si="906">CI90</f>
        <v>#DIV/0!</v>
      </c>
      <c r="CK90" s="83" t="e">
        <f t="shared" ref="CK90:CK91" si="907">CJ90</f>
        <v>#DIV/0!</v>
      </c>
      <c r="CL90" s="83" t="e">
        <f t="shared" ref="CL90:CL91" si="908">CK90</f>
        <v>#DIV/0!</v>
      </c>
      <c r="CM90" s="83" t="e">
        <f t="shared" ref="CM90:CM91" si="909">CL90</f>
        <v>#DIV/0!</v>
      </c>
      <c r="CN90" s="83" t="e">
        <f t="shared" ref="CN90:CN91" si="910">CM90</f>
        <v>#DIV/0!</v>
      </c>
      <c r="CO90" s="83" t="e">
        <f t="shared" ref="CO90:CO91" si="911">CN90</f>
        <v>#DIV/0!</v>
      </c>
    </row>
    <row r="91" spans="1:93" s="89" customFormat="1" x14ac:dyDescent="0.2">
      <c r="A91" s="89" t="s">
        <v>488</v>
      </c>
      <c r="B91" s="89" t="e">
        <f>B83/B57</f>
        <v>#DIV/0!</v>
      </c>
      <c r="C91" s="89" t="e">
        <f>C83/C57</f>
        <v>#DIV/0!</v>
      </c>
      <c r="D91" s="89" t="e">
        <f t="shared" ref="D91:AE91" si="912">D83/D62</f>
        <v>#DIV/0!</v>
      </c>
      <c r="E91" s="89" t="e">
        <f t="shared" si="912"/>
        <v>#DIV/0!</v>
      </c>
      <c r="F91" s="89" t="e">
        <f t="shared" si="912"/>
        <v>#DIV/0!</v>
      </c>
      <c r="G91" s="89" t="e">
        <f t="shared" si="912"/>
        <v>#DIV/0!</v>
      </c>
      <c r="H91" s="89" t="e">
        <f t="shared" si="912"/>
        <v>#DIV/0!</v>
      </c>
      <c r="I91" s="89" t="e">
        <f t="shared" si="912"/>
        <v>#DIV/0!</v>
      </c>
      <c r="J91" s="89" t="e">
        <f t="shared" si="912"/>
        <v>#DIV/0!</v>
      </c>
      <c r="K91" s="89" t="e">
        <f t="shared" si="912"/>
        <v>#DIV/0!</v>
      </c>
      <c r="L91" s="89" t="e">
        <f t="shared" si="912"/>
        <v>#DIV/0!</v>
      </c>
      <c r="M91" s="89" t="e">
        <f t="shared" si="912"/>
        <v>#DIV/0!</v>
      </c>
      <c r="N91" s="89" t="e">
        <f t="shared" si="912"/>
        <v>#DIV/0!</v>
      </c>
      <c r="O91" s="89" t="e">
        <f t="shared" si="912"/>
        <v>#DIV/0!</v>
      </c>
      <c r="P91" s="89" t="e">
        <f t="shared" si="912"/>
        <v>#DIV/0!</v>
      </c>
      <c r="Q91" s="89" t="e">
        <f t="shared" si="912"/>
        <v>#DIV/0!</v>
      </c>
      <c r="R91" s="89" t="e">
        <f t="shared" si="912"/>
        <v>#DIV/0!</v>
      </c>
      <c r="S91" s="89" t="e">
        <f t="shared" si="912"/>
        <v>#DIV/0!</v>
      </c>
      <c r="T91" s="89" t="e">
        <f t="shared" si="912"/>
        <v>#DIV/0!</v>
      </c>
      <c r="U91" s="89" t="e">
        <f t="shared" si="912"/>
        <v>#DIV/0!</v>
      </c>
      <c r="V91" s="89" t="e">
        <f t="shared" si="912"/>
        <v>#DIV/0!</v>
      </c>
      <c r="W91" s="89" t="e">
        <f t="shared" si="912"/>
        <v>#DIV/0!</v>
      </c>
      <c r="X91" s="89" t="e">
        <f t="shared" si="912"/>
        <v>#DIV/0!</v>
      </c>
      <c r="Y91" s="89" t="e">
        <f t="shared" si="912"/>
        <v>#DIV/0!</v>
      </c>
      <c r="Z91" s="89" t="e">
        <f t="shared" si="912"/>
        <v>#DIV/0!</v>
      </c>
      <c r="AA91" s="83" t="e">
        <f t="shared" si="912"/>
        <v>#DIV/0!</v>
      </c>
      <c r="AB91" s="83" t="e">
        <f t="shared" si="912"/>
        <v>#DIV/0!</v>
      </c>
      <c r="AC91" s="83" t="e">
        <f t="shared" si="912"/>
        <v>#DIV/0!</v>
      </c>
      <c r="AD91" s="83" t="e">
        <f t="shared" si="912"/>
        <v>#DIV/0!</v>
      </c>
      <c r="AE91" s="83" t="e">
        <f t="shared" si="912"/>
        <v>#DIV/0!</v>
      </c>
      <c r="AG91" s="82"/>
      <c r="AH91" s="89" t="e">
        <f t="shared" ref="AH91:AS91" si="913">AH83/AH62</f>
        <v>#DIV/0!</v>
      </c>
      <c r="AI91" s="89" t="e">
        <f t="shared" si="913"/>
        <v>#DIV/0!</v>
      </c>
      <c r="AJ91" s="89" t="e">
        <f t="shared" si="913"/>
        <v>#DIV/0!</v>
      </c>
      <c r="AK91" s="89" t="e">
        <f t="shared" si="913"/>
        <v>#DIV/0!</v>
      </c>
      <c r="AL91" s="89" t="e">
        <f t="shared" si="913"/>
        <v>#DIV/0!</v>
      </c>
      <c r="AM91" s="89" t="e">
        <f t="shared" si="913"/>
        <v>#DIV/0!</v>
      </c>
      <c r="AN91" s="89" t="e">
        <f t="shared" si="913"/>
        <v>#DIV/0!</v>
      </c>
      <c r="AO91" s="89" t="e">
        <f t="shared" si="913"/>
        <v>#DIV/0!</v>
      </c>
      <c r="AP91" s="89" t="e">
        <f t="shared" si="913"/>
        <v>#DIV/0!</v>
      </c>
      <c r="AQ91" s="89" t="e">
        <f t="shared" si="913"/>
        <v>#DIV/0!</v>
      </c>
      <c r="AR91" s="89" t="e">
        <f t="shared" si="913"/>
        <v>#DIV/0!</v>
      </c>
      <c r="AS91" s="89" t="e">
        <f t="shared" si="913"/>
        <v>#DIV/0!</v>
      </c>
      <c r="AT91" s="89" t="e">
        <f t="shared" ref="AT91:BV91" si="914">AT83/AT62</f>
        <v>#DIV/0!</v>
      </c>
      <c r="AU91" s="89" t="e">
        <f t="shared" si="914"/>
        <v>#DIV/0!</v>
      </c>
      <c r="AV91" s="89" t="e">
        <f t="shared" si="914"/>
        <v>#DIV/0!</v>
      </c>
      <c r="AW91" s="89" t="e">
        <f t="shared" si="914"/>
        <v>#DIV/0!</v>
      </c>
      <c r="AX91" s="89" t="e">
        <f t="shared" si="914"/>
        <v>#DIV/0!</v>
      </c>
      <c r="AY91" s="89" t="e">
        <f t="shared" si="914"/>
        <v>#DIV/0!</v>
      </c>
      <c r="AZ91" s="89" t="e">
        <f t="shared" si="914"/>
        <v>#DIV/0!</v>
      </c>
      <c r="BA91" s="89" t="e">
        <f t="shared" si="914"/>
        <v>#DIV/0!</v>
      </c>
      <c r="BB91" s="89" t="e">
        <f t="shared" si="914"/>
        <v>#DIV/0!</v>
      </c>
      <c r="BC91" s="89" t="e">
        <f t="shared" si="914"/>
        <v>#DIV/0!</v>
      </c>
      <c r="BD91" s="89" t="e">
        <f t="shared" si="914"/>
        <v>#DIV/0!</v>
      </c>
      <c r="BE91" s="89" t="e">
        <f t="shared" si="914"/>
        <v>#DIV/0!</v>
      </c>
      <c r="BF91" s="89" t="e">
        <f t="shared" si="914"/>
        <v>#DIV/0!</v>
      </c>
      <c r="BG91" s="89" t="e">
        <f t="shared" si="914"/>
        <v>#DIV/0!</v>
      </c>
      <c r="BH91" s="89" t="e">
        <f t="shared" si="914"/>
        <v>#DIV/0!</v>
      </c>
      <c r="BI91" s="89" t="e">
        <f t="shared" si="914"/>
        <v>#DIV/0!</v>
      </c>
      <c r="BJ91" s="89" t="e">
        <f t="shared" si="914"/>
        <v>#DIV/0!</v>
      </c>
      <c r="BK91" s="89" t="e">
        <f t="shared" si="914"/>
        <v>#DIV/0!</v>
      </c>
      <c r="BL91" s="89" t="e">
        <f t="shared" si="914"/>
        <v>#DIV/0!</v>
      </c>
      <c r="BM91" s="89" t="e">
        <f t="shared" si="914"/>
        <v>#DIV/0!</v>
      </c>
      <c r="BN91" s="89" t="e">
        <f t="shared" si="914"/>
        <v>#DIV/0!</v>
      </c>
      <c r="BO91" s="89" t="e">
        <f t="shared" si="914"/>
        <v>#DIV/0!</v>
      </c>
      <c r="BP91" s="89" t="e">
        <f t="shared" si="914"/>
        <v>#DIV/0!</v>
      </c>
      <c r="BQ91" s="89" t="e">
        <f t="shared" si="914"/>
        <v>#DIV/0!</v>
      </c>
      <c r="BR91" s="89" t="e">
        <f t="shared" si="914"/>
        <v>#DIV/0!</v>
      </c>
      <c r="BS91" s="89" t="e">
        <f t="shared" si="914"/>
        <v>#DIV/0!</v>
      </c>
      <c r="BT91" s="89" t="e">
        <f t="shared" si="914"/>
        <v>#DIV/0!</v>
      </c>
      <c r="BU91" s="89" t="e">
        <f t="shared" si="914"/>
        <v>#DIV/0!</v>
      </c>
      <c r="BV91" s="89" t="e">
        <f t="shared" si="914"/>
        <v>#DIV/0!</v>
      </c>
      <c r="BW91" s="89" t="e">
        <f t="shared" ref="BW91:BX91" si="915">BW83/BW62</f>
        <v>#DIV/0!</v>
      </c>
      <c r="BX91" s="89" t="e">
        <f t="shared" si="915"/>
        <v>#DIV/0!</v>
      </c>
      <c r="BY91" s="89" t="e">
        <f t="shared" ref="BY91" si="916">BY83/BY62</f>
        <v>#DIV/0!</v>
      </c>
      <c r="BZ91" s="83" t="e">
        <f t="shared" si="896"/>
        <v>#DIV/0!</v>
      </c>
      <c r="CA91" s="83" t="e">
        <f t="shared" si="897"/>
        <v>#DIV/0!</v>
      </c>
      <c r="CB91" s="83" t="e">
        <f t="shared" si="898"/>
        <v>#DIV/0!</v>
      </c>
      <c r="CC91" s="83" t="e">
        <f t="shared" si="899"/>
        <v>#DIV/0!</v>
      </c>
      <c r="CD91" s="83" t="e">
        <f t="shared" si="900"/>
        <v>#DIV/0!</v>
      </c>
      <c r="CE91" s="83" t="e">
        <f t="shared" si="901"/>
        <v>#DIV/0!</v>
      </c>
      <c r="CF91" s="83" t="e">
        <f t="shared" si="902"/>
        <v>#DIV/0!</v>
      </c>
      <c r="CG91" s="83" t="e">
        <f t="shared" si="903"/>
        <v>#DIV/0!</v>
      </c>
      <c r="CH91" s="83" t="e">
        <f t="shared" si="904"/>
        <v>#DIV/0!</v>
      </c>
      <c r="CI91" s="83" t="e">
        <f t="shared" si="905"/>
        <v>#DIV/0!</v>
      </c>
      <c r="CJ91" s="83" t="e">
        <f t="shared" si="906"/>
        <v>#DIV/0!</v>
      </c>
      <c r="CK91" s="83" t="e">
        <f t="shared" si="907"/>
        <v>#DIV/0!</v>
      </c>
      <c r="CL91" s="83" t="e">
        <f t="shared" si="908"/>
        <v>#DIV/0!</v>
      </c>
      <c r="CM91" s="83" t="e">
        <f t="shared" si="909"/>
        <v>#DIV/0!</v>
      </c>
      <c r="CN91" s="83" t="e">
        <f t="shared" si="910"/>
        <v>#DIV/0!</v>
      </c>
      <c r="CO91" s="83" t="e">
        <f t="shared" si="911"/>
        <v>#DIV/0!</v>
      </c>
    </row>
    <row r="92" spans="1:93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26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3" s="86" customFormat="1" x14ac:dyDescent="0.2">
      <c r="A93" s="119" t="s">
        <v>168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26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3" x14ac:dyDescent="0.2">
      <c r="A94" s="118" t="s">
        <v>169</v>
      </c>
    </row>
    <row r="95" spans="1:93" s="38" customFormat="1" x14ac:dyDescent="0.2">
      <c r="A95" s="38" t="s">
        <v>16</v>
      </c>
      <c r="B95" s="38">
        <f>+'Annual Raw'!C77</f>
        <v>0</v>
      </c>
      <c r="C95" s="38">
        <f>+'Annual Raw'!D77</f>
        <v>0</v>
      </c>
      <c r="D95" s="38">
        <f>+'Annual Raw'!E77</f>
        <v>0</v>
      </c>
      <c r="E95" s="38">
        <f>+'Annual Raw'!F77</f>
        <v>0</v>
      </c>
      <c r="F95" s="38">
        <f>+'Annual Raw'!G77</f>
        <v>0</v>
      </c>
      <c r="G95" s="38">
        <f>+'Annual Raw'!H77</f>
        <v>0</v>
      </c>
      <c r="H95" s="38">
        <f>+'Annual Raw'!I77</f>
        <v>0</v>
      </c>
      <c r="I95" s="38">
        <f>+'Annual Raw'!J77</f>
        <v>0</v>
      </c>
      <c r="J95" s="38">
        <f>+'Annual Raw'!K77</f>
        <v>0</v>
      </c>
      <c r="K95" s="38">
        <f>+'Annual Raw'!L77</f>
        <v>0</v>
      </c>
      <c r="L95" s="38">
        <f>+'Annual Raw'!M77</f>
        <v>0</v>
      </c>
      <c r="M95" s="38">
        <f>+'Annual Raw'!N77</f>
        <v>0</v>
      </c>
      <c r="N95" s="38">
        <f>+'Annual Raw'!O77</f>
        <v>0</v>
      </c>
      <c r="O95" s="38">
        <f>+'Annual Raw'!P77</f>
        <v>0</v>
      </c>
      <c r="P95" s="38">
        <f>+'Annual Raw'!Q77</f>
        <v>0</v>
      </c>
      <c r="Q95" s="38">
        <f>+'Annual Raw'!R77</f>
        <v>0</v>
      </c>
      <c r="R95" s="38">
        <f>+'Annual Raw'!S77</f>
        <v>0</v>
      </c>
      <c r="S95" s="38">
        <f>+'Annual Raw'!T77</f>
        <v>0</v>
      </c>
      <c r="T95" s="38">
        <f>+'Annual Raw'!U77</f>
        <v>0</v>
      </c>
      <c r="U95" s="38">
        <f>+'Annual Raw'!V77</f>
        <v>0</v>
      </c>
      <c r="V95" s="38">
        <f>+'Annual Raw'!W77</f>
        <v>0</v>
      </c>
      <c r="W95" s="38">
        <f>+'Annual Raw'!X77</f>
        <v>0</v>
      </c>
      <c r="X95" s="38">
        <f>+'Annual Raw'!Y77</f>
        <v>0</v>
      </c>
      <c r="Y95" s="38">
        <f>+'Annual Raw'!Z77</f>
        <v>0</v>
      </c>
      <c r="Z95" s="38">
        <f>+'Annual Raw'!AA77</f>
        <v>0</v>
      </c>
      <c r="AA95" s="39">
        <f t="shared" ref="AA95:AA96" si="917">+BY95</f>
        <v>0</v>
      </c>
      <c r="AB95" s="39">
        <f t="shared" ref="AB95:AB96" si="918">+CC95</f>
        <v>0</v>
      </c>
      <c r="AC95" s="39">
        <f t="shared" ref="AC95:AC96" si="919">+CG95</f>
        <v>0</v>
      </c>
      <c r="AD95" s="39">
        <f t="shared" ref="AD95:AD96" si="920">+CK95</f>
        <v>0</v>
      </c>
      <c r="AE95" s="39">
        <f t="shared" ref="AE95:AE96" si="921">+CO95</f>
        <v>0</v>
      </c>
      <c r="AG95" s="60"/>
      <c r="AH95" s="38">
        <f>+'QTR Raw'!D55</f>
        <v>0</v>
      </c>
      <c r="AI95" s="38">
        <f>+'QTR Raw'!E55</f>
        <v>0</v>
      </c>
      <c r="AJ95" s="38">
        <f t="shared" ref="AJ95" si="922">AI95</f>
        <v>0</v>
      </c>
      <c r="AK95" s="38">
        <f>+'QTR Raw'!G55</f>
        <v>0</v>
      </c>
      <c r="AL95" s="38">
        <f t="shared" ref="AL95" si="923">AK95</f>
        <v>0</v>
      </c>
      <c r="AM95" s="38">
        <f>+'QTR Raw'!I55</f>
        <v>0</v>
      </c>
      <c r="AN95" s="38">
        <f t="shared" ref="AN95" si="924">AM95</f>
        <v>0</v>
      </c>
      <c r="AO95" s="38">
        <f>+'QTR Raw'!K55</f>
        <v>0</v>
      </c>
      <c r="AP95" s="38">
        <f t="shared" ref="AP95" si="925">AO95</f>
        <v>0</v>
      </c>
      <c r="AQ95" s="38">
        <f>+'QTR Raw'!M55</f>
        <v>0</v>
      </c>
      <c r="AR95" s="38">
        <f t="shared" ref="AR95" si="926">AQ95</f>
        <v>0</v>
      </c>
      <c r="AS95" s="38">
        <f>+'QTR Raw'!O55</f>
        <v>0</v>
      </c>
      <c r="AT95" s="38">
        <f t="shared" ref="AT95" si="927">AS95</f>
        <v>0</v>
      </c>
      <c r="AU95" s="38">
        <f>+'QTR Raw'!Q55</f>
        <v>0</v>
      </c>
      <c r="AV95" s="38">
        <f t="shared" ref="AV95" si="928">AU95</f>
        <v>0</v>
      </c>
      <c r="AW95" s="38">
        <f>+'QTR Raw'!S55</f>
        <v>0</v>
      </c>
      <c r="AX95" s="38">
        <f t="shared" ref="AX95" si="929">AW95</f>
        <v>0</v>
      </c>
      <c r="AY95" s="38">
        <f>+'QTR Raw'!U55</f>
        <v>0</v>
      </c>
      <c r="AZ95" s="38">
        <f t="shared" ref="AZ95" si="930">AY95</f>
        <v>0</v>
      </c>
      <c r="BA95" s="38">
        <f>+'QTR Raw'!W55</f>
        <v>0</v>
      </c>
      <c r="BB95" s="38">
        <f t="shared" ref="BB95" si="931">BA95</f>
        <v>0</v>
      </c>
      <c r="BC95" s="38">
        <f>+'QTR Raw'!Y55</f>
        <v>0</v>
      </c>
      <c r="BD95" s="38">
        <f t="shared" ref="BD95" si="932">BC95</f>
        <v>0</v>
      </c>
      <c r="BE95" s="38">
        <f>+'QTR Raw'!AA55</f>
        <v>0</v>
      </c>
      <c r="BF95" s="38">
        <f t="shared" ref="BF95" si="933">BE95</f>
        <v>0</v>
      </c>
      <c r="BG95" s="38">
        <f>+'QTR Raw'!AC55</f>
        <v>0</v>
      </c>
      <c r="BH95" s="38">
        <f t="shared" ref="BH95" si="934">BG95</f>
        <v>0</v>
      </c>
      <c r="BI95" s="38">
        <f>+'QTR Raw'!AE55</f>
        <v>0</v>
      </c>
      <c r="BJ95" s="38">
        <f t="shared" ref="BJ95" si="935">BI95</f>
        <v>0</v>
      </c>
      <c r="BK95" s="38">
        <f>+'QTR Raw'!AG55</f>
        <v>0</v>
      </c>
      <c r="BL95" s="38">
        <f t="shared" ref="BL95" si="936">BK95</f>
        <v>0</v>
      </c>
      <c r="BM95" s="38">
        <f>+'QTR Raw'!AI55</f>
        <v>0</v>
      </c>
      <c r="BN95" s="38">
        <f t="shared" ref="BN95:BZ95" si="937">BM95</f>
        <v>0</v>
      </c>
      <c r="BO95" s="38">
        <f>+'QTR Raw'!AK55</f>
        <v>0</v>
      </c>
      <c r="BP95" s="38">
        <f t="shared" si="937"/>
        <v>0</v>
      </c>
      <c r="BQ95" s="38">
        <f>+'QTR Raw'!AM55</f>
        <v>0</v>
      </c>
      <c r="BR95" s="38">
        <f t="shared" si="937"/>
        <v>0</v>
      </c>
      <c r="BS95" s="38">
        <f>+'QTR Raw'!AO55</f>
        <v>0</v>
      </c>
      <c r="BT95" s="38">
        <f t="shared" si="937"/>
        <v>0</v>
      </c>
      <c r="BU95" s="38">
        <f>+'QTR Raw'!AQ55</f>
        <v>0</v>
      </c>
      <c r="BV95" s="38">
        <f t="shared" si="937"/>
        <v>0</v>
      </c>
      <c r="BW95" s="38">
        <f>+'QTR Raw'!AS55</f>
        <v>0</v>
      </c>
      <c r="BX95" s="38">
        <f t="shared" si="937"/>
        <v>0</v>
      </c>
      <c r="BY95" s="38">
        <f>+'QTR Raw'!AU55</f>
        <v>0</v>
      </c>
      <c r="BZ95" s="39">
        <f t="shared" si="937"/>
        <v>0</v>
      </c>
      <c r="CA95" s="39">
        <f t="shared" ref="CA95" si="938">BZ95</f>
        <v>0</v>
      </c>
      <c r="CB95" s="39">
        <f t="shared" ref="CB95" si="939">CA95</f>
        <v>0</v>
      </c>
      <c r="CC95" s="39">
        <f t="shared" ref="CC95" si="940">CB95</f>
        <v>0</v>
      </c>
      <c r="CD95" s="39">
        <f t="shared" ref="CD95" si="941">CC95</f>
        <v>0</v>
      </c>
      <c r="CE95" s="39">
        <f t="shared" ref="CE95" si="942">CD95</f>
        <v>0</v>
      </c>
      <c r="CF95" s="39">
        <f t="shared" ref="CF95" si="943">CE95</f>
        <v>0</v>
      </c>
      <c r="CG95" s="39">
        <f t="shared" ref="CG95" si="944">CF95</f>
        <v>0</v>
      </c>
      <c r="CH95" s="39">
        <f t="shared" ref="CH95" si="945">CG95</f>
        <v>0</v>
      </c>
      <c r="CI95" s="39">
        <f t="shared" ref="CI95" si="946">CH95</f>
        <v>0</v>
      </c>
      <c r="CJ95" s="39">
        <f t="shared" ref="CJ95" si="947">CI95</f>
        <v>0</v>
      </c>
      <c r="CK95" s="39">
        <f t="shared" ref="CK95" si="948">CJ95</f>
        <v>0</v>
      </c>
      <c r="CL95" s="39">
        <f t="shared" ref="CL95" si="949">CK95</f>
        <v>0</v>
      </c>
      <c r="CM95" s="39">
        <f t="shared" ref="CM95" si="950">CL95</f>
        <v>0</v>
      </c>
      <c r="CN95" s="39">
        <f t="shared" ref="CN95" si="951">CM95</f>
        <v>0</v>
      </c>
      <c r="CO95" s="39">
        <f t="shared" ref="CO95" si="952">CN95</f>
        <v>0</v>
      </c>
    </row>
    <row r="96" spans="1:93" s="38" customFormat="1" x14ac:dyDescent="0.2">
      <c r="A96" s="38" t="s">
        <v>18</v>
      </c>
      <c r="B96" s="38">
        <f>+'Annual Raw'!C79++'Annual Raw'!C78</f>
        <v>0</v>
      </c>
      <c r="C96" s="38">
        <f>+'Annual Raw'!D79++'Annual Raw'!D78</f>
        <v>0</v>
      </c>
      <c r="D96" s="38">
        <f>+'Annual Raw'!E79++'Annual Raw'!E78</f>
        <v>0</v>
      </c>
      <c r="E96" s="38">
        <f>+'Annual Raw'!F79++'Annual Raw'!F78</f>
        <v>0</v>
      </c>
      <c r="F96" s="38">
        <f>+'Annual Raw'!G79++'Annual Raw'!G78</f>
        <v>0</v>
      </c>
      <c r="G96" s="38">
        <f>+'Annual Raw'!H79++'Annual Raw'!H78</f>
        <v>0</v>
      </c>
      <c r="H96" s="38">
        <f>+'Annual Raw'!I79++'Annual Raw'!I78</f>
        <v>0</v>
      </c>
      <c r="I96" s="38">
        <f>+'Annual Raw'!J79++'Annual Raw'!J78</f>
        <v>0</v>
      </c>
      <c r="J96" s="38">
        <f>+'Annual Raw'!K79++'Annual Raw'!K78</f>
        <v>0</v>
      </c>
      <c r="K96" s="38">
        <f>+'Annual Raw'!L79++'Annual Raw'!L78</f>
        <v>0</v>
      </c>
      <c r="L96" s="38">
        <f>+'Annual Raw'!M79++'Annual Raw'!M78</f>
        <v>0</v>
      </c>
      <c r="M96" s="38">
        <f>+'Annual Raw'!N79++'Annual Raw'!N78</f>
        <v>0</v>
      </c>
      <c r="N96" s="38">
        <f>+'Annual Raw'!O79++'Annual Raw'!O78</f>
        <v>0</v>
      </c>
      <c r="O96" s="38">
        <f>+'Annual Raw'!P79++'Annual Raw'!P78</f>
        <v>0</v>
      </c>
      <c r="P96" s="38">
        <f>+'Annual Raw'!Q79++'Annual Raw'!Q78</f>
        <v>0</v>
      </c>
      <c r="Q96" s="38">
        <f>+'Annual Raw'!R79++'Annual Raw'!R78</f>
        <v>0</v>
      </c>
      <c r="R96" s="38">
        <f>+'Annual Raw'!S79++'Annual Raw'!S78</f>
        <v>0</v>
      </c>
      <c r="S96" s="38">
        <f>+'Annual Raw'!T79++'Annual Raw'!T78</f>
        <v>0</v>
      </c>
      <c r="T96" s="38">
        <f>+'Annual Raw'!U79++'Annual Raw'!U78</f>
        <v>0</v>
      </c>
      <c r="U96" s="38">
        <f>+'Annual Raw'!V79++'Annual Raw'!V78</f>
        <v>0</v>
      </c>
      <c r="V96" s="38">
        <f>+'Annual Raw'!W79++'Annual Raw'!W78</f>
        <v>0</v>
      </c>
      <c r="W96" s="38">
        <f>+'Annual Raw'!X79++'Annual Raw'!X78</f>
        <v>0</v>
      </c>
      <c r="X96" s="38">
        <f>+'Annual Raw'!Y79++'Annual Raw'!Y78</f>
        <v>0</v>
      </c>
      <c r="Y96" s="38">
        <f>+'Annual Raw'!Z79++'Annual Raw'!Z78</f>
        <v>0</v>
      </c>
      <c r="Z96" s="38">
        <f>+'Annual Raw'!AA79++'Annual Raw'!AA78</f>
        <v>0</v>
      </c>
      <c r="AA96" s="39">
        <f t="shared" si="917"/>
        <v>0</v>
      </c>
      <c r="AB96" s="39" t="e">
        <f t="shared" si="918"/>
        <v>#DIV/0!</v>
      </c>
      <c r="AC96" s="39" t="e">
        <f t="shared" si="919"/>
        <v>#DIV/0!</v>
      </c>
      <c r="AD96" s="39" t="e">
        <f t="shared" si="920"/>
        <v>#DIV/0!</v>
      </c>
      <c r="AE96" s="39" t="e">
        <f t="shared" si="921"/>
        <v>#DIV/0!</v>
      </c>
      <c r="AG96" s="60"/>
      <c r="AH96" s="38">
        <f>+'QTR Raw'!D57</f>
        <v>0</v>
      </c>
      <c r="AI96" s="38">
        <f>+'QTR Raw'!E57</f>
        <v>0</v>
      </c>
      <c r="AJ96" s="38">
        <f t="shared" ref="AJ96" si="953">AI96+AJ48</f>
        <v>0</v>
      </c>
      <c r="AK96" s="38">
        <f>+'QTR Raw'!G57</f>
        <v>0</v>
      </c>
      <c r="AL96" s="38">
        <f t="shared" ref="AL96" si="954">AK96+AL48</f>
        <v>0</v>
      </c>
      <c r="AM96" s="38">
        <f>+'QTR Raw'!I57</f>
        <v>0</v>
      </c>
      <c r="AN96" s="38">
        <f t="shared" ref="AN96" si="955">AM96+AN48</f>
        <v>0</v>
      </c>
      <c r="AO96" s="38">
        <f>+'QTR Raw'!K57</f>
        <v>0</v>
      </c>
      <c r="AP96" s="38">
        <f t="shared" ref="AP96" si="956">AO96+AP48</f>
        <v>0</v>
      </c>
      <c r="AQ96" s="38">
        <f>+'QTR Raw'!M57</f>
        <v>0</v>
      </c>
      <c r="AR96" s="38">
        <f t="shared" ref="AR96" si="957">AQ96+AR48</f>
        <v>0</v>
      </c>
      <c r="AS96" s="38">
        <f>+'QTR Raw'!O57</f>
        <v>0</v>
      </c>
      <c r="AT96" s="38">
        <f t="shared" ref="AT96" si="958">AS96+AT48</f>
        <v>0</v>
      </c>
      <c r="AU96" s="38">
        <f>+'QTR Raw'!Q57</f>
        <v>0</v>
      </c>
      <c r="AV96" s="38">
        <f t="shared" ref="AV96" si="959">AU96+AV48</f>
        <v>0</v>
      </c>
      <c r="AW96" s="38">
        <f>+'QTR Raw'!S57</f>
        <v>0</v>
      </c>
      <c r="AX96" s="38">
        <f t="shared" ref="AX96" si="960">AW96+AX48</f>
        <v>0</v>
      </c>
      <c r="AY96" s="38">
        <f>+'QTR Raw'!U57</f>
        <v>0</v>
      </c>
      <c r="AZ96" s="38">
        <f t="shared" ref="AZ96" si="961">AY96+AZ48</f>
        <v>0</v>
      </c>
      <c r="BA96" s="38">
        <f>+'QTR Raw'!W57</f>
        <v>0</v>
      </c>
      <c r="BB96" s="38">
        <f t="shared" ref="BB96" si="962">BA96+BB48</f>
        <v>0</v>
      </c>
      <c r="BC96" s="38">
        <f>+'QTR Raw'!Y57</f>
        <v>0</v>
      </c>
      <c r="BD96" s="38">
        <f t="shared" ref="BD96" si="963">BC96+BD48</f>
        <v>0</v>
      </c>
      <c r="BE96" s="38">
        <f>+'QTR Raw'!AA57</f>
        <v>0</v>
      </c>
      <c r="BF96" s="38">
        <f t="shared" ref="BF96" si="964">BE96+BF48</f>
        <v>0</v>
      </c>
      <c r="BG96" s="38">
        <f>+'QTR Raw'!AC57</f>
        <v>0</v>
      </c>
      <c r="BH96" s="38">
        <f t="shared" ref="BH96" si="965">BG96+BH48</f>
        <v>0</v>
      </c>
      <c r="BI96" s="38">
        <f>+'QTR Raw'!AE57</f>
        <v>0</v>
      </c>
      <c r="BJ96" s="38">
        <f t="shared" ref="BJ96" si="966">BI96+BJ48</f>
        <v>0</v>
      </c>
      <c r="BK96" s="38">
        <f>+'QTR Raw'!AG57</f>
        <v>0</v>
      </c>
      <c r="BL96" s="38">
        <f t="shared" ref="BL96" si="967">BK96+BL48</f>
        <v>0</v>
      </c>
      <c r="BM96" s="38">
        <f>+'QTR Raw'!AI57</f>
        <v>0</v>
      </c>
      <c r="BN96" s="38">
        <f t="shared" ref="BN96:CO96" si="968">BM96+BN48</f>
        <v>0</v>
      </c>
      <c r="BO96" s="38">
        <f>+'QTR Raw'!AK57</f>
        <v>0</v>
      </c>
      <c r="BP96" s="38">
        <f t="shared" si="968"/>
        <v>0</v>
      </c>
      <c r="BQ96" s="38">
        <f>+'QTR Raw'!AM57</f>
        <v>0</v>
      </c>
      <c r="BR96" s="38">
        <f t="shared" si="968"/>
        <v>0</v>
      </c>
      <c r="BS96" s="38">
        <f>+'QTR Raw'!AO57</f>
        <v>0</v>
      </c>
      <c r="BT96" s="38">
        <f t="shared" si="968"/>
        <v>0</v>
      </c>
      <c r="BU96" s="38">
        <f>+'QTR Raw'!AQ57</f>
        <v>0</v>
      </c>
      <c r="BV96" s="38">
        <f t="shared" si="968"/>
        <v>0</v>
      </c>
      <c r="BW96" s="38">
        <f>+'QTR Raw'!AS57</f>
        <v>0</v>
      </c>
      <c r="BX96" s="38">
        <f t="shared" si="968"/>
        <v>0</v>
      </c>
      <c r="BY96" s="38">
        <f>+'QTR Raw'!AU57</f>
        <v>0</v>
      </c>
      <c r="BZ96" s="39" t="e">
        <f t="shared" si="968"/>
        <v>#DIV/0!</v>
      </c>
      <c r="CA96" s="39" t="e">
        <f t="shared" si="968"/>
        <v>#DIV/0!</v>
      </c>
      <c r="CB96" s="39" t="e">
        <f t="shared" si="968"/>
        <v>#DIV/0!</v>
      </c>
      <c r="CC96" s="39" t="e">
        <f t="shared" si="968"/>
        <v>#DIV/0!</v>
      </c>
      <c r="CD96" s="39" t="e">
        <f t="shared" si="968"/>
        <v>#DIV/0!</v>
      </c>
      <c r="CE96" s="39" t="e">
        <f t="shared" si="968"/>
        <v>#DIV/0!</v>
      </c>
      <c r="CF96" s="39" t="e">
        <f t="shared" si="968"/>
        <v>#DIV/0!</v>
      </c>
      <c r="CG96" s="39" t="e">
        <f t="shared" si="968"/>
        <v>#DIV/0!</v>
      </c>
      <c r="CH96" s="39" t="e">
        <f t="shared" si="968"/>
        <v>#DIV/0!</v>
      </c>
      <c r="CI96" s="39" t="e">
        <f t="shared" si="968"/>
        <v>#DIV/0!</v>
      </c>
      <c r="CJ96" s="39" t="e">
        <f t="shared" si="968"/>
        <v>#DIV/0!</v>
      </c>
      <c r="CK96" s="39" t="e">
        <f t="shared" si="968"/>
        <v>#DIV/0!</v>
      </c>
      <c r="CL96" s="39" t="e">
        <f t="shared" si="968"/>
        <v>#DIV/0!</v>
      </c>
      <c r="CM96" s="39" t="e">
        <f t="shared" si="968"/>
        <v>#DIV/0!</v>
      </c>
      <c r="CN96" s="39" t="e">
        <f t="shared" si="968"/>
        <v>#DIV/0!</v>
      </c>
      <c r="CO96" s="39" t="e">
        <f t="shared" si="968"/>
        <v>#DIV/0!</v>
      </c>
    </row>
    <row r="97" spans="1:93" s="43" customFormat="1" x14ac:dyDescent="0.2">
      <c r="A97" s="43" t="s">
        <v>19</v>
      </c>
      <c r="B97" s="43">
        <f t="shared" ref="B97:AE97" si="969">SUM(B95:B96)</f>
        <v>0</v>
      </c>
      <c r="C97" s="43">
        <f t="shared" si="969"/>
        <v>0</v>
      </c>
      <c r="D97" s="43">
        <f t="shared" si="969"/>
        <v>0</v>
      </c>
      <c r="E97" s="43">
        <f t="shared" si="969"/>
        <v>0</v>
      </c>
      <c r="F97" s="43">
        <f t="shared" si="969"/>
        <v>0</v>
      </c>
      <c r="G97" s="43">
        <f t="shared" si="969"/>
        <v>0</v>
      </c>
      <c r="H97" s="43">
        <f t="shared" si="969"/>
        <v>0</v>
      </c>
      <c r="I97" s="43">
        <f t="shared" si="969"/>
        <v>0</v>
      </c>
      <c r="J97" s="43">
        <f t="shared" si="969"/>
        <v>0</v>
      </c>
      <c r="K97" s="43">
        <f t="shared" si="969"/>
        <v>0</v>
      </c>
      <c r="L97" s="43">
        <f t="shared" si="969"/>
        <v>0</v>
      </c>
      <c r="M97" s="43">
        <f t="shared" si="969"/>
        <v>0</v>
      </c>
      <c r="N97" s="43">
        <f t="shared" si="969"/>
        <v>0</v>
      </c>
      <c r="O97" s="43">
        <f t="shared" si="969"/>
        <v>0</v>
      </c>
      <c r="P97" s="43">
        <f t="shared" si="969"/>
        <v>0</v>
      </c>
      <c r="Q97" s="43">
        <f t="shared" si="969"/>
        <v>0</v>
      </c>
      <c r="R97" s="43">
        <f t="shared" si="969"/>
        <v>0</v>
      </c>
      <c r="S97" s="43">
        <f t="shared" si="969"/>
        <v>0</v>
      </c>
      <c r="T97" s="43">
        <f t="shared" si="969"/>
        <v>0</v>
      </c>
      <c r="U97" s="43">
        <f t="shared" si="969"/>
        <v>0</v>
      </c>
      <c r="V97" s="43">
        <f t="shared" si="969"/>
        <v>0</v>
      </c>
      <c r="W97" s="43">
        <f t="shared" si="969"/>
        <v>0</v>
      </c>
      <c r="X97" s="43">
        <f t="shared" si="969"/>
        <v>0</v>
      </c>
      <c r="Y97" s="43">
        <f t="shared" si="969"/>
        <v>0</v>
      </c>
      <c r="Z97" s="43">
        <f t="shared" si="969"/>
        <v>0</v>
      </c>
      <c r="AA97" s="44">
        <f t="shared" si="969"/>
        <v>0</v>
      </c>
      <c r="AB97" s="44" t="e">
        <f t="shared" si="969"/>
        <v>#DIV/0!</v>
      </c>
      <c r="AC97" s="44" t="e">
        <f t="shared" si="969"/>
        <v>#DIV/0!</v>
      </c>
      <c r="AD97" s="44" t="e">
        <f t="shared" si="969"/>
        <v>#DIV/0!</v>
      </c>
      <c r="AE97" s="44" t="e">
        <f t="shared" si="969"/>
        <v>#DIV/0!</v>
      </c>
      <c r="AG97" s="62"/>
      <c r="AH97" s="43">
        <f t="shared" ref="AH97:BP97" si="970">SUM(AH95:AH96)</f>
        <v>0</v>
      </c>
      <c r="AI97" s="43">
        <f t="shared" ref="AI97:AJ97" si="971">SUM(AI95:AI96)</f>
        <v>0</v>
      </c>
      <c r="AJ97" s="43">
        <f t="shared" si="971"/>
        <v>0</v>
      </c>
      <c r="AK97" s="43">
        <f t="shared" ref="AK97:AL97" si="972">SUM(AK95:AK96)</f>
        <v>0</v>
      </c>
      <c r="AL97" s="43">
        <f t="shared" si="972"/>
        <v>0</v>
      </c>
      <c r="AM97" s="43">
        <f t="shared" ref="AM97:AN97" si="973">SUM(AM95:AM96)</f>
        <v>0</v>
      </c>
      <c r="AN97" s="43">
        <f t="shared" si="973"/>
        <v>0</v>
      </c>
      <c r="AO97" s="43">
        <f t="shared" ref="AO97:AP97" si="974">SUM(AO95:AO96)</f>
        <v>0</v>
      </c>
      <c r="AP97" s="43">
        <f t="shared" si="974"/>
        <v>0</v>
      </c>
      <c r="AQ97" s="43">
        <f t="shared" ref="AQ97:AR97" si="975">SUM(AQ95:AQ96)</f>
        <v>0</v>
      </c>
      <c r="AR97" s="43">
        <f t="shared" si="975"/>
        <v>0</v>
      </c>
      <c r="AS97" s="43">
        <f t="shared" ref="AS97:AT97" si="976">SUM(AS95:AS96)</f>
        <v>0</v>
      </c>
      <c r="AT97" s="43">
        <f t="shared" si="976"/>
        <v>0</v>
      </c>
      <c r="AU97" s="43">
        <f t="shared" ref="AU97:AV97" si="977">SUM(AU95:AU96)</f>
        <v>0</v>
      </c>
      <c r="AV97" s="43">
        <f t="shared" si="977"/>
        <v>0</v>
      </c>
      <c r="AW97" s="43">
        <f t="shared" ref="AW97:AX97" si="978">SUM(AW95:AW96)</f>
        <v>0</v>
      </c>
      <c r="AX97" s="43">
        <f t="shared" si="978"/>
        <v>0</v>
      </c>
      <c r="AY97" s="43">
        <f t="shared" ref="AY97:AZ97" si="979">SUM(AY95:AY96)</f>
        <v>0</v>
      </c>
      <c r="AZ97" s="43">
        <f t="shared" si="979"/>
        <v>0</v>
      </c>
      <c r="BA97" s="43">
        <f t="shared" ref="BA97:BB97" si="980">SUM(BA95:BA96)</f>
        <v>0</v>
      </c>
      <c r="BB97" s="43">
        <f t="shared" si="980"/>
        <v>0</v>
      </c>
      <c r="BC97" s="43">
        <f t="shared" ref="BC97:BD97" si="981">SUM(BC95:BC96)</f>
        <v>0</v>
      </c>
      <c r="BD97" s="43">
        <f t="shared" si="981"/>
        <v>0</v>
      </c>
      <c r="BE97" s="43">
        <f t="shared" ref="BE97:BF97" si="982">SUM(BE95:BE96)</f>
        <v>0</v>
      </c>
      <c r="BF97" s="43">
        <f t="shared" si="982"/>
        <v>0</v>
      </c>
      <c r="BG97" s="43">
        <f t="shared" ref="BG97:BH97" si="983">SUM(BG95:BG96)</f>
        <v>0</v>
      </c>
      <c r="BH97" s="43">
        <f t="shared" si="983"/>
        <v>0</v>
      </c>
      <c r="BI97" s="43">
        <f t="shared" ref="BI97:BJ97" si="984">SUM(BI95:BI96)</f>
        <v>0</v>
      </c>
      <c r="BJ97" s="43">
        <f t="shared" si="984"/>
        <v>0</v>
      </c>
      <c r="BK97" s="43">
        <f t="shared" si="970"/>
        <v>0</v>
      </c>
      <c r="BL97" s="43">
        <f t="shared" si="970"/>
        <v>0</v>
      </c>
      <c r="BM97" s="43">
        <f t="shared" si="970"/>
        <v>0</v>
      </c>
      <c r="BN97" s="43">
        <f t="shared" si="970"/>
        <v>0</v>
      </c>
      <c r="BO97" s="43">
        <f t="shared" si="970"/>
        <v>0</v>
      </c>
      <c r="BP97" s="43">
        <f t="shared" si="970"/>
        <v>0</v>
      </c>
      <c r="BQ97" s="43">
        <f t="shared" ref="BQ97:BR97" si="985">SUM(BQ95:BQ96)</f>
        <v>0</v>
      </c>
      <c r="BR97" s="43">
        <f t="shared" si="985"/>
        <v>0</v>
      </c>
      <c r="BS97" s="43">
        <f t="shared" ref="BS97:BT97" si="986">SUM(BS95:BS96)</f>
        <v>0</v>
      </c>
      <c r="BT97" s="43">
        <f t="shared" si="986"/>
        <v>0</v>
      </c>
      <c r="BU97" s="43">
        <f t="shared" ref="BU97:BV97" si="987">SUM(BU95:BU96)</f>
        <v>0</v>
      </c>
      <c r="BV97" s="43">
        <f t="shared" si="987"/>
        <v>0</v>
      </c>
      <c r="BW97" s="43">
        <f t="shared" ref="BW97:CO97" si="988">SUM(BW95:BW96)</f>
        <v>0</v>
      </c>
      <c r="BX97" s="43">
        <f t="shared" si="988"/>
        <v>0</v>
      </c>
      <c r="BY97" s="43">
        <f t="shared" ref="BY97" si="989">SUM(BY95:BY96)</f>
        <v>0</v>
      </c>
      <c r="BZ97" s="44" t="e">
        <f t="shared" si="988"/>
        <v>#DIV/0!</v>
      </c>
      <c r="CA97" s="44" t="e">
        <f t="shared" si="988"/>
        <v>#DIV/0!</v>
      </c>
      <c r="CB97" s="44" t="e">
        <f t="shared" si="988"/>
        <v>#DIV/0!</v>
      </c>
      <c r="CC97" s="44" t="e">
        <f t="shared" si="988"/>
        <v>#DIV/0!</v>
      </c>
      <c r="CD97" s="44" t="e">
        <f t="shared" si="988"/>
        <v>#DIV/0!</v>
      </c>
      <c r="CE97" s="44" t="e">
        <f t="shared" si="988"/>
        <v>#DIV/0!</v>
      </c>
      <c r="CF97" s="44" t="e">
        <f t="shared" si="988"/>
        <v>#DIV/0!</v>
      </c>
      <c r="CG97" s="44" t="e">
        <f t="shared" si="988"/>
        <v>#DIV/0!</v>
      </c>
      <c r="CH97" s="44" t="e">
        <f t="shared" si="988"/>
        <v>#DIV/0!</v>
      </c>
      <c r="CI97" s="44" t="e">
        <f t="shared" si="988"/>
        <v>#DIV/0!</v>
      </c>
      <c r="CJ97" s="44" t="e">
        <f t="shared" si="988"/>
        <v>#DIV/0!</v>
      </c>
      <c r="CK97" s="44" t="e">
        <f t="shared" si="988"/>
        <v>#DIV/0!</v>
      </c>
      <c r="CL97" s="44" t="e">
        <f t="shared" si="988"/>
        <v>#DIV/0!</v>
      </c>
      <c r="CM97" s="44" t="e">
        <f t="shared" si="988"/>
        <v>#DIV/0!</v>
      </c>
      <c r="CN97" s="44" t="e">
        <f t="shared" si="988"/>
        <v>#DIV/0!</v>
      </c>
      <c r="CO97" s="44" t="e">
        <f t="shared" si="988"/>
        <v>#DIV/0!</v>
      </c>
    </row>
    <row r="98" spans="1:93" s="38" customFormat="1" x14ac:dyDescent="0.2">
      <c r="AA98" s="39"/>
      <c r="AB98" s="39"/>
      <c r="AC98" s="39"/>
      <c r="AD98" s="39"/>
      <c r="AE98" s="39"/>
      <c r="AG98" s="60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P98" s="43"/>
      <c r="BR98" s="43"/>
      <c r="BT98" s="43"/>
      <c r="BV98" s="43"/>
      <c r="BX98" s="43"/>
      <c r="BY98" s="43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</row>
    <row r="99" spans="1:93" s="38" customFormat="1" x14ac:dyDescent="0.2">
      <c r="A99" s="38" t="s">
        <v>5</v>
      </c>
      <c r="B99" s="38">
        <f>+'Annual Raw'!C81</f>
        <v>0</v>
      </c>
      <c r="C99" s="38">
        <f>+'Annual Raw'!D81</f>
        <v>0</v>
      </c>
      <c r="D99" s="38">
        <f>+'Annual Raw'!E81</f>
        <v>0</v>
      </c>
      <c r="E99" s="38">
        <f>+'Annual Raw'!F81</f>
        <v>0</v>
      </c>
      <c r="F99" s="38">
        <f>+'Annual Raw'!G81</f>
        <v>0</v>
      </c>
      <c r="G99" s="38">
        <f>+'Annual Raw'!H81</f>
        <v>0</v>
      </c>
      <c r="H99" s="38">
        <f>+'Annual Raw'!I81</f>
        <v>0</v>
      </c>
      <c r="I99" s="38">
        <f>+'Annual Raw'!J81</f>
        <v>0</v>
      </c>
      <c r="J99" s="38">
        <f>+'Annual Raw'!K81</f>
        <v>0</v>
      </c>
      <c r="K99" s="38">
        <f>+'Annual Raw'!L81</f>
        <v>0</v>
      </c>
      <c r="L99" s="38">
        <f>+'Annual Raw'!M81</f>
        <v>0</v>
      </c>
      <c r="M99" s="38">
        <f>+'Annual Raw'!N81</f>
        <v>0</v>
      </c>
      <c r="N99" s="38">
        <f>+'Annual Raw'!O81</f>
        <v>0</v>
      </c>
      <c r="O99" s="38">
        <f>+'Annual Raw'!P81</f>
        <v>0</v>
      </c>
      <c r="P99" s="38">
        <f>+'Annual Raw'!Q81</f>
        <v>0</v>
      </c>
      <c r="Q99" s="38">
        <f>+'Annual Raw'!R81</f>
        <v>0</v>
      </c>
      <c r="R99" s="38">
        <f>+'Annual Raw'!S81</f>
        <v>0</v>
      </c>
      <c r="S99" s="38">
        <f>+'Annual Raw'!T81</f>
        <v>0</v>
      </c>
      <c r="T99" s="38">
        <f>+'Annual Raw'!U81</f>
        <v>0</v>
      </c>
      <c r="U99" s="38">
        <f>+'Annual Raw'!V81</f>
        <v>0</v>
      </c>
      <c r="V99" s="38">
        <f>+'Annual Raw'!W81</f>
        <v>0</v>
      </c>
      <c r="W99" s="38">
        <f>+'Annual Raw'!X81</f>
        <v>0</v>
      </c>
      <c r="X99" s="38">
        <f>+'Annual Raw'!Y81</f>
        <v>0</v>
      </c>
      <c r="Y99" s="38">
        <f>+'Annual Raw'!Z81</f>
        <v>0</v>
      </c>
      <c r="Z99" s="38">
        <f>+'Annual Raw'!AA81</f>
        <v>0</v>
      </c>
      <c r="AA99" s="39">
        <f>+BY99</f>
        <v>0</v>
      </c>
      <c r="AB99" s="39">
        <f>+CC99</f>
        <v>0</v>
      </c>
      <c r="AC99" s="39">
        <f>+CG99</f>
        <v>0</v>
      </c>
      <c r="AD99" s="39">
        <f>+CK99</f>
        <v>0</v>
      </c>
      <c r="AE99" s="39">
        <f>+CO99</f>
        <v>0</v>
      </c>
      <c r="AG99" s="60"/>
      <c r="AH99" s="38">
        <f>+'QTR Raw'!D59</f>
        <v>0</v>
      </c>
      <c r="AI99" s="38">
        <f>+'QTR Raw'!E59</f>
        <v>0</v>
      </c>
      <c r="AJ99" s="38">
        <f t="shared" ref="AJ99" si="990">AI99</f>
        <v>0</v>
      </c>
      <c r="AK99" s="38">
        <f>+'QTR Raw'!G59</f>
        <v>0</v>
      </c>
      <c r="AL99" s="38">
        <f t="shared" ref="AL99" si="991">AK99</f>
        <v>0</v>
      </c>
      <c r="AM99" s="38">
        <f>+'QTR Raw'!I59</f>
        <v>0</v>
      </c>
      <c r="AN99" s="38">
        <f t="shared" ref="AN99" si="992">AM99</f>
        <v>0</v>
      </c>
      <c r="AO99" s="38">
        <f>+'QTR Raw'!K59</f>
        <v>0</v>
      </c>
      <c r="AP99" s="38">
        <f t="shared" ref="AP99" si="993">AO99</f>
        <v>0</v>
      </c>
      <c r="AQ99" s="38">
        <f>+'QTR Raw'!M59</f>
        <v>0</v>
      </c>
      <c r="AR99" s="38">
        <f t="shared" ref="AR99" si="994">AQ99</f>
        <v>0</v>
      </c>
      <c r="AS99" s="38">
        <f>+'QTR Raw'!O59</f>
        <v>0</v>
      </c>
      <c r="AT99" s="38">
        <f t="shared" ref="AT99" si="995">AS99</f>
        <v>0</v>
      </c>
      <c r="AU99" s="38">
        <f>+'QTR Raw'!Q59</f>
        <v>0</v>
      </c>
      <c r="AV99" s="38">
        <f t="shared" ref="AV99" si="996">AU99</f>
        <v>0</v>
      </c>
      <c r="AW99" s="38">
        <f>+'QTR Raw'!S59</f>
        <v>0</v>
      </c>
      <c r="AX99" s="38">
        <f t="shared" ref="AX99" si="997">AW99</f>
        <v>0</v>
      </c>
      <c r="AY99" s="38">
        <f>+'QTR Raw'!U59</f>
        <v>0</v>
      </c>
      <c r="AZ99" s="38">
        <f t="shared" ref="AZ99" si="998">AY99</f>
        <v>0</v>
      </c>
      <c r="BA99" s="38">
        <f>+'QTR Raw'!W59</f>
        <v>0</v>
      </c>
      <c r="BB99" s="38">
        <f t="shared" ref="BB99" si="999">BA99</f>
        <v>0</v>
      </c>
      <c r="BC99" s="38">
        <f>+'QTR Raw'!Y59</f>
        <v>0</v>
      </c>
      <c r="BD99" s="38">
        <f t="shared" ref="BD99" si="1000">BC99</f>
        <v>0</v>
      </c>
      <c r="BE99" s="38">
        <f>+'QTR Raw'!AA59</f>
        <v>0</v>
      </c>
      <c r="BF99" s="38">
        <f t="shared" ref="BF99" si="1001">BE99</f>
        <v>0</v>
      </c>
      <c r="BG99" s="38">
        <f>+'QTR Raw'!AC59</f>
        <v>0</v>
      </c>
      <c r="BH99" s="38">
        <f t="shared" ref="BH99" si="1002">BG99</f>
        <v>0</v>
      </c>
      <c r="BI99" s="38">
        <f>+'QTR Raw'!AE59</f>
        <v>0</v>
      </c>
      <c r="BJ99" s="38">
        <f t="shared" ref="BJ99" si="1003">BI99</f>
        <v>0</v>
      </c>
      <c r="BK99" s="38">
        <f>+'QTR Raw'!AG59</f>
        <v>0</v>
      </c>
      <c r="BL99" s="38">
        <f t="shared" ref="BL99" si="1004">BK99</f>
        <v>0</v>
      </c>
      <c r="BM99" s="38">
        <f>+'QTR Raw'!AI59</f>
        <v>0</v>
      </c>
      <c r="BN99" s="38">
        <f t="shared" ref="BN99:BZ99" si="1005">BM99</f>
        <v>0</v>
      </c>
      <c r="BO99" s="38">
        <f>+'QTR Raw'!AK59</f>
        <v>0</v>
      </c>
      <c r="BP99" s="38">
        <f t="shared" si="1005"/>
        <v>0</v>
      </c>
      <c r="BQ99" s="38">
        <f>+'QTR Raw'!AM59</f>
        <v>0</v>
      </c>
      <c r="BR99" s="38">
        <f t="shared" si="1005"/>
        <v>0</v>
      </c>
      <c r="BS99" s="38">
        <f>+'QTR Raw'!AO59</f>
        <v>0</v>
      </c>
      <c r="BT99" s="38">
        <f t="shared" si="1005"/>
        <v>0</v>
      </c>
      <c r="BU99" s="38">
        <f>+'QTR Raw'!AQ59</f>
        <v>0</v>
      </c>
      <c r="BV99" s="38">
        <f t="shared" si="1005"/>
        <v>0</v>
      </c>
      <c r="BW99" s="38">
        <f>+'QTR Raw'!AS59</f>
        <v>0</v>
      </c>
      <c r="BX99" s="38">
        <f t="shared" si="1005"/>
        <v>0</v>
      </c>
      <c r="BY99" s="38">
        <f>+'QTR Raw'!AU59</f>
        <v>0</v>
      </c>
      <c r="BZ99" s="39">
        <f t="shared" si="1005"/>
        <v>0</v>
      </c>
      <c r="CA99" s="39">
        <f t="shared" ref="CA99" si="1006">BZ99</f>
        <v>0</v>
      </c>
      <c r="CB99" s="39">
        <f t="shared" ref="CB99" si="1007">CA99</f>
        <v>0</v>
      </c>
      <c r="CC99" s="39">
        <f t="shared" ref="CC99" si="1008">CB99</f>
        <v>0</v>
      </c>
      <c r="CD99" s="39">
        <f t="shared" ref="CD99" si="1009">CC99</f>
        <v>0</v>
      </c>
      <c r="CE99" s="39">
        <f t="shared" ref="CE99" si="1010">CD99</f>
        <v>0</v>
      </c>
      <c r="CF99" s="39">
        <f t="shared" ref="CF99" si="1011">CE99</f>
        <v>0</v>
      </c>
      <c r="CG99" s="39">
        <f t="shared" ref="CG99" si="1012">CF99</f>
        <v>0</v>
      </c>
      <c r="CH99" s="39">
        <f t="shared" ref="CH99" si="1013">CG99</f>
        <v>0</v>
      </c>
      <c r="CI99" s="39">
        <f t="shared" ref="CI99" si="1014">CH99</f>
        <v>0</v>
      </c>
      <c r="CJ99" s="39">
        <f t="shared" ref="CJ99" si="1015">CI99</f>
        <v>0</v>
      </c>
      <c r="CK99" s="39">
        <f t="shared" ref="CK99" si="1016">CJ99</f>
        <v>0</v>
      </c>
      <c r="CL99" s="39">
        <f t="shared" ref="CL99" si="1017">CK99</f>
        <v>0</v>
      </c>
      <c r="CM99" s="39">
        <f t="shared" ref="CM99" si="1018">CL99</f>
        <v>0</v>
      </c>
      <c r="CN99" s="39">
        <f t="shared" ref="CN99" si="1019">CM99</f>
        <v>0</v>
      </c>
      <c r="CO99" s="39">
        <f t="shared" ref="CO99" si="1020">CN99</f>
        <v>0</v>
      </c>
    </row>
    <row r="100" spans="1:93" s="38" customFormat="1" x14ac:dyDescent="0.2">
      <c r="AA100" s="39"/>
      <c r="AB100" s="39"/>
      <c r="AC100" s="39"/>
      <c r="AD100" s="39"/>
      <c r="AE100" s="39"/>
      <c r="AG100" s="60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</row>
    <row r="101" spans="1:93" s="38" customFormat="1" x14ac:dyDescent="0.2">
      <c r="A101" s="38" t="s">
        <v>233</v>
      </c>
      <c r="B101" s="38">
        <f>+'Annual Raw'!C83++'Annual Raw'!C84-B103-B104</f>
        <v>0</v>
      </c>
      <c r="C101" s="38">
        <f>+'Annual Raw'!D83++'Annual Raw'!D84-C103-C104</f>
        <v>0</v>
      </c>
      <c r="D101" s="38">
        <f>+'Annual Raw'!E83++'Annual Raw'!E84-D103-D104</f>
        <v>0</v>
      </c>
      <c r="E101" s="38">
        <f>+'Annual Raw'!F83++'Annual Raw'!F84-E103-E104</f>
        <v>0</v>
      </c>
      <c r="F101" s="38">
        <f>+'Annual Raw'!G83++'Annual Raw'!G84-F103-F104</f>
        <v>0</v>
      </c>
      <c r="G101" s="38">
        <f>+'Annual Raw'!H83++'Annual Raw'!H84-G103-G104</f>
        <v>0</v>
      </c>
      <c r="H101" s="38">
        <f>+'Annual Raw'!I83++'Annual Raw'!I84-H103-H104</f>
        <v>0</v>
      </c>
      <c r="I101" s="38">
        <f>+'Annual Raw'!J83++'Annual Raw'!J84-I103-I104</f>
        <v>0</v>
      </c>
      <c r="J101" s="38">
        <f>+'Annual Raw'!K83++'Annual Raw'!K84-J103-J104</f>
        <v>0</v>
      </c>
      <c r="K101" s="38">
        <f>+'Annual Raw'!L83++'Annual Raw'!L84-K103-K104</f>
        <v>0</v>
      </c>
      <c r="L101" s="38">
        <f>+'Annual Raw'!M83++'Annual Raw'!M84-L103-L104</f>
        <v>0</v>
      </c>
      <c r="M101" s="38">
        <f>+'Annual Raw'!N83++'Annual Raw'!N84-M103-M104</f>
        <v>0</v>
      </c>
      <c r="N101" s="38">
        <f>+'Annual Raw'!O83++'Annual Raw'!O84-N103-N104</f>
        <v>0</v>
      </c>
      <c r="O101" s="38">
        <f>+'Annual Raw'!P83++'Annual Raw'!P84-O103-O104</f>
        <v>0</v>
      </c>
      <c r="P101" s="38">
        <f>+'Annual Raw'!Q83++'Annual Raw'!Q84-P103-P104</f>
        <v>0</v>
      </c>
      <c r="Q101" s="38">
        <f>+'Annual Raw'!R83++'Annual Raw'!R84-Q103-Q104</f>
        <v>0</v>
      </c>
      <c r="R101" s="38">
        <f>+'Annual Raw'!S83++'Annual Raw'!S84-R103-R104</f>
        <v>0</v>
      </c>
      <c r="S101" s="38">
        <f>+'Annual Raw'!T83++'Annual Raw'!T84-S103-S104</f>
        <v>0</v>
      </c>
      <c r="T101" s="38">
        <f>+'Annual Raw'!U83++'Annual Raw'!U84-T103-T104</f>
        <v>0</v>
      </c>
      <c r="U101" s="38">
        <f>+'Annual Raw'!V83++'Annual Raw'!V84-U103-U104</f>
        <v>0</v>
      </c>
      <c r="V101" s="38">
        <f>+'Annual Raw'!W83++'Annual Raw'!W84-V103-V104</f>
        <v>0</v>
      </c>
      <c r="W101" s="38">
        <f>+'Annual Raw'!X83++'Annual Raw'!X84-W103-W104</f>
        <v>0</v>
      </c>
      <c r="X101" s="38">
        <f>+'Annual Raw'!Y83++'Annual Raw'!Y84-X103-X104</f>
        <v>0</v>
      </c>
      <c r="Y101" s="38">
        <f>+'Annual Raw'!Z83++'Annual Raw'!Z84-Y103-Y104</f>
        <v>0</v>
      </c>
      <c r="Z101" s="38">
        <f>+'Annual Raw'!AA83++'Annual Raw'!AA84-Z103-Z104</f>
        <v>0</v>
      </c>
      <c r="AA101" s="39">
        <f t="shared" ref="AA101:AA102" si="1021">+BY101</f>
        <v>0</v>
      </c>
      <c r="AB101" s="39">
        <f t="shared" ref="AB101:AB102" si="1022">+CC101</f>
        <v>0</v>
      </c>
      <c r="AC101" s="39">
        <f t="shared" ref="AC101:AC102" si="1023">+CG101</f>
        <v>0</v>
      </c>
      <c r="AD101" s="39">
        <f t="shared" ref="AD101:AD102" si="1024">+CK101</f>
        <v>0</v>
      </c>
      <c r="AE101" s="39">
        <f t="shared" ref="AE101:AE102" si="1025">+CO101</f>
        <v>0</v>
      </c>
      <c r="AG101" s="60"/>
      <c r="AH101" s="38">
        <f>+'QTR Raw'!D61</f>
        <v>0</v>
      </c>
      <c r="AI101" s="38">
        <f>+'QTR Raw'!E61++'QTR Raw'!E62</f>
        <v>0</v>
      </c>
      <c r="AK101" s="38">
        <f>+'QTR Raw'!G61++'QTR Raw'!G62</f>
        <v>0</v>
      </c>
      <c r="AM101" s="38">
        <f>+'QTR Raw'!I61++'QTR Raw'!I62</f>
        <v>0</v>
      </c>
      <c r="AO101" s="38">
        <f>+'QTR Raw'!K61++'QTR Raw'!K62</f>
        <v>0</v>
      </c>
      <c r="AQ101" s="38">
        <f>+'QTR Raw'!M61++'QTR Raw'!M62</f>
        <v>0</v>
      </c>
      <c r="AS101" s="38">
        <f>+'QTR Raw'!O61++'QTR Raw'!O62</f>
        <v>0</v>
      </c>
      <c r="AU101" s="38">
        <f>+'QTR Raw'!Q61++'QTR Raw'!Q62</f>
        <v>0</v>
      </c>
      <c r="AW101" s="38">
        <f>+'QTR Raw'!S61++'QTR Raw'!S62</f>
        <v>0</v>
      </c>
      <c r="AY101" s="38">
        <f>+'QTR Raw'!U61++'QTR Raw'!U62</f>
        <v>0</v>
      </c>
      <c r="BA101" s="38">
        <f>+'QTR Raw'!W61++'QTR Raw'!W62</f>
        <v>0</v>
      </c>
      <c r="BC101" s="38">
        <f>+'QTR Raw'!Y61++'QTR Raw'!Y62</f>
        <v>0</v>
      </c>
      <c r="BE101" s="38">
        <f>+'QTR Raw'!AA61++'QTR Raw'!AA62</f>
        <v>0</v>
      </c>
      <c r="BG101" s="38">
        <f>+'QTR Raw'!AC61++'QTR Raw'!AC62</f>
        <v>0</v>
      </c>
      <c r="BI101" s="38">
        <f>+'QTR Raw'!AE61++'QTR Raw'!AE62</f>
        <v>0</v>
      </c>
      <c r="BK101" s="38">
        <f>+'QTR Raw'!AG61++'QTR Raw'!AG62</f>
        <v>0</v>
      </c>
      <c r="BM101" s="38">
        <f>+'QTR Raw'!AI61++'QTR Raw'!AI62</f>
        <v>0</v>
      </c>
      <c r="BO101" s="38">
        <f>+'QTR Raw'!AK61++'QTR Raw'!AK62</f>
        <v>0</v>
      </c>
      <c r="BQ101" s="38">
        <f>+'QTR Raw'!AM61++'QTR Raw'!AM62</f>
        <v>0</v>
      </c>
      <c r="BS101" s="38">
        <f>+'QTR Raw'!AO61++'QTR Raw'!AO62</f>
        <v>0</v>
      </c>
      <c r="BU101" s="38">
        <f>+'QTR Raw'!AQ61++'QTR Raw'!AQ62</f>
        <v>0</v>
      </c>
      <c r="BW101" s="38">
        <f>+'QTR Raw'!AS61++'QTR Raw'!AS62</f>
        <v>0</v>
      </c>
      <c r="BY101" s="38">
        <f>+'QTR Raw'!AU61++'QTR Raw'!AU62</f>
        <v>0</v>
      </c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3" s="38" customFormat="1" x14ac:dyDescent="0.2">
      <c r="A102" s="38" t="s">
        <v>225</v>
      </c>
      <c r="B102" s="38">
        <f>+'Annual Raw'!C100</f>
        <v>0</v>
      </c>
      <c r="C102" s="38">
        <f>+'Annual Raw'!D100</f>
        <v>0</v>
      </c>
      <c r="D102" s="38">
        <f>+'Annual Raw'!E100</f>
        <v>0</v>
      </c>
      <c r="E102" s="38">
        <f>+'Annual Raw'!F100</f>
        <v>0</v>
      </c>
      <c r="F102" s="38">
        <f>+'Annual Raw'!G100</f>
        <v>0</v>
      </c>
      <c r="G102" s="38">
        <f>+'Annual Raw'!H100</f>
        <v>0</v>
      </c>
      <c r="H102" s="38">
        <f>+'Annual Raw'!I100</f>
        <v>0</v>
      </c>
      <c r="I102" s="38">
        <f>+'Annual Raw'!J100</f>
        <v>0</v>
      </c>
      <c r="J102" s="38">
        <f>+'Annual Raw'!K100</f>
        <v>0</v>
      </c>
      <c r="K102" s="38">
        <f>+'Annual Raw'!L100</f>
        <v>0</v>
      </c>
      <c r="L102" s="38">
        <f>+'Annual Raw'!M100</f>
        <v>0</v>
      </c>
      <c r="M102" s="38">
        <f>+'Annual Raw'!N100</f>
        <v>0</v>
      </c>
      <c r="N102" s="38">
        <f>+'Annual Raw'!O100</f>
        <v>0</v>
      </c>
      <c r="O102" s="38">
        <f>+'Annual Raw'!P100</f>
        <v>0</v>
      </c>
      <c r="P102" s="38">
        <f>+'Annual Raw'!Q100</f>
        <v>0</v>
      </c>
      <c r="Q102" s="38">
        <f>+'Annual Raw'!R100</f>
        <v>0</v>
      </c>
      <c r="R102" s="38">
        <f>+'Annual Raw'!S100</f>
        <v>0</v>
      </c>
      <c r="S102" s="38">
        <f>+'Annual Raw'!T100</f>
        <v>0</v>
      </c>
      <c r="T102" s="38">
        <f>+'Annual Raw'!U100</f>
        <v>0</v>
      </c>
      <c r="U102" s="38">
        <f>+'Annual Raw'!V100</f>
        <v>0</v>
      </c>
      <c r="V102" s="38">
        <f>+'Annual Raw'!W100</f>
        <v>0</v>
      </c>
      <c r="W102" s="38">
        <f>+'Annual Raw'!X100</f>
        <v>0</v>
      </c>
      <c r="X102" s="38">
        <f>+'Annual Raw'!Y100</f>
        <v>0</v>
      </c>
      <c r="Y102" s="38">
        <f>+'Annual Raw'!Z100</f>
        <v>0</v>
      </c>
      <c r="Z102" s="38">
        <f>+'Annual Raw'!AA100</f>
        <v>0</v>
      </c>
      <c r="AA102" s="39">
        <f t="shared" si="1021"/>
        <v>0</v>
      </c>
      <c r="AB102" s="39" t="e">
        <f t="shared" si="1022"/>
        <v>#DIV/0!</v>
      </c>
      <c r="AC102" s="39" t="e">
        <f t="shared" si="1023"/>
        <v>#DIV/0!</v>
      </c>
      <c r="AD102" s="39" t="e">
        <f t="shared" si="1024"/>
        <v>#DIV/0!</v>
      </c>
      <c r="AE102" s="39" t="e">
        <f t="shared" si="1025"/>
        <v>#DIV/0!</v>
      </c>
      <c r="AG102" s="60"/>
      <c r="AH102" s="38">
        <f>+'QTR Raw'!D87</f>
        <v>0</v>
      </c>
      <c r="AI102" s="38">
        <f>+'QTR Raw'!E87</f>
        <v>0</v>
      </c>
      <c r="AJ102" s="38">
        <f>+AI102</f>
        <v>0</v>
      </c>
      <c r="AK102" s="38">
        <f>+'QTR Raw'!G87</f>
        <v>0</v>
      </c>
      <c r="AL102" s="38">
        <f>+AK102</f>
        <v>0</v>
      </c>
      <c r="AM102" s="38">
        <f>+'QTR Raw'!I87</f>
        <v>0</v>
      </c>
      <c r="AN102" s="38">
        <f>+AM102</f>
        <v>0</v>
      </c>
      <c r="AO102" s="38">
        <f>+'QTR Raw'!K87</f>
        <v>0</v>
      </c>
      <c r="AP102" s="38">
        <f>+AO102</f>
        <v>0</v>
      </c>
      <c r="AQ102" s="38">
        <f>+'QTR Raw'!M87</f>
        <v>0</v>
      </c>
      <c r="AR102" s="38">
        <f>+AQ102</f>
        <v>0</v>
      </c>
      <c r="AS102" s="38">
        <f>+'QTR Raw'!O87</f>
        <v>0</v>
      </c>
      <c r="AT102" s="38">
        <f>+AS102</f>
        <v>0</v>
      </c>
      <c r="AU102" s="38">
        <f>+'QTR Raw'!Q87</f>
        <v>0</v>
      </c>
      <c r="AV102" s="38">
        <f>+AU102</f>
        <v>0</v>
      </c>
      <c r="AW102" s="38">
        <f>+'QTR Raw'!S87</f>
        <v>0</v>
      </c>
      <c r="AX102" s="38">
        <f>+AW102</f>
        <v>0</v>
      </c>
      <c r="AY102" s="38">
        <f>+'QTR Raw'!U87</f>
        <v>0</v>
      </c>
      <c r="AZ102" s="38">
        <f>+AY102</f>
        <v>0</v>
      </c>
      <c r="BA102" s="38">
        <f>+'QTR Raw'!W87</f>
        <v>0</v>
      </c>
      <c r="BB102" s="38">
        <f>+BA102</f>
        <v>0</v>
      </c>
      <c r="BC102" s="38">
        <f>+'QTR Raw'!Y87</f>
        <v>0</v>
      </c>
      <c r="BD102" s="38">
        <f>+BC102</f>
        <v>0</v>
      </c>
      <c r="BE102" s="38">
        <f>+'QTR Raw'!AA87</f>
        <v>0</v>
      </c>
      <c r="BF102" s="38">
        <f>+BE102</f>
        <v>0</v>
      </c>
      <c r="BG102" s="38">
        <f>+'QTR Raw'!AC87</f>
        <v>0</v>
      </c>
      <c r="BH102" s="38">
        <f>+BG102</f>
        <v>0</v>
      </c>
      <c r="BI102" s="38">
        <f>+'QTR Raw'!AE87</f>
        <v>0</v>
      </c>
      <c r="BJ102" s="38">
        <f>+BI102</f>
        <v>0</v>
      </c>
      <c r="BK102" s="38">
        <f>+'QTR Raw'!AG87</f>
        <v>0</v>
      </c>
      <c r="BL102" s="38">
        <f>+BK102</f>
        <v>0</v>
      </c>
      <c r="BM102" s="38">
        <f>+'QTR Raw'!AI87</f>
        <v>0</v>
      </c>
      <c r="BN102" s="38" t="e">
        <f>+BN109*BN133</f>
        <v>#DIV/0!</v>
      </c>
      <c r="BO102" s="38">
        <f>+'QTR Raw'!AK87</f>
        <v>0</v>
      </c>
      <c r="BP102" s="38" t="e">
        <f>+BP109*BP133</f>
        <v>#DIV/0!</v>
      </c>
      <c r="BQ102" s="38">
        <f>+'QTR Raw'!AM87</f>
        <v>0</v>
      </c>
      <c r="BR102" s="38" t="e">
        <f>+BR109*BR133</f>
        <v>#DIV/0!</v>
      </c>
      <c r="BS102" s="38">
        <f>+'QTR Raw'!AO87</f>
        <v>0</v>
      </c>
      <c r="BT102" s="38">
        <f>+BS102</f>
        <v>0</v>
      </c>
      <c r="BU102" s="38">
        <f>+'QTR Raw'!AQ87</f>
        <v>0</v>
      </c>
      <c r="BV102" s="38">
        <f>+BU102</f>
        <v>0</v>
      </c>
      <c r="BW102" s="38">
        <f>+'QTR Raw'!AS87</f>
        <v>0</v>
      </c>
      <c r="BX102" s="38">
        <f>+BW102</f>
        <v>0</v>
      </c>
      <c r="BY102" s="38">
        <f>+'QTR Raw'!AU87</f>
        <v>0</v>
      </c>
      <c r="BZ102" s="39" t="e">
        <f t="shared" ref="BZ102:CO102" si="1026">+BZ109*BZ133</f>
        <v>#DIV/0!</v>
      </c>
      <c r="CA102" s="39" t="e">
        <f t="shared" si="1026"/>
        <v>#DIV/0!</v>
      </c>
      <c r="CB102" s="39" t="e">
        <f t="shared" si="1026"/>
        <v>#DIV/0!</v>
      </c>
      <c r="CC102" s="39" t="e">
        <f t="shared" si="1026"/>
        <v>#DIV/0!</v>
      </c>
      <c r="CD102" s="39" t="e">
        <f t="shared" si="1026"/>
        <v>#DIV/0!</v>
      </c>
      <c r="CE102" s="39" t="e">
        <f t="shared" si="1026"/>
        <v>#DIV/0!</v>
      </c>
      <c r="CF102" s="39" t="e">
        <f t="shared" si="1026"/>
        <v>#DIV/0!</v>
      </c>
      <c r="CG102" s="39" t="e">
        <f t="shared" si="1026"/>
        <v>#DIV/0!</v>
      </c>
      <c r="CH102" s="39" t="e">
        <f t="shared" si="1026"/>
        <v>#DIV/0!</v>
      </c>
      <c r="CI102" s="39" t="e">
        <f t="shared" si="1026"/>
        <v>#DIV/0!</v>
      </c>
      <c r="CJ102" s="39" t="e">
        <f t="shared" si="1026"/>
        <v>#DIV/0!</v>
      </c>
      <c r="CK102" s="39" t="e">
        <f t="shared" si="1026"/>
        <v>#DIV/0!</v>
      </c>
      <c r="CL102" s="39" t="e">
        <f t="shared" si="1026"/>
        <v>#DIV/0!</v>
      </c>
      <c r="CM102" s="39" t="e">
        <f t="shared" si="1026"/>
        <v>#DIV/0!</v>
      </c>
      <c r="CN102" s="39" t="e">
        <f t="shared" si="1026"/>
        <v>#DIV/0!</v>
      </c>
      <c r="CO102" s="39" t="e">
        <f t="shared" si="1026"/>
        <v>#DIV/0!</v>
      </c>
    </row>
    <row r="103" spans="1:93" s="38" customFormat="1" x14ac:dyDescent="0.2">
      <c r="A103" s="38" t="s">
        <v>89</v>
      </c>
      <c r="B103" s="38">
        <f>+'Annual Raw'!C96</f>
        <v>0</v>
      </c>
      <c r="C103" s="38">
        <f>+'Annual Raw'!D96</f>
        <v>0</v>
      </c>
      <c r="D103" s="38">
        <f>+'Annual Raw'!E96</f>
        <v>0</v>
      </c>
      <c r="E103" s="38">
        <f>+'Annual Raw'!F96</f>
        <v>0</v>
      </c>
      <c r="F103" s="38">
        <f>+'Annual Raw'!G96</f>
        <v>0</v>
      </c>
      <c r="G103" s="38">
        <f>+'Annual Raw'!H96</f>
        <v>0</v>
      </c>
      <c r="H103" s="38">
        <f>+'Annual Raw'!I96</f>
        <v>0</v>
      </c>
      <c r="I103" s="38">
        <f>+'Annual Raw'!J96</f>
        <v>0</v>
      </c>
      <c r="J103" s="38">
        <f>+'Annual Raw'!K96</f>
        <v>0</v>
      </c>
      <c r="K103" s="38">
        <f>+'Annual Raw'!L96</f>
        <v>0</v>
      </c>
      <c r="L103" s="38">
        <f>+'Annual Raw'!M96</f>
        <v>0</v>
      </c>
      <c r="M103" s="38">
        <f>+'Annual Raw'!N96</f>
        <v>0</v>
      </c>
      <c r="N103" s="38">
        <f>+'Annual Raw'!O96</f>
        <v>0</v>
      </c>
      <c r="O103" s="38">
        <f>+'Annual Raw'!P96</f>
        <v>0</v>
      </c>
      <c r="P103" s="38">
        <f>+'Annual Raw'!Q96</f>
        <v>0</v>
      </c>
      <c r="Q103" s="38">
        <f>+'Annual Raw'!R96</f>
        <v>0</v>
      </c>
      <c r="R103" s="38">
        <f>+'Annual Raw'!S96</f>
        <v>0</v>
      </c>
      <c r="S103" s="38">
        <f>+'Annual Raw'!T96</f>
        <v>0</v>
      </c>
      <c r="T103" s="38">
        <f>+'Annual Raw'!U96</f>
        <v>0</v>
      </c>
      <c r="U103" s="38">
        <f>+'Annual Raw'!V96</f>
        <v>0</v>
      </c>
      <c r="V103" s="38">
        <f>+'Annual Raw'!W96</f>
        <v>0</v>
      </c>
      <c r="W103" s="38">
        <f>+'Annual Raw'!X96</f>
        <v>0</v>
      </c>
      <c r="X103" s="38">
        <f>+'Annual Raw'!Y96</f>
        <v>0</v>
      </c>
      <c r="Y103" s="38">
        <f>+'Annual Raw'!Z96</f>
        <v>0</v>
      </c>
      <c r="Z103" s="38">
        <f>+'Annual Raw'!AA96</f>
        <v>0</v>
      </c>
      <c r="AA103" s="39">
        <f t="shared" ref="AA103:AA104" si="1027">+BY103</f>
        <v>0</v>
      </c>
      <c r="AB103" s="39">
        <f t="shared" ref="AB103:AB104" si="1028">+CC103</f>
        <v>0</v>
      </c>
      <c r="AC103" s="39">
        <f t="shared" ref="AC103:AC104" si="1029">+CG103</f>
        <v>0</v>
      </c>
      <c r="AD103" s="39">
        <f t="shared" ref="AD103:AD104" si="1030">+CK103</f>
        <v>0</v>
      </c>
      <c r="AE103" s="39">
        <f t="shared" ref="AE103:AE104" si="1031">+CO103</f>
        <v>0</v>
      </c>
      <c r="AG103" s="60"/>
      <c r="AH103" s="38">
        <f>+AG103</f>
        <v>0</v>
      </c>
      <c r="AI103" s="38">
        <f>+'QTR Raw'!E91</f>
        <v>0</v>
      </c>
      <c r="AJ103" s="38">
        <f>+AI103</f>
        <v>0</v>
      </c>
      <c r="AK103" s="38">
        <f>+'QTR Raw'!G91</f>
        <v>0</v>
      </c>
      <c r="AL103" s="38">
        <f>+AK103</f>
        <v>0</v>
      </c>
      <c r="AM103" s="38">
        <f>+'QTR Raw'!I91</f>
        <v>0</v>
      </c>
      <c r="AN103" s="38">
        <f>+AM103</f>
        <v>0</v>
      </c>
      <c r="AO103" s="38">
        <f>+'QTR Raw'!K91</f>
        <v>0</v>
      </c>
      <c r="AP103" s="38">
        <f>+AO103</f>
        <v>0</v>
      </c>
      <c r="AQ103" s="38">
        <f>+'QTR Raw'!M91</f>
        <v>0</v>
      </c>
      <c r="AR103" s="38">
        <f>+AQ103</f>
        <v>0</v>
      </c>
      <c r="AS103" s="38">
        <f>+'QTR Raw'!O91</f>
        <v>0</v>
      </c>
      <c r="AT103" s="38">
        <f>+AS103</f>
        <v>0</v>
      </c>
      <c r="AU103" s="38">
        <f>+'QTR Raw'!Q91</f>
        <v>0</v>
      </c>
      <c r="AV103" s="38">
        <f>+AU103</f>
        <v>0</v>
      </c>
      <c r="AW103" s="38">
        <f>+'QTR Raw'!S91</f>
        <v>0</v>
      </c>
      <c r="AX103" s="38">
        <f>+AW103</f>
        <v>0</v>
      </c>
      <c r="AY103" s="38">
        <f>+'QTR Raw'!U91</f>
        <v>0</v>
      </c>
      <c r="AZ103" s="38">
        <f>+AY103</f>
        <v>0</v>
      </c>
      <c r="BA103" s="38">
        <f>+'QTR Raw'!W91</f>
        <v>0</v>
      </c>
      <c r="BB103" s="38">
        <f>+BA103</f>
        <v>0</v>
      </c>
      <c r="BC103" s="38">
        <f>+'QTR Raw'!Y91</f>
        <v>0</v>
      </c>
      <c r="BD103" s="38">
        <f>+BC103</f>
        <v>0</v>
      </c>
      <c r="BE103" s="38">
        <f>+'QTR Raw'!AA91</f>
        <v>0</v>
      </c>
      <c r="BF103" s="38">
        <f>+BE103</f>
        <v>0</v>
      </c>
      <c r="BG103" s="38">
        <f>+'QTR Raw'!AC91</f>
        <v>0</v>
      </c>
      <c r="BH103" s="38">
        <f>+BG103</f>
        <v>0</v>
      </c>
      <c r="BI103" s="38">
        <f>+'QTR Raw'!AE91</f>
        <v>0</v>
      </c>
      <c r="BJ103" s="38">
        <f>+BI103</f>
        <v>0</v>
      </c>
      <c r="BK103" s="38">
        <f>+'QTR Raw'!AG91</f>
        <v>0</v>
      </c>
      <c r="BL103" s="38">
        <f>+BK103</f>
        <v>0</v>
      </c>
      <c r="BM103" s="38">
        <f>+'QTR Raw'!AI91</f>
        <v>0</v>
      </c>
      <c r="BN103" s="38">
        <f>+BM103</f>
        <v>0</v>
      </c>
      <c r="BO103" s="38">
        <f>+'QTR Raw'!AK91</f>
        <v>0</v>
      </c>
      <c r="BP103" s="38">
        <f>+BO103</f>
        <v>0</v>
      </c>
      <c r="BQ103" s="38">
        <f>+'QTR Raw'!AM91</f>
        <v>0</v>
      </c>
      <c r="BR103" s="38">
        <f>+BQ103</f>
        <v>0</v>
      </c>
      <c r="BS103" s="38">
        <f>+'QTR Raw'!AO91</f>
        <v>0</v>
      </c>
      <c r="BT103" s="38">
        <f>+BS103</f>
        <v>0</v>
      </c>
      <c r="BU103" s="38">
        <f>+'QTR Raw'!AQ91</f>
        <v>0</v>
      </c>
      <c r="BV103" s="38">
        <f>+BU103</f>
        <v>0</v>
      </c>
      <c r="BW103" s="38">
        <f>+'QTR Raw'!AS91</f>
        <v>0</v>
      </c>
      <c r="BX103" s="38">
        <f>+BW103</f>
        <v>0</v>
      </c>
      <c r="BY103" s="38">
        <f>+'QTR Raw'!AU91</f>
        <v>0</v>
      </c>
      <c r="BZ103" s="39">
        <f t="shared" ref="BZ103:CO103" si="1032">+BY103</f>
        <v>0</v>
      </c>
      <c r="CA103" s="39">
        <f t="shared" si="1032"/>
        <v>0</v>
      </c>
      <c r="CB103" s="39">
        <f t="shared" si="1032"/>
        <v>0</v>
      </c>
      <c r="CC103" s="39">
        <f t="shared" si="1032"/>
        <v>0</v>
      </c>
      <c r="CD103" s="39">
        <f t="shared" si="1032"/>
        <v>0</v>
      </c>
      <c r="CE103" s="39">
        <f t="shared" si="1032"/>
        <v>0</v>
      </c>
      <c r="CF103" s="39">
        <f t="shared" si="1032"/>
        <v>0</v>
      </c>
      <c r="CG103" s="39">
        <f t="shared" si="1032"/>
        <v>0</v>
      </c>
      <c r="CH103" s="39">
        <f t="shared" si="1032"/>
        <v>0</v>
      </c>
      <c r="CI103" s="39">
        <f t="shared" si="1032"/>
        <v>0</v>
      </c>
      <c r="CJ103" s="39">
        <f t="shared" si="1032"/>
        <v>0</v>
      </c>
      <c r="CK103" s="39">
        <f t="shared" si="1032"/>
        <v>0</v>
      </c>
      <c r="CL103" s="39">
        <f t="shared" si="1032"/>
        <v>0</v>
      </c>
      <c r="CM103" s="39">
        <f t="shared" si="1032"/>
        <v>0</v>
      </c>
      <c r="CN103" s="39">
        <f t="shared" si="1032"/>
        <v>0</v>
      </c>
      <c r="CO103" s="39">
        <f t="shared" si="1032"/>
        <v>0</v>
      </c>
    </row>
    <row r="104" spans="1:93" s="38" customFormat="1" x14ac:dyDescent="0.2">
      <c r="A104" s="38" t="s">
        <v>495</v>
      </c>
      <c r="B104" s="38">
        <f>+'Annual Raw'!C95</f>
        <v>0</v>
      </c>
      <c r="C104" s="38">
        <f>+'Annual Raw'!D95</f>
        <v>0</v>
      </c>
      <c r="D104" s="38">
        <f>+'Annual Raw'!E95</f>
        <v>0</v>
      </c>
      <c r="E104" s="38">
        <f>+'Annual Raw'!F95</f>
        <v>0</v>
      </c>
      <c r="F104" s="38">
        <f>+'Annual Raw'!G95</f>
        <v>0</v>
      </c>
      <c r="G104" s="38">
        <f>+'Annual Raw'!H95</f>
        <v>0</v>
      </c>
      <c r="H104" s="38">
        <f>+'Annual Raw'!I95</f>
        <v>0</v>
      </c>
      <c r="I104" s="38">
        <f>+'Annual Raw'!J95</f>
        <v>0</v>
      </c>
      <c r="J104" s="38">
        <f>+'Annual Raw'!K95</f>
        <v>0</v>
      </c>
      <c r="K104" s="38">
        <f>+'Annual Raw'!L95</f>
        <v>0</v>
      </c>
      <c r="L104" s="38">
        <f>+'Annual Raw'!M95</f>
        <v>0</v>
      </c>
      <c r="M104" s="38">
        <f>+'Annual Raw'!N95</f>
        <v>0</v>
      </c>
      <c r="N104" s="38">
        <f>+'Annual Raw'!O95</f>
        <v>0</v>
      </c>
      <c r="O104" s="38">
        <f>+'Annual Raw'!P95</f>
        <v>0</v>
      </c>
      <c r="P104" s="38">
        <f>+'Annual Raw'!Q95</f>
        <v>0</v>
      </c>
      <c r="Q104" s="38">
        <f>+'Annual Raw'!R95</f>
        <v>0</v>
      </c>
      <c r="R104" s="38">
        <f>+'Annual Raw'!S95</f>
        <v>0</v>
      </c>
      <c r="S104" s="38">
        <f>+'Annual Raw'!T95</f>
        <v>0</v>
      </c>
      <c r="T104" s="38">
        <f>+'Annual Raw'!U95</f>
        <v>0</v>
      </c>
      <c r="U104" s="38">
        <f>+'Annual Raw'!V95</f>
        <v>0</v>
      </c>
      <c r="V104" s="38">
        <f>+'Annual Raw'!W95</f>
        <v>0</v>
      </c>
      <c r="W104" s="38">
        <f>+'Annual Raw'!X95</f>
        <v>0</v>
      </c>
      <c r="X104" s="38">
        <f>+'Annual Raw'!Y95</f>
        <v>0</v>
      </c>
      <c r="Y104" s="38">
        <f>+'Annual Raw'!Z95</f>
        <v>0</v>
      </c>
      <c r="Z104" s="38">
        <f>+'Annual Raw'!AA95</f>
        <v>0</v>
      </c>
      <c r="AA104" s="39">
        <f t="shared" si="1027"/>
        <v>0</v>
      </c>
      <c r="AB104" s="39">
        <f t="shared" si="1028"/>
        <v>0</v>
      </c>
      <c r="AC104" s="39">
        <f t="shared" si="1029"/>
        <v>0</v>
      </c>
      <c r="AD104" s="39">
        <f t="shared" si="1030"/>
        <v>0</v>
      </c>
      <c r="AE104" s="39">
        <f t="shared" si="1031"/>
        <v>0</v>
      </c>
      <c r="AG104" s="60"/>
      <c r="AH104" s="38">
        <f>+AG104</f>
        <v>0</v>
      </c>
      <c r="AI104" s="38">
        <f>+'QTR Raw'!E90</f>
        <v>0</v>
      </c>
      <c r="AJ104" s="38">
        <f>+AI104</f>
        <v>0</v>
      </c>
      <c r="AK104" s="38">
        <f>+'QTR Raw'!G90</f>
        <v>0</v>
      </c>
      <c r="AL104" s="38">
        <f>+AK104</f>
        <v>0</v>
      </c>
      <c r="AM104" s="38">
        <f>+'QTR Raw'!I90</f>
        <v>0</v>
      </c>
      <c r="AN104" s="38">
        <f>+AM104</f>
        <v>0</v>
      </c>
      <c r="AO104" s="38">
        <f>+'QTR Raw'!K90</f>
        <v>0</v>
      </c>
      <c r="AP104" s="38">
        <f>+AO104</f>
        <v>0</v>
      </c>
      <c r="AQ104" s="38">
        <f>+'QTR Raw'!M90</f>
        <v>0</v>
      </c>
      <c r="AR104" s="38">
        <f>+AQ104</f>
        <v>0</v>
      </c>
      <c r="AS104" s="38">
        <f>+'QTR Raw'!O90</f>
        <v>0</v>
      </c>
      <c r="AT104" s="38">
        <f>+AS104</f>
        <v>0</v>
      </c>
      <c r="AU104" s="38">
        <f>+'QTR Raw'!Q90</f>
        <v>0</v>
      </c>
      <c r="AV104" s="38">
        <f>+AU104</f>
        <v>0</v>
      </c>
      <c r="AW104" s="38">
        <f>+'QTR Raw'!S90</f>
        <v>0</v>
      </c>
      <c r="AX104" s="38">
        <f>+AW104</f>
        <v>0</v>
      </c>
      <c r="AY104" s="38">
        <f>+'QTR Raw'!U90</f>
        <v>0</v>
      </c>
      <c r="AZ104" s="38">
        <f>+AY104</f>
        <v>0</v>
      </c>
      <c r="BA104" s="38">
        <f>+'QTR Raw'!W90</f>
        <v>0</v>
      </c>
      <c r="BB104" s="38">
        <f>+BA104</f>
        <v>0</v>
      </c>
      <c r="BC104" s="38">
        <f>+'QTR Raw'!Y90</f>
        <v>0</v>
      </c>
      <c r="BD104" s="38">
        <f>+BC104</f>
        <v>0</v>
      </c>
      <c r="BE104" s="38">
        <f>+'QTR Raw'!AA90</f>
        <v>0</v>
      </c>
      <c r="BF104" s="38">
        <f>+BE104</f>
        <v>0</v>
      </c>
      <c r="BG104" s="38">
        <f>+'QTR Raw'!AC90</f>
        <v>0</v>
      </c>
      <c r="BH104" s="38">
        <f>+BG104</f>
        <v>0</v>
      </c>
      <c r="BI104" s="38">
        <f>+'QTR Raw'!AE90</f>
        <v>0</v>
      </c>
      <c r="BJ104" s="38">
        <f>+BI104</f>
        <v>0</v>
      </c>
      <c r="BK104" s="38">
        <f>+'QTR Raw'!AG90</f>
        <v>0</v>
      </c>
      <c r="BL104" s="38">
        <f>+BK104</f>
        <v>0</v>
      </c>
      <c r="BM104" s="38">
        <f>+'QTR Raw'!AI90</f>
        <v>0</v>
      </c>
      <c r="BN104" s="38">
        <f>+BM104</f>
        <v>0</v>
      </c>
      <c r="BO104" s="38">
        <f>+'QTR Raw'!AK90</f>
        <v>0</v>
      </c>
      <c r="BP104" s="38">
        <f>+BO104</f>
        <v>0</v>
      </c>
      <c r="BQ104" s="38">
        <f>+'QTR Raw'!AM90</f>
        <v>0</v>
      </c>
      <c r="BR104" s="38">
        <f>+BQ104</f>
        <v>0</v>
      </c>
      <c r="BS104" s="38">
        <f>+'QTR Raw'!AO90</f>
        <v>0</v>
      </c>
      <c r="BT104" s="38">
        <f>+BS104</f>
        <v>0</v>
      </c>
      <c r="BU104" s="38">
        <f>+'QTR Raw'!AQ90</f>
        <v>0</v>
      </c>
      <c r="BV104" s="38">
        <f>+BU104</f>
        <v>0</v>
      </c>
      <c r="BW104" s="38">
        <f>+'QTR Raw'!AS90</f>
        <v>0</v>
      </c>
      <c r="BX104" s="38">
        <f>+BW104</f>
        <v>0</v>
      </c>
      <c r="BY104" s="38">
        <f>+'QTR Raw'!AU90</f>
        <v>0</v>
      </c>
      <c r="BZ104" s="39">
        <f t="shared" ref="BZ104:CO104" si="1033">+BY104</f>
        <v>0</v>
      </c>
      <c r="CA104" s="39">
        <f t="shared" si="1033"/>
        <v>0</v>
      </c>
      <c r="CB104" s="39">
        <f t="shared" si="1033"/>
        <v>0</v>
      </c>
      <c r="CC104" s="39">
        <f t="shared" si="1033"/>
        <v>0</v>
      </c>
      <c r="CD104" s="39">
        <f t="shared" si="1033"/>
        <v>0</v>
      </c>
      <c r="CE104" s="39">
        <f t="shared" si="1033"/>
        <v>0</v>
      </c>
      <c r="CF104" s="39">
        <f t="shared" si="1033"/>
        <v>0</v>
      </c>
      <c r="CG104" s="39">
        <f t="shared" si="1033"/>
        <v>0</v>
      </c>
      <c r="CH104" s="39">
        <f t="shared" si="1033"/>
        <v>0</v>
      </c>
      <c r="CI104" s="39">
        <f t="shared" si="1033"/>
        <v>0</v>
      </c>
      <c r="CJ104" s="39">
        <f t="shared" si="1033"/>
        <v>0</v>
      </c>
      <c r="CK104" s="39">
        <f t="shared" si="1033"/>
        <v>0</v>
      </c>
      <c r="CL104" s="39">
        <f t="shared" si="1033"/>
        <v>0</v>
      </c>
      <c r="CM104" s="39">
        <f t="shared" si="1033"/>
        <v>0</v>
      </c>
      <c r="CN104" s="39">
        <f t="shared" si="1033"/>
        <v>0</v>
      </c>
      <c r="CO104" s="39">
        <f t="shared" si="1033"/>
        <v>0</v>
      </c>
    </row>
    <row r="105" spans="1:93" s="43" customFormat="1" x14ac:dyDescent="0.2">
      <c r="A105" s="43" t="s">
        <v>21</v>
      </c>
      <c r="B105" s="43">
        <f t="shared" ref="B105:AE105" si="1034">SUM(B101:B104)</f>
        <v>0</v>
      </c>
      <c r="C105" s="43">
        <f t="shared" si="1034"/>
        <v>0</v>
      </c>
      <c r="D105" s="43">
        <f t="shared" si="1034"/>
        <v>0</v>
      </c>
      <c r="E105" s="43">
        <f t="shared" si="1034"/>
        <v>0</v>
      </c>
      <c r="F105" s="43">
        <f t="shared" si="1034"/>
        <v>0</v>
      </c>
      <c r="G105" s="43">
        <f t="shared" si="1034"/>
        <v>0</v>
      </c>
      <c r="H105" s="43">
        <f t="shared" si="1034"/>
        <v>0</v>
      </c>
      <c r="I105" s="43">
        <f t="shared" si="1034"/>
        <v>0</v>
      </c>
      <c r="J105" s="43">
        <f t="shared" si="1034"/>
        <v>0</v>
      </c>
      <c r="K105" s="43">
        <f t="shared" si="1034"/>
        <v>0</v>
      </c>
      <c r="L105" s="43">
        <f t="shared" si="1034"/>
        <v>0</v>
      </c>
      <c r="M105" s="43">
        <f t="shared" si="1034"/>
        <v>0</v>
      </c>
      <c r="N105" s="43">
        <f t="shared" si="1034"/>
        <v>0</v>
      </c>
      <c r="O105" s="43">
        <f t="shared" si="1034"/>
        <v>0</v>
      </c>
      <c r="P105" s="43">
        <f t="shared" si="1034"/>
        <v>0</v>
      </c>
      <c r="Q105" s="43">
        <f t="shared" si="1034"/>
        <v>0</v>
      </c>
      <c r="R105" s="43">
        <f t="shared" si="1034"/>
        <v>0</v>
      </c>
      <c r="S105" s="43">
        <f t="shared" si="1034"/>
        <v>0</v>
      </c>
      <c r="T105" s="43">
        <f t="shared" si="1034"/>
        <v>0</v>
      </c>
      <c r="U105" s="43">
        <f t="shared" si="1034"/>
        <v>0</v>
      </c>
      <c r="V105" s="43">
        <f t="shared" si="1034"/>
        <v>0</v>
      </c>
      <c r="W105" s="43">
        <f t="shared" si="1034"/>
        <v>0</v>
      </c>
      <c r="X105" s="43">
        <f t="shared" si="1034"/>
        <v>0</v>
      </c>
      <c r="Y105" s="43">
        <f t="shared" si="1034"/>
        <v>0</v>
      </c>
      <c r="Z105" s="43">
        <f t="shared" si="1034"/>
        <v>0</v>
      </c>
      <c r="AA105" s="44">
        <f t="shared" si="1034"/>
        <v>0</v>
      </c>
      <c r="AB105" s="44" t="e">
        <f t="shared" si="1034"/>
        <v>#DIV/0!</v>
      </c>
      <c r="AC105" s="44" t="e">
        <f t="shared" si="1034"/>
        <v>#DIV/0!</v>
      </c>
      <c r="AD105" s="44" t="e">
        <f t="shared" si="1034"/>
        <v>#DIV/0!</v>
      </c>
      <c r="AE105" s="44" t="e">
        <f t="shared" si="1034"/>
        <v>#DIV/0!</v>
      </c>
      <c r="AG105" s="62"/>
      <c r="AH105" s="43">
        <f t="shared" ref="AH105:BX105" si="1035">SUM(AH101:AH104)</f>
        <v>0</v>
      </c>
      <c r="AI105" s="43">
        <f t="shared" si="1035"/>
        <v>0</v>
      </c>
      <c r="AJ105" s="43">
        <f t="shared" si="1035"/>
        <v>0</v>
      </c>
      <c r="AK105" s="43">
        <f t="shared" si="1035"/>
        <v>0</v>
      </c>
      <c r="AL105" s="43">
        <f t="shared" si="1035"/>
        <v>0</v>
      </c>
      <c r="AM105" s="43">
        <f t="shared" si="1035"/>
        <v>0</v>
      </c>
      <c r="AN105" s="43">
        <f t="shared" si="1035"/>
        <v>0</v>
      </c>
      <c r="AO105" s="43">
        <f t="shared" si="1035"/>
        <v>0</v>
      </c>
      <c r="AP105" s="43">
        <f t="shared" si="1035"/>
        <v>0</v>
      </c>
      <c r="AQ105" s="43">
        <f t="shared" si="1035"/>
        <v>0</v>
      </c>
      <c r="AR105" s="43">
        <f t="shared" si="1035"/>
        <v>0</v>
      </c>
      <c r="AS105" s="43">
        <f t="shared" si="1035"/>
        <v>0</v>
      </c>
      <c r="AT105" s="43">
        <f t="shared" si="1035"/>
        <v>0</v>
      </c>
      <c r="AU105" s="43">
        <f t="shared" si="1035"/>
        <v>0</v>
      </c>
      <c r="AV105" s="43">
        <f t="shared" si="1035"/>
        <v>0</v>
      </c>
      <c r="AW105" s="43">
        <f t="shared" si="1035"/>
        <v>0</v>
      </c>
      <c r="AX105" s="43">
        <f t="shared" si="1035"/>
        <v>0</v>
      </c>
      <c r="AY105" s="43">
        <f t="shared" si="1035"/>
        <v>0</v>
      </c>
      <c r="AZ105" s="43">
        <f t="shared" si="1035"/>
        <v>0</v>
      </c>
      <c r="BA105" s="43">
        <f t="shared" si="1035"/>
        <v>0</v>
      </c>
      <c r="BB105" s="43">
        <f t="shared" si="1035"/>
        <v>0</v>
      </c>
      <c r="BC105" s="43">
        <f t="shared" si="1035"/>
        <v>0</v>
      </c>
      <c r="BD105" s="43">
        <f t="shared" si="1035"/>
        <v>0</v>
      </c>
      <c r="BE105" s="43">
        <f t="shared" si="1035"/>
        <v>0</v>
      </c>
      <c r="BF105" s="43">
        <f t="shared" si="1035"/>
        <v>0</v>
      </c>
      <c r="BG105" s="43">
        <f t="shared" si="1035"/>
        <v>0</v>
      </c>
      <c r="BH105" s="43">
        <f t="shared" si="1035"/>
        <v>0</v>
      </c>
      <c r="BI105" s="43">
        <f t="shared" si="1035"/>
        <v>0</v>
      </c>
      <c r="BJ105" s="43">
        <f t="shared" si="1035"/>
        <v>0</v>
      </c>
      <c r="BK105" s="43">
        <f t="shared" si="1035"/>
        <v>0</v>
      </c>
      <c r="BL105" s="43">
        <f t="shared" si="1035"/>
        <v>0</v>
      </c>
      <c r="BM105" s="43">
        <f t="shared" si="1035"/>
        <v>0</v>
      </c>
      <c r="BN105" s="43" t="e">
        <f t="shared" si="1035"/>
        <v>#DIV/0!</v>
      </c>
      <c r="BO105" s="43">
        <f t="shared" si="1035"/>
        <v>0</v>
      </c>
      <c r="BP105" s="43" t="e">
        <f t="shared" si="1035"/>
        <v>#DIV/0!</v>
      </c>
      <c r="BQ105" s="43">
        <f t="shared" si="1035"/>
        <v>0</v>
      </c>
      <c r="BR105" s="43" t="e">
        <f t="shared" si="1035"/>
        <v>#DIV/0!</v>
      </c>
      <c r="BS105" s="43">
        <f t="shared" si="1035"/>
        <v>0</v>
      </c>
      <c r="BT105" s="43">
        <f t="shared" si="1035"/>
        <v>0</v>
      </c>
      <c r="BU105" s="43">
        <f t="shared" si="1035"/>
        <v>0</v>
      </c>
      <c r="BV105" s="43">
        <f t="shared" si="1035"/>
        <v>0</v>
      </c>
      <c r="BW105" s="43">
        <f t="shared" si="1035"/>
        <v>0</v>
      </c>
      <c r="BX105" s="43">
        <f t="shared" si="1035"/>
        <v>0</v>
      </c>
      <c r="BY105" s="43">
        <f>SUM(BY101:BY104)</f>
        <v>0</v>
      </c>
      <c r="BZ105" s="44" t="e">
        <f t="shared" ref="BZ105:CO105" si="1036">SUM(BZ101:BZ104)</f>
        <v>#DIV/0!</v>
      </c>
      <c r="CA105" s="44" t="e">
        <f t="shared" si="1036"/>
        <v>#DIV/0!</v>
      </c>
      <c r="CB105" s="44" t="e">
        <f t="shared" si="1036"/>
        <v>#DIV/0!</v>
      </c>
      <c r="CC105" s="44" t="e">
        <f t="shared" si="1036"/>
        <v>#DIV/0!</v>
      </c>
      <c r="CD105" s="44" t="e">
        <f t="shared" si="1036"/>
        <v>#DIV/0!</v>
      </c>
      <c r="CE105" s="44" t="e">
        <f t="shared" si="1036"/>
        <v>#DIV/0!</v>
      </c>
      <c r="CF105" s="44" t="e">
        <f t="shared" si="1036"/>
        <v>#DIV/0!</v>
      </c>
      <c r="CG105" s="44" t="e">
        <f t="shared" si="1036"/>
        <v>#DIV/0!</v>
      </c>
      <c r="CH105" s="44" t="e">
        <f t="shared" si="1036"/>
        <v>#DIV/0!</v>
      </c>
      <c r="CI105" s="44" t="e">
        <f t="shared" si="1036"/>
        <v>#DIV/0!</v>
      </c>
      <c r="CJ105" s="44" t="e">
        <f t="shared" si="1036"/>
        <v>#DIV/0!</v>
      </c>
      <c r="CK105" s="44" t="e">
        <f t="shared" si="1036"/>
        <v>#DIV/0!</v>
      </c>
      <c r="CL105" s="44" t="e">
        <f t="shared" si="1036"/>
        <v>#DIV/0!</v>
      </c>
      <c r="CM105" s="44" t="e">
        <f t="shared" si="1036"/>
        <v>#DIV/0!</v>
      </c>
      <c r="CN105" s="44" t="e">
        <f t="shared" si="1036"/>
        <v>#DIV/0!</v>
      </c>
      <c r="CO105" s="44" t="e">
        <f t="shared" si="1036"/>
        <v>#DIV/0!</v>
      </c>
    </row>
    <row r="106" spans="1:93" s="40" customFormat="1" x14ac:dyDescent="0.2">
      <c r="A106" s="40" t="s">
        <v>52</v>
      </c>
      <c r="B106" s="40">
        <f t="shared" ref="B106:AE106" si="1037">B105+B99+B97</f>
        <v>0</v>
      </c>
      <c r="C106" s="40">
        <f t="shared" si="1037"/>
        <v>0</v>
      </c>
      <c r="D106" s="40">
        <f t="shared" si="1037"/>
        <v>0</v>
      </c>
      <c r="E106" s="40">
        <f t="shared" si="1037"/>
        <v>0</v>
      </c>
      <c r="F106" s="40">
        <f t="shared" si="1037"/>
        <v>0</v>
      </c>
      <c r="G106" s="40">
        <f t="shared" si="1037"/>
        <v>0</v>
      </c>
      <c r="H106" s="40">
        <f t="shared" si="1037"/>
        <v>0</v>
      </c>
      <c r="I106" s="40">
        <f t="shared" si="1037"/>
        <v>0</v>
      </c>
      <c r="J106" s="40">
        <f t="shared" si="1037"/>
        <v>0</v>
      </c>
      <c r="K106" s="40">
        <f t="shared" si="1037"/>
        <v>0</v>
      </c>
      <c r="L106" s="40">
        <f t="shared" si="1037"/>
        <v>0</v>
      </c>
      <c r="M106" s="40">
        <f t="shared" si="1037"/>
        <v>0</v>
      </c>
      <c r="N106" s="40">
        <f t="shared" si="1037"/>
        <v>0</v>
      </c>
      <c r="O106" s="40">
        <f t="shared" si="1037"/>
        <v>0</v>
      </c>
      <c r="P106" s="40">
        <f t="shared" si="1037"/>
        <v>0</v>
      </c>
      <c r="Q106" s="40">
        <f t="shared" si="1037"/>
        <v>0</v>
      </c>
      <c r="R106" s="40">
        <f t="shared" si="1037"/>
        <v>0</v>
      </c>
      <c r="S106" s="40">
        <f t="shared" si="1037"/>
        <v>0</v>
      </c>
      <c r="T106" s="40">
        <f t="shared" si="1037"/>
        <v>0</v>
      </c>
      <c r="U106" s="40">
        <f t="shared" si="1037"/>
        <v>0</v>
      </c>
      <c r="V106" s="40">
        <f t="shared" si="1037"/>
        <v>0</v>
      </c>
      <c r="W106" s="40">
        <f t="shared" si="1037"/>
        <v>0</v>
      </c>
      <c r="X106" s="40">
        <f t="shared" si="1037"/>
        <v>0</v>
      </c>
      <c r="Y106" s="40">
        <f t="shared" si="1037"/>
        <v>0</v>
      </c>
      <c r="Z106" s="40">
        <f t="shared" si="1037"/>
        <v>0</v>
      </c>
      <c r="AA106" s="41">
        <f t="shared" si="1037"/>
        <v>0</v>
      </c>
      <c r="AB106" s="41" t="e">
        <f t="shared" si="1037"/>
        <v>#DIV/0!</v>
      </c>
      <c r="AC106" s="41" t="e">
        <f t="shared" si="1037"/>
        <v>#DIV/0!</v>
      </c>
      <c r="AD106" s="41" t="e">
        <f t="shared" si="1037"/>
        <v>#DIV/0!</v>
      </c>
      <c r="AE106" s="41" t="e">
        <f t="shared" si="1037"/>
        <v>#DIV/0!</v>
      </c>
      <c r="AG106" s="61"/>
      <c r="AH106" s="40">
        <f t="shared" ref="AH106:BP106" si="1038">AH105+AH99+AH97</f>
        <v>0</v>
      </c>
      <c r="AI106" s="40">
        <f t="shared" ref="AI106:AJ106" si="1039">AI105+AI99+AI97</f>
        <v>0</v>
      </c>
      <c r="AJ106" s="40">
        <f t="shared" si="1039"/>
        <v>0</v>
      </c>
      <c r="AK106" s="40">
        <f t="shared" ref="AK106:AL106" si="1040">AK105+AK99+AK97</f>
        <v>0</v>
      </c>
      <c r="AL106" s="40">
        <f t="shared" si="1040"/>
        <v>0</v>
      </c>
      <c r="AM106" s="40">
        <f t="shared" ref="AM106:AN106" si="1041">AM105+AM99+AM97</f>
        <v>0</v>
      </c>
      <c r="AN106" s="40">
        <f t="shared" si="1041"/>
        <v>0</v>
      </c>
      <c r="AO106" s="40">
        <f t="shared" ref="AO106:AP106" si="1042">AO105+AO99+AO97</f>
        <v>0</v>
      </c>
      <c r="AP106" s="40">
        <f t="shared" si="1042"/>
        <v>0</v>
      </c>
      <c r="AQ106" s="40">
        <f t="shared" ref="AQ106:AR106" si="1043">AQ105+AQ99+AQ97</f>
        <v>0</v>
      </c>
      <c r="AR106" s="40">
        <f t="shared" si="1043"/>
        <v>0</v>
      </c>
      <c r="AS106" s="40">
        <f t="shared" ref="AS106:AT106" si="1044">AS105+AS99+AS97</f>
        <v>0</v>
      </c>
      <c r="AT106" s="40">
        <f t="shared" si="1044"/>
        <v>0</v>
      </c>
      <c r="AU106" s="40">
        <f t="shared" ref="AU106:AV106" si="1045">AU105+AU99+AU97</f>
        <v>0</v>
      </c>
      <c r="AV106" s="40">
        <f t="shared" si="1045"/>
        <v>0</v>
      </c>
      <c r="AW106" s="40">
        <f t="shared" ref="AW106:AX106" si="1046">AW105+AW99+AW97</f>
        <v>0</v>
      </c>
      <c r="AX106" s="40">
        <f t="shared" si="1046"/>
        <v>0</v>
      </c>
      <c r="AY106" s="40">
        <f t="shared" ref="AY106:AZ106" si="1047">AY105+AY99+AY97</f>
        <v>0</v>
      </c>
      <c r="AZ106" s="40">
        <f t="shared" si="1047"/>
        <v>0</v>
      </c>
      <c r="BA106" s="40">
        <f t="shared" ref="BA106:BB106" si="1048">BA105+BA99+BA97</f>
        <v>0</v>
      </c>
      <c r="BB106" s="40">
        <f t="shared" si="1048"/>
        <v>0</v>
      </c>
      <c r="BC106" s="40">
        <f t="shared" ref="BC106:BD106" si="1049">BC105+BC99+BC97</f>
        <v>0</v>
      </c>
      <c r="BD106" s="40">
        <f t="shared" si="1049"/>
        <v>0</v>
      </c>
      <c r="BE106" s="40">
        <f t="shared" ref="BE106:BF106" si="1050">BE105+BE99+BE97</f>
        <v>0</v>
      </c>
      <c r="BF106" s="40">
        <f t="shared" si="1050"/>
        <v>0</v>
      </c>
      <c r="BG106" s="40">
        <f t="shared" ref="BG106:BH106" si="1051">BG105+BG99+BG97</f>
        <v>0</v>
      </c>
      <c r="BH106" s="40">
        <f t="shared" si="1051"/>
        <v>0</v>
      </c>
      <c r="BI106" s="40">
        <f t="shared" ref="BI106:BJ106" si="1052">BI105+BI99+BI97</f>
        <v>0</v>
      </c>
      <c r="BJ106" s="40">
        <f t="shared" si="1052"/>
        <v>0</v>
      </c>
      <c r="BK106" s="40">
        <f t="shared" si="1038"/>
        <v>0</v>
      </c>
      <c r="BL106" s="40">
        <f t="shared" si="1038"/>
        <v>0</v>
      </c>
      <c r="BM106" s="40">
        <f t="shared" si="1038"/>
        <v>0</v>
      </c>
      <c r="BN106" s="40" t="e">
        <f t="shared" si="1038"/>
        <v>#DIV/0!</v>
      </c>
      <c r="BO106" s="40">
        <f t="shared" si="1038"/>
        <v>0</v>
      </c>
      <c r="BP106" s="40" t="e">
        <f t="shared" si="1038"/>
        <v>#DIV/0!</v>
      </c>
      <c r="BQ106" s="40">
        <f t="shared" ref="BQ106:BR106" si="1053">BQ105+BQ99+BQ97</f>
        <v>0</v>
      </c>
      <c r="BR106" s="40" t="e">
        <f t="shared" si="1053"/>
        <v>#DIV/0!</v>
      </c>
      <c r="BS106" s="40">
        <f t="shared" ref="BS106:BT106" si="1054">BS105+BS99+BS97</f>
        <v>0</v>
      </c>
      <c r="BT106" s="40">
        <f t="shared" si="1054"/>
        <v>0</v>
      </c>
      <c r="BU106" s="40">
        <f t="shared" ref="BU106:BV106" si="1055">BU105+BU99+BU97</f>
        <v>0</v>
      </c>
      <c r="BV106" s="40">
        <f t="shared" si="1055"/>
        <v>0</v>
      </c>
      <c r="BW106" s="40">
        <f t="shared" ref="BW106:CO106" si="1056">BW105+BW99+BW97</f>
        <v>0</v>
      </c>
      <c r="BX106" s="40">
        <f t="shared" si="1056"/>
        <v>0</v>
      </c>
      <c r="BY106" s="40">
        <f t="shared" ref="BY106" si="1057">BY105+BY99+BY97</f>
        <v>0</v>
      </c>
      <c r="BZ106" s="41" t="e">
        <f t="shared" si="1056"/>
        <v>#DIV/0!</v>
      </c>
      <c r="CA106" s="41" t="e">
        <f t="shared" si="1056"/>
        <v>#DIV/0!</v>
      </c>
      <c r="CB106" s="41" t="e">
        <f t="shared" si="1056"/>
        <v>#DIV/0!</v>
      </c>
      <c r="CC106" s="41" t="e">
        <f t="shared" si="1056"/>
        <v>#DIV/0!</v>
      </c>
      <c r="CD106" s="41" t="e">
        <f t="shared" si="1056"/>
        <v>#DIV/0!</v>
      </c>
      <c r="CE106" s="41" t="e">
        <f t="shared" si="1056"/>
        <v>#DIV/0!</v>
      </c>
      <c r="CF106" s="41" t="e">
        <f t="shared" si="1056"/>
        <v>#DIV/0!</v>
      </c>
      <c r="CG106" s="41" t="e">
        <f t="shared" si="1056"/>
        <v>#DIV/0!</v>
      </c>
      <c r="CH106" s="41" t="e">
        <f t="shared" si="1056"/>
        <v>#DIV/0!</v>
      </c>
      <c r="CI106" s="41" t="e">
        <f t="shared" si="1056"/>
        <v>#DIV/0!</v>
      </c>
      <c r="CJ106" s="41" t="e">
        <f t="shared" si="1056"/>
        <v>#DIV/0!</v>
      </c>
      <c r="CK106" s="41" t="e">
        <f t="shared" si="1056"/>
        <v>#DIV/0!</v>
      </c>
      <c r="CL106" s="41" t="e">
        <f t="shared" si="1056"/>
        <v>#DIV/0!</v>
      </c>
      <c r="CM106" s="41" t="e">
        <f t="shared" si="1056"/>
        <v>#DIV/0!</v>
      </c>
      <c r="CN106" s="41" t="e">
        <f t="shared" si="1056"/>
        <v>#DIV/0!</v>
      </c>
      <c r="CO106" s="41" t="e">
        <f t="shared" si="1056"/>
        <v>#DIV/0!</v>
      </c>
    </row>
    <row r="107" spans="1:93" s="38" customFormat="1" x14ac:dyDescent="0.2">
      <c r="AA107" s="39"/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3" s="38" customFormat="1" x14ac:dyDescent="0.2">
      <c r="AA108" s="39"/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3" s="38" customFormat="1" x14ac:dyDescent="0.2">
      <c r="A109" s="38" t="s">
        <v>48</v>
      </c>
      <c r="B109" s="38">
        <f>+'Annual Raw'!C125+'Annual Raw'!C106++'Annual Raw'!C117</f>
        <v>0</v>
      </c>
      <c r="C109" s="38">
        <f>+'Annual Raw'!D125+'Annual Raw'!D106++'Annual Raw'!D117</f>
        <v>0</v>
      </c>
      <c r="D109" s="38">
        <f>+'Annual Raw'!E125+'Annual Raw'!E106++'Annual Raw'!E117</f>
        <v>0</v>
      </c>
      <c r="E109" s="38">
        <f>+'Annual Raw'!F125+'Annual Raw'!F106++'Annual Raw'!F117</f>
        <v>0</v>
      </c>
      <c r="F109" s="38">
        <f>+'Annual Raw'!G125+'Annual Raw'!G106++'Annual Raw'!G117</f>
        <v>0</v>
      </c>
      <c r="G109" s="38">
        <f>+'Annual Raw'!H125+'Annual Raw'!H106++'Annual Raw'!H117</f>
        <v>0</v>
      </c>
      <c r="H109" s="38">
        <f>+'Annual Raw'!I125+'Annual Raw'!I106++'Annual Raw'!I117</f>
        <v>0</v>
      </c>
      <c r="I109" s="38">
        <f>+'Annual Raw'!J125+'Annual Raw'!J106++'Annual Raw'!J117</f>
        <v>0</v>
      </c>
      <c r="J109" s="38">
        <f>+'Annual Raw'!K125+'Annual Raw'!K106++'Annual Raw'!K117</f>
        <v>0</v>
      </c>
      <c r="K109" s="38">
        <f>+'Annual Raw'!L125+'Annual Raw'!L106++'Annual Raw'!L117</f>
        <v>0</v>
      </c>
      <c r="L109" s="38">
        <f>+'Annual Raw'!M125+'Annual Raw'!M106++'Annual Raw'!M117</f>
        <v>0</v>
      </c>
      <c r="M109" s="38">
        <f>+'Annual Raw'!N125+'Annual Raw'!N106++'Annual Raw'!N117</f>
        <v>0</v>
      </c>
      <c r="N109" s="38">
        <f>+'Annual Raw'!O125+'Annual Raw'!O106++'Annual Raw'!O117</f>
        <v>0</v>
      </c>
      <c r="O109" s="38">
        <f>+'Annual Raw'!P125+'Annual Raw'!P106++'Annual Raw'!P117</f>
        <v>0</v>
      </c>
      <c r="P109" s="38">
        <f>+'Annual Raw'!Q125+'Annual Raw'!Q106++'Annual Raw'!Q117</f>
        <v>0</v>
      </c>
      <c r="Q109" s="38">
        <f>+'Annual Raw'!R125+'Annual Raw'!R106++'Annual Raw'!R117</f>
        <v>0</v>
      </c>
      <c r="R109" s="38">
        <f>+'Annual Raw'!S125+'Annual Raw'!S106++'Annual Raw'!S117</f>
        <v>0</v>
      </c>
      <c r="S109" s="38">
        <f>+'Annual Raw'!T125+'Annual Raw'!T106++'Annual Raw'!T117</f>
        <v>0</v>
      </c>
      <c r="T109" s="38">
        <f>+'Annual Raw'!U125+'Annual Raw'!U106++'Annual Raw'!U117</f>
        <v>0</v>
      </c>
      <c r="U109" s="38">
        <f>+'Annual Raw'!V125+'Annual Raw'!V106++'Annual Raw'!V117</f>
        <v>0</v>
      </c>
      <c r="V109" s="38">
        <f>+'Annual Raw'!W125+'Annual Raw'!W106++'Annual Raw'!W117</f>
        <v>0</v>
      </c>
      <c r="W109" s="38">
        <f>+'Annual Raw'!X125+'Annual Raw'!X106++'Annual Raw'!X117</f>
        <v>0</v>
      </c>
      <c r="X109" s="38">
        <f>+'Annual Raw'!Y125+'Annual Raw'!Y106++'Annual Raw'!Y117</f>
        <v>0</v>
      </c>
      <c r="Y109" s="38">
        <f>+'Annual Raw'!Z125+'Annual Raw'!Z106++'Annual Raw'!Z117</f>
        <v>0</v>
      </c>
      <c r="Z109" s="38">
        <f>+'Annual Raw'!AA125+'Annual Raw'!AA106++'Annual Raw'!AA117</f>
        <v>0</v>
      </c>
      <c r="AA109" s="39">
        <f>+BY109</f>
        <v>0</v>
      </c>
      <c r="AB109" s="39" t="e">
        <f>+CC109</f>
        <v>#DIV/0!</v>
      </c>
      <c r="AC109" s="39" t="e">
        <f>+CG109</f>
        <v>#DIV/0!</v>
      </c>
      <c r="AD109" s="39" t="e">
        <f>+CK109</f>
        <v>#DIV/0!</v>
      </c>
      <c r="AE109" s="39" t="e">
        <f>+CO109</f>
        <v>#DIV/0!</v>
      </c>
      <c r="AG109" s="60"/>
      <c r="AH109" s="38">
        <f>+'QTR Raw'!D84</f>
        <v>0</v>
      </c>
      <c r="AI109" s="38">
        <f>+'QTR Raw'!E84++'QTR Raw'!E77</f>
        <v>0</v>
      </c>
      <c r="AJ109" s="38">
        <f>+AI109</f>
        <v>0</v>
      </c>
      <c r="AK109" s="38">
        <f>+'QTR Raw'!G84++'QTR Raw'!G77</f>
        <v>0</v>
      </c>
      <c r="AL109" s="38">
        <f>+AK109</f>
        <v>0</v>
      </c>
      <c r="AM109" s="38">
        <f>+'QTR Raw'!I84++'QTR Raw'!I77</f>
        <v>0</v>
      </c>
      <c r="AN109" s="38">
        <f>+AM109</f>
        <v>0</v>
      </c>
      <c r="AO109" s="38">
        <f>+'QTR Raw'!K84++'QTR Raw'!K77</f>
        <v>0</v>
      </c>
      <c r="AP109" s="38">
        <f>+AO109</f>
        <v>0</v>
      </c>
      <c r="AQ109" s="38">
        <f>+'QTR Raw'!M84++'QTR Raw'!M77</f>
        <v>0</v>
      </c>
      <c r="AR109" s="38">
        <f>+AQ109</f>
        <v>0</v>
      </c>
      <c r="AS109" s="38">
        <f>+'QTR Raw'!O84++'QTR Raw'!O77</f>
        <v>0</v>
      </c>
      <c r="AT109" s="38">
        <f>+AS109</f>
        <v>0</v>
      </c>
      <c r="AU109" s="38">
        <f>+'QTR Raw'!Q84++'QTR Raw'!Q77</f>
        <v>0</v>
      </c>
      <c r="AV109" s="38">
        <f>+AU109</f>
        <v>0</v>
      </c>
      <c r="AW109" s="38">
        <f>+'QTR Raw'!S84++'QTR Raw'!S77</f>
        <v>0</v>
      </c>
      <c r="AX109" s="38">
        <f>+AW109</f>
        <v>0</v>
      </c>
      <c r="AY109" s="38">
        <f>+'QTR Raw'!U84++'QTR Raw'!U77</f>
        <v>0</v>
      </c>
      <c r="AZ109" s="38">
        <f>+AY109</f>
        <v>0</v>
      </c>
      <c r="BA109" s="38">
        <f>+'QTR Raw'!W84++'QTR Raw'!W77</f>
        <v>0</v>
      </c>
      <c r="BB109" s="38">
        <f>+BA109</f>
        <v>0</v>
      </c>
      <c r="BC109" s="38">
        <f>+'QTR Raw'!Y84++'QTR Raw'!Y77</f>
        <v>0</v>
      </c>
      <c r="BD109" s="38">
        <f>+BC109</f>
        <v>0</v>
      </c>
      <c r="BE109" s="38">
        <f>+'QTR Raw'!AA84++'QTR Raw'!AA77</f>
        <v>0</v>
      </c>
      <c r="BF109" s="38">
        <f>+BE109</f>
        <v>0</v>
      </c>
      <c r="BG109" s="38">
        <f>+'QTR Raw'!AC84++'QTR Raw'!AC77</f>
        <v>0</v>
      </c>
      <c r="BH109" s="38">
        <f>+BG109</f>
        <v>0</v>
      </c>
      <c r="BI109" s="38">
        <f>+'QTR Raw'!AE84++'QTR Raw'!AE77</f>
        <v>0</v>
      </c>
      <c r="BJ109" s="38">
        <f>+BI109</f>
        <v>0</v>
      </c>
      <c r="BK109" s="38">
        <f>+'QTR Raw'!AG84++'QTR Raw'!AG77</f>
        <v>0</v>
      </c>
      <c r="BL109" s="38">
        <f>+BK109</f>
        <v>0</v>
      </c>
      <c r="BM109" s="38">
        <f>+'QTR Raw'!AI84++'QTR Raw'!AI77</f>
        <v>0</v>
      </c>
      <c r="BN109" s="38">
        <f>+BM109</f>
        <v>0</v>
      </c>
      <c r="BO109" s="38">
        <f>+'QTR Raw'!AK84++'QTR Raw'!AK77</f>
        <v>0</v>
      </c>
      <c r="BP109" s="38">
        <f>+BO109</f>
        <v>0</v>
      </c>
      <c r="BQ109" s="38">
        <f>+'QTR Raw'!AM84++'QTR Raw'!AM77</f>
        <v>0</v>
      </c>
      <c r="BR109" s="38">
        <f>+BQ109</f>
        <v>0</v>
      </c>
      <c r="BS109" s="38">
        <f>+'QTR Raw'!AO84++'QTR Raw'!AO77</f>
        <v>0</v>
      </c>
      <c r="BT109" s="38">
        <f>+BS109</f>
        <v>0</v>
      </c>
      <c r="BU109" s="38">
        <f>+'QTR Raw'!AQ84++'QTR Raw'!AQ77</f>
        <v>0</v>
      </c>
      <c r="BV109" s="38">
        <f>+BU109</f>
        <v>0</v>
      </c>
      <c r="BW109" s="38">
        <f>+'QTR Raw'!AS84++'QTR Raw'!AS77</f>
        <v>0</v>
      </c>
      <c r="BX109" s="38">
        <f>+BW109</f>
        <v>0</v>
      </c>
      <c r="BY109" s="38">
        <f>+'QTR Raw'!AU84++'QTR Raw'!AU77</f>
        <v>0</v>
      </c>
      <c r="BZ109" s="39" t="e">
        <f t="shared" ref="BZ109:CO109" si="1058">+BV109*(1+BZ131)</f>
        <v>#DIV/0!</v>
      </c>
      <c r="CA109" s="39" t="e">
        <f t="shared" si="1058"/>
        <v>#DIV/0!</v>
      </c>
      <c r="CB109" s="39" t="e">
        <f t="shared" si="1058"/>
        <v>#DIV/0!</v>
      </c>
      <c r="CC109" s="39" t="e">
        <f t="shared" si="1058"/>
        <v>#DIV/0!</v>
      </c>
      <c r="CD109" s="39" t="e">
        <f t="shared" si="1058"/>
        <v>#DIV/0!</v>
      </c>
      <c r="CE109" s="39" t="e">
        <f t="shared" si="1058"/>
        <v>#DIV/0!</v>
      </c>
      <c r="CF109" s="39" t="e">
        <f t="shared" si="1058"/>
        <v>#DIV/0!</v>
      </c>
      <c r="CG109" s="39" t="e">
        <f t="shared" si="1058"/>
        <v>#DIV/0!</v>
      </c>
      <c r="CH109" s="39" t="e">
        <f t="shared" si="1058"/>
        <v>#DIV/0!</v>
      </c>
      <c r="CI109" s="39" t="e">
        <f t="shared" si="1058"/>
        <v>#DIV/0!</v>
      </c>
      <c r="CJ109" s="39" t="e">
        <f t="shared" si="1058"/>
        <v>#DIV/0!</v>
      </c>
      <c r="CK109" s="39" t="e">
        <f t="shared" si="1058"/>
        <v>#DIV/0!</v>
      </c>
      <c r="CL109" s="39" t="e">
        <f t="shared" si="1058"/>
        <v>#DIV/0!</v>
      </c>
      <c r="CM109" s="39" t="e">
        <f t="shared" si="1058"/>
        <v>#DIV/0!</v>
      </c>
      <c r="CN109" s="39" t="e">
        <f t="shared" si="1058"/>
        <v>#DIV/0!</v>
      </c>
      <c r="CO109" s="39" t="e">
        <f t="shared" si="1058"/>
        <v>#DIV/0!</v>
      </c>
    </row>
    <row r="110" spans="1:93" s="38" customFormat="1" x14ac:dyDescent="0.2">
      <c r="AA110" s="39">
        <f t="shared" ref="AA110:AA111" si="1059">+BY110</f>
        <v>0</v>
      </c>
      <c r="AB110" s="39">
        <f t="shared" ref="AB110:AB111" si="1060">+CC110</f>
        <v>0</v>
      </c>
      <c r="AC110" s="39">
        <f t="shared" ref="AC110:AC111" si="1061">+CG110</f>
        <v>0</v>
      </c>
      <c r="AD110" s="39">
        <f t="shared" ref="AD110:AD111" si="1062">+CK110</f>
        <v>0</v>
      </c>
      <c r="AE110" s="39">
        <f t="shared" ref="AE110:AE111" si="1063">+CO110</f>
        <v>0</v>
      </c>
      <c r="AG110" s="60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3" s="43" customFormat="1" x14ac:dyDescent="0.2">
      <c r="A111" s="43" t="s">
        <v>235</v>
      </c>
      <c r="B111" s="43">
        <f>+'Annual Raw'!C110+'Annual Raw'!C111+'Annual Raw'!C112+'Annual Raw'!C113</f>
        <v>0</v>
      </c>
      <c r="C111" s="43">
        <f>+'Annual Raw'!D110+'Annual Raw'!D111+'Annual Raw'!D112+'Annual Raw'!D113</f>
        <v>0</v>
      </c>
      <c r="D111" s="43">
        <f>+'Annual Raw'!E110+'Annual Raw'!E111+'Annual Raw'!E112+'Annual Raw'!E113</f>
        <v>0</v>
      </c>
      <c r="E111" s="43">
        <f>+'Annual Raw'!F110+'Annual Raw'!F111+'Annual Raw'!F112+'Annual Raw'!F113</f>
        <v>0</v>
      </c>
      <c r="F111" s="43">
        <f>+'Annual Raw'!G110+'Annual Raw'!G111+'Annual Raw'!G112+'Annual Raw'!G113</f>
        <v>0</v>
      </c>
      <c r="G111" s="43">
        <f>+'Annual Raw'!H110+'Annual Raw'!H111+'Annual Raw'!H112+'Annual Raw'!H113</f>
        <v>0</v>
      </c>
      <c r="H111" s="43">
        <f>+'Annual Raw'!I110+'Annual Raw'!I111+'Annual Raw'!I112+'Annual Raw'!I113</f>
        <v>0</v>
      </c>
      <c r="I111" s="43">
        <f>+'Annual Raw'!J110+'Annual Raw'!J111+'Annual Raw'!J112+'Annual Raw'!J113</f>
        <v>0</v>
      </c>
      <c r="J111" s="43">
        <f>+'Annual Raw'!K110+'Annual Raw'!K111+'Annual Raw'!K112+'Annual Raw'!K113</f>
        <v>0</v>
      </c>
      <c r="K111" s="43">
        <f>+'Annual Raw'!L110+'Annual Raw'!L111+'Annual Raw'!L112+'Annual Raw'!L113</f>
        <v>0</v>
      </c>
      <c r="L111" s="43">
        <f>+'Annual Raw'!M110+'Annual Raw'!M111+'Annual Raw'!M112+'Annual Raw'!M113</f>
        <v>0</v>
      </c>
      <c r="M111" s="43">
        <f>+'Annual Raw'!N110+'Annual Raw'!N111+'Annual Raw'!N112+'Annual Raw'!N113</f>
        <v>0</v>
      </c>
      <c r="N111" s="43">
        <f>+'Annual Raw'!O110+'Annual Raw'!O111+'Annual Raw'!O112+'Annual Raw'!O113</f>
        <v>0</v>
      </c>
      <c r="O111" s="43">
        <f>+'Annual Raw'!P110+'Annual Raw'!P111+'Annual Raw'!P112+'Annual Raw'!P113</f>
        <v>0</v>
      </c>
      <c r="P111" s="43">
        <f>+'Annual Raw'!Q110+'Annual Raw'!Q111+'Annual Raw'!Q112+'Annual Raw'!Q113</f>
        <v>0</v>
      </c>
      <c r="Q111" s="43">
        <f>+'Annual Raw'!R110+'Annual Raw'!R111+'Annual Raw'!R112+'Annual Raw'!R113</f>
        <v>0</v>
      </c>
      <c r="R111" s="43">
        <f>+'Annual Raw'!S110+'Annual Raw'!S111+'Annual Raw'!S112+'Annual Raw'!S113</f>
        <v>0</v>
      </c>
      <c r="S111" s="43">
        <f>+'Annual Raw'!T110+'Annual Raw'!T111+'Annual Raw'!T112+'Annual Raw'!T113</f>
        <v>0</v>
      </c>
      <c r="T111" s="43">
        <f>+'Annual Raw'!U110+'Annual Raw'!U111+'Annual Raw'!U112+'Annual Raw'!U113</f>
        <v>0</v>
      </c>
      <c r="U111" s="43">
        <f>+'Annual Raw'!V110+'Annual Raw'!V111+'Annual Raw'!V112+'Annual Raw'!V113</f>
        <v>0</v>
      </c>
      <c r="V111" s="43">
        <f>+'Annual Raw'!W110+'Annual Raw'!W111+'Annual Raw'!W112+'Annual Raw'!W113</f>
        <v>0</v>
      </c>
      <c r="W111" s="43">
        <f>+'Annual Raw'!X110+'Annual Raw'!X111+'Annual Raw'!X112+'Annual Raw'!X113</f>
        <v>0</v>
      </c>
      <c r="X111" s="43">
        <f>+'Annual Raw'!Y110+'Annual Raw'!Y111+'Annual Raw'!Y112+'Annual Raw'!Y113</f>
        <v>0</v>
      </c>
      <c r="Y111" s="43">
        <f>+'Annual Raw'!Z110+'Annual Raw'!Z111+'Annual Raw'!Z112+'Annual Raw'!Z113</f>
        <v>0</v>
      </c>
      <c r="Z111" s="43">
        <f>+'Annual Raw'!AA110+'Annual Raw'!AA111+'Annual Raw'!AA112+'Annual Raw'!AA113</f>
        <v>0</v>
      </c>
      <c r="AA111" s="39">
        <f t="shared" si="1059"/>
        <v>0</v>
      </c>
      <c r="AB111" s="39">
        <f t="shared" si="1060"/>
        <v>0</v>
      </c>
      <c r="AC111" s="39">
        <f t="shared" si="1061"/>
        <v>0</v>
      </c>
      <c r="AD111" s="39">
        <f t="shared" si="1062"/>
        <v>0</v>
      </c>
      <c r="AE111" s="39">
        <f t="shared" si="1063"/>
        <v>0</v>
      </c>
      <c r="AG111" s="62"/>
      <c r="AH111" s="43" t="e">
        <f>+#REF!+#REF!+#REF!+#REF!</f>
        <v>#REF!</v>
      </c>
      <c r="AI111" s="43">
        <f>+'QTR Raw'!E70++'QTR Raw'!E71++'QTR Raw'!E73+'QTR Raw'!E74</f>
        <v>0</v>
      </c>
      <c r="AK111" s="43">
        <f>+'QTR Raw'!G70++'QTR Raw'!G71++'QTR Raw'!G73+'QTR Raw'!G74</f>
        <v>0</v>
      </c>
      <c r="AM111" s="43">
        <f>+'QTR Raw'!I70++'QTR Raw'!I71++'QTR Raw'!I73+'QTR Raw'!I74</f>
        <v>0</v>
      </c>
      <c r="AO111" s="43">
        <f>+'QTR Raw'!K70++'QTR Raw'!K71++'QTR Raw'!K73+'QTR Raw'!K74</f>
        <v>0</v>
      </c>
      <c r="AQ111" s="43">
        <f>+'QTR Raw'!M70++'QTR Raw'!M71++'QTR Raw'!M73+'QTR Raw'!M74</f>
        <v>0</v>
      </c>
      <c r="AS111" s="43">
        <f>+'QTR Raw'!O70++'QTR Raw'!O71++'QTR Raw'!O73+'QTR Raw'!O74</f>
        <v>0</v>
      </c>
      <c r="AU111" s="43">
        <f>+'QTR Raw'!Q70++'QTR Raw'!Q71++'QTR Raw'!Q73+'QTR Raw'!Q74</f>
        <v>0</v>
      </c>
      <c r="AW111" s="43">
        <f>+'QTR Raw'!S70++'QTR Raw'!S71++'QTR Raw'!S73+'QTR Raw'!S74</f>
        <v>0</v>
      </c>
      <c r="AY111" s="43">
        <f>+'QTR Raw'!U70++'QTR Raw'!U71++'QTR Raw'!U73+'QTR Raw'!U74</f>
        <v>0</v>
      </c>
      <c r="BA111" s="43">
        <f>+'QTR Raw'!W70++'QTR Raw'!W71++'QTR Raw'!W73+'QTR Raw'!W74</f>
        <v>0</v>
      </c>
      <c r="BC111" s="43">
        <f>+'QTR Raw'!Y70++'QTR Raw'!Y71++'QTR Raw'!Y73+'QTR Raw'!Y74</f>
        <v>0</v>
      </c>
      <c r="BE111" s="43">
        <f>+'QTR Raw'!AA70++'QTR Raw'!AA71++'QTR Raw'!AA73+'QTR Raw'!AA74</f>
        <v>0</v>
      </c>
      <c r="BG111" s="43">
        <f>+'QTR Raw'!AC70++'QTR Raw'!AC71++'QTR Raw'!AC73+'QTR Raw'!AC74</f>
        <v>0</v>
      </c>
      <c r="BI111" s="43">
        <f>+'QTR Raw'!AE70++'QTR Raw'!AE71++'QTR Raw'!AE73+'QTR Raw'!AE74</f>
        <v>0</v>
      </c>
      <c r="BK111" s="43">
        <f>+'QTR Raw'!AG70++'QTR Raw'!AG71++'QTR Raw'!AG73+'QTR Raw'!AG74</f>
        <v>0</v>
      </c>
      <c r="BM111" s="43">
        <f>+'QTR Raw'!AI70++'QTR Raw'!AI71++'QTR Raw'!AI73+'QTR Raw'!AI74</f>
        <v>0</v>
      </c>
      <c r="BO111" s="43">
        <f>+'QTR Raw'!AK70++'QTR Raw'!AK71++'QTR Raw'!AK73+'QTR Raw'!AK74</f>
        <v>0</v>
      </c>
      <c r="BQ111" s="43">
        <f>+'QTR Raw'!AM70++'QTR Raw'!AM71++'QTR Raw'!AM73+'QTR Raw'!AM74</f>
        <v>0</v>
      </c>
      <c r="BS111" s="43">
        <f>+'QTR Raw'!AO70++'QTR Raw'!AO71++'QTR Raw'!AO73+'QTR Raw'!AO74</f>
        <v>0</v>
      </c>
      <c r="BU111" s="43">
        <f>+'QTR Raw'!AQ70++'QTR Raw'!AQ71++'QTR Raw'!AQ73+'QTR Raw'!AQ74</f>
        <v>0</v>
      </c>
      <c r="BW111" s="43">
        <f>+'QTR Raw'!AS70++'QTR Raw'!AS71++'QTR Raw'!AS73+'QTR Raw'!AS74</f>
        <v>0</v>
      </c>
      <c r="BY111" s="43">
        <f>+'QTR Raw'!AU70++'QTR Raw'!AU71++'QTR Raw'!AU73+'QTR Raw'!AU74</f>
        <v>0</v>
      </c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</row>
    <row r="112" spans="1:93" s="38" customFormat="1" x14ac:dyDescent="0.2">
      <c r="AA112" s="39"/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3" s="38" customFormat="1" x14ac:dyDescent="0.2">
      <c r="A113" s="38" t="s">
        <v>236</v>
      </c>
      <c r="B113" s="38">
        <f>+'Annual Raw'!C116</f>
        <v>0</v>
      </c>
      <c r="C113" s="38">
        <f>+'Annual Raw'!D116</f>
        <v>0</v>
      </c>
      <c r="D113" s="38">
        <f>+'Annual Raw'!E116</f>
        <v>0</v>
      </c>
      <c r="E113" s="38">
        <f>+'Annual Raw'!F116</f>
        <v>0</v>
      </c>
      <c r="F113" s="38">
        <f>+'Annual Raw'!G116</f>
        <v>0</v>
      </c>
      <c r="G113" s="38">
        <f>+'Annual Raw'!H116</f>
        <v>0</v>
      </c>
      <c r="H113" s="38">
        <f>+'Annual Raw'!I116</f>
        <v>0</v>
      </c>
      <c r="I113" s="38">
        <f>+'Annual Raw'!J116</f>
        <v>0</v>
      </c>
      <c r="J113" s="38">
        <f>+'Annual Raw'!K116</f>
        <v>0</v>
      </c>
      <c r="K113" s="38">
        <f>+'Annual Raw'!L116</f>
        <v>0</v>
      </c>
      <c r="L113" s="38">
        <f>+'Annual Raw'!M116</f>
        <v>0</v>
      </c>
      <c r="M113" s="38">
        <f>+'Annual Raw'!N116</f>
        <v>0</v>
      </c>
      <c r="N113" s="38">
        <f>+'Annual Raw'!O116</f>
        <v>0</v>
      </c>
      <c r="O113" s="38">
        <f>+'Annual Raw'!P116</f>
        <v>0</v>
      </c>
      <c r="P113" s="38">
        <f>+'Annual Raw'!Q116</f>
        <v>0</v>
      </c>
      <c r="Q113" s="38">
        <f>+'Annual Raw'!R116</f>
        <v>0</v>
      </c>
      <c r="R113" s="38">
        <f>+'Annual Raw'!S116</f>
        <v>0</v>
      </c>
      <c r="S113" s="38">
        <f>+'Annual Raw'!T116</f>
        <v>0</v>
      </c>
      <c r="T113" s="38">
        <f>+'Annual Raw'!U116</f>
        <v>0</v>
      </c>
      <c r="U113" s="38">
        <f>+'Annual Raw'!V116</f>
        <v>0</v>
      </c>
      <c r="V113" s="38">
        <f>+'Annual Raw'!W116</f>
        <v>0</v>
      </c>
      <c r="W113" s="38">
        <f>+'Annual Raw'!X116</f>
        <v>0</v>
      </c>
      <c r="X113" s="38">
        <f>+'Annual Raw'!Y116</f>
        <v>0</v>
      </c>
      <c r="Y113" s="38">
        <f>+'Annual Raw'!Z116</f>
        <v>0</v>
      </c>
      <c r="Z113" s="38">
        <f>+'Annual Raw'!AA116</f>
        <v>0</v>
      </c>
      <c r="AA113" s="39">
        <f>+BY113</f>
        <v>0</v>
      </c>
      <c r="AB113" s="39">
        <f>+CC113</f>
        <v>0</v>
      </c>
      <c r="AC113" s="39">
        <f>+CG113</f>
        <v>0</v>
      </c>
      <c r="AD113" s="39">
        <f>+CK113</f>
        <v>0</v>
      </c>
      <c r="AE113" s="39">
        <f>+CO113</f>
        <v>0</v>
      </c>
      <c r="AG113" s="60"/>
      <c r="AH113" s="38">
        <f>+'QTR Raw'!D76</f>
        <v>0</v>
      </c>
      <c r="AI113" s="38">
        <f>+'QTR Raw'!E76</f>
        <v>0</v>
      </c>
      <c r="AK113" s="38">
        <f>+'QTR Raw'!G76</f>
        <v>0</v>
      </c>
      <c r="AM113" s="38">
        <f>+'QTR Raw'!I76</f>
        <v>0</v>
      </c>
      <c r="AO113" s="38">
        <f>+'QTR Raw'!K76</f>
        <v>0</v>
      </c>
      <c r="AQ113" s="38">
        <f>+'QTR Raw'!M76</f>
        <v>0</v>
      </c>
      <c r="AS113" s="38">
        <f>+'QTR Raw'!O76</f>
        <v>0</v>
      </c>
      <c r="AU113" s="38">
        <f>+'QTR Raw'!Q76</f>
        <v>0</v>
      </c>
      <c r="AW113" s="38">
        <f>+'QTR Raw'!S76</f>
        <v>0</v>
      </c>
      <c r="AY113" s="38">
        <f>+'QTR Raw'!U76</f>
        <v>0</v>
      </c>
      <c r="BA113" s="38">
        <f>+'QTR Raw'!W76</f>
        <v>0</v>
      </c>
      <c r="BC113" s="38">
        <f>+'QTR Raw'!Y76</f>
        <v>0</v>
      </c>
      <c r="BE113" s="38">
        <f>+'QTR Raw'!AA76</f>
        <v>0</v>
      </c>
      <c r="BG113" s="38">
        <f>+'QTR Raw'!AC76</f>
        <v>0</v>
      </c>
      <c r="BI113" s="38">
        <f>+'QTR Raw'!AE76</f>
        <v>0</v>
      </c>
      <c r="BK113" s="38">
        <f>+'QTR Raw'!AG76</f>
        <v>0</v>
      </c>
      <c r="BM113" s="38">
        <f>+'QTR Raw'!AI76</f>
        <v>0</v>
      </c>
      <c r="BO113" s="38">
        <f>+'QTR Raw'!AK76</f>
        <v>0</v>
      </c>
      <c r="BQ113" s="38">
        <f>+'QTR Raw'!AM76</f>
        <v>0</v>
      </c>
      <c r="BS113" s="38">
        <f>+'QTR Raw'!AO76</f>
        <v>0</v>
      </c>
      <c r="BU113" s="38">
        <f>+'QTR Raw'!AQ76</f>
        <v>0</v>
      </c>
      <c r="BW113" s="38">
        <f>+'QTR Raw'!AS76</f>
        <v>0</v>
      </c>
      <c r="BY113" s="38">
        <f>+'QTR Raw'!AU76</f>
        <v>0</v>
      </c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3" s="38" customFormat="1" x14ac:dyDescent="0.2">
      <c r="AA114" s="39">
        <f t="shared" ref="AA114:AA119" si="1064">+BY114</f>
        <v>0</v>
      </c>
      <c r="AB114" s="39">
        <f t="shared" ref="AB114:AB119" si="1065">+CC114</f>
        <v>0</v>
      </c>
      <c r="AC114" s="39">
        <f t="shared" ref="AC114:AC119" si="1066">+CG114</f>
        <v>0</v>
      </c>
      <c r="AD114" s="39">
        <f t="shared" ref="AD114:AD119" si="1067">+CK114</f>
        <v>0</v>
      </c>
      <c r="AE114" s="39">
        <f t="shared" ref="AE114:AE119" si="1068">+CO114</f>
        <v>0</v>
      </c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3" s="38" customFormat="1" x14ac:dyDescent="0.2">
      <c r="A115" s="38" t="s">
        <v>216</v>
      </c>
      <c r="B115" s="38">
        <f>+'Annual Raw'!C118+'Annual Raw'!C115+'Annual Raw'!C111++'Annual Raw'!C121</f>
        <v>0</v>
      </c>
      <c r="C115" s="38">
        <f>+'Annual Raw'!D118+'Annual Raw'!D115+'Annual Raw'!D111++'Annual Raw'!D121</f>
        <v>0</v>
      </c>
      <c r="D115" s="38">
        <f>+'Annual Raw'!E118+'Annual Raw'!E115+'Annual Raw'!E111++'Annual Raw'!E121</f>
        <v>0</v>
      </c>
      <c r="E115" s="38">
        <f>+'Annual Raw'!F118+'Annual Raw'!F115+'Annual Raw'!F111++'Annual Raw'!F121</f>
        <v>0</v>
      </c>
      <c r="F115" s="38">
        <f>+'Annual Raw'!G118+'Annual Raw'!G115+'Annual Raw'!G111++'Annual Raw'!G121</f>
        <v>0</v>
      </c>
      <c r="G115" s="38">
        <f>+'Annual Raw'!H118+'Annual Raw'!H115+'Annual Raw'!H111++'Annual Raw'!H121</f>
        <v>0</v>
      </c>
      <c r="H115" s="38">
        <f>+'Annual Raw'!I118+'Annual Raw'!I115+'Annual Raw'!I111++'Annual Raw'!I121</f>
        <v>0</v>
      </c>
      <c r="I115" s="38">
        <f>+'Annual Raw'!J118+'Annual Raw'!J115+'Annual Raw'!J111++'Annual Raw'!J121</f>
        <v>0</v>
      </c>
      <c r="J115" s="38">
        <f>+'Annual Raw'!K118+'Annual Raw'!K115+'Annual Raw'!K111++'Annual Raw'!K121</f>
        <v>0</v>
      </c>
      <c r="K115" s="38">
        <f>+'Annual Raw'!L118+'Annual Raw'!L115+'Annual Raw'!L111++'Annual Raw'!L121</f>
        <v>0</v>
      </c>
      <c r="L115" s="38">
        <f>+'Annual Raw'!M118+'Annual Raw'!M115+'Annual Raw'!M111++'Annual Raw'!M121</f>
        <v>0</v>
      </c>
      <c r="M115" s="38">
        <f>+'Annual Raw'!N118+'Annual Raw'!N115+'Annual Raw'!N111++'Annual Raw'!N121</f>
        <v>0</v>
      </c>
      <c r="N115" s="38">
        <f>+'Annual Raw'!O118+'Annual Raw'!O115+'Annual Raw'!O111++'Annual Raw'!O121</f>
        <v>0</v>
      </c>
      <c r="O115" s="38">
        <f>+'Annual Raw'!P118+'Annual Raw'!P115+'Annual Raw'!P111++'Annual Raw'!P121</f>
        <v>0</v>
      </c>
      <c r="P115" s="38">
        <f>+'Annual Raw'!Q118+'Annual Raw'!Q115+'Annual Raw'!Q111++'Annual Raw'!Q121</f>
        <v>0</v>
      </c>
      <c r="Q115" s="38">
        <f>+'Annual Raw'!R118+'Annual Raw'!R115+'Annual Raw'!R111++'Annual Raw'!R121</f>
        <v>0</v>
      </c>
      <c r="R115" s="38">
        <f>+'Annual Raw'!S118+'Annual Raw'!S115+'Annual Raw'!S111++'Annual Raw'!S121</f>
        <v>0</v>
      </c>
      <c r="S115" s="38">
        <f>+'Annual Raw'!T118+'Annual Raw'!T115+'Annual Raw'!T111++'Annual Raw'!T121</f>
        <v>0</v>
      </c>
      <c r="T115" s="38">
        <f>+'Annual Raw'!U118+'Annual Raw'!U115+'Annual Raw'!U111++'Annual Raw'!U121</f>
        <v>0</v>
      </c>
      <c r="U115" s="38">
        <f>+'Annual Raw'!V118+'Annual Raw'!V115+'Annual Raw'!V111++'Annual Raw'!V121</f>
        <v>0</v>
      </c>
      <c r="V115" s="38">
        <f>+'Annual Raw'!W118+'Annual Raw'!W115+'Annual Raw'!W111++'Annual Raw'!W121</f>
        <v>0</v>
      </c>
      <c r="W115" s="38">
        <f>+'Annual Raw'!X118+'Annual Raw'!X115+'Annual Raw'!X111++'Annual Raw'!X121</f>
        <v>0</v>
      </c>
      <c r="X115" s="38">
        <f>+'Annual Raw'!Y118+'Annual Raw'!Y115+'Annual Raw'!Y111++'Annual Raw'!Y121</f>
        <v>0</v>
      </c>
      <c r="Y115" s="38">
        <f>+'Annual Raw'!Z118+'Annual Raw'!Z115+'Annual Raw'!Z111++'Annual Raw'!Z121</f>
        <v>0</v>
      </c>
      <c r="Z115" s="38">
        <f>+'Annual Raw'!AA118+'Annual Raw'!AA115+'Annual Raw'!AA111++'Annual Raw'!AA121</f>
        <v>0</v>
      </c>
      <c r="AA115" s="39">
        <f t="shared" si="1064"/>
        <v>0</v>
      </c>
      <c r="AB115" s="39">
        <f t="shared" si="1065"/>
        <v>0</v>
      </c>
      <c r="AC115" s="39">
        <f t="shared" si="1066"/>
        <v>0</v>
      </c>
      <c r="AD115" s="39">
        <f t="shared" si="1067"/>
        <v>0</v>
      </c>
      <c r="AE115" s="39">
        <f t="shared" si="1068"/>
        <v>0</v>
      </c>
      <c r="AG115" s="60"/>
      <c r="AH115" s="38">
        <f>+'QTR Raw'!D78</f>
        <v>0</v>
      </c>
      <c r="AI115" s="38">
        <f>+'QTR Raw'!E78++'QTR Raw'!E80</f>
        <v>0</v>
      </c>
      <c r="AK115" s="38">
        <f>+'QTR Raw'!G78++'QTR Raw'!G80</f>
        <v>0</v>
      </c>
      <c r="AM115" s="38">
        <f>+'QTR Raw'!I78++'QTR Raw'!I80</f>
        <v>0</v>
      </c>
      <c r="AO115" s="38">
        <f>+'QTR Raw'!K78++'QTR Raw'!K80</f>
        <v>0</v>
      </c>
      <c r="AQ115" s="38">
        <f>+'QTR Raw'!M78++'QTR Raw'!M80</f>
        <v>0</v>
      </c>
      <c r="AS115" s="38">
        <f>+'QTR Raw'!O78++'QTR Raw'!O80</f>
        <v>0</v>
      </c>
      <c r="AU115" s="38">
        <f>+'QTR Raw'!Q78++'QTR Raw'!Q80</f>
        <v>0</v>
      </c>
      <c r="AW115" s="38">
        <f>+'QTR Raw'!S78++'QTR Raw'!S80</f>
        <v>0</v>
      </c>
      <c r="AY115" s="38">
        <f>+'QTR Raw'!U78++'QTR Raw'!U80</f>
        <v>0</v>
      </c>
      <c r="BA115" s="38">
        <f>+'QTR Raw'!W78++'QTR Raw'!W80</f>
        <v>0</v>
      </c>
      <c r="BC115" s="38">
        <f>+'QTR Raw'!Y78++'QTR Raw'!Y80</f>
        <v>0</v>
      </c>
      <c r="BE115" s="38">
        <f>+'QTR Raw'!AA78++'QTR Raw'!AA80</f>
        <v>0</v>
      </c>
      <c r="BG115" s="38">
        <f>+'QTR Raw'!AC78++'QTR Raw'!AC80</f>
        <v>0</v>
      </c>
      <c r="BI115" s="38">
        <f>+'QTR Raw'!AE78++'QTR Raw'!AE80</f>
        <v>0</v>
      </c>
      <c r="BK115" s="38">
        <f>+'QTR Raw'!AG78++'QTR Raw'!AG80</f>
        <v>0</v>
      </c>
      <c r="BM115" s="38">
        <f>+'QTR Raw'!AI78++'QTR Raw'!AI80</f>
        <v>0</v>
      </c>
      <c r="BO115" s="38">
        <f>+'QTR Raw'!AK78++'QTR Raw'!AK80</f>
        <v>0</v>
      </c>
      <c r="BQ115" s="38">
        <f>+'QTR Raw'!AM78++'QTR Raw'!AM80</f>
        <v>0</v>
      </c>
      <c r="BS115" s="38">
        <f>+'QTR Raw'!AO78++'QTR Raw'!AO80</f>
        <v>0</v>
      </c>
      <c r="BU115" s="38">
        <f>+'QTR Raw'!AQ78++'QTR Raw'!AQ80</f>
        <v>0</v>
      </c>
      <c r="BW115" s="38">
        <f>+'QTR Raw'!AS78++'QTR Raw'!AS80</f>
        <v>0</v>
      </c>
      <c r="BY115" s="38">
        <f>+'QTR Raw'!AU78++'QTR Raw'!AU80</f>
        <v>0</v>
      </c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3" s="38" customFormat="1" x14ac:dyDescent="0.2">
      <c r="A116" s="38" t="s">
        <v>221</v>
      </c>
      <c r="B116" s="38">
        <f>+'Annual Raw'!C124+'Annual Raw'!C126++'Annual Raw'!C120++'Annual Raw'!C123++'Annual Raw'!C122</f>
        <v>0</v>
      </c>
      <c r="C116" s="38">
        <f>+'Annual Raw'!D124+'Annual Raw'!D126++'Annual Raw'!D120++'Annual Raw'!D123++'Annual Raw'!D122</f>
        <v>0</v>
      </c>
      <c r="D116" s="38">
        <f>+'Annual Raw'!E124+'Annual Raw'!E126++'Annual Raw'!E120++'Annual Raw'!E123++'Annual Raw'!E122</f>
        <v>0</v>
      </c>
      <c r="E116" s="38">
        <f>+'Annual Raw'!F124+'Annual Raw'!F126++'Annual Raw'!F120++'Annual Raw'!F123++'Annual Raw'!F122</f>
        <v>0</v>
      </c>
      <c r="F116" s="38">
        <f>+'Annual Raw'!G124+'Annual Raw'!G126++'Annual Raw'!G120++'Annual Raw'!G123++'Annual Raw'!G122</f>
        <v>0</v>
      </c>
      <c r="G116" s="38">
        <f>+'Annual Raw'!H124+'Annual Raw'!H126++'Annual Raw'!H120++'Annual Raw'!H123++'Annual Raw'!H122</f>
        <v>0</v>
      </c>
      <c r="H116" s="38">
        <f>+'Annual Raw'!I124+'Annual Raw'!I126++'Annual Raw'!I120++'Annual Raw'!I123++'Annual Raw'!I122</f>
        <v>0</v>
      </c>
      <c r="I116" s="38">
        <f>+'Annual Raw'!J124+'Annual Raw'!J126++'Annual Raw'!J120++'Annual Raw'!J123++'Annual Raw'!J122</f>
        <v>0</v>
      </c>
      <c r="J116" s="38">
        <f>+'Annual Raw'!K124+'Annual Raw'!K126++'Annual Raw'!K120++'Annual Raw'!K123++'Annual Raw'!K122</f>
        <v>0</v>
      </c>
      <c r="K116" s="38">
        <f>+'Annual Raw'!L124+'Annual Raw'!L126++'Annual Raw'!L120++'Annual Raw'!L123++'Annual Raw'!L122</f>
        <v>0</v>
      </c>
      <c r="L116" s="38">
        <f>+'Annual Raw'!M124+'Annual Raw'!M126++'Annual Raw'!M120++'Annual Raw'!M123++'Annual Raw'!M122</f>
        <v>0</v>
      </c>
      <c r="M116" s="38">
        <f>+'Annual Raw'!N124+'Annual Raw'!N126++'Annual Raw'!N120++'Annual Raw'!N123++'Annual Raw'!N122</f>
        <v>0</v>
      </c>
      <c r="N116" s="38">
        <f>+'Annual Raw'!O124+'Annual Raw'!O126++'Annual Raw'!O120++'Annual Raw'!O123++'Annual Raw'!O122</f>
        <v>0</v>
      </c>
      <c r="O116" s="38">
        <f>+'Annual Raw'!P124+'Annual Raw'!P126++'Annual Raw'!P120++'Annual Raw'!P123++'Annual Raw'!P122</f>
        <v>0</v>
      </c>
      <c r="P116" s="38">
        <f>+'Annual Raw'!Q124+'Annual Raw'!Q126++'Annual Raw'!Q120++'Annual Raw'!Q123++'Annual Raw'!Q122</f>
        <v>0</v>
      </c>
      <c r="Q116" s="38">
        <f>+'Annual Raw'!R124+'Annual Raw'!R126++'Annual Raw'!R120++'Annual Raw'!R123++'Annual Raw'!R122</f>
        <v>0</v>
      </c>
      <c r="R116" s="38">
        <f>+'Annual Raw'!S124+'Annual Raw'!S126++'Annual Raw'!S120++'Annual Raw'!S123++'Annual Raw'!S122</f>
        <v>0</v>
      </c>
      <c r="S116" s="38">
        <f>+'Annual Raw'!T124+'Annual Raw'!T126++'Annual Raw'!T120++'Annual Raw'!T123++'Annual Raw'!T122</f>
        <v>0</v>
      </c>
      <c r="T116" s="38">
        <f>+'Annual Raw'!U124+'Annual Raw'!U126++'Annual Raw'!U120++'Annual Raw'!U123++'Annual Raw'!U122</f>
        <v>0</v>
      </c>
      <c r="U116" s="38">
        <f>+'Annual Raw'!V124+'Annual Raw'!V126++'Annual Raw'!V120++'Annual Raw'!V123++'Annual Raw'!V122</f>
        <v>0</v>
      </c>
      <c r="V116" s="38">
        <f>+'Annual Raw'!W124+'Annual Raw'!W126++'Annual Raw'!W120++'Annual Raw'!W123++'Annual Raw'!W122</f>
        <v>0</v>
      </c>
      <c r="W116" s="38">
        <f>+'Annual Raw'!X124+'Annual Raw'!X126++'Annual Raw'!X120++'Annual Raw'!X123++'Annual Raw'!X122</f>
        <v>0</v>
      </c>
      <c r="X116" s="38">
        <f>+'Annual Raw'!Y124+'Annual Raw'!Y126++'Annual Raw'!Y120++'Annual Raw'!Y123++'Annual Raw'!Y122</f>
        <v>0</v>
      </c>
      <c r="Y116" s="38">
        <f>+'Annual Raw'!Z124+'Annual Raw'!Z126++'Annual Raw'!Z120++'Annual Raw'!Z123++'Annual Raw'!Z122</f>
        <v>0</v>
      </c>
      <c r="Z116" s="38">
        <f>+'Annual Raw'!AA124+'Annual Raw'!AA126++'Annual Raw'!AA120++'Annual Raw'!AA123++'Annual Raw'!AA122</f>
        <v>0</v>
      </c>
      <c r="AA116" s="39">
        <f t="shared" si="1064"/>
        <v>0</v>
      </c>
      <c r="AB116" s="39">
        <f t="shared" si="1065"/>
        <v>0</v>
      </c>
      <c r="AC116" s="39">
        <f t="shared" si="1066"/>
        <v>0</v>
      </c>
      <c r="AD116" s="39">
        <f t="shared" si="1067"/>
        <v>0</v>
      </c>
      <c r="AE116" s="39">
        <f t="shared" si="1068"/>
        <v>0</v>
      </c>
      <c r="AG116" s="60"/>
      <c r="AH116" s="38">
        <f>+'QTR Raw'!D83</f>
        <v>0</v>
      </c>
      <c r="AI116" s="38">
        <f>+'QTR Raw'!E83+'QTR Raw'!E79++'QTR Raw'!E82++'QTR Raw'!E81</f>
        <v>0</v>
      </c>
      <c r="AJ116" s="38">
        <f t="shared" ref="AJ116" si="1069">+AI117</f>
        <v>0</v>
      </c>
      <c r="AK116" s="38">
        <f>+'QTR Raw'!G83+'QTR Raw'!G79++'QTR Raw'!G82++'QTR Raw'!G81</f>
        <v>0</v>
      </c>
      <c r="AL116" s="38">
        <f t="shared" ref="AL116" si="1070">+AK117</f>
        <v>0</v>
      </c>
      <c r="AM116" s="38">
        <f>+'QTR Raw'!I83+'QTR Raw'!I79++'QTR Raw'!I82++'QTR Raw'!I81</f>
        <v>0</v>
      </c>
      <c r="AN116" s="38">
        <f t="shared" ref="AN116" si="1071">+AM117</f>
        <v>0</v>
      </c>
      <c r="AO116" s="38">
        <f>+'QTR Raw'!K83+'QTR Raw'!K79++'QTR Raw'!K82++'QTR Raw'!K81</f>
        <v>0</v>
      </c>
      <c r="AP116" s="38">
        <f t="shared" ref="AP116" si="1072">+AO117</f>
        <v>0</v>
      </c>
      <c r="AQ116" s="38">
        <f>+'QTR Raw'!M83+'QTR Raw'!M79++'QTR Raw'!M82++'QTR Raw'!M81</f>
        <v>0</v>
      </c>
      <c r="AR116" s="38">
        <f t="shared" ref="AR116" si="1073">+AQ117</f>
        <v>0</v>
      </c>
      <c r="AS116" s="38">
        <f>+'QTR Raw'!O83+'QTR Raw'!O79++'QTR Raw'!O82++'QTR Raw'!O81</f>
        <v>0</v>
      </c>
      <c r="AT116" s="38">
        <f t="shared" ref="AT116" si="1074">+AS117</f>
        <v>0</v>
      </c>
      <c r="AU116" s="38">
        <f>+'QTR Raw'!Q83+'QTR Raw'!Q79++'QTR Raw'!Q82++'QTR Raw'!Q81</f>
        <v>0</v>
      </c>
      <c r="AV116" s="38">
        <f t="shared" ref="AV116" si="1075">+AU117</f>
        <v>0</v>
      </c>
      <c r="AW116" s="38">
        <f>+'QTR Raw'!S83+'QTR Raw'!S79++'QTR Raw'!S82++'QTR Raw'!S81</f>
        <v>0</v>
      </c>
      <c r="AX116" s="38">
        <f t="shared" ref="AX116" si="1076">+AW117</f>
        <v>0</v>
      </c>
      <c r="AY116" s="38">
        <f>+'QTR Raw'!U83+'QTR Raw'!U79++'QTR Raw'!U82++'QTR Raw'!U81</f>
        <v>0</v>
      </c>
      <c r="AZ116" s="38">
        <f t="shared" ref="AZ116" si="1077">+AY117</f>
        <v>0</v>
      </c>
      <c r="BA116" s="38">
        <f>+'QTR Raw'!W83+'QTR Raw'!W79++'QTR Raw'!W82++'QTR Raw'!W81</f>
        <v>0</v>
      </c>
      <c r="BB116" s="38">
        <f t="shared" ref="BB116" si="1078">+BA117</f>
        <v>0</v>
      </c>
      <c r="BC116" s="38">
        <f>+'QTR Raw'!Y83+'QTR Raw'!Y79++'QTR Raw'!Y82++'QTR Raw'!Y81</f>
        <v>0</v>
      </c>
      <c r="BD116" s="38">
        <f t="shared" ref="BD116" si="1079">+BC117</f>
        <v>0</v>
      </c>
      <c r="BE116" s="38">
        <f>+'QTR Raw'!AA83+'QTR Raw'!AA79++'QTR Raw'!AA82++'QTR Raw'!AA81</f>
        <v>0</v>
      </c>
      <c r="BF116" s="38">
        <f t="shared" ref="BF116" si="1080">+BE117</f>
        <v>0</v>
      </c>
      <c r="BG116" s="38">
        <f>+'QTR Raw'!AC83+'QTR Raw'!AC79++'QTR Raw'!AC82++'QTR Raw'!AC81</f>
        <v>0</v>
      </c>
      <c r="BH116" s="38">
        <f t="shared" ref="BH116" si="1081">+BG117</f>
        <v>0</v>
      </c>
      <c r="BI116" s="38">
        <f>+'QTR Raw'!AE83+'QTR Raw'!AE79++'QTR Raw'!AE82++'QTR Raw'!AE81</f>
        <v>0</v>
      </c>
      <c r="BJ116" s="38">
        <f t="shared" ref="BJ116" si="1082">+BI117</f>
        <v>0</v>
      </c>
      <c r="BK116" s="38">
        <f>+'QTR Raw'!AG83+'QTR Raw'!AG79++'QTR Raw'!AG82++'QTR Raw'!AG81</f>
        <v>0</v>
      </c>
      <c r="BL116" s="38">
        <f t="shared" ref="BL116" si="1083">+BK117</f>
        <v>0</v>
      </c>
      <c r="BM116" s="38">
        <f>+'QTR Raw'!AI83+'QTR Raw'!AI79++'QTR Raw'!AI82++'QTR Raw'!AI81</f>
        <v>0</v>
      </c>
      <c r="BN116" s="38">
        <f t="shared" ref="BN116:BX116" si="1084">+BM117</f>
        <v>0</v>
      </c>
      <c r="BO116" s="38">
        <f>+'QTR Raw'!AK83++'QTR Raw'!AK79++'QTR Raw'!AK82++'QTR Raw'!AK81</f>
        <v>0</v>
      </c>
      <c r="BP116" s="38">
        <f t="shared" si="1084"/>
        <v>0</v>
      </c>
      <c r="BQ116" s="38">
        <f>+'QTR Raw'!AM83++'QTR Raw'!AM79++'QTR Raw'!AM82++'QTR Raw'!AM81</f>
        <v>0</v>
      </c>
      <c r="BR116" s="38">
        <f t="shared" si="1084"/>
        <v>0</v>
      </c>
      <c r="BS116" s="38">
        <f>+'QTR Raw'!AO83++'QTR Raw'!AO79++'QTR Raw'!AO82++'QTR Raw'!AO81</f>
        <v>0</v>
      </c>
      <c r="BT116" s="38">
        <f t="shared" si="1084"/>
        <v>0</v>
      </c>
      <c r="BU116" s="38">
        <f>+'QTR Raw'!AQ83++'QTR Raw'!AQ79++'QTR Raw'!AQ82++'QTR Raw'!AQ81</f>
        <v>0</v>
      </c>
      <c r="BV116" s="38">
        <f t="shared" si="1084"/>
        <v>0</v>
      </c>
      <c r="BW116" s="38">
        <f>+'QTR Raw'!AS83++'QTR Raw'!AS79++'QTR Raw'!AS82++'QTR Raw'!AS81</f>
        <v>0</v>
      </c>
      <c r="BX116" s="38">
        <f t="shared" si="1084"/>
        <v>0</v>
      </c>
      <c r="BY116" s="38">
        <f>+'QTR Raw'!AU83+'QTR Raw'!AU79++'QTR Raw'!AU82++'QTR Raw'!AU81</f>
        <v>0</v>
      </c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3" s="43" customFormat="1" x14ac:dyDescent="0.2">
      <c r="A117" s="43" t="s">
        <v>238</v>
      </c>
      <c r="B117" s="43">
        <f t="shared" ref="B117:Z117" si="1085">+SUM(B115:B116)</f>
        <v>0</v>
      </c>
      <c r="C117" s="43">
        <f t="shared" si="1085"/>
        <v>0</v>
      </c>
      <c r="D117" s="43">
        <f t="shared" si="1085"/>
        <v>0</v>
      </c>
      <c r="E117" s="43">
        <f t="shared" si="1085"/>
        <v>0</v>
      </c>
      <c r="F117" s="43">
        <f t="shared" si="1085"/>
        <v>0</v>
      </c>
      <c r="G117" s="43">
        <f t="shared" si="1085"/>
        <v>0</v>
      </c>
      <c r="H117" s="43">
        <f t="shared" si="1085"/>
        <v>0</v>
      </c>
      <c r="I117" s="43">
        <f t="shared" si="1085"/>
        <v>0</v>
      </c>
      <c r="J117" s="43">
        <f t="shared" si="1085"/>
        <v>0</v>
      </c>
      <c r="K117" s="43">
        <f t="shared" si="1085"/>
        <v>0</v>
      </c>
      <c r="L117" s="43">
        <f t="shared" si="1085"/>
        <v>0</v>
      </c>
      <c r="M117" s="43">
        <f t="shared" si="1085"/>
        <v>0</v>
      </c>
      <c r="N117" s="43">
        <f t="shared" si="1085"/>
        <v>0</v>
      </c>
      <c r="O117" s="43">
        <f t="shared" si="1085"/>
        <v>0</v>
      </c>
      <c r="P117" s="43">
        <f t="shared" si="1085"/>
        <v>0</v>
      </c>
      <c r="Q117" s="43">
        <f t="shared" si="1085"/>
        <v>0</v>
      </c>
      <c r="R117" s="43">
        <f t="shared" si="1085"/>
        <v>0</v>
      </c>
      <c r="S117" s="43">
        <f t="shared" si="1085"/>
        <v>0</v>
      </c>
      <c r="T117" s="43">
        <f t="shared" si="1085"/>
        <v>0</v>
      </c>
      <c r="U117" s="43">
        <f t="shared" si="1085"/>
        <v>0</v>
      </c>
      <c r="V117" s="43">
        <f t="shared" si="1085"/>
        <v>0</v>
      </c>
      <c r="W117" s="43">
        <f t="shared" si="1085"/>
        <v>0</v>
      </c>
      <c r="X117" s="43">
        <f t="shared" si="1085"/>
        <v>0</v>
      </c>
      <c r="Y117" s="43">
        <f t="shared" si="1085"/>
        <v>0</v>
      </c>
      <c r="Z117" s="43">
        <f t="shared" si="1085"/>
        <v>0</v>
      </c>
      <c r="AA117" s="39">
        <f t="shared" si="1064"/>
        <v>0</v>
      </c>
      <c r="AB117" s="39">
        <f t="shared" si="1065"/>
        <v>0</v>
      </c>
      <c r="AC117" s="39">
        <f t="shared" si="1066"/>
        <v>0</v>
      </c>
      <c r="AD117" s="39">
        <f t="shared" si="1067"/>
        <v>0</v>
      </c>
      <c r="AE117" s="39">
        <f t="shared" si="1068"/>
        <v>0</v>
      </c>
      <c r="AG117" s="62"/>
      <c r="AH117" s="43">
        <f t="shared" ref="AH117:BP117" si="1086">+SUM(AH115:AH116)</f>
        <v>0</v>
      </c>
      <c r="AI117" s="43">
        <f t="shared" ref="AI117:AJ117" si="1087">+SUM(AI115:AI116)</f>
        <v>0</v>
      </c>
      <c r="AJ117" s="43">
        <f t="shared" si="1087"/>
        <v>0</v>
      </c>
      <c r="AK117" s="43">
        <f t="shared" ref="AK117:AL117" si="1088">+SUM(AK115:AK116)</f>
        <v>0</v>
      </c>
      <c r="AL117" s="43">
        <f t="shared" si="1088"/>
        <v>0</v>
      </c>
      <c r="AM117" s="43">
        <f t="shared" ref="AM117:AN117" si="1089">+SUM(AM115:AM116)</f>
        <v>0</v>
      </c>
      <c r="AN117" s="43">
        <f t="shared" si="1089"/>
        <v>0</v>
      </c>
      <c r="AO117" s="43">
        <f t="shared" ref="AO117:AP117" si="1090">+SUM(AO115:AO116)</f>
        <v>0</v>
      </c>
      <c r="AP117" s="43">
        <f t="shared" si="1090"/>
        <v>0</v>
      </c>
      <c r="AQ117" s="43">
        <f t="shared" ref="AQ117:AR117" si="1091">+SUM(AQ115:AQ116)</f>
        <v>0</v>
      </c>
      <c r="AR117" s="43">
        <f t="shared" si="1091"/>
        <v>0</v>
      </c>
      <c r="AS117" s="43">
        <f t="shared" ref="AS117:AT117" si="1092">+SUM(AS115:AS116)</f>
        <v>0</v>
      </c>
      <c r="AT117" s="43">
        <f t="shared" si="1092"/>
        <v>0</v>
      </c>
      <c r="AU117" s="43">
        <f t="shared" ref="AU117:AV117" si="1093">+SUM(AU115:AU116)</f>
        <v>0</v>
      </c>
      <c r="AV117" s="43">
        <f t="shared" si="1093"/>
        <v>0</v>
      </c>
      <c r="AW117" s="43">
        <f t="shared" ref="AW117:AX117" si="1094">+SUM(AW115:AW116)</f>
        <v>0</v>
      </c>
      <c r="AX117" s="43">
        <f t="shared" si="1094"/>
        <v>0</v>
      </c>
      <c r="AY117" s="43">
        <f t="shared" ref="AY117:AZ117" si="1095">+SUM(AY115:AY116)</f>
        <v>0</v>
      </c>
      <c r="AZ117" s="43">
        <f t="shared" si="1095"/>
        <v>0</v>
      </c>
      <c r="BA117" s="43">
        <f t="shared" ref="BA117:BB117" si="1096">+SUM(BA115:BA116)</f>
        <v>0</v>
      </c>
      <c r="BB117" s="43">
        <f t="shared" si="1096"/>
        <v>0</v>
      </c>
      <c r="BC117" s="43">
        <f t="shared" ref="BC117:BD117" si="1097">+SUM(BC115:BC116)</f>
        <v>0</v>
      </c>
      <c r="BD117" s="43">
        <f t="shared" si="1097"/>
        <v>0</v>
      </c>
      <c r="BE117" s="43">
        <f t="shared" ref="BE117:BF117" si="1098">+SUM(BE115:BE116)</f>
        <v>0</v>
      </c>
      <c r="BF117" s="43">
        <f t="shared" si="1098"/>
        <v>0</v>
      </c>
      <c r="BG117" s="43">
        <f t="shared" ref="BG117:BH117" si="1099">+SUM(BG115:BG116)</f>
        <v>0</v>
      </c>
      <c r="BH117" s="43">
        <f t="shared" si="1099"/>
        <v>0</v>
      </c>
      <c r="BI117" s="43">
        <f t="shared" ref="BI117:BJ117" si="1100">+SUM(BI115:BI116)</f>
        <v>0</v>
      </c>
      <c r="BJ117" s="43">
        <f t="shared" si="1100"/>
        <v>0</v>
      </c>
      <c r="BK117" s="43">
        <f t="shared" si="1086"/>
        <v>0</v>
      </c>
      <c r="BL117" s="43">
        <f t="shared" si="1086"/>
        <v>0</v>
      </c>
      <c r="BM117" s="43">
        <f t="shared" si="1086"/>
        <v>0</v>
      </c>
      <c r="BN117" s="43">
        <f t="shared" si="1086"/>
        <v>0</v>
      </c>
      <c r="BO117" s="43">
        <f t="shared" si="1086"/>
        <v>0</v>
      </c>
      <c r="BP117" s="43">
        <f t="shared" si="1086"/>
        <v>0</v>
      </c>
      <c r="BQ117" s="43">
        <f t="shared" ref="BQ117:BR117" si="1101">+SUM(BQ115:BQ116)</f>
        <v>0</v>
      </c>
      <c r="BR117" s="43">
        <f t="shared" si="1101"/>
        <v>0</v>
      </c>
      <c r="BS117" s="43">
        <f t="shared" ref="BS117:BT117" si="1102">+SUM(BS115:BS116)</f>
        <v>0</v>
      </c>
      <c r="BT117" s="43">
        <f t="shared" si="1102"/>
        <v>0</v>
      </c>
      <c r="BU117" s="43">
        <f t="shared" ref="BU117:BV117" si="1103">+SUM(BU115:BU116)</f>
        <v>0</v>
      </c>
      <c r="BV117" s="43">
        <f t="shared" si="1103"/>
        <v>0</v>
      </c>
      <c r="BW117" s="43">
        <f t="shared" ref="BW117:BX117" si="1104">+SUM(BW115:BW116)</f>
        <v>0</v>
      </c>
      <c r="BX117" s="43">
        <f t="shared" si="1104"/>
        <v>0</v>
      </c>
      <c r="BY117" s="43">
        <f t="shared" ref="BY117" si="1105">+SUM(BY115:BY116)</f>
        <v>0</v>
      </c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</row>
    <row r="118" spans="1:93" s="38" customFormat="1" x14ac:dyDescent="0.2">
      <c r="A118" s="38" t="s">
        <v>205</v>
      </c>
      <c r="B118" s="38">
        <f>+'Annual Raw'!C89++'Annual Raw'!C90++'Annual Raw'!C91</f>
        <v>0</v>
      </c>
      <c r="C118" s="38">
        <f>+'Annual Raw'!D89++'Annual Raw'!D90++'Annual Raw'!D91</f>
        <v>0</v>
      </c>
      <c r="D118" s="38">
        <f>+'Annual Raw'!E89++'Annual Raw'!E90++'Annual Raw'!E91</f>
        <v>0</v>
      </c>
      <c r="E118" s="38">
        <f>+'Annual Raw'!F89++'Annual Raw'!F90++'Annual Raw'!F91</f>
        <v>0</v>
      </c>
      <c r="F118" s="38">
        <f>+'Annual Raw'!G89++'Annual Raw'!G90++'Annual Raw'!G91</f>
        <v>0</v>
      </c>
      <c r="G118" s="38">
        <f>+'Annual Raw'!H89++'Annual Raw'!H90++'Annual Raw'!H91</f>
        <v>0</v>
      </c>
      <c r="H118" s="38">
        <f>+'Annual Raw'!I89++'Annual Raw'!I90++'Annual Raw'!I91</f>
        <v>0</v>
      </c>
      <c r="I118" s="38">
        <f>+'Annual Raw'!J89++'Annual Raw'!J90++'Annual Raw'!J91</f>
        <v>0</v>
      </c>
      <c r="J118" s="38">
        <f>+'Annual Raw'!K89++'Annual Raw'!K90++'Annual Raw'!K91</f>
        <v>0</v>
      </c>
      <c r="K118" s="38">
        <f>+'Annual Raw'!L89++'Annual Raw'!L90++'Annual Raw'!L91</f>
        <v>0</v>
      </c>
      <c r="L118" s="38">
        <f>+'Annual Raw'!M89++'Annual Raw'!M90++'Annual Raw'!M91</f>
        <v>0</v>
      </c>
      <c r="M118" s="38">
        <f>+'Annual Raw'!N89++'Annual Raw'!N90++'Annual Raw'!N91</f>
        <v>0</v>
      </c>
      <c r="N118" s="38">
        <f>+'Annual Raw'!O89++'Annual Raw'!O90++'Annual Raw'!O91</f>
        <v>0</v>
      </c>
      <c r="O118" s="38">
        <f>+'Annual Raw'!P89++'Annual Raw'!P90++'Annual Raw'!P91</f>
        <v>0</v>
      </c>
      <c r="P118" s="38">
        <f>+'Annual Raw'!Q89++'Annual Raw'!Q90++'Annual Raw'!Q91</f>
        <v>0</v>
      </c>
      <c r="Q118" s="38">
        <f>+'Annual Raw'!R89++'Annual Raw'!R90++'Annual Raw'!R91</f>
        <v>0</v>
      </c>
      <c r="R118" s="38">
        <f>+'Annual Raw'!S89++'Annual Raw'!S90++'Annual Raw'!S91</f>
        <v>0</v>
      </c>
      <c r="S118" s="38">
        <f>+'Annual Raw'!T89++'Annual Raw'!T90++'Annual Raw'!T91</f>
        <v>0</v>
      </c>
      <c r="T118" s="38">
        <f>+'Annual Raw'!U89++'Annual Raw'!U90++'Annual Raw'!U91</f>
        <v>0</v>
      </c>
      <c r="U118" s="38">
        <f>+'Annual Raw'!V89++'Annual Raw'!V90++'Annual Raw'!V91</f>
        <v>0</v>
      </c>
      <c r="V118" s="38">
        <f>+'Annual Raw'!W89++'Annual Raw'!W90++'Annual Raw'!W91</f>
        <v>0</v>
      </c>
      <c r="W118" s="38">
        <f>+'Annual Raw'!X89++'Annual Raw'!X90++'Annual Raw'!X91</f>
        <v>0</v>
      </c>
      <c r="X118" s="38">
        <f>+'Annual Raw'!Y89++'Annual Raw'!Y90++'Annual Raw'!Y91</f>
        <v>0</v>
      </c>
      <c r="Y118" s="38">
        <f>+'Annual Raw'!Z89++'Annual Raw'!Z90++'Annual Raw'!Z91</f>
        <v>0</v>
      </c>
      <c r="Z118" s="38">
        <f>+'Annual Raw'!AA89++'Annual Raw'!AA90++'Annual Raw'!AA91</f>
        <v>0</v>
      </c>
      <c r="AA118" s="39">
        <f t="shared" si="1064"/>
        <v>0</v>
      </c>
      <c r="AB118" s="39">
        <f t="shared" si="1065"/>
        <v>0</v>
      </c>
      <c r="AC118" s="39">
        <f t="shared" si="1066"/>
        <v>0</v>
      </c>
      <c r="AD118" s="39">
        <f t="shared" si="1067"/>
        <v>0</v>
      </c>
      <c r="AE118" s="39">
        <f t="shared" si="1068"/>
        <v>0</v>
      </c>
      <c r="AG118" s="60"/>
      <c r="AH118" s="38">
        <f>+'QTR Raw'!D63</f>
        <v>0</v>
      </c>
      <c r="AI118" s="38">
        <f>+'QTR Raw'!E63++'QTR Raw'!E64++'QTR Raw'!E65</f>
        <v>0</v>
      </c>
      <c r="AK118" s="38">
        <f>+'QTR Raw'!G63++'QTR Raw'!G64++'QTR Raw'!G65</f>
        <v>0</v>
      </c>
      <c r="AM118" s="38">
        <f>+'QTR Raw'!I63++'QTR Raw'!I64++'QTR Raw'!I65</f>
        <v>0</v>
      </c>
      <c r="AO118" s="38">
        <f>+'QTR Raw'!K63++'QTR Raw'!K64++'QTR Raw'!K65</f>
        <v>0</v>
      </c>
      <c r="AQ118" s="38">
        <f>+'QTR Raw'!M63++'QTR Raw'!M64++'QTR Raw'!M65</f>
        <v>0</v>
      </c>
      <c r="AS118" s="38">
        <f>+'QTR Raw'!O63++'QTR Raw'!O64++'QTR Raw'!O65</f>
        <v>0</v>
      </c>
      <c r="AU118" s="38">
        <f>+'QTR Raw'!Q63++'QTR Raw'!Q64++'QTR Raw'!Q65</f>
        <v>0</v>
      </c>
      <c r="AW118" s="38">
        <f>+'QTR Raw'!S63++'QTR Raw'!S64++'QTR Raw'!S65</f>
        <v>0</v>
      </c>
      <c r="AY118" s="38">
        <f>+'QTR Raw'!U63++'QTR Raw'!U64++'QTR Raw'!U65</f>
        <v>0</v>
      </c>
      <c r="BA118" s="38">
        <f>+'QTR Raw'!W63++'QTR Raw'!W64++'QTR Raw'!W65</f>
        <v>0</v>
      </c>
      <c r="BC118" s="38">
        <f>+'QTR Raw'!Y63++'QTR Raw'!Y64++'QTR Raw'!Y65</f>
        <v>0</v>
      </c>
      <c r="BE118" s="38">
        <f>+'QTR Raw'!AA63++'QTR Raw'!AA64++'QTR Raw'!AA65</f>
        <v>0</v>
      </c>
      <c r="BG118" s="38">
        <f>+'QTR Raw'!AC63++'QTR Raw'!AC64++'QTR Raw'!AC65</f>
        <v>0</v>
      </c>
      <c r="BI118" s="38">
        <f>+'QTR Raw'!AE63++'QTR Raw'!AE64++'QTR Raw'!AE65</f>
        <v>0</v>
      </c>
      <c r="BK118" s="38">
        <f>+'QTR Raw'!AG63++'QTR Raw'!AG64++'QTR Raw'!AG65</f>
        <v>0</v>
      </c>
      <c r="BM118" s="38">
        <f>+'QTR Raw'!AI63++'QTR Raw'!AI64++'QTR Raw'!AI65</f>
        <v>0</v>
      </c>
      <c r="BO118" s="38">
        <f>+'QTR Raw'!AK63++'QTR Raw'!AK64++'QTR Raw'!AK65</f>
        <v>0</v>
      </c>
      <c r="BQ118" s="38">
        <f>+'QTR Raw'!AM63++'QTR Raw'!AM64++'QTR Raw'!AM65</f>
        <v>0</v>
      </c>
      <c r="BS118" s="38">
        <f>+'QTR Raw'!AO63++'QTR Raw'!AO64++'QTR Raw'!AO65</f>
        <v>0</v>
      </c>
      <c r="BU118" s="38">
        <f>+'QTR Raw'!AQ63++'QTR Raw'!AQ64++'QTR Raw'!AQ65</f>
        <v>0</v>
      </c>
      <c r="BW118" s="38">
        <f>+'QTR Raw'!AS63++'QTR Raw'!AS64++'QTR Raw'!AS65</f>
        <v>0</v>
      </c>
      <c r="BY118" s="38">
        <f>+'QTR Raw'!AU63++'QTR Raw'!AU64++'QTR Raw'!AU65</f>
        <v>0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3" s="38" customFormat="1" x14ac:dyDescent="0.2">
      <c r="A119" s="38" t="s">
        <v>227</v>
      </c>
      <c r="B119" s="38">
        <f>+'Annual Raw'!C94+'Annual Raw'!C102++'Annual Raw'!C93++'Annual Raw'!C101</f>
        <v>0</v>
      </c>
      <c r="C119" s="38">
        <f>+'Annual Raw'!D94+'Annual Raw'!D102++'Annual Raw'!D93++'Annual Raw'!D101</f>
        <v>0</v>
      </c>
      <c r="D119" s="38">
        <f>+'Annual Raw'!E94+'Annual Raw'!E102++'Annual Raw'!E93++'Annual Raw'!E101</f>
        <v>0</v>
      </c>
      <c r="E119" s="38">
        <f>+'Annual Raw'!F94+'Annual Raw'!F102++'Annual Raw'!F93++'Annual Raw'!F101</f>
        <v>0</v>
      </c>
      <c r="F119" s="38">
        <f>+'Annual Raw'!G94+'Annual Raw'!G102++'Annual Raw'!G93++'Annual Raw'!G101</f>
        <v>0</v>
      </c>
      <c r="G119" s="38">
        <f>+'Annual Raw'!H94+'Annual Raw'!H102++'Annual Raw'!H93++'Annual Raw'!H101</f>
        <v>0</v>
      </c>
      <c r="H119" s="38">
        <f>+'Annual Raw'!I94+'Annual Raw'!I102++'Annual Raw'!I93++'Annual Raw'!I101</f>
        <v>0</v>
      </c>
      <c r="I119" s="38">
        <f>+'Annual Raw'!J94+'Annual Raw'!J102++'Annual Raw'!J93++'Annual Raw'!J101</f>
        <v>0</v>
      </c>
      <c r="J119" s="38">
        <f>+'Annual Raw'!K94+'Annual Raw'!K102++'Annual Raw'!K93++'Annual Raw'!K101</f>
        <v>0</v>
      </c>
      <c r="K119" s="38">
        <f>+'Annual Raw'!L94+'Annual Raw'!L102++'Annual Raw'!L93++'Annual Raw'!L101</f>
        <v>0</v>
      </c>
      <c r="L119" s="38">
        <f>+'Annual Raw'!M94+'Annual Raw'!M102++'Annual Raw'!M93++'Annual Raw'!M101</f>
        <v>0</v>
      </c>
      <c r="M119" s="38">
        <f>+'Annual Raw'!N94+'Annual Raw'!N102++'Annual Raw'!N93++'Annual Raw'!N101</f>
        <v>0</v>
      </c>
      <c r="N119" s="38">
        <f>+'Annual Raw'!O94+'Annual Raw'!O102++'Annual Raw'!O93++'Annual Raw'!O101</f>
        <v>0</v>
      </c>
      <c r="O119" s="38">
        <f>+'Annual Raw'!P94+'Annual Raw'!P102++'Annual Raw'!P93++'Annual Raw'!P101</f>
        <v>0</v>
      </c>
      <c r="P119" s="38">
        <f>+'Annual Raw'!Q94+'Annual Raw'!Q102++'Annual Raw'!Q93++'Annual Raw'!Q101</f>
        <v>0</v>
      </c>
      <c r="Q119" s="38">
        <f>+'Annual Raw'!R94+'Annual Raw'!R102++'Annual Raw'!R93++'Annual Raw'!R101</f>
        <v>0</v>
      </c>
      <c r="R119" s="38">
        <f>+'Annual Raw'!S94+'Annual Raw'!S102++'Annual Raw'!S93++'Annual Raw'!S101</f>
        <v>0</v>
      </c>
      <c r="S119" s="38">
        <f>+'Annual Raw'!T94+'Annual Raw'!T102++'Annual Raw'!T93++'Annual Raw'!T101</f>
        <v>0</v>
      </c>
      <c r="T119" s="38">
        <f>+'Annual Raw'!U94+'Annual Raw'!U102++'Annual Raw'!U93++'Annual Raw'!U101</f>
        <v>0</v>
      </c>
      <c r="U119" s="38">
        <f>+'Annual Raw'!V94+'Annual Raw'!V102++'Annual Raw'!V93++'Annual Raw'!V101</f>
        <v>0</v>
      </c>
      <c r="V119" s="38">
        <f>+'Annual Raw'!W94+'Annual Raw'!W102++'Annual Raw'!W93++'Annual Raw'!W101</f>
        <v>0</v>
      </c>
      <c r="W119" s="38">
        <f>+'Annual Raw'!X94+'Annual Raw'!X102++'Annual Raw'!X93++'Annual Raw'!X101</f>
        <v>0</v>
      </c>
      <c r="X119" s="38">
        <f>+'Annual Raw'!Y94+'Annual Raw'!Y102++'Annual Raw'!Y93++'Annual Raw'!Y101</f>
        <v>0</v>
      </c>
      <c r="Y119" s="38">
        <f>+'Annual Raw'!Z94+'Annual Raw'!Z102++'Annual Raw'!Z93++'Annual Raw'!Z101</f>
        <v>0</v>
      </c>
      <c r="Z119" s="38">
        <f>+'Annual Raw'!AA94+'Annual Raw'!AA102++'Annual Raw'!AA93++'Annual Raw'!AA101</f>
        <v>0</v>
      </c>
      <c r="AA119" s="39">
        <f t="shared" si="1064"/>
        <v>0</v>
      </c>
      <c r="AB119" s="39">
        <f t="shared" si="1065"/>
        <v>0</v>
      </c>
      <c r="AC119" s="39">
        <f t="shared" si="1066"/>
        <v>0</v>
      </c>
      <c r="AD119" s="39">
        <f t="shared" si="1067"/>
        <v>0</v>
      </c>
      <c r="AE119" s="39">
        <f t="shared" si="1068"/>
        <v>0</v>
      </c>
      <c r="AG119" s="60"/>
      <c r="AH119" s="38">
        <f>+'QTR Raw'!D89</f>
        <v>0</v>
      </c>
      <c r="AI119" s="38">
        <f>+'QTR Raw'!E89-'QTR Raw'!E90-'QTR Raw'!E91+'QTR Raw'!E88</f>
        <v>0</v>
      </c>
      <c r="AJ119" s="38">
        <f t="shared" ref="AJ119" si="1106">+AI120</f>
        <v>0</v>
      </c>
      <c r="AK119" s="38">
        <f>+'QTR Raw'!G89-'QTR Raw'!G90-'QTR Raw'!G91+'QTR Raw'!G88</f>
        <v>0</v>
      </c>
      <c r="AL119" s="38">
        <f t="shared" ref="AL119" si="1107">+AK120</f>
        <v>0</v>
      </c>
      <c r="AM119" s="38">
        <f>+'QTR Raw'!I89-'QTR Raw'!I90-'QTR Raw'!I91+'QTR Raw'!I88</f>
        <v>0</v>
      </c>
      <c r="AN119" s="38">
        <f t="shared" ref="AN119" si="1108">+AM120</f>
        <v>0</v>
      </c>
      <c r="AO119" s="38">
        <f>+'QTR Raw'!K89-'QTR Raw'!K90-'QTR Raw'!K91+'QTR Raw'!K88</f>
        <v>0</v>
      </c>
      <c r="AP119" s="38">
        <f t="shared" ref="AP119" si="1109">+AO120</f>
        <v>0</v>
      </c>
      <c r="AQ119" s="38">
        <f>+'QTR Raw'!M89-'QTR Raw'!M90-'QTR Raw'!M91+'QTR Raw'!M88</f>
        <v>0</v>
      </c>
      <c r="AR119" s="38">
        <f t="shared" ref="AR119" si="1110">+AQ120</f>
        <v>0</v>
      </c>
      <c r="AS119" s="38">
        <f>+'QTR Raw'!O89-'QTR Raw'!O90-'QTR Raw'!O91+'QTR Raw'!O88</f>
        <v>0</v>
      </c>
      <c r="AT119" s="38">
        <f t="shared" ref="AT119" si="1111">+AS120</f>
        <v>0</v>
      </c>
      <c r="AU119" s="38">
        <f>+'QTR Raw'!Q89-'QTR Raw'!Q90-'QTR Raw'!Q91+'QTR Raw'!Q88</f>
        <v>0</v>
      </c>
      <c r="AV119" s="38">
        <f t="shared" ref="AV119" si="1112">+AU120</f>
        <v>0</v>
      </c>
      <c r="AW119" s="38">
        <f>+'QTR Raw'!S89-'QTR Raw'!S90-'QTR Raw'!S91+'QTR Raw'!S88</f>
        <v>0</v>
      </c>
      <c r="AX119" s="38">
        <f t="shared" ref="AX119" si="1113">+AW120</f>
        <v>0</v>
      </c>
      <c r="AY119" s="38">
        <f>+'QTR Raw'!U89-'QTR Raw'!U90-'QTR Raw'!U91+'QTR Raw'!U88</f>
        <v>0</v>
      </c>
      <c r="AZ119" s="38">
        <f t="shared" ref="AZ119" si="1114">+AY120</f>
        <v>0</v>
      </c>
      <c r="BA119" s="38">
        <f>+'QTR Raw'!W89-'QTR Raw'!W90-'QTR Raw'!W91+'QTR Raw'!W88</f>
        <v>0</v>
      </c>
      <c r="BB119" s="38">
        <f t="shared" ref="BB119" si="1115">+BA120</f>
        <v>0</v>
      </c>
      <c r="BC119" s="38">
        <f>+'QTR Raw'!Y89-'QTR Raw'!Y90-'QTR Raw'!Y91+'QTR Raw'!Y88</f>
        <v>0</v>
      </c>
      <c r="BD119" s="38">
        <f t="shared" ref="BD119" si="1116">+BC120</f>
        <v>0</v>
      </c>
      <c r="BE119" s="38">
        <f>+'QTR Raw'!AA89-'QTR Raw'!AA90-'QTR Raw'!AA91+'QTR Raw'!AA88</f>
        <v>0</v>
      </c>
      <c r="BF119" s="38">
        <f t="shared" ref="BF119" si="1117">+BE120</f>
        <v>0</v>
      </c>
      <c r="BG119" s="38">
        <f>+'QTR Raw'!AC89-'QTR Raw'!AC90-'QTR Raw'!AC91+'QTR Raw'!AC88</f>
        <v>0</v>
      </c>
      <c r="BH119" s="38">
        <f t="shared" ref="BH119" si="1118">+BG120</f>
        <v>0</v>
      </c>
      <c r="BI119" s="38">
        <f>+'QTR Raw'!AE89-'QTR Raw'!AE90-'QTR Raw'!AE91+'QTR Raw'!AE88</f>
        <v>0</v>
      </c>
      <c r="BJ119" s="38">
        <f t="shared" ref="BJ119" si="1119">+BI120</f>
        <v>0</v>
      </c>
      <c r="BK119" s="38">
        <f>+'QTR Raw'!AG89-'QTR Raw'!AG90-'QTR Raw'!AG91+'QTR Raw'!AG88</f>
        <v>0</v>
      </c>
      <c r="BL119" s="38">
        <f t="shared" ref="BL119" si="1120">+BK120</f>
        <v>0</v>
      </c>
      <c r="BM119" s="38">
        <f>+'QTR Raw'!AI89-'QTR Raw'!AI90-'QTR Raw'!AI91+'QTR Raw'!AI88</f>
        <v>0</v>
      </c>
      <c r="BN119" s="38">
        <f t="shared" ref="BN119:BX119" si="1121">+BM120</f>
        <v>0</v>
      </c>
      <c r="BO119" s="38">
        <f>+'QTR Raw'!AK89-'QTR Raw'!AK90-'QTR Raw'!AK91+'QTR Raw'!AK88</f>
        <v>0</v>
      </c>
      <c r="BP119" s="38">
        <f t="shared" si="1121"/>
        <v>0</v>
      </c>
      <c r="BQ119" s="38">
        <f>+'QTR Raw'!AM89-'QTR Raw'!AM90-'QTR Raw'!AM91+'QTR Raw'!AM88</f>
        <v>0</v>
      </c>
      <c r="BR119" s="38">
        <f t="shared" si="1121"/>
        <v>0</v>
      </c>
      <c r="BS119" s="38">
        <f>+'QTR Raw'!AO89-'QTR Raw'!AO90-'QTR Raw'!AO91+'QTR Raw'!AO88</f>
        <v>0</v>
      </c>
      <c r="BT119" s="38">
        <f t="shared" si="1121"/>
        <v>0</v>
      </c>
      <c r="BU119" s="38">
        <f>+'QTR Raw'!AQ89-'QTR Raw'!AQ90-'QTR Raw'!AQ91+'QTR Raw'!AQ88</f>
        <v>0</v>
      </c>
      <c r="BV119" s="38">
        <f t="shared" si="1121"/>
        <v>0</v>
      </c>
      <c r="BW119" s="38">
        <f>+'QTR Raw'!AS89-'QTR Raw'!AS90-'QTR Raw'!AS91+'QTR Raw'!AS88</f>
        <v>0</v>
      </c>
      <c r="BX119" s="38">
        <f t="shared" si="1121"/>
        <v>0</v>
      </c>
      <c r="BY119" s="38">
        <f>+'QTR Raw'!AU89-'QTR Raw'!AU90-'QTR Raw'!AU91+'QTR Raw'!AU88</f>
        <v>0</v>
      </c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3" s="43" customFormat="1" x14ac:dyDescent="0.2">
      <c r="A120" s="43" t="s">
        <v>241</v>
      </c>
      <c r="B120" s="43">
        <f t="shared" ref="B120:AE120" si="1122">+SUM(B118:B119)</f>
        <v>0</v>
      </c>
      <c r="C120" s="43">
        <f t="shared" si="1122"/>
        <v>0</v>
      </c>
      <c r="D120" s="43">
        <f t="shared" si="1122"/>
        <v>0</v>
      </c>
      <c r="E120" s="43">
        <f t="shared" si="1122"/>
        <v>0</v>
      </c>
      <c r="F120" s="43">
        <f t="shared" si="1122"/>
        <v>0</v>
      </c>
      <c r="G120" s="43">
        <f t="shared" si="1122"/>
        <v>0</v>
      </c>
      <c r="H120" s="43">
        <f t="shared" si="1122"/>
        <v>0</v>
      </c>
      <c r="I120" s="43">
        <f t="shared" si="1122"/>
        <v>0</v>
      </c>
      <c r="J120" s="43">
        <f t="shared" si="1122"/>
        <v>0</v>
      </c>
      <c r="K120" s="43">
        <f t="shared" si="1122"/>
        <v>0</v>
      </c>
      <c r="L120" s="43">
        <f t="shared" si="1122"/>
        <v>0</v>
      </c>
      <c r="M120" s="43">
        <f t="shared" si="1122"/>
        <v>0</v>
      </c>
      <c r="N120" s="43">
        <f t="shared" si="1122"/>
        <v>0</v>
      </c>
      <c r="O120" s="43">
        <f t="shared" si="1122"/>
        <v>0</v>
      </c>
      <c r="P120" s="43">
        <f t="shared" si="1122"/>
        <v>0</v>
      </c>
      <c r="Q120" s="43">
        <f t="shared" si="1122"/>
        <v>0</v>
      </c>
      <c r="R120" s="43">
        <f t="shared" si="1122"/>
        <v>0</v>
      </c>
      <c r="S120" s="43">
        <f t="shared" si="1122"/>
        <v>0</v>
      </c>
      <c r="T120" s="43">
        <f t="shared" si="1122"/>
        <v>0</v>
      </c>
      <c r="U120" s="43">
        <f t="shared" si="1122"/>
        <v>0</v>
      </c>
      <c r="V120" s="43">
        <f t="shared" si="1122"/>
        <v>0</v>
      </c>
      <c r="W120" s="43">
        <f t="shared" si="1122"/>
        <v>0</v>
      </c>
      <c r="X120" s="43">
        <f t="shared" si="1122"/>
        <v>0</v>
      </c>
      <c r="Y120" s="43">
        <f t="shared" si="1122"/>
        <v>0</v>
      </c>
      <c r="Z120" s="43">
        <f t="shared" si="1122"/>
        <v>0</v>
      </c>
      <c r="AA120" s="44">
        <f t="shared" si="1122"/>
        <v>0</v>
      </c>
      <c r="AB120" s="44">
        <f t="shared" si="1122"/>
        <v>0</v>
      </c>
      <c r="AC120" s="44">
        <f t="shared" si="1122"/>
        <v>0</v>
      </c>
      <c r="AD120" s="44">
        <f t="shared" si="1122"/>
        <v>0</v>
      </c>
      <c r="AE120" s="44">
        <f t="shared" si="1122"/>
        <v>0</v>
      </c>
      <c r="AG120" s="62"/>
      <c r="AH120" s="43">
        <f t="shared" ref="AH120:BP120" si="1123">+SUM(AH118:AH119)</f>
        <v>0</v>
      </c>
      <c r="AI120" s="43">
        <f t="shared" ref="AI120:AJ120" si="1124">+SUM(AI118:AI119)</f>
        <v>0</v>
      </c>
      <c r="AJ120" s="43">
        <f t="shared" si="1124"/>
        <v>0</v>
      </c>
      <c r="AK120" s="43">
        <f t="shared" ref="AK120:AL120" si="1125">+SUM(AK118:AK119)</f>
        <v>0</v>
      </c>
      <c r="AL120" s="43">
        <f t="shared" si="1125"/>
        <v>0</v>
      </c>
      <c r="AM120" s="43">
        <f t="shared" ref="AM120:AN120" si="1126">+SUM(AM118:AM119)</f>
        <v>0</v>
      </c>
      <c r="AN120" s="43">
        <f t="shared" si="1126"/>
        <v>0</v>
      </c>
      <c r="AO120" s="43">
        <f t="shared" ref="AO120:AP120" si="1127">+SUM(AO118:AO119)</f>
        <v>0</v>
      </c>
      <c r="AP120" s="43">
        <f t="shared" si="1127"/>
        <v>0</v>
      </c>
      <c r="AQ120" s="43">
        <f t="shared" ref="AQ120:AR120" si="1128">+SUM(AQ118:AQ119)</f>
        <v>0</v>
      </c>
      <c r="AR120" s="43">
        <f t="shared" si="1128"/>
        <v>0</v>
      </c>
      <c r="AS120" s="43">
        <f t="shared" ref="AS120:AT120" si="1129">+SUM(AS118:AS119)</f>
        <v>0</v>
      </c>
      <c r="AT120" s="43">
        <f t="shared" si="1129"/>
        <v>0</v>
      </c>
      <c r="AU120" s="43">
        <f t="shared" ref="AU120:AV120" si="1130">+SUM(AU118:AU119)</f>
        <v>0</v>
      </c>
      <c r="AV120" s="43">
        <f t="shared" si="1130"/>
        <v>0</v>
      </c>
      <c r="AW120" s="43">
        <f t="shared" ref="AW120:AX120" si="1131">+SUM(AW118:AW119)</f>
        <v>0</v>
      </c>
      <c r="AX120" s="43">
        <f t="shared" si="1131"/>
        <v>0</v>
      </c>
      <c r="AY120" s="43">
        <f t="shared" ref="AY120:AZ120" si="1132">+SUM(AY118:AY119)</f>
        <v>0</v>
      </c>
      <c r="AZ120" s="43">
        <f t="shared" si="1132"/>
        <v>0</v>
      </c>
      <c r="BA120" s="43">
        <f t="shared" ref="BA120:BB120" si="1133">+SUM(BA118:BA119)</f>
        <v>0</v>
      </c>
      <c r="BB120" s="43">
        <f t="shared" si="1133"/>
        <v>0</v>
      </c>
      <c r="BC120" s="43">
        <f t="shared" ref="BC120:BD120" si="1134">+SUM(BC118:BC119)</f>
        <v>0</v>
      </c>
      <c r="BD120" s="43">
        <f t="shared" si="1134"/>
        <v>0</v>
      </c>
      <c r="BE120" s="43">
        <f t="shared" ref="BE120:BF120" si="1135">+SUM(BE118:BE119)</f>
        <v>0</v>
      </c>
      <c r="BF120" s="43">
        <f t="shared" si="1135"/>
        <v>0</v>
      </c>
      <c r="BG120" s="43">
        <f t="shared" ref="BG120:BH120" si="1136">+SUM(BG118:BG119)</f>
        <v>0</v>
      </c>
      <c r="BH120" s="43">
        <f t="shared" si="1136"/>
        <v>0</v>
      </c>
      <c r="BI120" s="43">
        <f t="shared" ref="BI120:BJ120" si="1137">+SUM(BI118:BI119)</f>
        <v>0</v>
      </c>
      <c r="BJ120" s="43">
        <f t="shared" si="1137"/>
        <v>0</v>
      </c>
      <c r="BK120" s="43">
        <f t="shared" si="1123"/>
        <v>0</v>
      </c>
      <c r="BL120" s="43">
        <f t="shared" si="1123"/>
        <v>0</v>
      </c>
      <c r="BM120" s="43">
        <f t="shared" si="1123"/>
        <v>0</v>
      </c>
      <c r="BN120" s="43">
        <f t="shared" si="1123"/>
        <v>0</v>
      </c>
      <c r="BO120" s="43">
        <f t="shared" si="1123"/>
        <v>0</v>
      </c>
      <c r="BP120" s="43">
        <f t="shared" si="1123"/>
        <v>0</v>
      </c>
      <c r="BQ120" s="43">
        <f t="shared" ref="BQ120:BR120" si="1138">+SUM(BQ118:BQ119)</f>
        <v>0</v>
      </c>
      <c r="BR120" s="43">
        <f t="shared" si="1138"/>
        <v>0</v>
      </c>
      <c r="BS120" s="43">
        <f t="shared" ref="BS120:BT120" si="1139">+SUM(BS118:BS119)</f>
        <v>0</v>
      </c>
      <c r="BT120" s="43">
        <f t="shared" si="1139"/>
        <v>0</v>
      </c>
      <c r="BU120" s="43">
        <f t="shared" ref="BU120:BV120" si="1140">+SUM(BU118:BU119)</f>
        <v>0</v>
      </c>
      <c r="BV120" s="43">
        <f t="shared" si="1140"/>
        <v>0</v>
      </c>
      <c r="BW120" s="43">
        <f t="shared" ref="BW120:BX120" si="1141">+SUM(BW118:BW119)</f>
        <v>0</v>
      </c>
      <c r="BX120" s="43">
        <f t="shared" si="1141"/>
        <v>0</v>
      </c>
      <c r="BY120" s="43">
        <f t="shared" ref="BY120" si="1142">+SUM(BY118:BY119)</f>
        <v>0</v>
      </c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</row>
    <row r="121" spans="1:93" s="43" customFormat="1" x14ac:dyDescent="0.2">
      <c r="A121" s="43" t="s">
        <v>22</v>
      </c>
      <c r="B121" s="43">
        <f t="shared" ref="B121:Z121" si="1143">+B117-B120</f>
        <v>0</v>
      </c>
      <c r="C121" s="43">
        <f t="shared" si="1143"/>
        <v>0</v>
      </c>
      <c r="D121" s="43">
        <f t="shared" si="1143"/>
        <v>0</v>
      </c>
      <c r="E121" s="43">
        <f t="shared" si="1143"/>
        <v>0</v>
      </c>
      <c r="F121" s="43">
        <f t="shared" si="1143"/>
        <v>0</v>
      </c>
      <c r="G121" s="43">
        <f t="shared" si="1143"/>
        <v>0</v>
      </c>
      <c r="H121" s="43">
        <f t="shared" si="1143"/>
        <v>0</v>
      </c>
      <c r="I121" s="43">
        <f t="shared" si="1143"/>
        <v>0</v>
      </c>
      <c r="J121" s="43">
        <f t="shared" si="1143"/>
        <v>0</v>
      </c>
      <c r="K121" s="43">
        <f t="shared" si="1143"/>
        <v>0</v>
      </c>
      <c r="L121" s="43">
        <f t="shared" si="1143"/>
        <v>0</v>
      </c>
      <c r="M121" s="43">
        <f t="shared" si="1143"/>
        <v>0</v>
      </c>
      <c r="N121" s="43">
        <f t="shared" si="1143"/>
        <v>0</v>
      </c>
      <c r="O121" s="43">
        <f t="shared" si="1143"/>
        <v>0</v>
      </c>
      <c r="P121" s="43">
        <f t="shared" si="1143"/>
        <v>0</v>
      </c>
      <c r="Q121" s="43">
        <f t="shared" si="1143"/>
        <v>0</v>
      </c>
      <c r="R121" s="43">
        <f t="shared" si="1143"/>
        <v>0</v>
      </c>
      <c r="S121" s="43">
        <f t="shared" si="1143"/>
        <v>0</v>
      </c>
      <c r="T121" s="43">
        <f t="shared" si="1143"/>
        <v>0</v>
      </c>
      <c r="U121" s="43">
        <f t="shared" si="1143"/>
        <v>0</v>
      </c>
      <c r="V121" s="43">
        <f t="shared" si="1143"/>
        <v>0</v>
      </c>
      <c r="W121" s="43">
        <f t="shared" si="1143"/>
        <v>0</v>
      </c>
      <c r="X121" s="43">
        <f t="shared" si="1143"/>
        <v>0</v>
      </c>
      <c r="Y121" s="43">
        <f t="shared" si="1143"/>
        <v>0</v>
      </c>
      <c r="Z121" s="43">
        <f t="shared" si="1143"/>
        <v>0</v>
      </c>
      <c r="AA121" s="39">
        <f>+BY121</f>
        <v>0</v>
      </c>
      <c r="AB121" s="39" t="e">
        <f>+CC121</f>
        <v>#DIV/0!</v>
      </c>
      <c r="AC121" s="39" t="e">
        <f>+CG121</f>
        <v>#DIV/0!</v>
      </c>
      <c r="AD121" s="39" t="e">
        <f>+CK121</f>
        <v>#DIV/0!</v>
      </c>
      <c r="AE121" s="39" t="e">
        <f>+CO121</f>
        <v>#DIV/0!</v>
      </c>
      <c r="AG121" s="62"/>
      <c r="AH121" s="43">
        <f t="shared" ref="AH121:AM121" si="1144">+AH117-AH120</f>
        <v>0</v>
      </c>
      <c r="AI121" s="43">
        <f t="shared" si="1144"/>
        <v>0</v>
      </c>
      <c r="AJ121" s="43">
        <f>+AJ106-AJ109-AJ123</f>
        <v>0</v>
      </c>
      <c r="AK121" s="43">
        <f t="shared" si="1144"/>
        <v>0</v>
      </c>
      <c r="AL121" s="43">
        <f>+AL106-AL109-AL123</f>
        <v>0</v>
      </c>
      <c r="AM121" s="43">
        <f t="shared" si="1144"/>
        <v>0</v>
      </c>
      <c r="AN121" s="43">
        <f>+AN106-AN109-AN123</f>
        <v>0</v>
      </c>
      <c r="AO121" s="43">
        <f t="shared" ref="AO121" si="1145">+AO117-AO120</f>
        <v>0</v>
      </c>
      <c r="AP121" s="43">
        <f>+AP106-AP109-AP123</f>
        <v>0</v>
      </c>
      <c r="AQ121" s="43">
        <f t="shared" ref="AQ121" si="1146">+AQ117-AQ120</f>
        <v>0</v>
      </c>
      <c r="AR121" s="43">
        <f>+AR106-AR109-AR123</f>
        <v>0</v>
      </c>
      <c r="AS121" s="43">
        <f t="shared" ref="AS121" si="1147">+AS117-AS120</f>
        <v>0</v>
      </c>
      <c r="AT121" s="43">
        <f>+AT106-AT109-AT123</f>
        <v>0</v>
      </c>
      <c r="AU121" s="43">
        <f t="shared" ref="AU121" si="1148">+AU117-AU120</f>
        <v>0</v>
      </c>
      <c r="AV121" s="43">
        <f>+AV106-AV109-AV123</f>
        <v>0</v>
      </c>
      <c r="AW121" s="43">
        <f t="shared" ref="AW121" si="1149">+AW117-AW120</f>
        <v>0</v>
      </c>
      <c r="AX121" s="43">
        <f>+AX106-AX109-AX123</f>
        <v>0</v>
      </c>
      <c r="AY121" s="43">
        <f t="shared" ref="AY121" si="1150">+AY117-AY120</f>
        <v>0</v>
      </c>
      <c r="AZ121" s="43">
        <f>+AZ106-AZ109-AZ123</f>
        <v>0</v>
      </c>
      <c r="BA121" s="43">
        <f t="shared" ref="BA121" si="1151">+BA117-BA120</f>
        <v>0</v>
      </c>
      <c r="BB121" s="43">
        <f>+BB106-BB109-BB123</f>
        <v>0</v>
      </c>
      <c r="BC121" s="43">
        <f t="shared" ref="BC121" si="1152">+BC117-BC120</f>
        <v>0</v>
      </c>
      <c r="BD121" s="43">
        <f>+BD106-BD109-BD123</f>
        <v>0</v>
      </c>
      <c r="BE121" s="43">
        <f t="shared" ref="BE121" si="1153">+BE117-BE120</f>
        <v>0</v>
      </c>
      <c r="BF121" s="43">
        <f>+BF106-BF109-BF123</f>
        <v>0</v>
      </c>
      <c r="BG121" s="43">
        <f t="shared" ref="BG121" si="1154">+BG117-BG120</f>
        <v>0</v>
      </c>
      <c r="BH121" s="43">
        <f>+BH106-BH109-BH123</f>
        <v>0</v>
      </c>
      <c r="BI121" s="43">
        <f t="shared" ref="BI121:BK121" si="1155">+BI117-BI120</f>
        <v>0</v>
      </c>
      <c r="BJ121" s="43">
        <f>+BJ106-BJ109-BJ123</f>
        <v>0</v>
      </c>
      <c r="BK121" s="43">
        <f t="shared" si="1155"/>
        <v>0</v>
      </c>
      <c r="BL121" s="43">
        <f>+BL106-BL109-BL123</f>
        <v>0</v>
      </c>
      <c r="BM121" s="43">
        <f t="shared" ref="BM121" si="1156">+BM117-BM120</f>
        <v>0</v>
      </c>
      <c r="BN121" s="43" t="e">
        <f>+BN106-BN109-BN123</f>
        <v>#DIV/0!</v>
      </c>
      <c r="BO121" s="43">
        <f t="shared" ref="BO121" si="1157">+BO117-BO120</f>
        <v>0</v>
      </c>
      <c r="BP121" s="43" t="e">
        <f>+BP106-BP109-BP123</f>
        <v>#DIV/0!</v>
      </c>
      <c r="BQ121" s="43">
        <f t="shared" ref="BQ121" si="1158">+BQ117-BQ120</f>
        <v>0</v>
      </c>
      <c r="BR121" s="43" t="e">
        <f>+BR106-BR109-BR123</f>
        <v>#DIV/0!</v>
      </c>
      <c r="BS121" s="43">
        <f t="shared" ref="BS121" si="1159">+BS117-BS120</f>
        <v>0</v>
      </c>
      <c r="BT121" s="43">
        <f>+BT106-BT109-BT123</f>
        <v>0</v>
      </c>
      <c r="BU121" s="43">
        <f t="shared" ref="BU121" si="1160">+BU117-BU120</f>
        <v>0</v>
      </c>
      <c r="BV121" s="43">
        <f>+BV106-BV109-BV123</f>
        <v>0</v>
      </c>
      <c r="BW121" s="43">
        <f t="shared" ref="BW121" si="1161">+BW117-BW120</f>
        <v>0</v>
      </c>
      <c r="BX121" s="43">
        <f>+BX106-BX109-BX123</f>
        <v>0</v>
      </c>
      <c r="BY121" s="43">
        <f t="shared" ref="BY121" si="1162">+BY117-BY120</f>
        <v>0</v>
      </c>
      <c r="BZ121" s="44" t="e">
        <f>+BZ106-BZ109-BZ123</f>
        <v>#DIV/0!</v>
      </c>
      <c r="CA121" s="44" t="e">
        <f t="shared" ref="CA121:CO121" si="1163">+CA106-CA109-CA123</f>
        <v>#DIV/0!</v>
      </c>
      <c r="CB121" s="44" t="e">
        <f t="shared" si="1163"/>
        <v>#DIV/0!</v>
      </c>
      <c r="CC121" s="44" t="e">
        <f t="shared" si="1163"/>
        <v>#DIV/0!</v>
      </c>
      <c r="CD121" s="44" t="e">
        <f t="shared" si="1163"/>
        <v>#DIV/0!</v>
      </c>
      <c r="CE121" s="44" t="e">
        <f t="shared" si="1163"/>
        <v>#DIV/0!</v>
      </c>
      <c r="CF121" s="44" t="e">
        <f t="shared" si="1163"/>
        <v>#DIV/0!</v>
      </c>
      <c r="CG121" s="44" t="e">
        <f t="shared" si="1163"/>
        <v>#DIV/0!</v>
      </c>
      <c r="CH121" s="44" t="e">
        <f t="shared" si="1163"/>
        <v>#DIV/0!</v>
      </c>
      <c r="CI121" s="44" t="e">
        <f t="shared" si="1163"/>
        <v>#DIV/0!</v>
      </c>
      <c r="CJ121" s="44" t="e">
        <f t="shared" si="1163"/>
        <v>#DIV/0!</v>
      </c>
      <c r="CK121" s="44" t="e">
        <f t="shared" si="1163"/>
        <v>#DIV/0!</v>
      </c>
      <c r="CL121" s="44" t="e">
        <f t="shared" si="1163"/>
        <v>#DIV/0!</v>
      </c>
      <c r="CM121" s="44" t="e">
        <f t="shared" si="1163"/>
        <v>#DIV/0!</v>
      </c>
      <c r="CN121" s="44" t="e">
        <f t="shared" si="1163"/>
        <v>#DIV/0!</v>
      </c>
      <c r="CO121" s="44" t="e">
        <f t="shared" si="1163"/>
        <v>#DIV/0!</v>
      </c>
    </row>
    <row r="122" spans="1:93" s="38" customFormat="1" x14ac:dyDescent="0.2">
      <c r="AA122" s="39"/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3" s="38" customFormat="1" x14ac:dyDescent="0.2">
      <c r="A123" s="38" t="s">
        <v>232</v>
      </c>
      <c r="B123" s="38">
        <f>-'Annual Raw'!C88</f>
        <v>0</v>
      </c>
      <c r="C123" s="38">
        <f>-'Annual Raw'!D88</f>
        <v>0</v>
      </c>
      <c r="D123" s="38">
        <f>-'Annual Raw'!E88</f>
        <v>0</v>
      </c>
      <c r="E123" s="38">
        <f>-'Annual Raw'!F88</f>
        <v>0</v>
      </c>
      <c r="F123" s="38">
        <f>-'Annual Raw'!G88</f>
        <v>0</v>
      </c>
      <c r="G123" s="38">
        <f>-'Annual Raw'!H88</f>
        <v>0</v>
      </c>
      <c r="H123" s="38">
        <f>-'Annual Raw'!I88</f>
        <v>0</v>
      </c>
      <c r="I123" s="38">
        <f>-'Annual Raw'!J88</f>
        <v>0</v>
      </c>
      <c r="J123" s="38">
        <f>-'Annual Raw'!K88</f>
        <v>0</v>
      </c>
      <c r="K123" s="38">
        <f>-'Annual Raw'!L88</f>
        <v>0</v>
      </c>
      <c r="L123" s="38">
        <f>-'Annual Raw'!M88</f>
        <v>0</v>
      </c>
      <c r="M123" s="38">
        <f>-'Annual Raw'!N88</f>
        <v>0</v>
      </c>
      <c r="N123" s="38">
        <f>-'Annual Raw'!O88</f>
        <v>0</v>
      </c>
      <c r="O123" s="38">
        <f>-'Annual Raw'!P88</f>
        <v>0</v>
      </c>
      <c r="P123" s="38">
        <f>-'Annual Raw'!Q88</f>
        <v>0</v>
      </c>
      <c r="Q123" s="38">
        <f>-'Annual Raw'!R88</f>
        <v>0</v>
      </c>
      <c r="R123" s="38">
        <f>-'Annual Raw'!S88</f>
        <v>0</v>
      </c>
      <c r="S123" s="38">
        <f>-'Annual Raw'!T88</f>
        <v>0</v>
      </c>
      <c r="T123" s="38">
        <f>-'Annual Raw'!U88</f>
        <v>0</v>
      </c>
      <c r="U123" s="38">
        <f>-'Annual Raw'!V88</f>
        <v>0</v>
      </c>
      <c r="V123" s="38">
        <f>-'Annual Raw'!W88</f>
        <v>0</v>
      </c>
      <c r="W123" s="38">
        <f>-'Annual Raw'!X88</f>
        <v>0</v>
      </c>
      <c r="X123" s="38">
        <f>-'Annual Raw'!Y88</f>
        <v>0</v>
      </c>
      <c r="Y123" s="38">
        <f>-'Annual Raw'!Z88</f>
        <v>0</v>
      </c>
      <c r="Z123" s="38">
        <f>-'Annual Raw'!AA88</f>
        <v>0</v>
      </c>
      <c r="AA123" s="39">
        <f>+BY123</f>
        <v>0</v>
      </c>
      <c r="AB123" s="39">
        <f>+CC123</f>
        <v>0</v>
      </c>
      <c r="AC123" s="39">
        <f>+CG123</f>
        <v>0</v>
      </c>
      <c r="AD123" s="39">
        <f>+CK123</f>
        <v>0</v>
      </c>
      <c r="AE123" s="39">
        <f>+CO123</f>
        <v>0</v>
      </c>
      <c r="AG123" s="60"/>
      <c r="AH123" s="38">
        <f>+'QTR Raw'!D96</f>
        <v>0</v>
      </c>
      <c r="AI123" s="38">
        <f>+'QTR Raw'!E96</f>
        <v>0</v>
      </c>
      <c r="AJ123" s="38">
        <f>+AI123</f>
        <v>0</v>
      </c>
      <c r="AK123" s="38">
        <f>+'QTR Raw'!G96</f>
        <v>0</v>
      </c>
      <c r="AL123" s="38">
        <f>+AK123</f>
        <v>0</v>
      </c>
      <c r="AM123" s="38">
        <f>+'QTR Raw'!I96</f>
        <v>0</v>
      </c>
      <c r="AN123" s="38">
        <f>+AM123</f>
        <v>0</v>
      </c>
      <c r="AO123" s="38">
        <f>+'QTR Raw'!K96</f>
        <v>0</v>
      </c>
      <c r="AP123" s="38">
        <f>+AO123</f>
        <v>0</v>
      </c>
      <c r="AQ123" s="38">
        <f>+'QTR Raw'!M96</f>
        <v>0</v>
      </c>
      <c r="AR123" s="38">
        <f>+AQ123</f>
        <v>0</v>
      </c>
      <c r="AS123" s="38">
        <f>+'QTR Raw'!O96</f>
        <v>0</v>
      </c>
      <c r="AT123" s="38">
        <f>+AS123</f>
        <v>0</v>
      </c>
      <c r="AU123" s="38">
        <f>+'QTR Raw'!Q96</f>
        <v>0</v>
      </c>
      <c r="AV123" s="38">
        <f>+AU123</f>
        <v>0</v>
      </c>
      <c r="AW123" s="38">
        <f>+'QTR Raw'!S96</f>
        <v>0</v>
      </c>
      <c r="AX123" s="38">
        <f>+AW123</f>
        <v>0</v>
      </c>
      <c r="AY123" s="38">
        <f>+'QTR Raw'!U96</f>
        <v>0</v>
      </c>
      <c r="AZ123" s="38">
        <f>+AY123</f>
        <v>0</v>
      </c>
      <c r="BA123" s="38">
        <f>+'QTR Raw'!W96</f>
        <v>0</v>
      </c>
      <c r="BB123" s="38">
        <f>+BA123</f>
        <v>0</v>
      </c>
      <c r="BC123" s="38">
        <f>+'QTR Raw'!Y96</f>
        <v>0</v>
      </c>
      <c r="BD123" s="38">
        <f>+BC123</f>
        <v>0</v>
      </c>
      <c r="BE123" s="38">
        <f>+'QTR Raw'!AA96</f>
        <v>0</v>
      </c>
      <c r="BF123" s="38">
        <f>+BE123</f>
        <v>0</v>
      </c>
      <c r="BG123" s="38">
        <f>+'QTR Raw'!AC96</f>
        <v>0</v>
      </c>
      <c r="BH123" s="38">
        <f>+BG123</f>
        <v>0</v>
      </c>
      <c r="BI123" s="38">
        <f>+'QTR Raw'!AE96</f>
        <v>0</v>
      </c>
      <c r="BJ123" s="38">
        <f>+BI123</f>
        <v>0</v>
      </c>
      <c r="BK123" s="38">
        <f>+'QTR Raw'!AG96</f>
        <v>0</v>
      </c>
      <c r="BL123" s="38">
        <f>+BK123</f>
        <v>0</v>
      </c>
      <c r="BM123" s="38">
        <f>+'QTR Raw'!AI96</f>
        <v>0</v>
      </c>
      <c r="BN123" s="38">
        <f>+BM123</f>
        <v>0</v>
      </c>
      <c r="BO123" s="38">
        <f>+'QTR Raw'!AK96</f>
        <v>0</v>
      </c>
      <c r="BP123" s="38">
        <f>+BO123</f>
        <v>0</v>
      </c>
      <c r="BQ123" s="38">
        <f>+'QTR Raw'!AM96</f>
        <v>0</v>
      </c>
      <c r="BR123" s="38">
        <f>+BQ123</f>
        <v>0</v>
      </c>
      <c r="BS123" s="38">
        <f>+'QTR Raw'!AO96</f>
        <v>0</v>
      </c>
      <c r="BT123" s="38">
        <f>+BS123</f>
        <v>0</v>
      </c>
      <c r="BU123" s="38">
        <f>+'QTR Raw'!AQ96</f>
        <v>0</v>
      </c>
      <c r="BV123" s="38">
        <f>+BU123</f>
        <v>0</v>
      </c>
      <c r="BW123" s="38">
        <f>+'QTR Raw'!AS96</f>
        <v>0</v>
      </c>
      <c r="BX123" s="38">
        <f>+BW123</f>
        <v>0</v>
      </c>
      <c r="BY123" s="38">
        <f>+'QTR Raw'!AU96</f>
        <v>0</v>
      </c>
      <c r="BZ123" s="39">
        <f>+BY123</f>
        <v>0</v>
      </c>
      <c r="CA123" s="39">
        <f t="shared" ref="CA123:CO123" si="1164">+BZ123</f>
        <v>0</v>
      </c>
      <c r="CB123" s="39">
        <f t="shared" si="1164"/>
        <v>0</v>
      </c>
      <c r="CC123" s="39">
        <f t="shared" si="1164"/>
        <v>0</v>
      </c>
      <c r="CD123" s="39">
        <f t="shared" si="1164"/>
        <v>0</v>
      </c>
      <c r="CE123" s="39">
        <f t="shared" si="1164"/>
        <v>0</v>
      </c>
      <c r="CF123" s="39">
        <f t="shared" si="1164"/>
        <v>0</v>
      </c>
      <c r="CG123" s="39">
        <f t="shared" si="1164"/>
        <v>0</v>
      </c>
      <c r="CH123" s="39">
        <f t="shared" si="1164"/>
        <v>0</v>
      </c>
      <c r="CI123" s="39">
        <f t="shared" si="1164"/>
        <v>0</v>
      </c>
      <c r="CJ123" s="39">
        <f t="shared" si="1164"/>
        <v>0</v>
      </c>
      <c r="CK123" s="39">
        <f t="shared" si="1164"/>
        <v>0</v>
      </c>
      <c r="CL123" s="39">
        <f t="shared" si="1164"/>
        <v>0</v>
      </c>
      <c r="CM123" s="39">
        <f t="shared" si="1164"/>
        <v>0</v>
      </c>
      <c r="CN123" s="39">
        <f t="shared" si="1164"/>
        <v>0</v>
      </c>
      <c r="CO123" s="39">
        <f t="shared" si="1164"/>
        <v>0</v>
      </c>
    </row>
    <row r="124" spans="1:93" s="38" customFormat="1" x14ac:dyDescent="0.2">
      <c r="A124" s="38" t="s">
        <v>231</v>
      </c>
      <c r="B124" s="38">
        <f>+'Annual Raw'!C130</f>
        <v>0</v>
      </c>
      <c r="C124" s="38">
        <f>+'Annual Raw'!D130</f>
        <v>0</v>
      </c>
      <c r="D124" s="38">
        <f>+'Annual Raw'!E130</f>
        <v>0</v>
      </c>
      <c r="E124" s="38">
        <f>+'Annual Raw'!F130</f>
        <v>0</v>
      </c>
      <c r="F124" s="38">
        <f>+'Annual Raw'!G130</f>
        <v>0</v>
      </c>
      <c r="G124" s="38">
        <f>+'Annual Raw'!H130</f>
        <v>0</v>
      </c>
      <c r="H124" s="38">
        <f>+'Annual Raw'!I130</f>
        <v>0</v>
      </c>
      <c r="I124" s="38">
        <f>+'Annual Raw'!J130</f>
        <v>0</v>
      </c>
      <c r="J124" s="38">
        <f>+'Annual Raw'!K130</f>
        <v>0</v>
      </c>
      <c r="K124" s="38">
        <f>+'Annual Raw'!L130</f>
        <v>0</v>
      </c>
      <c r="L124" s="38">
        <f>+'Annual Raw'!M130</f>
        <v>0</v>
      </c>
      <c r="M124" s="38">
        <f>+'Annual Raw'!N130</f>
        <v>0</v>
      </c>
      <c r="N124" s="38">
        <f>+'Annual Raw'!O130</f>
        <v>0</v>
      </c>
      <c r="O124" s="38">
        <f>+'Annual Raw'!P130</f>
        <v>0</v>
      </c>
      <c r="P124" s="38">
        <f>+'Annual Raw'!Q130</f>
        <v>0</v>
      </c>
      <c r="Q124" s="38">
        <f>+'Annual Raw'!R130</f>
        <v>0</v>
      </c>
      <c r="R124" s="38">
        <f>+'Annual Raw'!S130</f>
        <v>0</v>
      </c>
      <c r="S124" s="38">
        <f>+'Annual Raw'!T130</f>
        <v>0</v>
      </c>
      <c r="T124" s="38">
        <f>+'Annual Raw'!U130</f>
        <v>0</v>
      </c>
      <c r="U124" s="38">
        <f>+'Annual Raw'!V130</f>
        <v>0</v>
      </c>
      <c r="V124" s="38">
        <f>+'Annual Raw'!W130</f>
        <v>0</v>
      </c>
      <c r="W124" s="38">
        <f>+'Annual Raw'!X130</f>
        <v>0</v>
      </c>
      <c r="X124" s="38">
        <f>+'Annual Raw'!Y130</f>
        <v>0</v>
      </c>
      <c r="Y124" s="38">
        <f>+'Annual Raw'!Z130</f>
        <v>0</v>
      </c>
      <c r="Z124" s="38">
        <f>+'Annual Raw'!AA130</f>
        <v>0</v>
      </c>
      <c r="AA124" s="39"/>
      <c r="AB124" s="39"/>
      <c r="AC124" s="39"/>
      <c r="AD124" s="39"/>
      <c r="AE124" s="39"/>
      <c r="AG124" s="60"/>
      <c r="AH124" s="38">
        <f>+'QTR Raw'!D95</f>
        <v>0</v>
      </c>
      <c r="AI124" s="38">
        <f>+'QTR Raw'!E95</f>
        <v>0</v>
      </c>
      <c r="AK124" s="38">
        <f>+'QTR Raw'!G95</f>
        <v>0</v>
      </c>
      <c r="AM124" s="38">
        <f>+'QTR Raw'!I95</f>
        <v>0</v>
      </c>
      <c r="AO124" s="38">
        <f>+'QTR Raw'!K95</f>
        <v>0</v>
      </c>
      <c r="AQ124" s="38">
        <f>+'QTR Raw'!M95</f>
        <v>0</v>
      </c>
      <c r="AS124" s="38">
        <f>+'QTR Raw'!O95</f>
        <v>0</v>
      </c>
      <c r="AU124" s="38">
        <f>+'QTR Raw'!Q95</f>
        <v>0</v>
      </c>
      <c r="AW124" s="38">
        <f>+'QTR Raw'!S95</f>
        <v>0</v>
      </c>
      <c r="AY124" s="38">
        <f>+'QTR Raw'!U95</f>
        <v>0</v>
      </c>
      <c r="BA124" s="38">
        <f>+'QTR Raw'!W95</f>
        <v>0</v>
      </c>
      <c r="BC124" s="38">
        <f>+'QTR Raw'!Y95</f>
        <v>0</v>
      </c>
      <c r="BE124" s="38">
        <f>+'QTR Raw'!AA95</f>
        <v>0</v>
      </c>
      <c r="BG124" s="38">
        <f>+'QTR Raw'!AC95</f>
        <v>0</v>
      </c>
      <c r="BI124" s="38">
        <f>+'QTR Raw'!AE95</f>
        <v>0</v>
      </c>
      <c r="BK124" s="38">
        <f>+'QTR Raw'!AG95</f>
        <v>0</v>
      </c>
      <c r="BM124" s="38">
        <f>+'QTR Raw'!AI95</f>
        <v>0</v>
      </c>
      <c r="BO124" s="38">
        <f>+'QTR Raw'!AK95</f>
        <v>0</v>
      </c>
      <c r="BQ124" s="38">
        <f>+'QTR Raw'!AM95</f>
        <v>0</v>
      </c>
      <c r="BS124" s="38">
        <f>+'QTR Raw'!AO95</f>
        <v>0</v>
      </c>
      <c r="BU124" s="38">
        <f>+'QTR Raw'!AQ95</f>
        <v>0</v>
      </c>
      <c r="BW124" s="38">
        <f>+'QTR Raw'!AS95</f>
        <v>0</v>
      </c>
      <c r="BY124" s="38">
        <f>+'QTR Raw'!AU95</f>
        <v>0</v>
      </c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3" s="40" customFormat="1" x14ac:dyDescent="0.2">
      <c r="A125" s="40" t="s">
        <v>51</v>
      </c>
      <c r="B125" s="40">
        <f t="shared" ref="B125:AE125" si="1165">B121+B113+B123+B111+B124+B109</f>
        <v>0</v>
      </c>
      <c r="C125" s="40">
        <f t="shared" si="1165"/>
        <v>0</v>
      </c>
      <c r="D125" s="40">
        <f t="shared" si="1165"/>
        <v>0</v>
      </c>
      <c r="E125" s="40">
        <f t="shared" si="1165"/>
        <v>0</v>
      </c>
      <c r="F125" s="40">
        <f t="shared" si="1165"/>
        <v>0</v>
      </c>
      <c r="G125" s="40">
        <f t="shared" si="1165"/>
        <v>0</v>
      </c>
      <c r="H125" s="40">
        <f t="shared" si="1165"/>
        <v>0</v>
      </c>
      <c r="I125" s="40">
        <f t="shared" si="1165"/>
        <v>0</v>
      </c>
      <c r="J125" s="40">
        <f t="shared" si="1165"/>
        <v>0</v>
      </c>
      <c r="K125" s="40">
        <f t="shared" si="1165"/>
        <v>0</v>
      </c>
      <c r="L125" s="40">
        <f t="shared" si="1165"/>
        <v>0</v>
      </c>
      <c r="M125" s="40">
        <f t="shared" si="1165"/>
        <v>0</v>
      </c>
      <c r="N125" s="40">
        <f t="shared" si="1165"/>
        <v>0</v>
      </c>
      <c r="O125" s="40">
        <f t="shared" si="1165"/>
        <v>0</v>
      </c>
      <c r="P125" s="40">
        <f t="shared" si="1165"/>
        <v>0</v>
      </c>
      <c r="Q125" s="40">
        <f t="shared" si="1165"/>
        <v>0</v>
      </c>
      <c r="R125" s="40">
        <f t="shared" si="1165"/>
        <v>0</v>
      </c>
      <c r="S125" s="40">
        <f t="shared" si="1165"/>
        <v>0</v>
      </c>
      <c r="T125" s="40">
        <f t="shared" si="1165"/>
        <v>0</v>
      </c>
      <c r="U125" s="40">
        <f t="shared" si="1165"/>
        <v>0</v>
      </c>
      <c r="V125" s="40">
        <f t="shared" si="1165"/>
        <v>0</v>
      </c>
      <c r="W125" s="40">
        <f t="shared" si="1165"/>
        <v>0</v>
      </c>
      <c r="X125" s="40">
        <f t="shared" si="1165"/>
        <v>0</v>
      </c>
      <c r="Y125" s="40">
        <f t="shared" si="1165"/>
        <v>0</v>
      </c>
      <c r="Z125" s="40">
        <f t="shared" si="1165"/>
        <v>0</v>
      </c>
      <c r="AA125" s="41">
        <f t="shared" si="1165"/>
        <v>0</v>
      </c>
      <c r="AB125" s="41" t="e">
        <f t="shared" si="1165"/>
        <v>#DIV/0!</v>
      </c>
      <c r="AC125" s="41" t="e">
        <f t="shared" si="1165"/>
        <v>#DIV/0!</v>
      </c>
      <c r="AD125" s="41" t="e">
        <f t="shared" si="1165"/>
        <v>#DIV/0!</v>
      </c>
      <c r="AE125" s="41" t="e">
        <f t="shared" si="1165"/>
        <v>#DIV/0!</v>
      </c>
      <c r="AG125" s="61"/>
      <c r="AH125" s="40" t="e">
        <f t="shared" ref="AH125:BN125" si="1166">AH121+AH113+AH123+AH111+AH124+AH109</f>
        <v>#REF!</v>
      </c>
      <c r="AI125" s="40">
        <f t="shared" ref="AI125:AJ125" si="1167">AI121+AI113+AI123+AI111+AI124+AI109</f>
        <v>0</v>
      </c>
      <c r="AJ125" s="40">
        <f t="shared" si="1167"/>
        <v>0</v>
      </c>
      <c r="AK125" s="40">
        <f t="shared" ref="AK125:AL125" si="1168">AK121+AK113+AK123+AK111+AK124+AK109</f>
        <v>0</v>
      </c>
      <c r="AL125" s="40">
        <f t="shared" si="1168"/>
        <v>0</v>
      </c>
      <c r="AM125" s="40">
        <f t="shared" ref="AM125:AN125" si="1169">AM121+AM113+AM123+AM111+AM124+AM109</f>
        <v>0</v>
      </c>
      <c r="AN125" s="40">
        <f t="shared" si="1169"/>
        <v>0</v>
      </c>
      <c r="AO125" s="40">
        <f t="shared" ref="AO125:AP125" si="1170">AO121+AO113+AO123+AO111+AO124+AO109</f>
        <v>0</v>
      </c>
      <c r="AP125" s="40">
        <f t="shared" si="1170"/>
        <v>0</v>
      </c>
      <c r="AQ125" s="40">
        <f t="shared" ref="AQ125:AR125" si="1171">AQ121+AQ113+AQ123+AQ111+AQ124+AQ109</f>
        <v>0</v>
      </c>
      <c r="AR125" s="40">
        <f t="shared" si="1171"/>
        <v>0</v>
      </c>
      <c r="AS125" s="40">
        <f t="shared" ref="AS125:AT125" si="1172">AS121+AS113+AS123+AS111+AS124+AS109</f>
        <v>0</v>
      </c>
      <c r="AT125" s="40">
        <f t="shared" si="1172"/>
        <v>0</v>
      </c>
      <c r="AU125" s="40">
        <f t="shared" ref="AU125:AV125" si="1173">AU121+AU113+AU123+AU111+AU124+AU109</f>
        <v>0</v>
      </c>
      <c r="AV125" s="40">
        <f t="shared" si="1173"/>
        <v>0</v>
      </c>
      <c r="AW125" s="40">
        <f t="shared" ref="AW125:AX125" si="1174">AW121+AW113+AW123+AW111+AW124+AW109</f>
        <v>0</v>
      </c>
      <c r="AX125" s="40">
        <f t="shared" si="1174"/>
        <v>0</v>
      </c>
      <c r="AY125" s="40">
        <f t="shared" ref="AY125:AZ125" si="1175">AY121+AY113+AY123+AY111+AY124+AY109</f>
        <v>0</v>
      </c>
      <c r="AZ125" s="40">
        <f t="shared" si="1175"/>
        <v>0</v>
      </c>
      <c r="BA125" s="40">
        <f t="shared" ref="BA125:BB125" si="1176">BA121+BA113+BA123+BA111+BA124+BA109</f>
        <v>0</v>
      </c>
      <c r="BB125" s="40">
        <f t="shared" si="1176"/>
        <v>0</v>
      </c>
      <c r="BC125" s="40">
        <f t="shared" ref="BC125:BD125" si="1177">BC121+BC113+BC123+BC111+BC124+BC109</f>
        <v>0</v>
      </c>
      <c r="BD125" s="40">
        <f t="shared" si="1177"/>
        <v>0</v>
      </c>
      <c r="BE125" s="40">
        <f t="shared" ref="BE125:BF125" si="1178">BE121+BE113+BE123+BE111+BE124+BE109</f>
        <v>0</v>
      </c>
      <c r="BF125" s="40">
        <f t="shared" si="1178"/>
        <v>0</v>
      </c>
      <c r="BG125" s="40">
        <f t="shared" ref="BG125:BH125" si="1179">BG121+BG113+BG123+BG111+BG124+BG109</f>
        <v>0</v>
      </c>
      <c r="BH125" s="40">
        <f t="shared" si="1179"/>
        <v>0</v>
      </c>
      <c r="BI125" s="40">
        <f t="shared" ref="BI125:BJ125" si="1180">BI121+BI113+BI123+BI111+BI124+BI109</f>
        <v>0</v>
      </c>
      <c r="BJ125" s="40">
        <f t="shared" si="1180"/>
        <v>0</v>
      </c>
      <c r="BK125" s="40">
        <f t="shared" si="1166"/>
        <v>0</v>
      </c>
      <c r="BL125" s="40">
        <f t="shared" si="1166"/>
        <v>0</v>
      </c>
      <c r="BM125" s="40">
        <f t="shared" si="1166"/>
        <v>0</v>
      </c>
      <c r="BN125" s="40" t="e">
        <f t="shared" si="1166"/>
        <v>#DIV/0!</v>
      </c>
      <c r="BO125" s="40">
        <f t="shared" ref="BO125:BP125" si="1181">BO121+BO113+BO123+BO111+BO124+BO109</f>
        <v>0</v>
      </c>
      <c r="BP125" s="40" t="e">
        <f t="shared" si="1181"/>
        <v>#DIV/0!</v>
      </c>
      <c r="BQ125" s="40">
        <f t="shared" ref="BQ125:BR125" si="1182">BQ121+BQ113+BQ123+BQ111+BQ124+BQ109</f>
        <v>0</v>
      </c>
      <c r="BR125" s="40" t="e">
        <f t="shared" si="1182"/>
        <v>#DIV/0!</v>
      </c>
      <c r="BS125" s="40">
        <f t="shared" ref="BS125:BT125" si="1183">BS121+BS113+BS123+BS111+BS124+BS109</f>
        <v>0</v>
      </c>
      <c r="BT125" s="40">
        <f t="shared" si="1183"/>
        <v>0</v>
      </c>
      <c r="BU125" s="40">
        <f t="shared" ref="BU125:BV125" si="1184">BU121+BU113+BU123+BU111+BU124+BU109</f>
        <v>0</v>
      </c>
      <c r="BV125" s="40">
        <f t="shared" si="1184"/>
        <v>0</v>
      </c>
      <c r="BW125" s="40">
        <f t="shared" ref="BW125:CO125" si="1185">BW121+BW113+BW123+BW111+BW124+BW109</f>
        <v>0</v>
      </c>
      <c r="BX125" s="40">
        <f t="shared" si="1185"/>
        <v>0</v>
      </c>
      <c r="BY125" s="40">
        <f t="shared" si="1185"/>
        <v>0</v>
      </c>
      <c r="BZ125" s="41" t="e">
        <f t="shared" si="1185"/>
        <v>#DIV/0!</v>
      </c>
      <c r="CA125" s="41" t="e">
        <f t="shared" si="1185"/>
        <v>#DIV/0!</v>
      </c>
      <c r="CB125" s="41" t="e">
        <f t="shared" si="1185"/>
        <v>#DIV/0!</v>
      </c>
      <c r="CC125" s="41" t="e">
        <f t="shared" si="1185"/>
        <v>#DIV/0!</v>
      </c>
      <c r="CD125" s="41" t="e">
        <f t="shared" si="1185"/>
        <v>#DIV/0!</v>
      </c>
      <c r="CE125" s="41" t="e">
        <f t="shared" si="1185"/>
        <v>#DIV/0!</v>
      </c>
      <c r="CF125" s="41" t="e">
        <f t="shared" si="1185"/>
        <v>#DIV/0!</v>
      </c>
      <c r="CG125" s="41" t="e">
        <f t="shared" si="1185"/>
        <v>#DIV/0!</v>
      </c>
      <c r="CH125" s="41" t="e">
        <f t="shared" si="1185"/>
        <v>#DIV/0!</v>
      </c>
      <c r="CI125" s="41" t="e">
        <f t="shared" si="1185"/>
        <v>#DIV/0!</v>
      </c>
      <c r="CJ125" s="41" t="e">
        <f t="shared" si="1185"/>
        <v>#DIV/0!</v>
      </c>
      <c r="CK125" s="41" t="e">
        <f t="shared" si="1185"/>
        <v>#DIV/0!</v>
      </c>
      <c r="CL125" s="41" t="e">
        <f t="shared" si="1185"/>
        <v>#DIV/0!</v>
      </c>
      <c r="CM125" s="41" t="e">
        <f t="shared" si="1185"/>
        <v>#DIV/0!</v>
      </c>
      <c r="CN125" s="41" t="e">
        <f t="shared" si="1185"/>
        <v>#DIV/0!</v>
      </c>
      <c r="CO125" s="41" t="e">
        <f t="shared" si="1185"/>
        <v>#DIV/0!</v>
      </c>
    </row>
    <row r="126" spans="1:93" s="38" customFormat="1" x14ac:dyDescent="0.2">
      <c r="A126" s="38" t="s">
        <v>280</v>
      </c>
      <c r="B126" s="38">
        <f t="shared" ref="B126:AE126" si="1186">B125-B106</f>
        <v>0</v>
      </c>
      <c r="C126" s="38">
        <f t="shared" si="1186"/>
        <v>0</v>
      </c>
      <c r="D126" s="38">
        <f t="shared" si="1186"/>
        <v>0</v>
      </c>
      <c r="E126" s="38">
        <f t="shared" si="1186"/>
        <v>0</v>
      </c>
      <c r="F126" s="38">
        <f t="shared" si="1186"/>
        <v>0</v>
      </c>
      <c r="G126" s="38">
        <f t="shared" si="1186"/>
        <v>0</v>
      </c>
      <c r="H126" s="38">
        <f t="shared" si="1186"/>
        <v>0</v>
      </c>
      <c r="I126" s="38">
        <f t="shared" si="1186"/>
        <v>0</v>
      </c>
      <c r="J126" s="38">
        <f t="shared" si="1186"/>
        <v>0</v>
      </c>
      <c r="K126" s="38">
        <f t="shared" si="1186"/>
        <v>0</v>
      </c>
      <c r="L126" s="38">
        <f t="shared" si="1186"/>
        <v>0</v>
      </c>
      <c r="M126" s="38">
        <f t="shared" si="1186"/>
        <v>0</v>
      </c>
      <c r="N126" s="38">
        <f t="shared" si="1186"/>
        <v>0</v>
      </c>
      <c r="O126" s="38">
        <f t="shared" si="1186"/>
        <v>0</v>
      </c>
      <c r="P126" s="38">
        <f t="shared" si="1186"/>
        <v>0</v>
      </c>
      <c r="Q126" s="38">
        <f t="shared" si="1186"/>
        <v>0</v>
      </c>
      <c r="R126" s="38">
        <f t="shared" si="1186"/>
        <v>0</v>
      </c>
      <c r="S126" s="38">
        <f t="shared" si="1186"/>
        <v>0</v>
      </c>
      <c r="T126" s="38">
        <f t="shared" si="1186"/>
        <v>0</v>
      </c>
      <c r="U126" s="38">
        <f t="shared" si="1186"/>
        <v>0</v>
      </c>
      <c r="V126" s="38">
        <f t="shared" si="1186"/>
        <v>0</v>
      </c>
      <c r="W126" s="38">
        <f t="shared" si="1186"/>
        <v>0</v>
      </c>
      <c r="X126" s="38">
        <f t="shared" si="1186"/>
        <v>0</v>
      </c>
      <c r="Y126" s="38">
        <f t="shared" si="1186"/>
        <v>0</v>
      </c>
      <c r="Z126" s="38">
        <f t="shared" si="1186"/>
        <v>0</v>
      </c>
      <c r="AA126" s="39">
        <f t="shared" si="1186"/>
        <v>0</v>
      </c>
      <c r="AB126" s="39" t="e">
        <f t="shared" si="1186"/>
        <v>#DIV/0!</v>
      </c>
      <c r="AC126" s="39" t="e">
        <f t="shared" si="1186"/>
        <v>#DIV/0!</v>
      </c>
      <c r="AD126" s="39" t="e">
        <f t="shared" si="1186"/>
        <v>#DIV/0!</v>
      </c>
      <c r="AE126" s="39" t="e">
        <f t="shared" si="1186"/>
        <v>#DIV/0!</v>
      </c>
      <c r="AG126" s="60"/>
      <c r="AH126" s="38" t="e">
        <f t="shared" ref="AH126:BN126" si="1187">AH125-AH106</f>
        <v>#REF!</v>
      </c>
      <c r="AI126" s="38">
        <f t="shared" ref="AI126:AJ126" si="1188">AI125-AI106</f>
        <v>0</v>
      </c>
      <c r="AJ126" s="38">
        <f t="shared" si="1188"/>
        <v>0</v>
      </c>
      <c r="AK126" s="38">
        <f t="shared" ref="AK126:AL126" si="1189">AK125-AK106</f>
        <v>0</v>
      </c>
      <c r="AL126" s="38">
        <f t="shared" si="1189"/>
        <v>0</v>
      </c>
      <c r="AM126" s="38">
        <f t="shared" ref="AM126:AN126" si="1190">AM125-AM106</f>
        <v>0</v>
      </c>
      <c r="AN126" s="38">
        <f t="shared" si="1190"/>
        <v>0</v>
      </c>
      <c r="AO126" s="38">
        <f t="shared" ref="AO126:AP126" si="1191">AO125-AO106</f>
        <v>0</v>
      </c>
      <c r="AP126" s="38">
        <f t="shared" si="1191"/>
        <v>0</v>
      </c>
      <c r="AQ126" s="38">
        <f t="shared" ref="AQ126:AR126" si="1192">AQ125-AQ106</f>
        <v>0</v>
      </c>
      <c r="AR126" s="38">
        <f t="shared" si="1192"/>
        <v>0</v>
      </c>
      <c r="AS126" s="38">
        <f t="shared" ref="AS126:AT126" si="1193">AS125-AS106</f>
        <v>0</v>
      </c>
      <c r="AT126" s="38">
        <f t="shared" si="1193"/>
        <v>0</v>
      </c>
      <c r="AU126" s="38">
        <f t="shared" ref="AU126:AV126" si="1194">AU125-AU106</f>
        <v>0</v>
      </c>
      <c r="AV126" s="38">
        <f t="shared" si="1194"/>
        <v>0</v>
      </c>
      <c r="AW126" s="38">
        <f t="shared" ref="AW126:AX126" si="1195">AW125-AW106</f>
        <v>0</v>
      </c>
      <c r="AX126" s="38">
        <f t="shared" si="1195"/>
        <v>0</v>
      </c>
      <c r="AY126" s="38">
        <f t="shared" ref="AY126:AZ126" si="1196">AY125-AY106</f>
        <v>0</v>
      </c>
      <c r="AZ126" s="38">
        <f t="shared" si="1196"/>
        <v>0</v>
      </c>
      <c r="BA126" s="38">
        <f t="shared" ref="BA126:BB126" si="1197">BA125-BA106</f>
        <v>0</v>
      </c>
      <c r="BB126" s="38">
        <f t="shared" si="1197"/>
        <v>0</v>
      </c>
      <c r="BC126" s="38">
        <f t="shared" ref="BC126:BD126" si="1198">BC125-BC106</f>
        <v>0</v>
      </c>
      <c r="BD126" s="38">
        <f t="shared" si="1198"/>
        <v>0</v>
      </c>
      <c r="BE126" s="38">
        <f t="shared" ref="BE126:BF126" si="1199">BE125-BE106</f>
        <v>0</v>
      </c>
      <c r="BF126" s="38">
        <f t="shared" si="1199"/>
        <v>0</v>
      </c>
      <c r="BG126" s="38">
        <f t="shared" ref="BG126:BH126" si="1200">BG125-BG106</f>
        <v>0</v>
      </c>
      <c r="BH126" s="38">
        <f t="shared" si="1200"/>
        <v>0</v>
      </c>
      <c r="BI126" s="38">
        <f t="shared" ref="BI126:BJ126" si="1201">BI125-BI106</f>
        <v>0</v>
      </c>
      <c r="BJ126" s="38">
        <f t="shared" si="1201"/>
        <v>0</v>
      </c>
      <c r="BK126" s="38">
        <f t="shared" si="1187"/>
        <v>0</v>
      </c>
      <c r="BL126" s="38">
        <f t="shared" si="1187"/>
        <v>0</v>
      </c>
      <c r="BM126" s="38">
        <f t="shared" si="1187"/>
        <v>0</v>
      </c>
      <c r="BN126" s="38" t="e">
        <f t="shared" si="1187"/>
        <v>#DIV/0!</v>
      </c>
      <c r="BO126" s="38">
        <f t="shared" ref="BO126:BP126" si="1202">BO125-BO106</f>
        <v>0</v>
      </c>
      <c r="BP126" s="38" t="e">
        <f t="shared" si="1202"/>
        <v>#DIV/0!</v>
      </c>
      <c r="BQ126" s="38">
        <f t="shared" ref="BQ126:BR126" si="1203">BQ125-BQ106</f>
        <v>0</v>
      </c>
      <c r="BR126" s="38" t="e">
        <f t="shared" si="1203"/>
        <v>#DIV/0!</v>
      </c>
      <c r="BS126" s="38">
        <f t="shared" ref="BS126:BT126" si="1204">BS125-BS106</f>
        <v>0</v>
      </c>
      <c r="BT126" s="38">
        <f t="shared" si="1204"/>
        <v>0</v>
      </c>
      <c r="BU126" s="38">
        <f t="shared" ref="BU126:BV126" si="1205">BU125-BU106</f>
        <v>0</v>
      </c>
      <c r="BV126" s="38">
        <f t="shared" si="1205"/>
        <v>0</v>
      </c>
      <c r="BW126" s="38">
        <f t="shared" ref="BW126:CO126" si="1206">BW125-BW106</f>
        <v>0</v>
      </c>
      <c r="BX126" s="38">
        <f t="shared" si="1206"/>
        <v>0</v>
      </c>
      <c r="BY126" s="38">
        <f t="shared" si="1206"/>
        <v>0</v>
      </c>
      <c r="BZ126" s="39" t="e">
        <f t="shared" si="1206"/>
        <v>#DIV/0!</v>
      </c>
      <c r="CA126" s="39" t="e">
        <f t="shared" si="1206"/>
        <v>#DIV/0!</v>
      </c>
      <c r="CB126" s="39" t="e">
        <f t="shared" si="1206"/>
        <v>#DIV/0!</v>
      </c>
      <c r="CC126" s="39" t="e">
        <f t="shared" si="1206"/>
        <v>#DIV/0!</v>
      </c>
      <c r="CD126" s="39" t="e">
        <f t="shared" si="1206"/>
        <v>#DIV/0!</v>
      </c>
      <c r="CE126" s="39" t="e">
        <f t="shared" si="1206"/>
        <v>#DIV/0!</v>
      </c>
      <c r="CF126" s="39" t="e">
        <f t="shared" si="1206"/>
        <v>#DIV/0!</v>
      </c>
      <c r="CG126" s="39" t="e">
        <f t="shared" si="1206"/>
        <v>#DIV/0!</v>
      </c>
      <c r="CH126" s="39" t="e">
        <f t="shared" si="1206"/>
        <v>#DIV/0!</v>
      </c>
      <c r="CI126" s="39" t="e">
        <f t="shared" si="1206"/>
        <v>#DIV/0!</v>
      </c>
      <c r="CJ126" s="39" t="e">
        <f t="shared" si="1206"/>
        <v>#DIV/0!</v>
      </c>
      <c r="CK126" s="39" t="e">
        <f t="shared" si="1206"/>
        <v>#DIV/0!</v>
      </c>
      <c r="CL126" s="39" t="e">
        <f t="shared" si="1206"/>
        <v>#DIV/0!</v>
      </c>
      <c r="CM126" s="39" t="e">
        <f t="shared" si="1206"/>
        <v>#DIV/0!</v>
      </c>
      <c r="CN126" s="39" t="e">
        <f t="shared" si="1206"/>
        <v>#DIV/0!</v>
      </c>
      <c r="CO126" s="39" t="e">
        <f t="shared" si="1206"/>
        <v>#DIV/0!</v>
      </c>
    </row>
    <row r="127" spans="1:93" s="38" customFormat="1" x14ac:dyDescent="0.2">
      <c r="A127" s="117" t="s">
        <v>170</v>
      </c>
      <c r="AA127" s="39"/>
      <c r="AB127" s="39"/>
      <c r="AC127" s="39"/>
      <c r="AD127" s="39"/>
      <c r="AE127" s="39"/>
      <c r="AG127" s="60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3" s="38" customFormat="1" x14ac:dyDescent="0.2">
      <c r="A128" s="47"/>
      <c r="AA128" s="39"/>
      <c r="AB128" s="39"/>
      <c r="AC128" s="39"/>
      <c r="AD128" s="39"/>
      <c r="AE128" s="39"/>
      <c r="AG128" s="60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spans="1:93" s="38" customFormat="1" x14ac:dyDescent="0.2">
      <c r="A129" s="38" t="s">
        <v>49</v>
      </c>
      <c r="B129" s="38" t="e">
        <f t="shared" ref="B129:AE129" si="1207">+B105/B97</f>
        <v>#DIV/0!</v>
      </c>
      <c r="C129" s="38" t="e">
        <f t="shared" si="1207"/>
        <v>#DIV/0!</v>
      </c>
      <c r="D129" s="38" t="e">
        <f t="shared" si="1207"/>
        <v>#DIV/0!</v>
      </c>
      <c r="E129" s="38" t="e">
        <f t="shared" si="1207"/>
        <v>#DIV/0!</v>
      </c>
      <c r="F129" s="38" t="e">
        <f t="shared" si="1207"/>
        <v>#DIV/0!</v>
      </c>
      <c r="G129" s="38" t="e">
        <f t="shared" si="1207"/>
        <v>#DIV/0!</v>
      </c>
      <c r="H129" s="38" t="e">
        <f t="shared" si="1207"/>
        <v>#DIV/0!</v>
      </c>
      <c r="I129" s="38" t="e">
        <f t="shared" si="1207"/>
        <v>#DIV/0!</v>
      </c>
      <c r="J129" s="38" t="e">
        <f t="shared" si="1207"/>
        <v>#DIV/0!</v>
      </c>
      <c r="K129" s="38" t="e">
        <f t="shared" si="1207"/>
        <v>#DIV/0!</v>
      </c>
      <c r="L129" s="38" t="e">
        <f t="shared" si="1207"/>
        <v>#DIV/0!</v>
      </c>
      <c r="M129" s="38" t="e">
        <f t="shared" si="1207"/>
        <v>#DIV/0!</v>
      </c>
      <c r="N129" s="38" t="e">
        <f t="shared" si="1207"/>
        <v>#DIV/0!</v>
      </c>
      <c r="O129" s="38" t="e">
        <f t="shared" si="1207"/>
        <v>#DIV/0!</v>
      </c>
      <c r="P129" s="38" t="e">
        <f t="shared" si="1207"/>
        <v>#DIV/0!</v>
      </c>
      <c r="Q129" s="38" t="e">
        <f t="shared" si="1207"/>
        <v>#DIV/0!</v>
      </c>
      <c r="R129" s="38" t="e">
        <f t="shared" si="1207"/>
        <v>#DIV/0!</v>
      </c>
      <c r="S129" s="38" t="e">
        <f t="shared" si="1207"/>
        <v>#DIV/0!</v>
      </c>
      <c r="T129" s="38" t="e">
        <f t="shared" si="1207"/>
        <v>#DIV/0!</v>
      </c>
      <c r="U129" s="38" t="e">
        <f t="shared" si="1207"/>
        <v>#DIV/0!</v>
      </c>
      <c r="V129" s="38" t="e">
        <f t="shared" si="1207"/>
        <v>#DIV/0!</v>
      </c>
      <c r="W129" s="38" t="e">
        <f t="shared" si="1207"/>
        <v>#DIV/0!</v>
      </c>
      <c r="X129" s="38" t="e">
        <f t="shared" si="1207"/>
        <v>#DIV/0!</v>
      </c>
      <c r="Y129" s="38" t="e">
        <f t="shared" si="1207"/>
        <v>#DIV/0!</v>
      </c>
      <c r="Z129" s="38" t="e">
        <f t="shared" si="1207"/>
        <v>#DIV/0!</v>
      </c>
      <c r="AA129" s="39" t="e">
        <f t="shared" si="1207"/>
        <v>#DIV/0!</v>
      </c>
      <c r="AB129" s="39" t="e">
        <f t="shared" si="1207"/>
        <v>#DIV/0!</v>
      </c>
      <c r="AC129" s="39" t="e">
        <f t="shared" si="1207"/>
        <v>#DIV/0!</v>
      </c>
      <c r="AD129" s="39" t="e">
        <f t="shared" si="1207"/>
        <v>#DIV/0!</v>
      </c>
      <c r="AE129" s="39" t="e">
        <f t="shared" si="1207"/>
        <v>#DIV/0!</v>
      </c>
      <c r="AG129" s="60"/>
      <c r="AH129" s="38" t="e">
        <f t="shared" ref="AH129:BN129" si="1208">+AH105/AH97</f>
        <v>#DIV/0!</v>
      </c>
      <c r="AI129" s="38" t="e">
        <f t="shared" si="1208"/>
        <v>#DIV/0!</v>
      </c>
      <c r="AJ129" s="38" t="e">
        <f t="shared" si="1208"/>
        <v>#DIV/0!</v>
      </c>
      <c r="AK129" s="38" t="e">
        <f t="shared" si="1208"/>
        <v>#DIV/0!</v>
      </c>
      <c r="AL129" s="38" t="e">
        <f t="shared" si="1208"/>
        <v>#DIV/0!</v>
      </c>
      <c r="AM129" s="38" t="e">
        <f t="shared" si="1208"/>
        <v>#DIV/0!</v>
      </c>
      <c r="AN129" s="38" t="e">
        <f t="shared" si="1208"/>
        <v>#DIV/0!</v>
      </c>
      <c r="AO129" s="38" t="e">
        <f t="shared" si="1208"/>
        <v>#DIV/0!</v>
      </c>
      <c r="AP129" s="38" t="e">
        <f t="shared" si="1208"/>
        <v>#DIV/0!</v>
      </c>
      <c r="AQ129" s="38" t="e">
        <f t="shared" si="1208"/>
        <v>#DIV/0!</v>
      </c>
      <c r="AR129" s="38" t="e">
        <f t="shared" si="1208"/>
        <v>#DIV/0!</v>
      </c>
      <c r="AS129" s="38" t="e">
        <f t="shared" si="1208"/>
        <v>#DIV/0!</v>
      </c>
      <c r="AT129" s="38" t="e">
        <f t="shared" si="1208"/>
        <v>#DIV/0!</v>
      </c>
      <c r="AU129" s="38" t="e">
        <f t="shared" si="1208"/>
        <v>#DIV/0!</v>
      </c>
      <c r="AV129" s="38" t="e">
        <f t="shared" si="1208"/>
        <v>#DIV/0!</v>
      </c>
      <c r="AW129" s="38" t="e">
        <f t="shared" si="1208"/>
        <v>#DIV/0!</v>
      </c>
      <c r="AX129" s="38" t="e">
        <f t="shared" si="1208"/>
        <v>#DIV/0!</v>
      </c>
      <c r="AY129" s="38" t="e">
        <f t="shared" si="1208"/>
        <v>#DIV/0!</v>
      </c>
      <c r="AZ129" s="38" t="e">
        <f t="shared" si="1208"/>
        <v>#DIV/0!</v>
      </c>
      <c r="BA129" s="38" t="e">
        <f t="shared" si="1208"/>
        <v>#DIV/0!</v>
      </c>
      <c r="BB129" s="38" t="e">
        <f t="shared" si="1208"/>
        <v>#DIV/0!</v>
      </c>
      <c r="BC129" s="38" t="e">
        <f t="shared" si="1208"/>
        <v>#DIV/0!</v>
      </c>
      <c r="BD129" s="38" t="e">
        <f t="shared" si="1208"/>
        <v>#DIV/0!</v>
      </c>
      <c r="BE129" s="38" t="e">
        <f t="shared" si="1208"/>
        <v>#DIV/0!</v>
      </c>
      <c r="BF129" s="38" t="e">
        <f t="shared" si="1208"/>
        <v>#DIV/0!</v>
      </c>
      <c r="BG129" s="38" t="e">
        <f t="shared" si="1208"/>
        <v>#DIV/0!</v>
      </c>
      <c r="BH129" s="38" t="e">
        <f t="shared" si="1208"/>
        <v>#DIV/0!</v>
      </c>
      <c r="BI129" s="38" t="e">
        <f t="shared" si="1208"/>
        <v>#DIV/0!</v>
      </c>
      <c r="BJ129" s="38" t="e">
        <f t="shared" si="1208"/>
        <v>#DIV/0!</v>
      </c>
      <c r="BK129" s="38" t="e">
        <f t="shared" si="1208"/>
        <v>#DIV/0!</v>
      </c>
      <c r="BL129" s="38" t="e">
        <f t="shared" si="1208"/>
        <v>#DIV/0!</v>
      </c>
      <c r="BM129" s="38" t="e">
        <f t="shared" si="1208"/>
        <v>#DIV/0!</v>
      </c>
      <c r="BN129" s="38" t="e">
        <f t="shared" si="1208"/>
        <v>#DIV/0!</v>
      </c>
      <c r="BO129" s="38" t="e">
        <f t="shared" ref="BO129:BP129" si="1209">+BO105/BO97</f>
        <v>#DIV/0!</v>
      </c>
      <c r="BP129" s="38" t="e">
        <f t="shared" si="1209"/>
        <v>#DIV/0!</v>
      </c>
      <c r="BQ129" s="38" t="e">
        <f t="shared" ref="BQ129:BR129" si="1210">+BQ105/BQ97</f>
        <v>#DIV/0!</v>
      </c>
      <c r="BR129" s="38" t="e">
        <f t="shared" si="1210"/>
        <v>#DIV/0!</v>
      </c>
      <c r="BS129" s="38" t="e">
        <f t="shared" ref="BS129:BT129" si="1211">+BS105/BS97</f>
        <v>#DIV/0!</v>
      </c>
      <c r="BT129" s="38" t="e">
        <f t="shared" si="1211"/>
        <v>#DIV/0!</v>
      </c>
      <c r="BU129" s="38" t="e">
        <f t="shared" ref="BU129:BV129" si="1212">+BU105/BU97</f>
        <v>#DIV/0!</v>
      </c>
      <c r="BV129" s="38" t="e">
        <f t="shared" si="1212"/>
        <v>#DIV/0!</v>
      </c>
      <c r="BW129" s="38" t="e">
        <f t="shared" ref="BW129:CO129" si="1213">+BW105/BW97</f>
        <v>#DIV/0!</v>
      </c>
      <c r="BX129" s="38" t="e">
        <f t="shared" si="1213"/>
        <v>#DIV/0!</v>
      </c>
      <c r="BY129" s="38" t="e">
        <f t="shared" si="1213"/>
        <v>#DIV/0!</v>
      </c>
      <c r="BZ129" s="39" t="e">
        <f t="shared" si="1213"/>
        <v>#DIV/0!</v>
      </c>
      <c r="CA129" s="39" t="e">
        <f t="shared" si="1213"/>
        <v>#DIV/0!</v>
      </c>
      <c r="CB129" s="39" t="e">
        <f t="shared" si="1213"/>
        <v>#DIV/0!</v>
      </c>
      <c r="CC129" s="39" t="e">
        <f t="shared" si="1213"/>
        <v>#DIV/0!</v>
      </c>
      <c r="CD129" s="39" t="e">
        <f t="shared" si="1213"/>
        <v>#DIV/0!</v>
      </c>
      <c r="CE129" s="39" t="e">
        <f t="shared" si="1213"/>
        <v>#DIV/0!</v>
      </c>
      <c r="CF129" s="39" t="e">
        <f t="shared" si="1213"/>
        <v>#DIV/0!</v>
      </c>
      <c r="CG129" s="39" t="e">
        <f t="shared" si="1213"/>
        <v>#DIV/0!</v>
      </c>
      <c r="CH129" s="39" t="e">
        <f t="shared" si="1213"/>
        <v>#DIV/0!</v>
      </c>
      <c r="CI129" s="39" t="e">
        <f t="shared" si="1213"/>
        <v>#DIV/0!</v>
      </c>
      <c r="CJ129" s="39" t="e">
        <f t="shared" si="1213"/>
        <v>#DIV/0!</v>
      </c>
      <c r="CK129" s="39" t="e">
        <f t="shared" si="1213"/>
        <v>#DIV/0!</v>
      </c>
      <c r="CL129" s="39" t="e">
        <f t="shared" si="1213"/>
        <v>#DIV/0!</v>
      </c>
      <c r="CM129" s="39" t="e">
        <f t="shared" si="1213"/>
        <v>#DIV/0!</v>
      </c>
      <c r="CN129" s="39" t="e">
        <f t="shared" si="1213"/>
        <v>#DIV/0!</v>
      </c>
      <c r="CO129" s="39" t="e">
        <f t="shared" si="1213"/>
        <v>#DIV/0!</v>
      </c>
    </row>
    <row r="131" spans="1:93" s="94" customFormat="1" x14ac:dyDescent="0.2">
      <c r="A131" s="94" t="s">
        <v>48</v>
      </c>
      <c r="C131" s="94" t="e">
        <f t="shared" ref="C131:AE131" si="1214">+C109/B109-1</f>
        <v>#DIV/0!</v>
      </c>
      <c r="D131" s="94" t="e">
        <f t="shared" si="1214"/>
        <v>#DIV/0!</v>
      </c>
      <c r="E131" s="94" t="e">
        <f t="shared" si="1214"/>
        <v>#DIV/0!</v>
      </c>
      <c r="F131" s="125" t="e">
        <f t="shared" si="1214"/>
        <v>#DIV/0!</v>
      </c>
      <c r="G131" s="94" t="e">
        <f t="shared" si="1214"/>
        <v>#DIV/0!</v>
      </c>
      <c r="H131" s="94" t="e">
        <f t="shared" si="1214"/>
        <v>#DIV/0!</v>
      </c>
      <c r="I131" s="94" t="e">
        <f t="shared" si="1214"/>
        <v>#DIV/0!</v>
      </c>
      <c r="J131" s="94" t="e">
        <f t="shared" si="1214"/>
        <v>#DIV/0!</v>
      </c>
      <c r="K131" s="94" t="e">
        <f t="shared" si="1214"/>
        <v>#DIV/0!</v>
      </c>
      <c r="L131" s="94" t="e">
        <f t="shared" si="1214"/>
        <v>#DIV/0!</v>
      </c>
      <c r="M131" s="94" t="e">
        <f t="shared" si="1214"/>
        <v>#DIV/0!</v>
      </c>
      <c r="N131" s="94" t="e">
        <f t="shared" si="1214"/>
        <v>#DIV/0!</v>
      </c>
      <c r="O131" s="94" t="e">
        <f t="shared" si="1214"/>
        <v>#DIV/0!</v>
      </c>
      <c r="P131" s="94" t="e">
        <f t="shared" si="1214"/>
        <v>#DIV/0!</v>
      </c>
      <c r="Q131" s="94" t="e">
        <f t="shared" si="1214"/>
        <v>#DIV/0!</v>
      </c>
      <c r="R131" s="94" t="e">
        <f t="shared" si="1214"/>
        <v>#DIV/0!</v>
      </c>
      <c r="S131" s="94" t="e">
        <f t="shared" si="1214"/>
        <v>#DIV/0!</v>
      </c>
      <c r="T131" s="94" t="e">
        <f t="shared" si="1214"/>
        <v>#DIV/0!</v>
      </c>
      <c r="U131" s="94" t="e">
        <f t="shared" si="1214"/>
        <v>#DIV/0!</v>
      </c>
      <c r="V131" s="94" t="e">
        <f t="shared" si="1214"/>
        <v>#DIV/0!</v>
      </c>
      <c r="W131" s="94" t="e">
        <f t="shared" si="1214"/>
        <v>#DIV/0!</v>
      </c>
      <c r="X131" s="94" t="e">
        <f t="shared" si="1214"/>
        <v>#DIV/0!</v>
      </c>
      <c r="Y131" s="94" t="e">
        <f t="shared" si="1214"/>
        <v>#DIV/0!</v>
      </c>
      <c r="Z131" s="94" t="e">
        <f t="shared" si="1214"/>
        <v>#DIV/0!</v>
      </c>
      <c r="AA131" s="85" t="e">
        <f t="shared" si="1214"/>
        <v>#DIV/0!</v>
      </c>
      <c r="AB131" s="85" t="e">
        <f t="shared" si="1214"/>
        <v>#DIV/0!</v>
      </c>
      <c r="AC131" s="85" t="e">
        <f t="shared" si="1214"/>
        <v>#DIV/0!</v>
      </c>
      <c r="AD131" s="85" t="e">
        <f t="shared" si="1214"/>
        <v>#DIV/0!</v>
      </c>
      <c r="AE131" s="85" t="e">
        <f t="shared" si="1214"/>
        <v>#DIV/0!</v>
      </c>
      <c r="AG131" s="59"/>
      <c r="AJ131" s="94" t="e">
        <f t="shared" ref="AJ131:CG132" si="1215">+AVERAGE(AF131:AI131)</f>
        <v>#DIV/0!</v>
      </c>
      <c r="AK131" s="94" t="e">
        <f>+AK109/AG109-1</f>
        <v>#DIV/0!</v>
      </c>
      <c r="AL131" s="94" t="e">
        <f t="shared" si="1215"/>
        <v>#DIV/0!</v>
      </c>
      <c r="AM131" s="94" t="e">
        <f>+AM109/AI109-1</f>
        <v>#DIV/0!</v>
      </c>
      <c r="AN131" s="94" t="e">
        <f>+AM131</f>
        <v>#DIV/0!</v>
      </c>
      <c r="AO131" s="94" t="e">
        <f>+AO109/AK109-1</f>
        <v>#DIV/0!</v>
      </c>
      <c r="AP131" s="94" t="e">
        <f>+AVERAGE(AM131:AO131)</f>
        <v>#DIV/0!</v>
      </c>
      <c r="AQ131" s="94" t="e">
        <f>+AQ109/AM109-1</f>
        <v>#DIV/0!</v>
      </c>
      <c r="AR131" s="94" t="e">
        <f t="shared" si="1215"/>
        <v>#DIV/0!</v>
      </c>
      <c r="AS131" s="94" t="e">
        <f>+AS109/AO109-1</f>
        <v>#DIV/0!</v>
      </c>
      <c r="AT131" s="94" t="e">
        <f t="shared" si="1215"/>
        <v>#DIV/0!</v>
      </c>
      <c r="AU131" s="94" t="e">
        <f>+AU109/AQ109-1</f>
        <v>#DIV/0!</v>
      </c>
      <c r="AV131" s="94" t="e">
        <f t="shared" si="1215"/>
        <v>#DIV/0!</v>
      </c>
      <c r="AW131" s="94" t="e">
        <f>+AW109/AS109-1</f>
        <v>#DIV/0!</v>
      </c>
      <c r="AX131" s="94" t="e">
        <f t="shared" si="1215"/>
        <v>#DIV/0!</v>
      </c>
      <c r="AY131" s="94" t="e">
        <f>+AY109/AU109-1</f>
        <v>#DIV/0!</v>
      </c>
      <c r="AZ131" s="94" t="e">
        <f t="shared" si="1215"/>
        <v>#DIV/0!</v>
      </c>
      <c r="BA131" s="94" t="e">
        <f>+BA109/AW109-1</f>
        <v>#DIV/0!</v>
      </c>
      <c r="BB131" s="94" t="e">
        <f t="shared" si="1215"/>
        <v>#DIV/0!</v>
      </c>
      <c r="BC131" s="94" t="e">
        <f>+BC109/AY109-1</f>
        <v>#DIV/0!</v>
      </c>
      <c r="BD131" s="94" t="e">
        <f t="shared" si="1215"/>
        <v>#DIV/0!</v>
      </c>
      <c r="BE131" s="94" t="e">
        <f>+BE109/BA109-1</f>
        <v>#DIV/0!</v>
      </c>
      <c r="BF131" s="94" t="e">
        <f t="shared" si="1215"/>
        <v>#DIV/0!</v>
      </c>
      <c r="BG131" s="94" t="e">
        <f>+BG109/BC109-1</f>
        <v>#DIV/0!</v>
      </c>
      <c r="BH131" s="94" t="e">
        <f t="shared" si="1215"/>
        <v>#DIV/0!</v>
      </c>
      <c r="BI131" s="94" t="e">
        <f>+BI109/BE109-1</f>
        <v>#DIV/0!</v>
      </c>
      <c r="BJ131" s="94" t="e">
        <f>+BJ109/BF109-1</f>
        <v>#DIV/0!</v>
      </c>
      <c r="BK131" s="94" t="e">
        <f>+BK109/BG109-1</f>
        <v>#DIV/0!</v>
      </c>
      <c r="BL131" s="94" t="e">
        <f>+BL109/BH109-1</f>
        <v>#DIV/0!</v>
      </c>
      <c r="BM131" s="94" t="e">
        <f>+BM109/BI109-1</f>
        <v>#DIV/0!</v>
      </c>
      <c r="BN131" s="94" t="e">
        <f t="shared" si="1215"/>
        <v>#DIV/0!</v>
      </c>
      <c r="BO131" s="94" t="e">
        <f>+BO109/BK109-1</f>
        <v>#DIV/0!</v>
      </c>
      <c r="BP131" s="94" t="e">
        <f t="shared" si="1215"/>
        <v>#DIV/0!</v>
      </c>
      <c r="BQ131" s="94" t="e">
        <f>+BQ109/BM109-1</f>
        <v>#DIV/0!</v>
      </c>
      <c r="BR131" s="94" t="e">
        <f t="shared" si="1215"/>
        <v>#DIV/0!</v>
      </c>
      <c r="BS131" s="94" t="e">
        <f t="shared" ref="BS131:BY131" si="1216">+BS109/BO109-1</f>
        <v>#DIV/0!</v>
      </c>
      <c r="BT131" s="94" t="e">
        <f t="shared" si="1216"/>
        <v>#DIV/0!</v>
      </c>
      <c r="BU131" s="94" t="e">
        <f t="shared" si="1216"/>
        <v>#DIV/0!</v>
      </c>
      <c r="BV131" s="94" t="e">
        <f t="shared" si="1216"/>
        <v>#DIV/0!</v>
      </c>
      <c r="BW131" s="94" t="e">
        <f t="shared" si="1216"/>
        <v>#DIV/0!</v>
      </c>
      <c r="BX131" s="94" t="e">
        <f t="shared" si="1216"/>
        <v>#DIV/0!</v>
      </c>
      <c r="BY131" s="94" t="e">
        <f t="shared" si="1216"/>
        <v>#DIV/0!</v>
      </c>
      <c r="BZ131" s="85" t="e">
        <f t="shared" si="1215"/>
        <v>#DIV/0!</v>
      </c>
      <c r="CA131" s="85" t="e">
        <f t="shared" si="1215"/>
        <v>#DIV/0!</v>
      </c>
      <c r="CB131" s="85" t="e">
        <f t="shared" si="1215"/>
        <v>#DIV/0!</v>
      </c>
      <c r="CC131" s="85" t="e">
        <f t="shared" si="1215"/>
        <v>#DIV/0!</v>
      </c>
      <c r="CD131" s="85" t="e">
        <f t="shared" si="1215"/>
        <v>#DIV/0!</v>
      </c>
      <c r="CE131" s="85" t="e">
        <f t="shared" si="1215"/>
        <v>#DIV/0!</v>
      </c>
      <c r="CF131" s="85" t="e">
        <f t="shared" si="1215"/>
        <v>#DIV/0!</v>
      </c>
      <c r="CG131" s="85" t="e">
        <f t="shared" si="1215"/>
        <v>#DIV/0!</v>
      </c>
      <c r="CH131" s="85" t="e">
        <f t="shared" ref="CH131:CO132" si="1217">+AVERAGE(CD131:CG131)</f>
        <v>#DIV/0!</v>
      </c>
      <c r="CI131" s="85" t="e">
        <f t="shared" si="1217"/>
        <v>#DIV/0!</v>
      </c>
      <c r="CJ131" s="85" t="e">
        <f t="shared" si="1217"/>
        <v>#DIV/0!</v>
      </c>
      <c r="CK131" s="85" t="e">
        <f t="shared" si="1217"/>
        <v>#DIV/0!</v>
      </c>
      <c r="CL131" s="85" t="e">
        <f t="shared" si="1217"/>
        <v>#DIV/0!</v>
      </c>
      <c r="CM131" s="85" t="e">
        <f t="shared" si="1217"/>
        <v>#DIV/0!</v>
      </c>
      <c r="CN131" s="85" t="e">
        <f t="shared" si="1217"/>
        <v>#DIV/0!</v>
      </c>
      <c r="CO131" s="85" t="e">
        <f t="shared" si="1217"/>
        <v>#DIV/0!</v>
      </c>
    </row>
    <row r="132" spans="1:93" s="128" customFormat="1" x14ac:dyDescent="0.2">
      <c r="A132" s="128" t="s">
        <v>21</v>
      </c>
      <c r="C132" s="128" t="e">
        <f t="shared" ref="C132:AE132" si="1218">+C105/B105-1</f>
        <v>#DIV/0!</v>
      </c>
      <c r="D132" s="128" t="e">
        <f t="shared" si="1218"/>
        <v>#DIV/0!</v>
      </c>
      <c r="E132" s="128" t="e">
        <f t="shared" si="1218"/>
        <v>#DIV/0!</v>
      </c>
      <c r="F132" s="128" t="e">
        <f t="shared" si="1218"/>
        <v>#DIV/0!</v>
      </c>
      <c r="G132" s="128" t="e">
        <f t="shared" si="1218"/>
        <v>#DIV/0!</v>
      </c>
      <c r="H132" s="128" t="e">
        <f t="shared" si="1218"/>
        <v>#DIV/0!</v>
      </c>
      <c r="I132" s="128" t="e">
        <f t="shared" si="1218"/>
        <v>#DIV/0!</v>
      </c>
      <c r="J132" s="128" t="e">
        <f t="shared" si="1218"/>
        <v>#DIV/0!</v>
      </c>
      <c r="K132" s="128" t="e">
        <f t="shared" si="1218"/>
        <v>#DIV/0!</v>
      </c>
      <c r="L132" s="128" t="e">
        <f t="shared" si="1218"/>
        <v>#DIV/0!</v>
      </c>
      <c r="M132" s="128" t="e">
        <f t="shared" si="1218"/>
        <v>#DIV/0!</v>
      </c>
      <c r="N132" s="128" t="e">
        <f t="shared" si="1218"/>
        <v>#DIV/0!</v>
      </c>
      <c r="O132" s="128" t="e">
        <f t="shared" si="1218"/>
        <v>#DIV/0!</v>
      </c>
      <c r="P132" s="128" t="e">
        <f t="shared" si="1218"/>
        <v>#DIV/0!</v>
      </c>
      <c r="Q132" s="128" t="e">
        <f t="shared" si="1218"/>
        <v>#DIV/0!</v>
      </c>
      <c r="R132" s="128" t="e">
        <f t="shared" si="1218"/>
        <v>#DIV/0!</v>
      </c>
      <c r="S132" s="128" t="e">
        <f t="shared" si="1218"/>
        <v>#DIV/0!</v>
      </c>
      <c r="T132" s="128" t="e">
        <f t="shared" si="1218"/>
        <v>#DIV/0!</v>
      </c>
      <c r="U132" s="128" t="e">
        <f t="shared" si="1218"/>
        <v>#DIV/0!</v>
      </c>
      <c r="V132" s="128" t="e">
        <f t="shared" si="1218"/>
        <v>#DIV/0!</v>
      </c>
      <c r="W132" s="128" t="e">
        <f t="shared" si="1218"/>
        <v>#DIV/0!</v>
      </c>
      <c r="X132" s="128" t="e">
        <f t="shared" si="1218"/>
        <v>#DIV/0!</v>
      </c>
      <c r="Y132" s="128" t="e">
        <f t="shared" si="1218"/>
        <v>#DIV/0!</v>
      </c>
      <c r="Z132" s="128" t="e">
        <f t="shared" si="1218"/>
        <v>#DIV/0!</v>
      </c>
      <c r="AA132" s="129" t="e">
        <f t="shared" si="1218"/>
        <v>#DIV/0!</v>
      </c>
      <c r="AB132" s="129" t="e">
        <f t="shared" si="1218"/>
        <v>#DIV/0!</v>
      </c>
      <c r="AC132" s="129" t="e">
        <f t="shared" si="1218"/>
        <v>#DIV/0!</v>
      </c>
      <c r="AD132" s="129" t="e">
        <f t="shared" si="1218"/>
        <v>#DIV/0!</v>
      </c>
      <c r="AE132" s="129" t="e">
        <f t="shared" si="1218"/>
        <v>#DIV/0!</v>
      </c>
      <c r="AG132" s="130"/>
      <c r="AJ132" s="128" t="e">
        <f t="shared" si="1215"/>
        <v>#DIV/0!</v>
      </c>
      <c r="AK132" s="128" t="e">
        <f>+AK105/AG105-1</f>
        <v>#DIV/0!</v>
      </c>
      <c r="AL132" s="128" t="e">
        <f t="shared" si="1215"/>
        <v>#DIV/0!</v>
      </c>
      <c r="AM132" s="128" t="e">
        <f>+AM105/AI105-1</f>
        <v>#DIV/0!</v>
      </c>
      <c r="AN132" s="94" t="e">
        <f>+AM132</f>
        <v>#DIV/0!</v>
      </c>
      <c r="AO132" s="128" t="e">
        <f>+AO105/AK105-1</f>
        <v>#DIV/0!</v>
      </c>
      <c r="AP132" s="94" t="e">
        <f>+AVERAGE(AM132:AO132)</f>
        <v>#DIV/0!</v>
      </c>
      <c r="AQ132" s="128" t="e">
        <f>+AQ105/AM105-1</f>
        <v>#DIV/0!</v>
      </c>
      <c r="AR132" s="128" t="e">
        <f t="shared" si="1215"/>
        <v>#DIV/0!</v>
      </c>
      <c r="AS132" s="128" t="e">
        <f>+AS105/AO105-1</f>
        <v>#DIV/0!</v>
      </c>
      <c r="AT132" s="128" t="e">
        <f t="shared" si="1215"/>
        <v>#DIV/0!</v>
      </c>
      <c r="AU132" s="128" t="e">
        <f>+AU105/AQ105-1</f>
        <v>#DIV/0!</v>
      </c>
      <c r="AV132" s="128" t="e">
        <f t="shared" si="1215"/>
        <v>#DIV/0!</v>
      </c>
      <c r="AW132" s="128" t="e">
        <f>+AW105/AS105-1</f>
        <v>#DIV/0!</v>
      </c>
      <c r="AX132" s="128" t="e">
        <f t="shared" si="1215"/>
        <v>#DIV/0!</v>
      </c>
      <c r="AY132" s="128" t="e">
        <f>+AY105/AU105-1</f>
        <v>#DIV/0!</v>
      </c>
      <c r="AZ132" s="128" t="e">
        <f t="shared" si="1215"/>
        <v>#DIV/0!</v>
      </c>
      <c r="BA132" s="128" t="e">
        <f>+BA105/AW105-1</f>
        <v>#DIV/0!</v>
      </c>
      <c r="BB132" s="128" t="e">
        <f t="shared" si="1215"/>
        <v>#DIV/0!</v>
      </c>
      <c r="BC132" s="128" t="e">
        <f>+BC105/AY105-1</f>
        <v>#DIV/0!</v>
      </c>
      <c r="BD132" s="128" t="e">
        <f t="shared" si="1215"/>
        <v>#DIV/0!</v>
      </c>
      <c r="BE132" s="128" t="e">
        <f>+BE105/BA105-1</f>
        <v>#DIV/0!</v>
      </c>
      <c r="BF132" s="128" t="e">
        <f t="shared" si="1215"/>
        <v>#DIV/0!</v>
      </c>
      <c r="BG132" s="128" t="e">
        <f>+BG105/BC105-1</f>
        <v>#DIV/0!</v>
      </c>
      <c r="BH132" s="128" t="e">
        <f t="shared" si="1215"/>
        <v>#DIV/0!</v>
      </c>
      <c r="BI132" s="128" t="e">
        <f>+BI105/BE105-1</f>
        <v>#DIV/0!</v>
      </c>
      <c r="BJ132" s="128" t="e">
        <f>+BJ105/BF105-1</f>
        <v>#DIV/0!</v>
      </c>
      <c r="BK132" s="128" t="e">
        <f>+BK105/BG105-1</f>
        <v>#DIV/0!</v>
      </c>
      <c r="BL132" s="128" t="e">
        <f>+BL105/BH105-1</f>
        <v>#DIV/0!</v>
      </c>
      <c r="BM132" s="128" t="e">
        <f>+BM105/BI105-1</f>
        <v>#DIV/0!</v>
      </c>
      <c r="BN132" s="128" t="e">
        <f t="shared" si="1215"/>
        <v>#DIV/0!</v>
      </c>
      <c r="BO132" s="128" t="e">
        <f>+BO105/BK105-1</f>
        <v>#DIV/0!</v>
      </c>
      <c r="BP132" s="128" t="e">
        <f t="shared" si="1215"/>
        <v>#DIV/0!</v>
      </c>
      <c r="BQ132" s="128" t="e">
        <f>+BQ105/BM105-1</f>
        <v>#DIV/0!</v>
      </c>
      <c r="BR132" s="128" t="e">
        <f t="shared" si="1215"/>
        <v>#DIV/0!</v>
      </c>
      <c r="BS132" s="128" t="e">
        <f t="shared" ref="BS132:BY132" si="1219">+BS105/BO105-1</f>
        <v>#DIV/0!</v>
      </c>
      <c r="BT132" s="128" t="e">
        <f t="shared" si="1219"/>
        <v>#DIV/0!</v>
      </c>
      <c r="BU132" s="128" t="e">
        <f t="shared" si="1219"/>
        <v>#DIV/0!</v>
      </c>
      <c r="BV132" s="128" t="e">
        <f t="shared" si="1219"/>
        <v>#DIV/0!</v>
      </c>
      <c r="BW132" s="128" t="e">
        <f t="shared" si="1219"/>
        <v>#DIV/0!</v>
      </c>
      <c r="BX132" s="128" t="e">
        <f t="shared" si="1219"/>
        <v>#DIV/0!</v>
      </c>
      <c r="BY132" s="128" t="e">
        <f t="shared" si="1219"/>
        <v>#DIV/0!</v>
      </c>
      <c r="BZ132" s="85" t="e">
        <f t="shared" si="1215"/>
        <v>#DIV/0!</v>
      </c>
      <c r="CA132" s="85" t="e">
        <f t="shared" si="1215"/>
        <v>#DIV/0!</v>
      </c>
      <c r="CB132" s="85" t="e">
        <f t="shared" si="1215"/>
        <v>#DIV/0!</v>
      </c>
      <c r="CC132" s="85" t="e">
        <f t="shared" si="1215"/>
        <v>#DIV/0!</v>
      </c>
      <c r="CD132" s="85" t="e">
        <f t="shared" si="1215"/>
        <v>#DIV/0!</v>
      </c>
      <c r="CE132" s="85" t="e">
        <f t="shared" si="1215"/>
        <v>#DIV/0!</v>
      </c>
      <c r="CF132" s="85" t="e">
        <f t="shared" si="1215"/>
        <v>#DIV/0!</v>
      </c>
      <c r="CG132" s="85" t="e">
        <f t="shared" si="1215"/>
        <v>#DIV/0!</v>
      </c>
      <c r="CH132" s="85" t="e">
        <f t="shared" si="1217"/>
        <v>#DIV/0!</v>
      </c>
      <c r="CI132" s="85" t="e">
        <f t="shared" si="1217"/>
        <v>#DIV/0!</v>
      </c>
      <c r="CJ132" s="85" t="e">
        <f t="shared" si="1217"/>
        <v>#DIV/0!</v>
      </c>
      <c r="CK132" s="85" t="e">
        <f t="shared" si="1217"/>
        <v>#DIV/0!</v>
      </c>
      <c r="CL132" s="85" t="e">
        <f t="shared" si="1217"/>
        <v>#DIV/0!</v>
      </c>
      <c r="CM132" s="85" t="e">
        <f t="shared" si="1217"/>
        <v>#DIV/0!</v>
      </c>
      <c r="CN132" s="85" t="e">
        <f t="shared" si="1217"/>
        <v>#DIV/0!</v>
      </c>
      <c r="CO132" s="85" t="e">
        <f t="shared" si="1217"/>
        <v>#DIV/0!</v>
      </c>
    </row>
    <row r="133" spans="1:93" s="131" customFormat="1" x14ac:dyDescent="0.2">
      <c r="A133" s="134" t="s">
        <v>458</v>
      </c>
      <c r="B133" s="128" t="e">
        <f t="shared" ref="B133:AE133" si="1220">+B102/B109</f>
        <v>#DIV/0!</v>
      </c>
      <c r="C133" s="128" t="e">
        <f t="shared" si="1220"/>
        <v>#DIV/0!</v>
      </c>
      <c r="D133" s="128" t="e">
        <f t="shared" si="1220"/>
        <v>#DIV/0!</v>
      </c>
      <c r="E133" s="128" t="e">
        <f t="shared" si="1220"/>
        <v>#DIV/0!</v>
      </c>
      <c r="F133" s="128" t="e">
        <f t="shared" si="1220"/>
        <v>#DIV/0!</v>
      </c>
      <c r="G133" s="128" t="e">
        <f t="shared" si="1220"/>
        <v>#DIV/0!</v>
      </c>
      <c r="H133" s="128" t="e">
        <f t="shared" si="1220"/>
        <v>#DIV/0!</v>
      </c>
      <c r="I133" s="128" t="e">
        <f t="shared" si="1220"/>
        <v>#DIV/0!</v>
      </c>
      <c r="J133" s="128" t="e">
        <f t="shared" si="1220"/>
        <v>#DIV/0!</v>
      </c>
      <c r="K133" s="128" t="e">
        <f t="shared" si="1220"/>
        <v>#DIV/0!</v>
      </c>
      <c r="L133" s="128" t="e">
        <f t="shared" si="1220"/>
        <v>#DIV/0!</v>
      </c>
      <c r="M133" s="128" t="e">
        <f t="shared" si="1220"/>
        <v>#DIV/0!</v>
      </c>
      <c r="N133" s="128" t="e">
        <f t="shared" si="1220"/>
        <v>#DIV/0!</v>
      </c>
      <c r="O133" s="128" t="e">
        <f t="shared" si="1220"/>
        <v>#DIV/0!</v>
      </c>
      <c r="P133" s="128" t="e">
        <f t="shared" si="1220"/>
        <v>#DIV/0!</v>
      </c>
      <c r="Q133" s="128" t="e">
        <f t="shared" si="1220"/>
        <v>#DIV/0!</v>
      </c>
      <c r="R133" s="128" t="e">
        <f t="shared" si="1220"/>
        <v>#DIV/0!</v>
      </c>
      <c r="S133" s="128" t="e">
        <f t="shared" si="1220"/>
        <v>#DIV/0!</v>
      </c>
      <c r="T133" s="128" t="e">
        <f t="shared" si="1220"/>
        <v>#DIV/0!</v>
      </c>
      <c r="U133" s="128" t="e">
        <f t="shared" si="1220"/>
        <v>#DIV/0!</v>
      </c>
      <c r="V133" s="128" t="e">
        <f t="shared" si="1220"/>
        <v>#DIV/0!</v>
      </c>
      <c r="W133" s="128" t="e">
        <f t="shared" si="1220"/>
        <v>#DIV/0!</v>
      </c>
      <c r="X133" s="128" t="e">
        <f t="shared" si="1220"/>
        <v>#DIV/0!</v>
      </c>
      <c r="Y133" s="128" t="e">
        <f t="shared" si="1220"/>
        <v>#DIV/0!</v>
      </c>
      <c r="Z133" s="128" t="e">
        <f t="shared" si="1220"/>
        <v>#DIV/0!</v>
      </c>
      <c r="AA133" s="129" t="e">
        <f t="shared" si="1220"/>
        <v>#DIV/0!</v>
      </c>
      <c r="AB133" s="129" t="e">
        <f t="shared" si="1220"/>
        <v>#DIV/0!</v>
      </c>
      <c r="AC133" s="129" t="e">
        <f t="shared" si="1220"/>
        <v>#DIV/0!</v>
      </c>
      <c r="AD133" s="129" t="e">
        <f t="shared" si="1220"/>
        <v>#DIV/0!</v>
      </c>
      <c r="AE133" s="129" t="e">
        <f t="shared" si="1220"/>
        <v>#DIV/0!</v>
      </c>
      <c r="AG133" s="132"/>
      <c r="AJ133" s="133">
        <f t="shared" ref="AJ133:BR133" si="1221">+AI133</f>
        <v>0</v>
      </c>
      <c r="AK133" s="133" t="e">
        <f>+AK102/AK109</f>
        <v>#DIV/0!</v>
      </c>
      <c r="AL133" s="133" t="e">
        <f t="shared" si="1221"/>
        <v>#DIV/0!</v>
      </c>
      <c r="AM133" s="133" t="e">
        <f>+AM102/AM109</f>
        <v>#DIV/0!</v>
      </c>
      <c r="AN133" s="133" t="e">
        <f t="shared" si="1221"/>
        <v>#DIV/0!</v>
      </c>
      <c r="AO133" s="133" t="e">
        <f>+AO102/AO109</f>
        <v>#DIV/0!</v>
      </c>
      <c r="AP133" s="133" t="e">
        <f t="shared" si="1221"/>
        <v>#DIV/0!</v>
      </c>
      <c r="AQ133" s="133" t="e">
        <f>+AQ102/AQ109</f>
        <v>#DIV/0!</v>
      </c>
      <c r="AR133" s="133" t="e">
        <f t="shared" si="1221"/>
        <v>#DIV/0!</v>
      </c>
      <c r="AS133" s="133" t="e">
        <f>+AS102/AS109</f>
        <v>#DIV/0!</v>
      </c>
      <c r="AT133" s="133" t="e">
        <f t="shared" si="1221"/>
        <v>#DIV/0!</v>
      </c>
      <c r="AU133" s="133" t="e">
        <f>+AU102/AU109</f>
        <v>#DIV/0!</v>
      </c>
      <c r="AV133" s="133" t="e">
        <f t="shared" si="1221"/>
        <v>#DIV/0!</v>
      </c>
      <c r="AW133" s="133" t="e">
        <f>+AW102/AW109</f>
        <v>#DIV/0!</v>
      </c>
      <c r="AX133" s="133" t="e">
        <f t="shared" si="1221"/>
        <v>#DIV/0!</v>
      </c>
      <c r="AY133" s="133" t="e">
        <f>+AY102/AY109</f>
        <v>#DIV/0!</v>
      </c>
      <c r="AZ133" s="133" t="e">
        <f t="shared" si="1221"/>
        <v>#DIV/0!</v>
      </c>
      <c r="BA133" s="133" t="e">
        <f>+BA102/BA109</f>
        <v>#DIV/0!</v>
      </c>
      <c r="BB133" s="133" t="e">
        <f t="shared" si="1221"/>
        <v>#DIV/0!</v>
      </c>
      <c r="BC133" s="133" t="e">
        <f>+BC102/BC109</f>
        <v>#DIV/0!</v>
      </c>
      <c r="BD133" s="133" t="e">
        <f t="shared" si="1221"/>
        <v>#DIV/0!</v>
      </c>
      <c r="BE133" s="133" t="e">
        <f>+BE102/BE109</f>
        <v>#DIV/0!</v>
      </c>
      <c r="BF133" s="133" t="e">
        <f t="shared" si="1221"/>
        <v>#DIV/0!</v>
      </c>
      <c r="BG133" s="133" t="e">
        <f>+BG102/BG109</f>
        <v>#DIV/0!</v>
      </c>
      <c r="BH133" s="133" t="e">
        <f t="shared" si="1221"/>
        <v>#DIV/0!</v>
      </c>
      <c r="BI133" s="133" t="e">
        <f>+BI102/BI109</f>
        <v>#DIV/0!</v>
      </c>
      <c r="BJ133" s="133" t="e">
        <f>+BJ102/BJ109</f>
        <v>#DIV/0!</v>
      </c>
      <c r="BK133" s="133" t="e">
        <f>+BK102/BK109</f>
        <v>#DIV/0!</v>
      </c>
      <c r="BL133" s="133" t="e">
        <f>+BL102/BL109</f>
        <v>#DIV/0!</v>
      </c>
      <c r="BM133" s="133" t="e">
        <f>+BM102/BM109</f>
        <v>#DIV/0!</v>
      </c>
      <c r="BN133" s="133" t="e">
        <f t="shared" si="1221"/>
        <v>#DIV/0!</v>
      </c>
      <c r="BO133" s="133" t="e">
        <f>+BO102/BO109</f>
        <v>#DIV/0!</v>
      </c>
      <c r="BP133" s="133" t="e">
        <f t="shared" si="1221"/>
        <v>#DIV/0!</v>
      </c>
      <c r="BQ133" s="133" t="e">
        <f>+BQ102/BQ109</f>
        <v>#DIV/0!</v>
      </c>
      <c r="BR133" s="133" t="e">
        <f t="shared" si="1221"/>
        <v>#DIV/0!</v>
      </c>
      <c r="BS133" s="133" t="e">
        <f t="shared" ref="BS133:BY133" si="1222">+BS102/BS109</f>
        <v>#DIV/0!</v>
      </c>
      <c r="BT133" s="133" t="e">
        <f t="shared" si="1222"/>
        <v>#DIV/0!</v>
      </c>
      <c r="BU133" s="133" t="e">
        <f t="shared" si="1222"/>
        <v>#DIV/0!</v>
      </c>
      <c r="BV133" s="133" t="e">
        <f t="shared" si="1222"/>
        <v>#DIV/0!</v>
      </c>
      <c r="BW133" s="133" t="e">
        <f t="shared" si="1222"/>
        <v>#DIV/0!</v>
      </c>
      <c r="BX133" s="133" t="e">
        <f t="shared" si="1222"/>
        <v>#DIV/0!</v>
      </c>
      <c r="BY133" s="133" t="e">
        <f t="shared" si="1222"/>
        <v>#DIV/0!</v>
      </c>
      <c r="BZ133" s="85" t="e">
        <f t="shared" ref="BZ133" si="1223">+AVERAGE(BV133:BY133)</f>
        <v>#DIV/0!</v>
      </c>
      <c r="CA133" s="85" t="e">
        <f t="shared" ref="CA133" si="1224">+AVERAGE(BW133:BZ133)</f>
        <v>#DIV/0!</v>
      </c>
      <c r="CB133" s="85" t="e">
        <f t="shared" ref="CB133" si="1225">+AVERAGE(BX133:CA133)</f>
        <v>#DIV/0!</v>
      </c>
      <c r="CC133" s="85" t="e">
        <f t="shared" ref="CC133" si="1226">+AVERAGE(BY133:CB133)</f>
        <v>#DIV/0!</v>
      </c>
      <c r="CD133" s="85" t="e">
        <f t="shared" ref="CD133" si="1227">+AVERAGE(BZ133:CC133)</f>
        <v>#DIV/0!</v>
      </c>
      <c r="CE133" s="85" t="e">
        <f t="shared" ref="CE133" si="1228">+AVERAGE(CA133:CD133)</f>
        <v>#DIV/0!</v>
      </c>
      <c r="CF133" s="85" t="e">
        <f t="shared" ref="CF133" si="1229">+AVERAGE(CB133:CE133)</f>
        <v>#DIV/0!</v>
      </c>
      <c r="CG133" s="85" t="e">
        <f t="shared" ref="CG133" si="1230">+AVERAGE(CC133:CF133)</f>
        <v>#DIV/0!</v>
      </c>
      <c r="CH133" s="85" t="e">
        <f t="shared" ref="CH133" si="1231">+AVERAGE(CD133:CG133)</f>
        <v>#DIV/0!</v>
      </c>
      <c r="CI133" s="85" t="e">
        <f t="shared" ref="CI133" si="1232">+AVERAGE(CE133:CH133)</f>
        <v>#DIV/0!</v>
      </c>
      <c r="CJ133" s="85" t="e">
        <f t="shared" ref="CJ133" si="1233">+AVERAGE(CF133:CI133)</f>
        <v>#DIV/0!</v>
      </c>
      <c r="CK133" s="85" t="e">
        <f t="shared" ref="CK133" si="1234">+AVERAGE(CG133:CJ133)</f>
        <v>#DIV/0!</v>
      </c>
      <c r="CL133" s="85" t="e">
        <f t="shared" ref="CL133" si="1235">+AVERAGE(CH133:CK133)</f>
        <v>#DIV/0!</v>
      </c>
      <c r="CM133" s="85" t="e">
        <f t="shared" ref="CM133" si="1236">+AVERAGE(CI133:CL133)</f>
        <v>#DIV/0!</v>
      </c>
      <c r="CN133" s="85" t="e">
        <f t="shared" ref="CN133" si="1237">+AVERAGE(CJ133:CM133)</f>
        <v>#DIV/0!</v>
      </c>
      <c r="CO133" s="85" t="e">
        <f t="shared" ref="CO133" si="1238">+AVERAGE(CK133:CN133)</f>
        <v>#DIV/0!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3"/>
  <sheetViews>
    <sheetView tabSelected="1" workbookViewId="0">
      <pane xSplit="2" ySplit="4" topLeftCell="C81" activePane="bottomRight" state="frozen"/>
      <selection pane="topRight" activeCell="C1" sqref="C1"/>
      <selection pane="bottomLeft" activeCell="A5" sqref="A5"/>
      <selection pane="bottomRight" activeCell="M94" sqref="M94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53"/>
      <c r="B1" t="s">
        <v>456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cm="1">
        <f t="array" ref="B2">_xll.EQNXTDZ($A$1,$B3,C$2)</f>
        <v>0</v>
      </c>
    </row>
    <row r="3" spans="1:32" x14ac:dyDescent="0.25">
      <c r="A3" t="s">
        <v>172</v>
      </c>
      <c r="B3" t="s">
        <v>173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4" cm="1">
        <f t="array" ref="C5">_xll.EQNXTDZ($A$1,$B5,C$1,$B$1)</f>
        <v>0</v>
      </c>
      <c r="D5" s="124" cm="1">
        <f t="array" ref="D5">_xll.EQNXTDZ($A$1,$B5,D$1,$B$1)</f>
        <v>0</v>
      </c>
      <c r="E5" s="124" cm="1">
        <f t="array" ref="E5">_xll.EQNXTDZ($A$1,$B5,E$1,$B$1)</f>
        <v>0</v>
      </c>
      <c r="F5" s="124" cm="1">
        <f t="array" ref="F5">_xll.EQNXTDZ($A$1,$B5,F$1,$B$1)</f>
        <v>0</v>
      </c>
      <c r="G5" s="124" cm="1">
        <f t="array" ref="G5">_xll.EQNXTDZ($A$1,$B5,G$1,$B$1)</f>
        <v>0</v>
      </c>
      <c r="H5" s="124" cm="1">
        <f t="array" ref="H5">_xll.EQNXTDZ($A$1,$B5,H$1,$B$1)</f>
        <v>0</v>
      </c>
      <c r="I5" s="124" cm="1">
        <f t="array" ref="I5">_xll.EQNXTDZ($A$1,$B5,I$1,$B$1)</f>
        <v>0</v>
      </c>
      <c r="J5" s="124" cm="1">
        <f t="array" ref="J5">_xll.EQNXTDZ($A$1,$B5,J$1,$B$1)</f>
        <v>0</v>
      </c>
      <c r="K5" s="124" cm="1">
        <f t="array" ref="K5">_xll.EQNXTDZ($A$1,$B5,K$1,$B$1)</f>
        <v>0</v>
      </c>
      <c r="L5" s="124" cm="1">
        <f t="array" ref="L5">_xll.EQNXTDZ($A$1,$B5,L$1,$B$1)</f>
        <v>0</v>
      </c>
      <c r="M5" s="124" cm="1">
        <f t="array" ref="M5">_xll.EQNXTDZ($A$1,$B5,M$1,$B$1)</f>
        <v>0</v>
      </c>
      <c r="N5" s="124" cm="1">
        <f t="array" ref="N5">_xll.EQNXTDZ($A$1,$B5,N$1,$B$1)</f>
        <v>0</v>
      </c>
      <c r="O5" s="124" cm="1">
        <f t="array" ref="O5">_xll.EQNXTDZ($A$1,$B5,O$1,$B$1)</f>
        <v>0</v>
      </c>
      <c r="P5" s="124" cm="1">
        <f t="array" ref="P5">_xll.EQNXTDZ($A$1,$B5,P$1,$B$1)</f>
        <v>0</v>
      </c>
      <c r="Q5" s="124" cm="1">
        <f t="array" ref="Q5">_xll.EQNXTDZ($A$1,$B5,Q$1,$B$1)</f>
        <v>0</v>
      </c>
      <c r="R5" s="124" cm="1">
        <f t="array" ref="R5">_xll.EQNXTDZ($A$1,$B5,R$1,$B$1)</f>
        <v>0</v>
      </c>
      <c r="S5" s="124" cm="1">
        <f t="array" ref="S5">_xll.EQNXTDZ($A$1,$B5,S$1,$B$1)</f>
        <v>0</v>
      </c>
      <c r="T5" s="124" cm="1">
        <f t="array" ref="T5">_xll.EQNXTDZ($A$1,$B5,T$1,$B$1)</f>
        <v>0</v>
      </c>
      <c r="U5" s="124" cm="1">
        <f t="array" ref="U5">_xll.EQNXTDZ($A$1,$B5,U$1,$B$1)</f>
        <v>0</v>
      </c>
      <c r="V5" s="124" cm="1">
        <f t="array" ref="V5">_xll.EQNXTDZ($A$1,$B5,V$1,$B$1)</f>
        <v>0</v>
      </c>
      <c r="W5" s="124" cm="1">
        <f t="array" ref="W5">_xll.EQNXTDZ($A$1,$B5,W$1,$B$1)</f>
        <v>0</v>
      </c>
      <c r="X5" s="124" cm="1">
        <f t="array" ref="X5">_xll.EQNXTDZ($A$1,$B5,X$1,$B$1)</f>
        <v>0</v>
      </c>
      <c r="Y5" s="124" cm="1">
        <f t="array" ref="Y5">_xll.EQNXTDZ($A$1,$B5,Y$1,$B$1)</f>
        <v>0</v>
      </c>
      <c r="Z5" s="124" cm="1">
        <f t="array" ref="Z5">_xll.EQNXTDZ($A$1,$B5,Z$1,$B$1)</f>
        <v>0</v>
      </c>
      <c r="AA5" s="124" cm="1">
        <f t="array" ref="AA5">_xll.EQNXTDZ($A$1,$B5,AA$1,$B$1)</f>
        <v>0</v>
      </c>
      <c r="AB5" s="124" cm="1">
        <f t="array" ref="AB5">_xll.EQNXTDZ($A$1,$B5,AB$1,$B$1)</f>
        <v>0</v>
      </c>
      <c r="AC5" s="124" cm="1">
        <f t="array" ref="AC5">_xll.EQNXTDZ($A$1,$B5,AC$1,$B$1)</f>
        <v>0</v>
      </c>
      <c r="AD5" s="124" cm="1">
        <f t="array" ref="AD5">_xll.EQNXTDZ($A$1,$B5,AD$1,$B$1)</f>
        <v>0</v>
      </c>
      <c r="AE5" s="124" cm="1">
        <f t="array" ref="AE5">_xll.EQNXTDZ($A$1,$B5,AE$1,$B$1)</f>
        <v>0</v>
      </c>
      <c r="AF5" s="124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4" cm="1">
        <f t="array" ref="C6">_xll.EQNXTDZ($A$1,$B6,C$1,$B$1)</f>
        <v>0</v>
      </c>
      <c r="D6" s="124" cm="1">
        <f t="array" ref="D6">_xll.EQNXTDZ($A$1,$B6,D$1,$B$1)</f>
        <v>0</v>
      </c>
      <c r="E6" s="124" cm="1">
        <f t="array" ref="E6">_xll.EQNXTDZ($A$1,$B6,E$1,$B$1)</f>
        <v>0</v>
      </c>
      <c r="F6" s="124" cm="1">
        <f t="array" ref="F6">_xll.EQNXTDZ($A$1,$B6,F$1,$B$1)</f>
        <v>0</v>
      </c>
      <c r="G6" s="124" cm="1">
        <f t="array" ref="G6">_xll.EQNXTDZ($A$1,$B6,G$1,$B$1)</f>
        <v>0</v>
      </c>
      <c r="H6" s="124" cm="1">
        <f t="array" ref="H6">_xll.EQNXTDZ($A$1,$B6,H$1,$B$1)</f>
        <v>0</v>
      </c>
      <c r="I6" s="124" cm="1">
        <f t="array" ref="I6">_xll.EQNXTDZ($A$1,$B6,I$1,$B$1)</f>
        <v>0</v>
      </c>
      <c r="J6" s="124" cm="1">
        <f t="array" ref="J6">_xll.EQNXTDZ($A$1,$B6,J$1,$B$1)</f>
        <v>0</v>
      </c>
      <c r="K6" s="124" cm="1">
        <f t="array" ref="K6">_xll.EQNXTDZ($A$1,$B6,K$1,$B$1)</f>
        <v>0</v>
      </c>
      <c r="L6" s="124" cm="1">
        <f t="array" ref="L6">_xll.EQNXTDZ($A$1,$B6,L$1,$B$1)</f>
        <v>0</v>
      </c>
      <c r="M6" s="124" cm="1">
        <f t="array" ref="M6">_xll.EQNXTDZ($A$1,$B6,M$1,$B$1)</f>
        <v>0</v>
      </c>
      <c r="N6" s="124" cm="1">
        <f t="array" ref="N6">_xll.EQNXTDZ($A$1,$B6,N$1,$B$1)</f>
        <v>0</v>
      </c>
      <c r="O6" s="124" cm="1">
        <f t="array" ref="O6">_xll.EQNXTDZ($A$1,$B6,O$1,$B$1)</f>
        <v>0</v>
      </c>
      <c r="P6" s="124" cm="1">
        <f t="array" ref="P6">_xll.EQNXTDZ($A$1,$B6,P$1,$B$1)</f>
        <v>0</v>
      </c>
      <c r="Q6" s="124" cm="1">
        <f t="array" ref="Q6">_xll.EQNXTDZ($A$1,$B6,Q$1,$B$1)</f>
        <v>0</v>
      </c>
      <c r="R6" s="124" cm="1">
        <f t="array" ref="R6">_xll.EQNXTDZ($A$1,$B6,R$1,$B$1)</f>
        <v>0</v>
      </c>
      <c r="S6" s="124" cm="1">
        <f t="array" ref="S6">_xll.EQNXTDZ($A$1,$B6,S$1,$B$1)</f>
        <v>0</v>
      </c>
      <c r="T6" s="124" cm="1">
        <f t="array" ref="T6">_xll.EQNXTDZ($A$1,$B6,T$1,$B$1)</f>
        <v>0</v>
      </c>
      <c r="U6" s="124" cm="1">
        <f t="array" ref="U6">_xll.EQNXTDZ($A$1,$B6,U$1,$B$1)</f>
        <v>0</v>
      </c>
      <c r="V6" s="124" cm="1">
        <f t="array" ref="V6">_xll.EQNXTDZ($A$1,$B6,V$1,$B$1)</f>
        <v>0</v>
      </c>
      <c r="W6" s="124" cm="1">
        <f t="array" ref="W6">_xll.EQNXTDZ($A$1,$B6,W$1,$B$1)</f>
        <v>0</v>
      </c>
      <c r="X6" s="124" cm="1">
        <f t="array" ref="X6">_xll.EQNXTDZ($A$1,$B6,X$1,$B$1)</f>
        <v>0</v>
      </c>
      <c r="Y6" s="124" cm="1">
        <f t="array" ref="Y6">_xll.EQNXTDZ($A$1,$B6,Y$1,$B$1)</f>
        <v>0</v>
      </c>
      <c r="Z6" s="124" cm="1">
        <f t="array" ref="Z6">_xll.EQNXTDZ($A$1,$B6,Z$1,$B$1)</f>
        <v>0</v>
      </c>
      <c r="AA6" s="124" cm="1">
        <f t="array" ref="AA6">_xll.EQNXTDZ($A$1,$B6,AA$1,$B$1)</f>
        <v>0</v>
      </c>
      <c r="AB6" s="124" cm="1">
        <f t="array" ref="AB6">_xll.EQNXTDZ($A$1,$B6,AB$1,$B$1)</f>
        <v>0</v>
      </c>
      <c r="AC6" s="124" cm="1">
        <f t="array" ref="AC6">_xll.EQNXTDZ($A$1,$B6,AC$1,$B$1)</f>
        <v>0</v>
      </c>
      <c r="AD6" s="124" cm="1">
        <f t="array" ref="AD6">_xll.EQNXTDZ($A$1,$B6,AD$1,$B$1)</f>
        <v>0</v>
      </c>
      <c r="AE6" s="124" cm="1">
        <f t="array" ref="AE6">_xll.EQNXTDZ($A$1,$B6,AE$1,$B$1)</f>
        <v>0</v>
      </c>
      <c r="AF6" s="124" cm="1">
        <f t="array" ref="AF6">_xll.EQNXTDZ($A$1,$B6,AF$1,$B$1)</f>
        <v>0</v>
      </c>
    </row>
    <row r="7" spans="1:32" s="106" customFormat="1" x14ac:dyDescent="0.25"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</row>
    <row r="8" spans="1:32" s="106" customFormat="1" x14ac:dyDescent="0.25">
      <c r="A8" s="106" t="s">
        <v>53</v>
      </c>
      <c r="B8" s="106" t="s">
        <v>54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</row>
    <row r="9" spans="1:32" s="106" customFormat="1" x14ac:dyDescent="0.25">
      <c r="A9" s="106" t="s">
        <v>90</v>
      </c>
      <c r="B9" s="106" t="s">
        <v>359</v>
      </c>
      <c r="C9" s="124" cm="1">
        <f t="array" ref="C9">_xll.EQNXTDZ($A$1,$B9,C$1,$B$1)</f>
        <v>0</v>
      </c>
      <c r="D9" s="124" cm="1">
        <f t="array" ref="D9">_xll.EQNXTDZ($A$1,$B9,D$1,$B$1)</f>
        <v>0</v>
      </c>
      <c r="E9" s="124" cm="1">
        <f t="array" ref="E9">_xll.EQNXTDZ($A$1,$B9,E$1,$B$1)</f>
        <v>0</v>
      </c>
      <c r="F9" s="124" cm="1">
        <f t="array" ref="F9">_xll.EQNXTDZ($A$1,$B9,F$1,$B$1)</f>
        <v>0</v>
      </c>
      <c r="G9" s="124" cm="1">
        <f t="array" ref="G9">_xll.EQNXTDZ($A$1,$B9,G$1,$B$1)</f>
        <v>0</v>
      </c>
      <c r="H9" s="124" cm="1">
        <f t="array" ref="H9">_xll.EQNXTDZ($A$1,$B9,H$1,$B$1)</f>
        <v>0</v>
      </c>
      <c r="I9" s="124" cm="1">
        <f t="array" ref="I9">_xll.EQNXTDZ($A$1,$B9,I$1,$B$1)</f>
        <v>0</v>
      </c>
      <c r="J9" s="124" cm="1">
        <f t="array" ref="J9">_xll.EQNXTDZ($A$1,$B9,J$1,$B$1)</f>
        <v>0</v>
      </c>
      <c r="K9" s="124" cm="1">
        <f t="array" ref="K9">_xll.EQNXTDZ($A$1,$B9,K$1,$B$1)</f>
        <v>0</v>
      </c>
      <c r="L9" s="124" cm="1">
        <f t="array" ref="L9">_xll.EQNXTDZ($A$1,$B9,L$1,$B$1)</f>
        <v>0</v>
      </c>
      <c r="M9" s="124" cm="1">
        <f t="array" ref="M9">_xll.EQNXTDZ($A$1,$B9,M$1,$B$1)</f>
        <v>0</v>
      </c>
      <c r="N9" s="124" cm="1">
        <f t="array" ref="N9">_xll.EQNXTDZ($A$1,$B9,N$1,$B$1)</f>
        <v>0</v>
      </c>
      <c r="O9" s="124" cm="1">
        <f t="array" ref="O9">_xll.EQNXTDZ($A$1,$B9,O$1,$B$1)</f>
        <v>0</v>
      </c>
      <c r="P9" s="124" cm="1">
        <f t="array" ref="P9">_xll.EQNXTDZ($A$1,$B9,P$1,$B$1)</f>
        <v>0</v>
      </c>
      <c r="Q9" s="124" cm="1">
        <f t="array" ref="Q9">_xll.EQNXTDZ($A$1,$B9,Q$1,$B$1)</f>
        <v>0</v>
      </c>
      <c r="R9" s="124" cm="1">
        <f t="array" ref="R9">_xll.EQNXTDZ($A$1,$B9,R$1,$B$1)</f>
        <v>0</v>
      </c>
      <c r="S9" s="124" cm="1">
        <f t="array" ref="S9">_xll.EQNXTDZ($A$1,$B9,S$1,$B$1)</f>
        <v>0</v>
      </c>
      <c r="T9" s="124" cm="1">
        <f t="array" ref="T9">_xll.EQNXTDZ($A$1,$B9,T$1,$B$1)</f>
        <v>0</v>
      </c>
      <c r="U9" s="124" cm="1">
        <f t="array" ref="U9">_xll.EQNXTDZ($A$1,$B9,U$1,$B$1)</f>
        <v>0</v>
      </c>
      <c r="V9" s="124" cm="1">
        <f t="array" ref="V9">_xll.EQNXTDZ($A$1,$B9,V$1,$B$1)</f>
        <v>0</v>
      </c>
      <c r="W9" s="124" cm="1">
        <f t="array" ref="W9">_xll.EQNXTDZ($A$1,$B9,W$1,$B$1)</f>
        <v>0</v>
      </c>
      <c r="X9" s="124" cm="1">
        <f t="array" ref="X9">_xll.EQNXTDZ($A$1,$B9,X$1,$B$1)</f>
        <v>0</v>
      </c>
      <c r="Y9" s="124" cm="1">
        <f t="array" ref="Y9">_xll.EQNXTDZ($A$1,$B9,Y$1,$B$1)</f>
        <v>0</v>
      </c>
      <c r="Z9" s="124" cm="1">
        <f t="array" ref="Z9">_xll.EQNXTDZ($A$1,$B9,Z$1,$B$1)</f>
        <v>0</v>
      </c>
      <c r="AA9" s="124" cm="1">
        <f t="array" ref="AA9">_xll.EQNXTDZ($A$1,$B9,AA$1,$B$1)</f>
        <v>0</v>
      </c>
      <c r="AB9" s="124" cm="1">
        <f t="array" ref="AB9">_xll.EQNXTDZ($A$1,$B9,AB$1,$B$1)</f>
        <v>0</v>
      </c>
      <c r="AC9" s="124" cm="1">
        <f t="array" ref="AC9">_xll.EQNXTDZ($A$1,$B9,AC$1,$B$1)</f>
        <v>0</v>
      </c>
      <c r="AD9" s="124" cm="1">
        <f t="array" ref="AD9">_xll.EQNXTDZ($A$1,$B9,AD$1,$B$1)</f>
        <v>0</v>
      </c>
      <c r="AE9" s="124" cm="1">
        <f t="array" ref="AE9">_xll.EQNXTDZ($A$1,$B9,AE$1,$B$1)</f>
        <v>0</v>
      </c>
      <c r="AF9" s="124" cm="1">
        <f t="array" ref="AF9">_xll.EQNXTDZ($A$1,$B9,AF$1,$B$1)</f>
        <v>0</v>
      </c>
    </row>
    <row r="10" spans="1:32" s="106" customFormat="1" x14ac:dyDescent="0.25">
      <c r="A10" s="106" t="s">
        <v>91</v>
      </c>
      <c r="B10" s="106" t="s">
        <v>360</v>
      </c>
      <c r="C10" s="124" cm="1">
        <f t="array" ref="C10">_xll.EQNXTDZ($A$1,$B10,C$1,$B$1)</f>
        <v>0</v>
      </c>
      <c r="D10" s="124" cm="1">
        <f t="array" ref="D10">_xll.EQNXTDZ($A$1,$B10,D$1,$B$1)</f>
        <v>0</v>
      </c>
      <c r="E10" s="124" cm="1">
        <f t="array" ref="E10">_xll.EQNXTDZ($A$1,$B10,E$1,$B$1)</f>
        <v>0</v>
      </c>
      <c r="F10" s="124" cm="1">
        <f t="array" ref="F10">_xll.EQNXTDZ($A$1,$B10,F$1,$B$1)</f>
        <v>0</v>
      </c>
      <c r="G10" s="124" cm="1">
        <f t="array" ref="G10">_xll.EQNXTDZ($A$1,$B10,G$1,$B$1)</f>
        <v>0</v>
      </c>
      <c r="H10" s="124" cm="1">
        <f t="array" ref="H10">_xll.EQNXTDZ($A$1,$B10,H$1,$B$1)</f>
        <v>0</v>
      </c>
      <c r="I10" s="124" cm="1">
        <f t="array" ref="I10">_xll.EQNXTDZ($A$1,$B10,I$1,$B$1)</f>
        <v>0</v>
      </c>
      <c r="J10" s="124" cm="1">
        <f t="array" ref="J10">_xll.EQNXTDZ($A$1,$B10,J$1,$B$1)</f>
        <v>0</v>
      </c>
      <c r="K10" s="124" cm="1">
        <f t="array" ref="K10">_xll.EQNXTDZ($A$1,$B10,K$1,$B$1)</f>
        <v>0</v>
      </c>
      <c r="L10" s="124" cm="1">
        <f t="array" ref="L10">_xll.EQNXTDZ($A$1,$B10,L$1,$B$1)</f>
        <v>0</v>
      </c>
      <c r="M10" s="124" cm="1">
        <f t="array" ref="M10">_xll.EQNXTDZ($A$1,$B10,M$1,$B$1)</f>
        <v>0</v>
      </c>
      <c r="N10" s="124" cm="1">
        <f t="array" ref="N10">_xll.EQNXTDZ($A$1,$B10,N$1,$B$1)</f>
        <v>0</v>
      </c>
      <c r="O10" s="124" cm="1">
        <f t="array" ref="O10">_xll.EQNXTDZ($A$1,$B10,O$1,$B$1)</f>
        <v>0</v>
      </c>
      <c r="P10" s="124" cm="1">
        <f t="array" ref="P10">_xll.EQNXTDZ($A$1,$B10,P$1,$B$1)</f>
        <v>0</v>
      </c>
      <c r="Q10" s="124" cm="1">
        <f t="array" ref="Q10">_xll.EQNXTDZ($A$1,$B10,Q$1,$B$1)</f>
        <v>0</v>
      </c>
      <c r="R10" s="124" cm="1">
        <f t="array" ref="R10">_xll.EQNXTDZ($A$1,$B10,R$1,$B$1)</f>
        <v>0</v>
      </c>
      <c r="S10" s="124" cm="1">
        <f t="array" ref="S10">_xll.EQNXTDZ($A$1,$B10,S$1,$B$1)</f>
        <v>0</v>
      </c>
      <c r="T10" s="124" cm="1">
        <f t="array" ref="T10">_xll.EQNXTDZ($A$1,$B10,T$1,$B$1)</f>
        <v>0</v>
      </c>
      <c r="U10" s="124" cm="1">
        <f t="array" ref="U10">_xll.EQNXTDZ($A$1,$B10,U$1,$B$1)</f>
        <v>0</v>
      </c>
      <c r="V10" s="124" cm="1">
        <f t="array" ref="V10">_xll.EQNXTDZ($A$1,$B10,V$1,$B$1)</f>
        <v>0</v>
      </c>
      <c r="W10" s="124" cm="1">
        <f t="array" ref="W10">_xll.EQNXTDZ($A$1,$B10,W$1,$B$1)</f>
        <v>0</v>
      </c>
      <c r="X10" s="124" cm="1">
        <f t="array" ref="X10">_xll.EQNXTDZ($A$1,$B10,X$1,$B$1)</f>
        <v>0</v>
      </c>
      <c r="Y10" s="124" cm="1">
        <f t="array" ref="Y10">_xll.EQNXTDZ($A$1,$B10,Y$1,$B$1)</f>
        <v>0</v>
      </c>
      <c r="Z10" s="124" cm="1">
        <f t="array" ref="Z10">_xll.EQNXTDZ($A$1,$B10,Z$1,$B$1)</f>
        <v>0</v>
      </c>
      <c r="AA10" s="124" cm="1">
        <f t="array" ref="AA10">_xll.EQNXTDZ($A$1,$B10,AA$1,$B$1)</f>
        <v>0</v>
      </c>
      <c r="AB10" s="124" cm="1">
        <f t="array" ref="AB10">_xll.EQNXTDZ($A$1,$B10,AB$1,$B$1)</f>
        <v>0</v>
      </c>
      <c r="AC10" s="124" cm="1">
        <f t="array" ref="AC10">_xll.EQNXTDZ($A$1,$B10,AC$1,$B$1)</f>
        <v>0</v>
      </c>
      <c r="AD10" s="124" cm="1">
        <f t="array" ref="AD10">_xll.EQNXTDZ($A$1,$B10,AD$1,$B$1)</f>
        <v>0</v>
      </c>
      <c r="AE10" s="124" cm="1">
        <f t="array" ref="AE10">_xll.EQNXTDZ($A$1,$B10,AE$1,$B$1)</f>
        <v>0</v>
      </c>
      <c r="AF10" s="124" cm="1">
        <f t="array" ref="AF10">_xll.EQNXTDZ($A$1,$B10,AF$1,$B$1)</f>
        <v>0</v>
      </c>
    </row>
    <row r="11" spans="1:32" s="106" customFormat="1" x14ac:dyDescent="0.25">
      <c r="A11" s="106" t="s">
        <v>55</v>
      </c>
      <c r="B11" s="106" t="s">
        <v>361</v>
      </c>
      <c r="C11" s="124" cm="1">
        <f t="array" ref="C11">_xll.EQNXTDZ($A$1,$B11,C$1,$B$1)</f>
        <v>0</v>
      </c>
      <c r="D11" s="124" cm="1">
        <f t="array" ref="D11">_xll.EQNXTDZ($A$1,$B11,D$1,$B$1)</f>
        <v>0</v>
      </c>
      <c r="E11" s="124" cm="1">
        <f t="array" ref="E11">_xll.EQNXTDZ($A$1,$B11,E$1,$B$1)</f>
        <v>0</v>
      </c>
      <c r="F11" s="124" cm="1">
        <f t="array" ref="F11">_xll.EQNXTDZ($A$1,$B11,F$1,$B$1)</f>
        <v>0</v>
      </c>
      <c r="G11" s="124" cm="1">
        <f t="array" ref="G11">_xll.EQNXTDZ($A$1,$B11,G$1,$B$1)</f>
        <v>0</v>
      </c>
      <c r="H11" s="124" cm="1">
        <f t="array" ref="H11">_xll.EQNXTDZ($A$1,$B11,H$1,$B$1)</f>
        <v>0</v>
      </c>
      <c r="I11" s="124" cm="1">
        <f t="array" ref="I11">_xll.EQNXTDZ($A$1,$B11,I$1,$B$1)</f>
        <v>0</v>
      </c>
      <c r="J11" s="124" cm="1">
        <f t="array" ref="J11">_xll.EQNXTDZ($A$1,$B11,J$1,$B$1)</f>
        <v>0</v>
      </c>
      <c r="K11" s="124" cm="1">
        <f t="array" ref="K11">_xll.EQNXTDZ($A$1,$B11,K$1,$B$1)</f>
        <v>0</v>
      </c>
      <c r="L11" s="124" cm="1">
        <f t="array" ref="L11">_xll.EQNXTDZ($A$1,$B11,L$1,$B$1)</f>
        <v>0</v>
      </c>
      <c r="M11" s="124" cm="1">
        <f t="array" ref="M11">_xll.EQNXTDZ($A$1,$B11,M$1,$B$1)</f>
        <v>0</v>
      </c>
      <c r="N11" s="124" cm="1">
        <f t="array" ref="N11">_xll.EQNXTDZ($A$1,$B11,N$1,$B$1)</f>
        <v>0</v>
      </c>
      <c r="O11" s="124" cm="1">
        <f t="array" ref="O11">_xll.EQNXTDZ($A$1,$B11,O$1,$B$1)</f>
        <v>0</v>
      </c>
      <c r="P11" s="124" cm="1">
        <f t="array" ref="P11">_xll.EQNXTDZ($A$1,$B11,P$1,$B$1)</f>
        <v>0</v>
      </c>
      <c r="Q11" s="124" cm="1">
        <f t="array" ref="Q11">_xll.EQNXTDZ($A$1,$B11,Q$1,$B$1)</f>
        <v>0</v>
      </c>
      <c r="R11" s="124" cm="1">
        <f t="array" ref="R11">_xll.EQNXTDZ($A$1,$B11,R$1,$B$1)</f>
        <v>0</v>
      </c>
      <c r="S11" s="124" cm="1">
        <f t="array" ref="S11">_xll.EQNXTDZ($A$1,$B11,S$1,$B$1)</f>
        <v>0</v>
      </c>
      <c r="T11" s="124" cm="1">
        <f t="array" ref="T11">_xll.EQNXTDZ($A$1,$B11,T$1,$B$1)</f>
        <v>0</v>
      </c>
      <c r="U11" s="124" cm="1">
        <f t="array" ref="U11">_xll.EQNXTDZ($A$1,$B11,U$1,$B$1)</f>
        <v>0</v>
      </c>
      <c r="V11" s="124" cm="1">
        <f t="array" ref="V11">_xll.EQNXTDZ($A$1,$B11,V$1,$B$1)</f>
        <v>0</v>
      </c>
      <c r="W11" s="124" cm="1">
        <f t="array" ref="W11">_xll.EQNXTDZ($A$1,$B11,W$1,$B$1)</f>
        <v>0</v>
      </c>
      <c r="X11" s="124" cm="1">
        <f t="array" ref="X11">_xll.EQNXTDZ($A$1,$B11,X$1,$B$1)</f>
        <v>0</v>
      </c>
      <c r="Y11" s="124" cm="1">
        <f t="array" ref="Y11">_xll.EQNXTDZ($A$1,$B11,Y$1,$B$1)</f>
        <v>0</v>
      </c>
      <c r="Z11" s="124" cm="1">
        <f t="array" ref="Z11">_xll.EQNXTDZ($A$1,$B11,Z$1,$B$1)</f>
        <v>0</v>
      </c>
      <c r="AA11" s="124" cm="1">
        <f t="array" ref="AA11">_xll.EQNXTDZ($A$1,$B11,AA$1,$B$1)</f>
        <v>0</v>
      </c>
      <c r="AB11" s="124" cm="1">
        <f t="array" ref="AB11">_xll.EQNXTDZ($A$1,$B11,AB$1,$B$1)</f>
        <v>0</v>
      </c>
      <c r="AC11" s="124" cm="1">
        <f t="array" ref="AC11">_xll.EQNXTDZ($A$1,$B11,AC$1,$B$1)</f>
        <v>0</v>
      </c>
      <c r="AD11" s="124" cm="1">
        <f t="array" ref="AD11">_xll.EQNXTDZ($A$1,$B11,AD$1,$B$1)</f>
        <v>0</v>
      </c>
      <c r="AE11" s="124" cm="1">
        <f t="array" ref="AE11">_xll.EQNXTDZ($A$1,$B11,AE$1,$B$1)</f>
        <v>0</v>
      </c>
      <c r="AF11" s="124" cm="1">
        <f t="array" ref="AF11">_xll.EQNXTDZ($A$1,$B11,AF$1,$B$1)</f>
        <v>0</v>
      </c>
    </row>
    <row r="12" spans="1:32" s="106" customFormat="1" x14ac:dyDescent="0.25">
      <c r="A12" s="106" t="s">
        <v>56</v>
      </c>
      <c r="B12" s="106" t="s">
        <v>362</v>
      </c>
      <c r="C12" s="124" cm="1">
        <f t="array" ref="C12">_xll.EQNXTDZ($A$1,$B12,C$1,$B$1)</f>
        <v>0</v>
      </c>
      <c r="D12" s="124" cm="1">
        <f t="array" ref="D12">_xll.EQNXTDZ($A$1,$B12,D$1,$B$1)</f>
        <v>0</v>
      </c>
      <c r="E12" s="124" cm="1">
        <f t="array" ref="E12">_xll.EQNXTDZ($A$1,$B12,E$1,$B$1)</f>
        <v>0</v>
      </c>
      <c r="F12" s="124" cm="1">
        <f t="array" ref="F12">_xll.EQNXTDZ($A$1,$B12,F$1,$B$1)</f>
        <v>0</v>
      </c>
      <c r="G12" s="124" cm="1">
        <f t="array" ref="G12">_xll.EQNXTDZ($A$1,$B12,G$1,$B$1)</f>
        <v>0</v>
      </c>
      <c r="H12" s="124" cm="1">
        <f t="array" ref="H12">_xll.EQNXTDZ($A$1,$B12,H$1,$B$1)</f>
        <v>0</v>
      </c>
      <c r="I12" s="124" cm="1">
        <f t="array" ref="I12">_xll.EQNXTDZ($A$1,$B12,I$1,$B$1)</f>
        <v>0</v>
      </c>
      <c r="J12" s="124" cm="1">
        <f t="array" ref="J12">_xll.EQNXTDZ($A$1,$B12,J$1,$B$1)</f>
        <v>0</v>
      </c>
      <c r="K12" s="124" cm="1">
        <f t="array" ref="K12">_xll.EQNXTDZ($A$1,$B12,K$1,$B$1)</f>
        <v>0</v>
      </c>
      <c r="L12" s="124" cm="1">
        <f t="array" ref="L12">_xll.EQNXTDZ($A$1,$B12,L$1,$B$1)</f>
        <v>0</v>
      </c>
      <c r="M12" s="124" cm="1">
        <f t="array" ref="M12">_xll.EQNXTDZ($A$1,$B12,M$1,$B$1)</f>
        <v>0</v>
      </c>
      <c r="N12" s="124" cm="1">
        <f t="array" ref="N12">_xll.EQNXTDZ($A$1,$B12,N$1,$B$1)</f>
        <v>0</v>
      </c>
      <c r="O12" s="124" cm="1">
        <f t="array" ref="O12">_xll.EQNXTDZ($A$1,$B12,O$1,$B$1)</f>
        <v>0</v>
      </c>
      <c r="P12" s="124" cm="1">
        <f t="array" ref="P12">_xll.EQNXTDZ($A$1,$B12,P$1,$B$1)</f>
        <v>0</v>
      </c>
      <c r="Q12" s="124" cm="1">
        <f t="array" ref="Q12">_xll.EQNXTDZ($A$1,$B12,Q$1,$B$1)</f>
        <v>0</v>
      </c>
      <c r="R12" s="124" cm="1">
        <f t="array" ref="R12">_xll.EQNXTDZ($A$1,$B12,R$1,$B$1)</f>
        <v>0</v>
      </c>
      <c r="S12" s="124" cm="1">
        <f t="array" ref="S12">_xll.EQNXTDZ($A$1,$B12,S$1,$B$1)</f>
        <v>0</v>
      </c>
      <c r="T12" s="124" cm="1">
        <f t="array" ref="T12">_xll.EQNXTDZ($A$1,$B12,T$1,$B$1)</f>
        <v>0</v>
      </c>
      <c r="U12" s="124" cm="1">
        <f t="array" ref="U12">_xll.EQNXTDZ($A$1,$B12,U$1,$B$1)</f>
        <v>0</v>
      </c>
      <c r="V12" s="124" cm="1">
        <f t="array" ref="V12">_xll.EQNXTDZ($A$1,$B12,V$1,$B$1)</f>
        <v>0</v>
      </c>
      <c r="W12" s="124" cm="1">
        <f t="array" ref="W12">_xll.EQNXTDZ($A$1,$B12,W$1,$B$1)</f>
        <v>0</v>
      </c>
      <c r="X12" s="124" cm="1">
        <f t="array" ref="X12">_xll.EQNXTDZ($A$1,$B12,X$1,$B$1)</f>
        <v>0</v>
      </c>
      <c r="Y12" s="124" cm="1">
        <f t="array" ref="Y12">_xll.EQNXTDZ($A$1,$B12,Y$1,$B$1)</f>
        <v>0</v>
      </c>
      <c r="Z12" s="124" cm="1">
        <f t="array" ref="Z12">_xll.EQNXTDZ($A$1,$B12,Z$1,$B$1)</f>
        <v>0</v>
      </c>
      <c r="AA12" s="124" cm="1">
        <f t="array" ref="AA12">_xll.EQNXTDZ($A$1,$B12,AA$1,$B$1)</f>
        <v>0</v>
      </c>
      <c r="AB12" s="124" cm="1">
        <f t="array" ref="AB12">_xll.EQNXTDZ($A$1,$B12,AB$1,$B$1)</f>
        <v>0</v>
      </c>
      <c r="AC12" s="124" cm="1">
        <f t="array" ref="AC12">_xll.EQNXTDZ($A$1,$B12,AC$1,$B$1)</f>
        <v>0</v>
      </c>
      <c r="AD12" s="124" cm="1">
        <f t="array" ref="AD12">_xll.EQNXTDZ($A$1,$B12,AD$1,$B$1)</f>
        <v>0</v>
      </c>
      <c r="AE12" s="124" cm="1">
        <f t="array" ref="AE12">_xll.EQNXTDZ($A$1,$B12,AE$1,$B$1)</f>
        <v>0</v>
      </c>
      <c r="AF12" s="124" cm="1">
        <f t="array" ref="AF12">_xll.EQNXTDZ($A$1,$B12,AF$1,$B$1)</f>
        <v>0</v>
      </c>
    </row>
    <row r="13" spans="1:32" s="106" customFormat="1" x14ac:dyDescent="0.25">
      <c r="A13" s="106" t="s">
        <v>243</v>
      </c>
      <c r="B13" s="106" t="s">
        <v>363</v>
      </c>
      <c r="C13" s="124" cm="1">
        <f t="array" ref="C13">_xll.EQNXTDZ($A$1,$B13,C$1,$B$1)</f>
        <v>0</v>
      </c>
      <c r="D13" s="124" cm="1">
        <f t="array" ref="D13">_xll.EQNXTDZ($A$1,$B13,D$1,$B$1)</f>
        <v>0</v>
      </c>
      <c r="E13" s="124" cm="1">
        <f t="array" ref="E13">_xll.EQNXTDZ($A$1,$B13,E$1,$B$1)</f>
        <v>0</v>
      </c>
      <c r="F13" s="124" cm="1">
        <f t="array" ref="F13">_xll.EQNXTDZ($A$1,$B13,F$1,$B$1)</f>
        <v>0</v>
      </c>
      <c r="G13" s="124" cm="1">
        <f t="array" ref="G13">_xll.EQNXTDZ($A$1,$B13,G$1,$B$1)</f>
        <v>0</v>
      </c>
      <c r="H13" s="124" cm="1">
        <f t="array" ref="H13">_xll.EQNXTDZ($A$1,$B13,H$1,$B$1)</f>
        <v>0</v>
      </c>
      <c r="I13" s="124" cm="1">
        <f t="array" ref="I13">_xll.EQNXTDZ($A$1,$B13,I$1,$B$1)</f>
        <v>0</v>
      </c>
      <c r="J13" s="124" cm="1">
        <f t="array" ref="J13">_xll.EQNXTDZ($A$1,$B13,J$1,$B$1)</f>
        <v>0</v>
      </c>
      <c r="K13" s="124" cm="1">
        <f t="array" ref="K13">_xll.EQNXTDZ($A$1,$B13,K$1,$B$1)</f>
        <v>0</v>
      </c>
      <c r="L13" s="124" cm="1">
        <f t="array" ref="L13">_xll.EQNXTDZ($A$1,$B13,L$1,$B$1)</f>
        <v>0</v>
      </c>
      <c r="M13" s="124" cm="1">
        <f t="array" ref="M13">_xll.EQNXTDZ($A$1,$B13,M$1,$B$1)</f>
        <v>0</v>
      </c>
      <c r="N13" s="124" cm="1">
        <f t="array" ref="N13">_xll.EQNXTDZ($A$1,$B13,N$1,$B$1)</f>
        <v>0</v>
      </c>
      <c r="O13" s="124" cm="1">
        <f t="array" ref="O13">_xll.EQNXTDZ($A$1,$B13,O$1,$B$1)</f>
        <v>0</v>
      </c>
      <c r="P13" s="124" cm="1">
        <f t="array" ref="P13">_xll.EQNXTDZ($A$1,$B13,P$1,$B$1)</f>
        <v>0</v>
      </c>
      <c r="Q13" s="124" cm="1">
        <f t="array" ref="Q13">_xll.EQNXTDZ($A$1,$B13,Q$1,$B$1)</f>
        <v>0</v>
      </c>
      <c r="R13" s="124" cm="1">
        <f t="array" ref="R13">_xll.EQNXTDZ($A$1,$B13,R$1,$B$1)</f>
        <v>0</v>
      </c>
      <c r="S13" s="124" cm="1">
        <f t="array" ref="S13">_xll.EQNXTDZ($A$1,$B13,S$1,$B$1)</f>
        <v>0</v>
      </c>
      <c r="T13" s="124" cm="1">
        <f t="array" ref="T13">_xll.EQNXTDZ($A$1,$B13,T$1,$B$1)</f>
        <v>0</v>
      </c>
      <c r="U13" s="124" cm="1">
        <f t="array" ref="U13">_xll.EQNXTDZ($A$1,$B13,U$1,$B$1)</f>
        <v>0</v>
      </c>
      <c r="V13" s="124" cm="1">
        <f t="array" ref="V13">_xll.EQNXTDZ($A$1,$B13,V$1,$B$1)</f>
        <v>0</v>
      </c>
      <c r="W13" s="124" cm="1">
        <f t="array" ref="W13">_xll.EQNXTDZ($A$1,$B13,W$1,$B$1)</f>
        <v>0</v>
      </c>
      <c r="X13" s="124" cm="1">
        <f t="array" ref="X13">_xll.EQNXTDZ($A$1,$B13,X$1,$B$1)</f>
        <v>0</v>
      </c>
      <c r="Y13" s="124" cm="1">
        <f t="array" ref="Y13">_xll.EQNXTDZ($A$1,$B13,Y$1,$B$1)</f>
        <v>0</v>
      </c>
      <c r="Z13" s="124" cm="1">
        <f t="array" ref="Z13">_xll.EQNXTDZ($A$1,$B13,Z$1,$B$1)</f>
        <v>0</v>
      </c>
      <c r="AA13" s="124" cm="1">
        <f t="array" ref="AA13">_xll.EQNXTDZ($A$1,$B13,AA$1,$B$1)</f>
        <v>0</v>
      </c>
      <c r="AB13" s="124" cm="1">
        <f t="array" ref="AB13">_xll.EQNXTDZ($A$1,$B13,AB$1,$B$1)</f>
        <v>0</v>
      </c>
      <c r="AC13" s="124" cm="1">
        <f t="array" ref="AC13">_xll.EQNXTDZ($A$1,$B13,AC$1,$B$1)</f>
        <v>0</v>
      </c>
      <c r="AD13" s="124" cm="1">
        <f t="array" ref="AD13">_xll.EQNXTDZ($A$1,$B13,AD$1,$B$1)</f>
        <v>0</v>
      </c>
      <c r="AE13" s="124" cm="1">
        <f t="array" ref="AE13">_xll.EQNXTDZ($A$1,$B13,AE$1,$B$1)</f>
        <v>0</v>
      </c>
      <c r="AF13" s="124" cm="1">
        <f t="array" ref="AF13">_xll.EQNXTDZ($A$1,$B13,AF$1,$B$1)</f>
        <v>0</v>
      </c>
    </row>
    <row r="14" spans="1:32" s="106" customFormat="1" x14ac:dyDescent="0.25">
      <c r="A14" s="106" t="s">
        <v>182</v>
      </c>
      <c r="B14" s="106" t="s">
        <v>364</v>
      </c>
      <c r="C14" s="124" cm="1">
        <f t="array" ref="C14">_xll.EQNXTDZ($A$1,$B14,C$1,$B$1)</f>
        <v>0</v>
      </c>
      <c r="D14" s="124" cm="1">
        <f t="array" ref="D14">_xll.EQNXTDZ($A$1,$B14,D$1,$B$1)</f>
        <v>0</v>
      </c>
      <c r="E14" s="124" cm="1">
        <f t="array" ref="E14">_xll.EQNXTDZ($A$1,$B14,E$1,$B$1)</f>
        <v>0</v>
      </c>
      <c r="F14" s="124" cm="1">
        <f t="array" ref="F14">_xll.EQNXTDZ($A$1,$B14,F$1,$B$1)</f>
        <v>0</v>
      </c>
      <c r="G14" s="124" cm="1">
        <f t="array" ref="G14">_xll.EQNXTDZ($A$1,$B14,G$1,$B$1)</f>
        <v>0</v>
      </c>
      <c r="H14" s="124" cm="1">
        <f t="array" ref="H14">_xll.EQNXTDZ($A$1,$B14,H$1,$B$1)</f>
        <v>0</v>
      </c>
      <c r="I14" s="124" cm="1">
        <f t="array" ref="I14">_xll.EQNXTDZ($A$1,$B14,I$1,$B$1)</f>
        <v>0</v>
      </c>
      <c r="J14" s="124" cm="1">
        <f t="array" ref="J14">_xll.EQNXTDZ($A$1,$B14,J$1,$B$1)</f>
        <v>0</v>
      </c>
      <c r="K14" s="124" cm="1">
        <f t="array" ref="K14">_xll.EQNXTDZ($A$1,$B14,K$1,$B$1)</f>
        <v>0</v>
      </c>
      <c r="L14" s="124" cm="1">
        <f t="array" ref="L14">_xll.EQNXTDZ($A$1,$B14,L$1,$B$1)</f>
        <v>0</v>
      </c>
      <c r="M14" s="124" cm="1">
        <f t="array" ref="M14">_xll.EQNXTDZ($A$1,$B14,M$1,$B$1)</f>
        <v>0</v>
      </c>
      <c r="N14" s="124" cm="1">
        <f t="array" ref="N14">_xll.EQNXTDZ($A$1,$B14,N$1,$B$1)</f>
        <v>0</v>
      </c>
      <c r="O14" s="124" cm="1">
        <f t="array" ref="O14">_xll.EQNXTDZ($A$1,$B14,O$1,$B$1)</f>
        <v>0</v>
      </c>
      <c r="P14" s="124" cm="1">
        <f t="array" ref="P14">_xll.EQNXTDZ($A$1,$B14,P$1,$B$1)</f>
        <v>0</v>
      </c>
      <c r="Q14" s="124" cm="1">
        <f t="array" ref="Q14">_xll.EQNXTDZ($A$1,$B14,Q$1,$B$1)</f>
        <v>0</v>
      </c>
      <c r="R14" s="124" cm="1">
        <f t="array" ref="R14">_xll.EQNXTDZ($A$1,$B14,R$1,$B$1)</f>
        <v>0</v>
      </c>
      <c r="S14" s="124" cm="1">
        <f t="array" ref="S14">_xll.EQNXTDZ($A$1,$B14,S$1,$B$1)</f>
        <v>0</v>
      </c>
      <c r="T14" s="124" cm="1">
        <f t="array" ref="T14">_xll.EQNXTDZ($A$1,$B14,T$1,$B$1)</f>
        <v>0</v>
      </c>
      <c r="U14" s="124" cm="1">
        <f t="array" ref="U14">_xll.EQNXTDZ($A$1,$B14,U$1,$B$1)</f>
        <v>0</v>
      </c>
      <c r="V14" s="124" cm="1">
        <f t="array" ref="V14">_xll.EQNXTDZ($A$1,$B14,V$1,$B$1)</f>
        <v>0</v>
      </c>
      <c r="W14" s="124" cm="1">
        <f t="array" ref="W14">_xll.EQNXTDZ($A$1,$B14,W$1,$B$1)</f>
        <v>0</v>
      </c>
      <c r="X14" s="124" cm="1">
        <f t="array" ref="X14">_xll.EQNXTDZ($A$1,$B14,X$1,$B$1)</f>
        <v>0</v>
      </c>
      <c r="Y14" s="124" cm="1">
        <f t="array" ref="Y14">_xll.EQNXTDZ($A$1,$B14,Y$1,$B$1)</f>
        <v>0</v>
      </c>
      <c r="Z14" s="124" cm="1">
        <f t="array" ref="Z14">_xll.EQNXTDZ($A$1,$B14,Z$1,$B$1)</f>
        <v>0</v>
      </c>
      <c r="AA14" s="124" cm="1">
        <f t="array" ref="AA14">_xll.EQNXTDZ($A$1,$B14,AA$1,$B$1)</f>
        <v>0</v>
      </c>
      <c r="AB14" s="124" cm="1">
        <f t="array" ref="AB14">_xll.EQNXTDZ($A$1,$B14,AB$1,$B$1)</f>
        <v>0</v>
      </c>
      <c r="AC14" s="124" cm="1">
        <f t="array" ref="AC14">_xll.EQNXTDZ($A$1,$B14,AC$1,$B$1)</f>
        <v>0</v>
      </c>
      <c r="AD14" s="124" cm="1">
        <f t="array" ref="AD14">_xll.EQNXTDZ($A$1,$B14,AD$1,$B$1)</f>
        <v>0</v>
      </c>
      <c r="AE14" s="124" cm="1">
        <f t="array" ref="AE14">_xll.EQNXTDZ($A$1,$B14,AE$1,$B$1)</f>
        <v>0</v>
      </c>
      <c r="AF14" s="124" cm="1">
        <f t="array" ref="AF14">_xll.EQNXTDZ($A$1,$B14,AF$1,$B$1)</f>
        <v>0</v>
      </c>
    </row>
    <row r="15" spans="1:32" s="106" customFormat="1" x14ac:dyDescent="0.25">
      <c r="A15" s="106" t="s">
        <v>244</v>
      </c>
      <c r="B15" s="106" t="s">
        <v>365</v>
      </c>
      <c r="C15" s="124" cm="1">
        <f t="array" ref="C15">_xll.EQNXTDZ($A$1,$B15,C$1,$B$1)</f>
        <v>0</v>
      </c>
      <c r="D15" s="124" cm="1">
        <f t="array" ref="D15">_xll.EQNXTDZ($A$1,$B15,D$1,$B$1)</f>
        <v>0</v>
      </c>
      <c r="E15" s="124" cm="1">
        <f t="array" ref="E15">_xll.EQNXTDZ($A$1,$B15,E$1,$B$1)</f>
        <v>0</v>
      </c>
      <c r="F15" s="124" cm="1">
        <f t="array" ref="F15">_xll.EQNXTDZ($A$1,$B15,F$1,$B$1)</f>
        <v>0</v>
      </c>
      <c r="G15" s="124" cm="1">
        <f t="array" ref="G15">_xll.EQNXTDZ($A$1,$B15,G$1,$B$1)</f>
        <v>0</v>
      </c>
      <c r="H15" s="124" cm="1">
        <f t="array" ref="H15">_xll.EQNXTDZ($A$1,$B15,H$1,$B$1)</f>
        <v>0</v>
      </c>
      <c r="I15" s="124" cm="1">
        <f t="array" ref="I15">_xll.EQNXTDZ($A$1,$B15,I$1,$B$1)</f>
        <v>0</v>
      </c>
      <c r="J15" s="124" cm="1">
        <f t="array" ref="J15">_xll.EQNXTDZ($A$1,$B15,J$1,$B$1)</f>
        <v>0</v>
      </c>
      <c r="K15" s="124" cm="1">
        <f t="array" ref="K15">_xll.EQNXTDZ($A$1,$B15,K$1,$B$1)</f>
        <v>0</v>
      </c>
      <c r="L15" s="124" cm="1">
        <f t="array" ref="L15">_xll.EQNXTDZ($A$1,$B15,L$1,$B$1)</f>
        <v>0</v>
      </c>
      <c r="M15" s="124" cm="1">
        <f t="array" ref="M15">_xll.EQNXTDZ($A$1,$B15,M$1,$B$1)</f>
        <v>0</v>
      </c>
      <c r="N15" s="124" cm="1">
        <f t="array" ref="N15">_xll.EQNXTDZ($A$1,$B15,N$1,$B$1)</f>
        <v>0</v>
      </c>
      <c r="O15" s="124" cm="1">
        <f t="array" ref="O15">_xll.EQNXTDZ($A$1,$B15,O$1,$B$1)</f>
        <v>0</v>
      </c>
      <c r="P15" s="124" cm="1">
        <f t="array" ref="P15">_xll.EQNXTDZ($A$1,$B15,P$1,$B$1)</f>
        <v>0</v>
      </c>
      <c r="Q15" s="124" cm="1">
        <f t="array" ref="Q15">_xll.EQNXTDZ($A$1,$B15,Q$1,$B$1)</f>
        <v>0</v>
      </c>
      <c r="R15" s="124" cm="1">
        <f t="array" ref="R15">_xll.EQNXTDZ($A$1,$B15,R$1,$B$1)</f>
        <v>0</v>
      </c>
      <c r="S15" s="124" cm="1">
        <f t="array" ref="S15">_xll.EQNXTDZ($A$1,$B15,S$1,$B$1)</f>
        <v>0</v>
      </c>
      <c r="T15" s="124" cm="1">
        <f t="array" ref="T15">_xll.EQNXTDZ($A$1,$B15,T$1,$B$1)</f>
        <v>0</v>
      </c>
      <c r="U15" s="124" cm="1">
        <f t="array" ref="U15">_xll.EQNXTDZ($A$1,$B15,U$1,$B$1)</f>
        <v>0</v>
      </c>
      <c r="V15" s="124" cm="1">
        <f t="array" ref="V15">_xll.EQNXTDZ($A$1,$B15,V$1,$B$1)</f>
        <v>0</v>
      </c>
      <c r="W15" s="124" cm="1">
        <f t="array" ref="W15">_xll.EQNXTDZ($A$1,$B15,W$1,$B$1)</f>
        <v>0</v>
      </c>
      <c r="X15" s="124" cm="1">
        <f t="array" ref="X15">_xll.EQNXTDZ($A$1,$B15,X$1,$B$1)</f>
        <v>0</v>
      </c>
      <c r="Y15" s="124" cm="1">
        <f t="array" ref="Y15">_xll.EQNXTDZ($A$1,$B15,Y$1,$B$1)</f>
        <v>0</v>
      </c>
      <c r="Z15" s="124" cm="1">
        <f t="array" ref="Z15">_xll.EQNXTDZ($A$1,$B15,Z$1,$B$1)</f>
        <v>0</v>
      </c>
      <c r="AA15" s="124" cm="1">
        <f t="array" ref="AA15">_xll.EQNXTDZ($A$1,$B15,AA$1,$B$1)</f>
        <v>0</v>
      </c>
      <c r="AB15" s="124" cm="1">
        <f t="array" ref="AB15">_xll.EQNXTDZ($A$1,$B15,AB$1,$B$1)</f>
        <v>0</v>
      </c>
      <c r="AC15" s="124" cm="1">
        <f t="array" ref="AC15">_xll.EQNXTDZ($A$1,$B15,AC$1,$B$1)</f>
        <v>0</v>
      </c>
      <c r="AD15" s="124" cm="1">
        <f t="array" ref="AD15">_xll.EQNXTDZ($A$1,$B15,AD$1,$B$1)</f>
        <v>0</v>
      </c>
      <c r="AE15" s="124" cm="1">
        <f t="array" ref="AE15">_xll.EQNXTDZ($A$1,$B15,AE$1,$B$1)</f>
        <v>0</v>
      </c>
      <c r="AF15" s="124" cm="1">
        <f t="array" ref="AF15">_xll.EQNXTDZ($A$1,$B15,AF$1,$B$1)</f>
        <v>0</v>
      </c>
    </row>
    <row r="16" spans="1:32" s="106" customFormat="1" x14ac:dyDescent="0.25">
      <c r="A16" s="106" t="s">
        <v>245</v>
      </c>
      <c r="B16" s="106" t="s">
        <v>366</v>
      </c>
      <c r="C16" s="124" cm="1">
        <f t="array" ref="C16">_xll.EQNXTDZ($A$1,$B16,C$1,$B$1)</f>
        <v>0</v>
      </c>
      <c r="D16" s="124" cm="1">
        <f t="array" ref="D16">_xll.EQNXTDZ($A$1,$B16,D$1,$B$1)</f>
        <v>0</v>
      </c>
      <c r="E16" s="124" cm="1">
        <f t="array" ref="E16">_xll.EQNXTDZ($A$1,$B16,E$1,$B$1)</f>
        <v>0</v>
      </c>
      <c r="F16" s="124" cm="1">
        <f t="array" ref="F16">_xll.EQNXTDZ($A$1,$B16,F$1,$B$1)</f>
        <v>0</v>
      </c>
      <c r="G16" s="124" cm="1">
        <f t="array" ref="G16">_xll.EQNXTDZ($A$1,$B16,G$1,$B$1)</f>
        <v>0</v>
      </c>
      <c r="H16" s="124" cm="1">
        <f t="array" ref="H16">_xll.EQNXTDZ($A$1,$B16,H$1,$B$1)</f>
        <v>0</v>
      </c>
      <c r="I16" s="124" cm="1">
        <f t="array" ref="I16">_xll.EQNXTDZ($A$1,$B16,I$1,$B$1)</f>
        <v>0</v>
      </c>
      <c r="J16" s="124" cm="1">
        <f t="array" ref="J16">_xll.EQNXTDZ($A$1,$B16,J$1,$B$1)</f>
        <v>0</v>
      </c>
      <c r="K16" s="124" cm="1">
        <f t="array" ref="K16">_xll.EQNXTDZ($A$1,$B16,K$1,$B$1)</f>
        <v>0</v>
      </c>
      <c r="L16" s="124" cm="1">
        <f t="array" ref="L16">_xll.EQNXTDZ($A$1,$B16,L$1,$B$1)</f>
        <v>0</v>
      </c>
      <c r="M16" s="124" cm="1">
        <f t="array" ref="M16">_xll.EQNXTDZ($A$1,$B16,M$1,$B$1)</f>
        <v>0</v>
      </c>
      <c r="N16" s="124" cm="1">
        <f t="array" ref="N16">_xll.EQNXTDZ($A$1,$B16,N$1,$B$1)</f>
        <v>0</v>
      </c>
      <c r="O16" s="124" cm="1">
        <f t="array" ref="O16">_xll.EQNXTDZ($A$1,$B16,O$1,$B$1)</f>
        <v>0</v>
      </c>
      <c r="P16" s="124" cm="1">
        <f t="array" ref="P16">_xll.EQNXTDZ($A$1,$B16,P$1,$B$1)</f>
        <v>0</v>
      </c>
      <c r="Q16" s="124" cm="1">
        <f t="array" ref="Q16">_xll.EQNXTDZ($A$1,$B16,Q$1,$B$1)</f>
        <v>0</v>
      </c>
      <c r="R16" s="124" cm="1">
        <f t="array" ref="R16">_xll.EQNXTDZ($A$1,$B16,R$1,$B$1)</f>
        <v>0</v>
      </c>
      <c r="S16" s="124" cm="1">
        <f t="array" ref="S16">_xll.EQNXTDZ($A$1,$B16,S$1,$B$1)</f>
        <v>0</v>
      </c>
      <c r="T16" s="124" cm="1">
        <f t="array" ref="T16">_xll.EQNXTDZ($A$1,$B16,T$1,$B$1)</f>
        <v>0</v>
      </c>
      <c r="U16" s="124" cm="1">
        <f t="array" ref="U16">_xll.EQNXTDZ($A$1,$B16,U$1,$B$1)</f>
        <v>0</v>
      </c>
      <c r="V16" s="124" cm="1">
        <f t="array" ref="V16">_xll.EQNXTDZ($A$1,$B16,V$1,$B$1)</f>
        <v>0</v>
      </c>
      <c r="W16" s="124" cm="1">
        <f t="array" ref="W16">_xll.EQNXTDZ($A$1,$B16,W$1,$B$1)</f>
        <v>0</v>
      </c>
      <c r="X16" s="124" cm="1">
        <f t="array" ref="X16">_xll.EQNXTDZ($A$1,$B16,X$1,$B$1)</f>
        <v>0</v>
      </c>
      <c r="Y16" s="124" cm="1">
        <f t="array" ref="Y16">_xll.EQNXTDZ($A$1,$B16,Y$1,$B$1)</f>
        <v>0</v>
      </c>
      <c r="Z16" s="124" cm="1">
        <f t="array" ref="Z16">_xll.EQNXTDZ($A$1,$B16,Z$1,$B$1)</f>
        <v>0</v>
      </c>
      <c r="AA16" s="124" cm="1">
        <f t="array" ref="AA16">_xll.EQNXTDZ($A$1,$B16,AA$1,$B$1)</f>
        <v>0</v>
      </c>
      <c r="AB16" s="124" cm="1">
        <f t="array" ref="AB16">_xll.EQNXTDZ($A$1,$B16,AB$1,$B$1)</f>
        <v>0</v>
      </c>
      <c r="AC16" s="124" cm="1">
        <f t="array" ref="AC16">_xll.EQNXTDZ($A$1,$B16,AC$1,$B$1)</f>
        <v>0</v>
      </c>
      <c r="AD16" s="124" cm="1">
        <f t="array" ref="AD16">_xll.EQNXTDZ($A$1,$B16,AD$1,$B$1)</f>
        <v>0</v>
      </c>
      <c r="AE16" s="124" cm="1">
        <f t="array" ref="AE16">_xll.EQNXTDZ($A$1,$B16,AE$1,$B$1)</f>
        <v>0</v>
      </c>
      <c r="AF16" s="124" cm="1">
        <f t="array" ref="AF16">_xll.EQNXTDZ($A$1,$B16,AF$1,$B$1)</f>
        <v>0</v>
      </c>
    </row>
    <row r="17" spans="1:32" s="106" customFormat="1" x14ac:dyDescent="0.25">
      <c r="A17" s="106" t="s">
        <v>246</v>
      </c>
      <c r="B17" s="106" t="s">
        <v>367</v>
      </c>
      <c r="C17" s="124" cm="1">
        <f t="array" ref="C17">_xll.EQNXTDZ($A$1,$B17,C$1,$B$1)</f>
        <v>0</v>
      </c>
      <c r="D17" s="124" cm="1">
        <f t="array" ref="D17">_xll.EQNXTDZ($A$1,$B17,D$1,$B$1)</f>
        <v>0</v>
      </c>
      <c r="E17" s="124" cm="1">
        <f t="array" ref="E17">_xll.EQNXTDZ($A$1,$B17,E$1,$B$1)</f>
        <v>0</v>
      </c>
      <c r="F17" s="124" cm="1">
        <f t="array" ref="F17">_xll.EQNXTDZ($A$1,$B17,F$1,$B$1)</f>
        <v>0</v>
      </c>
      <c r="G17" s="124" cm="1">
        <f t="array" ref="G17">_xll.EQNXTDZ($A$1,$B17,G$1,$B$1)</f>
        <v>0</v>
      </c>
      <c r="H17" s="124" cm="1">
        <f t="array" ref="H17">_xll.EQNXTDZ($A$1,$B17,H$1,$B$1)</f>
        <v>0</v>
      </c>
      <c r="I17" s="124" cm="1">
        <f t="array" ref="I17">_xll.EQNXTDZ($A$1,$B17,I$1,$B$1)</f>
        <v>0</v>
      </c>
      <c r="J17" s="124" cm="1">
        <f t="array" ref="J17">_xll.EQNXTDZ($A$1,$B17,J$1,$B$1)</f>
        <v>0</v>
      </c>
      <c r="K17" s="124" cm="1">
        <f t="array" ref="K17">_xll.EQNXTDZ($A$1,$B17,K$1,$B$1)</f>
        <v>0</v>
      </c>
      <c r="L17" s="124" cm="1">
        <f t="array" ref="L17">_xll.EQNXTDZ($A$1,$B17,L$1,$B$1)</f>
        <v>0</v>
      </c>
      <c r="M17" s="124" cm="1">
        <f t="array" ref="M17">_xll.EQNXTDZ($A$1,$B17,M$1,$B$1)</f>
        <v>0</v>
      </c>
      <c r="N17" s="124" cm="1">
        <f t="array" ref="N17">_xll.EQNXTDZ($A$1,$B17,N$1,$B$1)</f>
        <v>0</v>
      </c>
      <c r="O17" s="124" cm="1">
        <f t="array" ref="O17">_xll.EQNXTDZ($A$1,$B17,O$1,$B$1)</f>
        <v>0</v>
      </c>
      <c r="P17" s="124" cm="1">
        <f t="array" ref="P17">_xll.EQNXTDZ($A$1,$B17,P$1,$B$1)</f>
        <v>0</v>
      </c>
      <c r="Q17" s="124" cm="1">
        <f t="array" ref="Q17">_xll.EQNXTDZ($A$1,$B17,Q$1,$B$1)</f>
        <v>0</v>
      </c>
      <c r="R17" s="124" cm="1">
        <f t="array" ref="R17">_xll.EQNXTDZ($A$1,$B17,R$1,$B$1)</f>
        <v>0</v>
      </c>
      <c r="S17" s="124" cm="1">
        <f t="array" ref="S17">_xll.EQNXTDZ($A$1,$B17,S$1,$B$1)</f>
        <v>0</v>
      </c>
      <c r="T17" s="124" cm="1">
        <f t="array" ref="T17">_xll.EQNXTDZ($A$1,$B17,T$1,$B$1)</f>
        <v>0</v>
      </c>
      <c r="U17" s="124" cm="1">
        <f t="array" ref="U17">_xll.EQNXTDZ($A$1,$B17,U$1,$B$1)</f>
        <v>0</v>
      </c>
      <c r="V17" s="124" cm="1">
        <f t="array" ref="V17">_xll.EQNXTDZ($A$1,$B17,V$1,$B$1)</f>
        <v>0</v>
      </c>
      <c r="W17" s="124" cm="1">
        <f t="array" ref="W17">_xll.EQNXTDZ($A$1,$B17,W$1,$B$1)</f>
        <v>0</v>
      </c>
      <c r="X17" s="124" cm="1">
        <f t="array" ref="X17">_xll.EQNXTDZ($A$1,$B17,X$1,$B$1)</f>
        <v>0</v>
      </c>
      <c r="Y17" s="124" cm="1">
        <f t="array" ref="Y17">_xll.EQNXTDZ($A$1,$B17,Y$1,$B$1)</f>
        <v>0</v>
      </c>
      <c r="Z17" s="124" cm="1">
        <f t="array" ref="Z17">_xll.EQNXTDZ($A$1,$B17,Z$1,$B$1)</f>
        <v>0</v>
      </c>
      <c r="AA17" s="124" cm="1">
        <f t="array" ref="AA17">_xll.EQNXTDZ($A$1,$B17,AA$1,$B$1)</f>
        <v>0</v>
      </c>
      <c r="AB17" s="124" cm="1">
        <f t="array" ref="AB17">_xll.EQNXTDZ($A$1,$B17,AB$1,$B$1)</f>
        <v>0</v>
      </c>
      <c r="AC17" s="124" cm="1">
        <f t="array" ref="AC17">_xll.EQNXTDZ($A$1,$B17,AC$1,$B$1)</f>
        <v>0</v>
      </c>
      <c r="AD17" s="124" cm="1">
        <f t="array" ref="AD17">_xll.EQNXTDZ($A$1,$B17,AD$1,$B$1)</f>
        <v>0</v>
      </c>
      <c r="AE17" s="124" cm="1">
        <f t="array" ref="AE17">_xll.EQNXTDZ($A$1,$B17,AE$1,$B$1)</f>
        <v>0</v>
      </c>
      <c r="AF17" s="124" cm="1">
        <f t="array" ref="AF17">_xll.EQNXTDZ($A$1,$B17,AF$1,$B$1)</f>
        <v>0</v>
      </c>
    </row>
    <row r="18" spans="1:32" s="106" customFormat="1" x14ac:dyDescent="0.25">
      <c r="A18" s="106" t="s">
        <v>0</v>
      </c>
      <c r="B18" s="106" t="s">
        <v>368</v>
      </c>
      <c r="C18" s="124" cm="1">
        <f t="array" ref="C18">_xll.EQNXTDZ($A$1,$B18,C$1,$B$1)</f>
        <v>0</v>
      </c>
      <c r="D18" s="124" cm="1">
        <f t="array" ref="D18">_xll.EQNXTDZ($A$1,$B18,D$1,$B$1)</f>
        <v>0</v>
      </c>
      <c r="E18" s="124" cm="1">
        <f t="array" ref="E18">_xll.EQNXTDZ($A$1,$B18,E$1,$B$1)</f>
        <v>0</v>
      </c>
      <c r="F18" s="124" cm="1">
        <f t="array" ref="F18">_xll.EQNXTDZ($A$1,$B18,F$1,$B$1)</f>
        <v>0</v>
      </c>
      <c r="G18" s="124" cm="1">
        <f t="array" ref="G18">_xll.EQNXTDZ($A$1,$B18,G$1,$B$1)</f>
        <v>0</v>
      </c>
      <c r="H18" s="124" cm="1">
        <f t="array" ref="H18">_xll.EQNXTDZ($A$1,$B18,H$1,$B$1)</f>
        <v>0</v>
      </c>
      <c r="I18" s="124" cm="1">
        <f t="array" ref="I18">_xll.EQNXTDZ($A$1,$B18,I$1,$B$1)</f>
        <v>0</v>
      </c>
      <c r="J18" s="124" cm="1">
        <f t="array" ref="J18">_xll.EQNXTDZ($A$1,$B18,J$1,$B$1)</f>
        <v>0</v>
      </c>
      <c r="K18" s="124" cm="1">
        <f t="array" ref="K18">_xll.EQNXTDZ($A$1,$B18,K$1,$B$1)</f>
        <v>0</v>
      </c>
      <c r="L18" s="124" cm="1">
        <f t="array" ref="L18">_xll.EQNXTDZ($A$1,$B18,L$1,$B$1)</f>
        <v>0</v>
      </c>
      <c r="M18" s="124" cm="1">
        <f t="array" ref="M18">_xll.EQNXTDZ($A$1,$B18,M$1,$B$1)</f>
        <v>0</v>
      </c>
      <c r="N18" s="124" cm="1">
        <f t="array" ref="N18">_xll.EQNXTDZ($A$1,$B18,N$1,$B$1)</f>
        <v>0</v>
      </c>
      <c r="O18" s="124" cm="1">
        <f t="array" ref="O18">_xll.EQNXTDZ($A$1,$B18,O$1,$B$1)</f>
        <v>0</v>
      </c>
      <c r="P18" s="124" cm="1">
        <f t="array" ref="P18">_xll.EQNXTDZ($A$1,$B18,P$1,$B$1)</f>
        <v>0</v>
      </c>
      <c r="Q18" s="124" cm="1">
        <f t="array" ref="Q18">_xll.EQNXTDZ($A$1,$B18,Q$1,$B$1)</f>
        <v>0</v>
      </c>
      <c r="R18" s="124" cm="1">
        <f t="array" ref="R18">_xll.EQNXTDZ($A$1,$B18,R$1,$B$1)</f>
        <v>0</v>
      </c>
      <c r="S18" s="124" cm="1">
        <f t="array" ref="S18">_xll.EQNXTDZ($A$1,$B18,S$1,$B$1)</f>
        <v>0</v>
      </c>
      <c r="T18" s="124" cm="1">
        <f t="array" ref="T18">_xll.EQNXTDZ($A$1,$B18,T$1,$B$1)</f>
        <v>0</v>
      </c>
      <c r="U18" s="124" cm="1">
        <f t="array" ref="U18">_xll.EQNXTDZ($A$1,$B18,U$1,$B$1)</f>
        <v>0</v>
      </c>
      <c r="V18" s="124" cm="1">
        <f t="array" ref="V18">_xll.EQNXTDZ($A$1,$B18,V$1,$B$1)</f>
        <v>0</v>
      </c>
      <c r="W18" s="124" cm="1">
        <f t="array" ref="W18">_xll.EQNXTDZ($A$1,$B18,W$1,$B$1)</f>
        <v>0</v>
      </c>
      <c r="X18" s="124" cm="1">
        <f t="array" ref="X18">_xll.EQNXTDZ($A$1,$B18,X$1,$B$1)</f>
        <v>0</v>
      </c>
      <c r="Y18" s="124" cm="1">
        <f t="array" ref="Y18">_xll.EQNXTDZ($A$1,$B18,Y$1,$B$1)</f>
        <v>0</v>
      </c>
      <c r="Z18" s="124" cm="1">
        <f t="array" ref="Z18">_xll.EQNXTDZ($A$1,$B18,Z$1,$B$1)</f>
        <v>0</v>
      </c>
      <c r="AA18" s="124" cm="1">
        <f t="array" ref="AA18">_xll.EQNXTDZ($A$1,$B18,AA$1,$B$1)</f>
        <v>0</v>
      </c>
      <c r="AB18" s="124" cm="1">
        <f t="array" ref="AB18">_xll.EQNXTDZ($A$1,$B18,AB$1,$B$1)</f>
        <v>0</v>
      </c>
      <c r="AC18" s="124" cm="1">
        <f t="array" ref="AC18">_xll.EQNXTDZ($A$1,$B18,AC$1,$B$1)</f>
        <v>0</v>
      </c>
      <c r="AD18" s="124" cm="1">
        <f t="array" ref="AD18">_xll.EQNXTDZ($A$1,$B18,AD$1,$B$1)</f>
        <v>0</v>
      </c>
      <c r="AE18" s="124" cm="1">
        <f t="array" ref="AE18">_xll.EQNXTDZ($A$1,$B18,AE$1,$B$1)</f>
        <v>0</v>
      </c>
      <c r="AF18" s="124" cm="1">
        <f t="array" ref="AF18">_xll.EQNXTDZ($A$1,$B18,AF$1,$B$1)</f>
        <v>0</v>
      </c>
    </row>
    <row r="19" spans="1:32" s="106" customFormat="1" x14ac:dyDescent="0.25">
      <c r="A19" s="147" t="s">
        <v>186</v>
      </c>
      <c r="B19" s="106" t="s">
        <v>369</v>
      </c>
      <c r="C19" s="124" cm="1">
        <f t="array" ref="C19">_xll.EQNXTDZ($A$1,$B19,C$1,$B$1)</f>
        <v>0</v>
      </c>
      <c r="D19" s="124" cm="1">
        <f t="array" ref="D19">_xll.EQNXTDZ($A$1,$B19,D$1,$B$1)</f>
        <v>0</v>
      </c>
      <c r="E19" s="124" cm="1">
        <f t="array" ref="E19">_xll.EQNXTDZ($A$1,$B19,E$1,$B$1)</f>
        <v>0</v>
      </c>
      <c r="F19" s="124" cm="1">
        <f t="array" ref="F19">_xll.EQNXTDZ($A$1,$B19,F$1,$B$1)</f>
        <v>0</v>
      </c>
      <c r="G19" s="124" cm="1">
        <f t="array" ref="G19">_xll.EQNXTDZ($A$1,$B19,G$1,$B$1)</f>
        <v>0</v>
      </c>
      <c r="H19" s="124" cm="1">
        <f t="array" ref="H19">_xll.EQNXTDZ($A$1,$B19,H$1,$B$1)</f>
        <v>0</v>
      </c>
      <c r="I19" s="124" cm="1">
        <f t="array" ref="I19">_xll.EQNXTDZ($A$1,$B19,I$1,$B$1)</f>
        <v>0</v>
      </c>
      <c r="J19" s="124" cm="1">
        <f t="array" ref="J19">_xll.EQNXTDZ($A$1,$B19,J$1,$B$1)</f>
        <v>0</v>
      </c>
      <c r="K19" s="124" cm="1">
        <f t="array" ref="K19">_xll.EQNXTDZ($A$1,$B19,K$1,$B$1)</f>
        <v>0</v>
      </c>
      <c r="L19" s="124" cm="1">
        <f t="array" ref="L19">_xll.EQNXTDZ($A$1,$B19,L$1,$B$1)</f>
        <v>0</v>
      </c>
      <c r="M19" s="124" cm="1">
        <f t="array" ref="M19">_xll.EQNXTDZ($A$1,$B19,M$1,$B$1)</f>
        <v>0</v>
      </c>
      <c r="N19" s="124" cm="1">
        <f t="array" ref="N19">_xll.EQNXTDZ($A$1,$B19,N$1,$B$1)</f>
        <v>0</v>
      </c>
      <c r="O19" s="124" cm="1">
        <f t="array" ref="O19">_xll.EQNXTDZ($A$1,$B19,O$1,$B$1)</f>
        <v>0</v>
      </c>
      <c r="P19" s="124" cm="1">
        <f t="array" ref="P19">_xll.EQNXTDZ($A$1,$B19,P$1,$B$1)</f>
        <v>0</v>
      </c>
      <c r="Q19" s="124" cm="1">
        <f t="array" ref="Q19">_xll.EQNXTDZ($A$1,$B19,Q$1,$B$1)</f>
        <v>0</v>
      </c>
      <c r="R19" s="124" cm="1">
        <f t="array" ref="R19">_xll.EQNXTDZ($A$1,$B19,R$1,$B$1)</f>
        <v>0</v>
      </c>
      <c r="S19" s="124" cm="1">
        <f t="array" ref="S19">_xll.EQNXTDZ($A$1,$B19,S$1,$B$1)</f>
        <v>0</v>
      </c>
      <c r="T19" s="124" cm="1">
        <f t="array" ref="T19">_xll.EQNXTDZ($A$1,$B19,T$1,$B$1)</f>
        <v>0</v>
      </c>
      <c r="U19" s="124" cm="1">
        <f t="array" ref="U19">_xll.EQNXTDZ($A$1,$B19,U$1,$B$1)</f>
        <v>0</v>
      </c>
      <c r="V19" s="124" cm="1">
        <f t="array" ref="V19">_xll.EQNXTDZ($A$1,$B19,V$1,$B$1)</f>
        <v>0</v>
      </c>
      <c r="W19" s="124" cm="1">
        <f t="array" ref="W19">_xll.EQNXTDZ($A$1,$B19,W$1,$B$1)</f>
        <v>0</v>
      </c>
      <c r="X19" s="124" cm="1">
        <f t="array" ref="X19">_xll.EQNXTDZ($A$1,$B19,X$1,$B$1)</f>
        <v>0</v>
      </c>
      <c r="Y19" s="124" cm="1">
        <f t="array" ref="Y19">_xll.EQNXTDZ($A$1,$B19,Y$1,$B$1)</f>
        <v>0</v>
      </c>
      <c r="Z19" s="124" cm="1">
        <f t="array" ref="Z19">_xll.EQNXTDZ($A$1,$B19,Z$1,$B$1)</f>
        <v>0</v>
      </c>
      <c r="AA19" s="124" cm="1">
        <f t="array" ref="AA19">_xll.EQNXTDZ($A$1,$B19,AA$1,$B$1)</f>
        <v>0</v>
      </c>
      <c r="AB19" s="124" cm="1">
        <f t="array" ref="AB19">_xll.EQNXTDZ($A$1,$B19,AB$1,$B$1)</f>
        <v>0</v>
      </c>
      <c r="AC19" s="124" cm="1">
        <f t="array" ref="AC19">_xll.EQNXTDZ($A$1,$B19,AC$1,$B$1)</f>
        <v>0</v>
      </c>
      <c r="AD19" s="124" cm="1">
        <f t="array" ref="AD19">_xll.EQNXTDZ($A$1,$B19,AD$1,$B$1)</f>
        <v>0</v>
      </c>
      <c r="AE19" s="124" cm="1">
        <f t="array" ref="AE19">_xll.EQNXTDZ($A$1,$B19,AE$1,$B$1)</f>
        <v>0</v>
      </c>
      <c r="AF19" s="124" cm="1">
        <f t="array" ref="AF19">_xll.EQNXTDZ($A$1,$B19,AF$1,$B$1)</f>
        <v>0</v>
      </c>
    </row>
    <row r="20" spans="1:32" s="106" customFormat="1" x14ac:dyDescent="0.25">
      <c r="A20" s="147" t="s">
        <v>247</v>
      </c>
      <c r="B20" s="106" t="s">
        <v>370</v>
      </c>
      <c r="C20" s="124" cm="1">
        <f t="array" ref="C20">_xll.EQNXTDZ($A$1,$B20,C$1,$B$1)</f>
        <v>0</v>
      </c>
      <c r="D20" s="124" cm="1">
        <f t="array" ref="D20">_xll.EQNXTDZ($A$1,$B20,D$1,$B$1)</f>
        <v>0</v>
      </c>
      <c r="E20" s="124" cm="1">
        <f t="array" ref="E20">_xll.EQNXTDZ($A$1,$B20,E$1,$B$1)</f>
        <v>0</v>
      </c>
      <c r="F20" s="124" cm="1">
        <f t="array" ref="F20">_xll.EQNXTDZ($A$1,$B20,F$1,$B$1)</f>
        <v>0</v>
      </c>
      <c r="G20" s="124" cm="1">
        <f t="array" ref="G20">_xll.EQNXTDZ($A$1,$B20,G$1,$B$1)</f>
        <v>0</v>
      </c>
      <c r="H20" s="124" cm="1">
        <f t="array" ref="H20">_xll.EQNXTDZ($A$1,$B20,H$1,$B$1)</f>
        <v>0</v>
      </c>
      <c r="I20" s="124" cm="1">
        <f t="array" ref="I20">_xll.EQNXTDZ($A$1,$B20,I$1,$B$1)</f>
        <v>0</v>
      </c>
      <c r="J20" s="124" cm="1">
        <f t="array" ref="J20">_xll.EQNXTDZ($A$1,$B20,J$1,$B$1)</f>
        <v>0</v>
      </c>
      <c r="K20" s="124" cm="1">
        <f t="array" ref="K20">_xll.EQNXTDZ($A$1,$B20,K$1,$B$1)</f>
        <v>0</v>
      </c>
      <c r="L20" s="124" cm="1">
        <f t="array" ref="L20">_xll.EQNXTDZ($A$1,$B20,L$1,$B$1)</f>
        <v>0</v>
      </c>
      <c r="M20" s="124" cm="1">
        <f t="array" ref="M20">_xll.EQNXTDZ($A$1,$B20,M$1,$B$1)</f>
        <v>0</v>
      </c>
      <c r="N20" s="124" cm="1">
        <f t="array" ref="N20">_xll.EQNXTDZ($A$1,$B20,N$1,$B$1)</f>
        <v>0</v>
      </c>
      <c r="O20" s="124" cm="1">
        <f t="array" ref="O20">_xll.EQNXTDZ($A$1,$B20,O$1,$B$1)</f>
        <v>0</v>
      </c>
      <c r="P20" s="124" cm="1">
        <f t="array" ref="P20">_xll.EQNXTDZ($A$1,$B20,P$1,$B$1)</f>
        <v>0</v>
      </c>
      <c r="Q20" s="124" cm="1">
        <f t="array" ref="Q20">_xll.EQNXTDZ($A$1,$B20,Q$1,$B$1)</f>
        <v>0</v>
      </c>
      <c r="R20" s="124" cm="1">
        <f t="array" ref="R20">_xll.EQNXTDZ($A$1,$B20,R$1,$B$1)</f>
        <v>0</v>
      </c>
      <c r="S20" s="124" cm="1">
        <f t="array" ref="S20">_xll.EQNXTDZ($A$1,$B20,S$1,$B$1)</f>
        <v>0</v>
      </c>
      <c r="T20" s="124" cm="1">
        <f t="array" ref="T20">_xll.EQNXTDZ($A$1,$B20,T$1,$B$1)</f>
        <v>0</v>
      </c>
      <c r="U20" s="124" cm="1">
        <f t="array" ref="U20">_xll.EQNXTDZ($A$1,$B20,U$1,$B$1)</f>
        <v>0</v>
      </c>
      <c r="V20" s="124" cm="1">
        <f t="array" ref="V20">_xll.EQNXTDZ($A$1,$B20,V$1,$B$1)</f>
        <v>0</v>
      </c>
      <c r="W20" s="124" cm="1">
        <f t="array" ref="W20">_xll.EQNXTDZ($A$1,$B20,W$1,$B$1)</f>
        <v>0</v>
      </c>
      <c r="X20" s="124" cm="1">
        <f t="array" ref="X20">_xll.EQNXTDZ($A$1,$B20,X$1,$B$1)</f>
        <v>0</v>
      </c>
      <c r="Y20" s="124" cm="1">
        <f t="array" ref="Y20">_xll.EQNXTDZ($A$1,$B20,Y$1,$B$1)</f>
        <v>0</v>
      </c>
      <c r="Z20" s="124" cm="1">
        <f t="array" ref="Z20">_xll.EQNXTDZ($A$1,$B20,Z$1,$B$1)</f>
        <v>0</v>
      </c>
      <c r="AA20" s="124" cm="1">
        <f t="array" ref="AA20">_xll.EQNXTDZ($A$1,$B20,AA$1,$B$1)</f>
        <v>0</v>
      </c>
      <c r="AB20" s="124" cm="1">
        <f t="array" ref="AB20">_xll.EQNXTDZ($A$1,$B20,AB$1,$B$1)</f>
        <v>0</v>
      </c>
      <c r="AC20" s="124" cm="1">
        <f t="array" ref="AC20">_xll.EQNXTDZ($A$1,$B20,AC$1,$B$1)</f>
        <v>0</v>
      </c>
      <c r="AD20" s="124" cm="1">
        <f t="array" ref="AD20">_xll.EQNXTDZ($A$1,$B20,AD$1,$B$1)</f>
        <v>0</v>
      </c>
      <c r="AE20" s="124" cm="1">
        <f t="array" ref="AE20">_xll.EQNXTDZ($A$1,$B20,AE$1,$B$1)</f>
        <v>0</v>
      </c>
      <c r="AF20" s="124" cm="1">
        <f t="array" ref="AF20">_xll.EQNXTDZ($A$1,$B20,AF$1,$B$1)</f>
        <v>0</v>
      </c>
    </row>
    <row r="21" spans="1:32" s="106" customFormat="1" x14ac:dyDescent="0.25">
      <c r="A21" s="147" t="s">
        <v>248</v>
      </c>
      <c r="B21" s="106" t="s">
        <v>371</v>
      </c>
      <c r="C21" s="124" cm="1">
        <f t="array" ref="C21">_xll.EQNXTDZ($A$1,$B21,C$1,$B$1)</f>
        <v>0</v>
      </c>
      <c r="D21" s="124" cm="1">
        <f t="array" ref="D21">_xll.EQNXTDZ($A$1,$B21,D$1,$B$1)</f>
        <v>0</v>
      </c>
      <c r="E21" s="124" cm="1">
        <f t="array" ref="E21">_xll.EQNXTDZ($A$1,$B21,E$1,$B$1)</f>
        <v>0</v>
      </c>
      <c r="F21" s="124" cm="1">
        <f t="array" ref="F21">_xll.EQNXTDZ($A$1,$B21,F$1,$B$1)</f>
        <v>0</v>
      </c>
      <c r="G21" s="124" cm="1">
        <f t="array" ref="G21">_xll.EQNXTDZ($A$1,$B21,G$1,$B$1)</f>
        <v>0</v>
      </c>
      <c r="H21" s="124" cm="1">
        <f t="array" ref="H21">_xll.EQNXTDZ($A$1,$B21,H$1,$B$1)</f>
        <v>0</v>
      </c>
      <c r="I21" s="124" cm="1">
        <f t="array" ref="I21">_xll.EQNXTDZ($A$1,$B21,I$1,$B$1)</f>
        <v>0</v>
      </c>
      <c r="J21" s="124" cm="1">
        <f t="array" ref="J21">_xll.EQNXTDZ($A$1,$B21,J$1,$B$1)</f>
        <v>0</v>
      </c>
      <c r="K21" s="124" cm="1">
        <f t="array" ref="K21">_xll.EQNXTDZ($A$1,$B21,K$1,$B$1)</f>
        <v>0</v>
      </c>
      <c r="L21" s="124" cm="1">
        <f t="array" ref="L21">_xll.EQNXTDZ($A$1,$B21,L$1,$B$1)</f>
        <v>0</v>
      </c>
      <c r="M21" s="124" cm="1">
        <f t="array" ref="M21">_xll.EQNXTDZ($A$1,$B21,M$1,$B$1)</f>
        <v>0</v>
      </c>
      <c r="N21" s="124" cm="1">
        <f t="array" ref="N21">_xll.EQNXTDZ($A$1,$B21,N$1,$B$1)</f>
        <v>0</v>
      </c>
      <c r="O21" s="124" cm="1">
        <f t="array" ref="O21">_xll.EQNXTDZ($A$1,$B21,O$1,$B$1)</f>
        <v>0</v>
      </c>
      <c r="P21" s="124" cm="1">
        <f t="array" ref="P21">_xll.EQNXTDZ($A$1,$B21,P$1,$B$1)</f>
        <v>0</v>
      </c>
      <c r="Q21" s="124" cm="1">
        <f t="array" ref="Q21">_xll.EQNXTDZ($A$1,$B21,Q$1,$B$1)</f>
        <v>0</v>
      </c>
      <c r="R21" s="124" cm="1">
        <f t="array" ref="R21">_xll.EQNXTDZ($A$1,$B21,R$1,$B$1)</f>
        <v>0</v>
      </c>
      <c r="S21" s="124" cm="1">
        <f t="array" ref="S21">_xll.EQNXTDZ($A$1,$B21,S$1,$B$1)</f>
        <v>0</v>
      </c>
      <c r="T21" s="124" cm="1">
        <f t="array" ref="T21">_xll.EQNXTDZ($A$1,$B21,T$1,$B$1)</f>
        <v>0</v>
      </c>
      <c r="U21" s="124" cm="1">
        <f t="array" ref="U21">_xll.EQNXTDZ($A$1,$B21,U$1,$B$1)</f>
        <v>0</v>
      </c>
      <c r="V21" s="124" cm="1">
        <f t="array" ref="V21">_xll.EQNXTDZ($A$1,$B21,V$1,$B$1)</f>
        <v>0</v>
      </c>
      <c r="W21" s="124" cm="1">
        <f t="array" ref="W21">_xll.EQNXTDZ($A$1,$B21,W$1,$B$1)</f>
        <v>0</v>
      </c>
      <c r="X21" s="124" cm="1">
        <f t="array" ref="X21">_xll.EQNXTDZ($A$1,$B21,X$1,$B$1)</f>
        <v>0</v>
      </c>
      <c r="Y21" s="124" cm="1">
        <f t="array" ref="Y21">_xll.EQNXTDZ($A$1,$B21,Y$1,$B$1)</f>
        <v>0</v>
      </c>
      <c r="Z21" s="124" cm="1">
        <f t="array" ref="Z21">_xll.EQNXTDZ($A$1,$B21,Z$1,$B$1)</f>
        <v>0</v>
      </c>
      <c r="AA21" s="124" cm="1">
        <f t="array" ref="AA21">_xll.EQNXTDZ($A$1,$B21,AA$1,$B$1)</f>
        <v>0</v>
      </c>
      <c r="AB21" s="124" cm="1">
        <f t="array" ref="AB21">_xll.EQNXTDZ($A$1,$B21,AB$1,$B$1)</f>
        <v>0</v>
      </c>
      <c r="AC21" s="124" cm="1">
        <f t="array" ref="AC21">_xll.EQNXTDZ($A$1,$B21,AC$1,$B$1)</f>
        <v>0</v>
      </c>
      <c r="AD21" s="124" cm="1">
        <f t="array" ref="AD21">_xll.EQNXTDZ($A$1,$B21,AD$1,$B$1)</f>
        <v>0</v>
      </c>
      <c r="AE21" s="124" cm="1">
        <f t="array" ref="AE21">_xll.EQNXTDZ($A$1,$B21,AE$1,$B$1)</f>
        <v>0</v>
      </c>
      <c r="AF21" s="124" cm="1">
        <f t="array" ref="AF21">_xll.EQNXTDZ($A$1,$B21,AF$1,$B$1)</f>
        <v>0</v>
      </c>
    </row>
    <row r="22" spans="1:32" s="106" customFormat="1" x14ac:dyDescent="0.25">
      <c r="A22" s="147" t="s">
        <v>249</v>
      </c>
      <c r="B22" s="106" t="s">
        <v>372</v>
      </c>
      <c r="C22" s="124" cm="1">
        <f t="array" ref="C22">_xll.EQNXTDZ($A$1,$B22,C$1,$B$1)</f>
        <v>0</v>
      </c>
      <c r="D22" s="124" cm="1">
        <f t="array" ref="D22">_xll.EQNXTDZ($A$1,$B22,D$1,$B$1)</f>
        <v>0</v>
      </c>
      <c r="E22" s="124" cm="1">
        <f t="array" ref="E22">_xll.EQNXTDZ($A$1,$B22,E$1,$B$1)</f>
        <v>0</v>
      </c>
      <c r="F22" s="124" cm="1">
        <f t="array" ref="F22">_xll.EQNXTDZ($A$1,$B22,F$1,$B$1)</f>
        <v>0</v>
      </c>
      <c r="G22" s="124" cm="1">
        <f t="array" ref="G22">_xll.EQNXTDZ($A$1,$B22,G$1,$B$1)</f>
        <v>0</v>
      </c>
      <c r="H22" s="124" cm="1">
        <f t="array" ref="H22">_xll.EQNXTDZ($A$1,$B22,H$1,$B$1)</f>
        <v>0</v>
      </c>
      <c r="I22" s="124" cm="1">
        <f t="array" ref="I22">_xll.EQNXTDZ($A$1,$B22,I$1,$B$1)</f>
        <v>0</v>
      </c>
      <c r="J22" s="124" cm="1">
        <f t="array" ref="J22">_xll.EQNXTDZ($A$1,$B22,J$1,$B$1)</f>
        <v>0</v>
      </c>
      <c r="K22" s="124" cm="1">
        <f t="array" ref="K22">_xll.EQNXTDZ($A$1,$B22,K$1,$B$1)</f>
        <v>0</v>
      </c>
      <c r="L22" s="124" cm="1">
        <f t="array" ref="L22">_xll.EQNXTDZ($A$1,$B22,L$1,$B$1)</f>
        <v>0</v>
      </c>
      <c r="M22" s="124" cm="1">
        <f t="array" ref="M22">_xll.EQNXTDZ($A$1,$B22,M$1,$B$1)</f>
        <v>0</v>
      </c>
      <c r="N22" s="124" cm="1">
        <f t="array" ref="N22">_xll.EQNXTDZ($A$1,$B22,N$1,$B$1)</f>
        <v>0</v>
      </c>
      <c r="O22" s="124" cm="1">
        <f t="array" ref="O22">_xll.EQNXTDZ($A$1,$B22,O$1,$B$1)</f>
        <v>0</v>
      </c>
      <c r="P22" s="124" cm="1">
        <f t="array" ref="P22">_xll.EQNXTDZ($A$1,$B22,P$1,$B$1)</f>
        <v>0</v>
      </c>
      <c r="Q22" s="124" cm="1">
        <f t="array" ref="Q22">_xll.EQNXTDZ($A$1,$B22,Q$1,$B$1)</f>
        <v>0</v>
      </c>
      <c r="R22" s="124" cm="1">
        <f t="array" ref="R22">_xll.EQNXTDZ($A$1,$B22,R$1,$B$1)</f>
        <v>0</v>
      </c>
      <c r="S22" s="124" cm="1">
        <f t="array" ref="S22">_xll.EQNXTDZ($A$1,$B22,S$1,$B$1)</f>
        <v>0</v>
      </c>
      <c r="T22" s="124" cm="1">
        <f t="array" ref="T22">_xll.EQNXTDZ($A$1,$B22,T$1,$B$1)</f>
        <v>0</v>
      </c>
      <c r="U22" s="124" cm="1">
        <f t="array" ref="U22">_xll.EQNXTDZ($A$1,$B22,U$1,$B$1)</f>
        <v>0</v>
      </c>
      <c r="V22" s="124" cm="1">
        <f t="array" ref="V22">_xll.EQNXTDZ($A$1,$B22,V$1,$B$1)</f>
        <v>0</v>
      </c>
      <c r="W22" s="124" cm="1">
        <f t="array" ref="W22">_xll.EQNXTDZ($A$1,$B22,W$1,$B$1)</f>
        <v>0</v>
      </c>
      <c r="X22" s="124" cm="1">
        <f t="array" ref="X22">_xll.EQNXTDZ($A$1,$B22,X$1,$B$1)</f>
        <v>0</v>
      </c>
      <c r="Y22" s="124" cm="1">
        <f t="array" ref="Y22">_xll.EQNXTDZ($A$1,$B22,Y$1,$B$1)</f>
        <v>0</v>
      </c>
      <c r="Z22" s="124" cm="1">
        <f t="array" ref="Z22">_xll.EQNXTDZ($A$1,$B22,Z$1,$B$1)</f>
        <v>0</v>
      </c>
      <c r="AA22" s="124" cm="1">
        <f t="array" ref="AA22">_xll.EQNXTDZ($A$1,$B22,AA$1,$B$1)</f>
        <v>0</v>
      </c>
      <c r="AB22" s="124" cm="1">
        <f t="array" ref="AB22">_xll.EQNXTDZ($A$1,$B22,AB$1,$B$1)</f>
        <v>0</v>
      </c>
      <c r="AC22" s="124" cm="1">
        <f t="array" ref="AC22">_xll.EQNXTDZ($A$1,$B22,AC$1,$B$1)</f>
        <v>0</v>
      </c>
      <c r="AD22" s="124" cm="1">
        <f t="array" ref="AD22">_xll.EQNXTDZ($A$1,$B22,AD$1,$B$1)</f>
        <v>0</v>
      </c>
      <c r="AE22" s="124" cm="1">
        <f t="array" ref="AE22">_xll.EQNXTDZ($A$1,$B22,AE$1,$B$1)</f>
        <v>0</v>
      </c>
      <c r="AF22" s="124" cm="1">
        <f t="array" ref="AF22">_xll.EQNXTDZ($A$1,$B22,AF$1,$B$1)</f>
        <v>0</v>
      </c>
    </row>
    <row r="23" spans="1:32" s="106" customFormat="1" x14ac:dyDescent="0.25">
      <c r="A23" s="147" t="s">
        <v>195</v>
      </c>
      <c r="B23" s="106" t="s">
        <v>373</v>
      </c>
      <c r="C23" s="124" cm="1">
        <f t="array" ref="C23">_xll.EQNXTDZ($A$1,$B23,C$1,$B$1)</f>
        <v>0</v>
      </c>
      <c r="D23" s="124" cm="1">
        <f t="array" ref="D23">_xll.EQNXTDZ($A$1,$B23,D$1,$B$1)</f>
        <v>0</v>
      </c>
      <c r="E23" s="124" cm="1">
        <f t="array" ref="E23">_xll.EQNXTDZ($A$1,$B23,E$1,$B$1)</f>
        <v>0</v>
      </c>
      <c r="F23" s="124" cm="1">
        <f t="array" ref="F23">_xll.EQNXTDZ($A$1,$B23,F$1,$B$1)</f>
        <v>0</v>
      </c>
      <c r="G23" s="124" cm="1">
        <f t="array" ref="G23">_xll.EQNXTDZ($A$1,$B23,G$1,$B$1)</f>
        <v>0</v>
      </c>
      <c r="H23" s="124" cm="1">
        <f t="array" ref="H23">_xll.EQNXTDZ($A$1,$B23,H$1,$B$1)</f>
        <v>0</v>
      </c>
      <c r="I23" s="124" cm="1">
        <f t="array" ref="I23">_xll.EQNXTDZ($A$1,$B23,I$1,$B$1)</f>
        <v>0</v>
      </c>
      <c r="J23" s="124" cm="1">
        <f t="array" ref="J23">_xll.EQNXTDZ($A$1,$B23,J$1,$B$1)</f>
        <v>0</v>
      </c>
      <c r="K23" s="124" cm="1">
        <f t="array" ref="K23">_xll.EQNXTDZ($A$1,$B23,K$1,$B$1)</f>
        <v>0</v>
      </c>
      <c r="L23" s="124" cm="1">
        <f t="array" ref="L23">_xll.EQNXTDZ($A$1,$B23,L$1,$B$1)</f>
        <v>0</v>
      </c>
      <c r="M23" s="124" cm="1">
        <f t="array" ref="M23">_xll.EQNXTDZ($A$1,$B23,M$1,$B$1)</f>
        <v>0</v>
      </c>
      <c r="N23" s="124" cm="1">
        <f t="array" ref="N23">_xll.EQNXTDZ($A$1,$B23,N$1,$B$1)</f>
        <v>0</v>
      </c>
      <c r="O23" s="124" cm="1">
        <f t="array" ref="O23">_xll.EQNXTDZ($A$1,$B23,O$1,$B$1)</f>
        <v>0</v>
      </c>
      <c r="P23" s="124" cm="1">
        <f t="array" ref="P23">_xll.EQNXTDZ($A$1,$B23,P$1,$B$1)</f>
        <v>0</v>
      </c>
      <c r="Q23" s="124" cm="1">
        <f t="array" ref="Q23">_xll.EQNXTDZ($A$1,$B23,Q$1,$B$1)</f>
        <v>0</v>
      </c>
      <c r="R23" s="124" cm="1">
        <f t="array" ref="R23">_xll.EQNXTDZ($A$1,$B23,R$1,$B$1)</f>
        <v>0</v>
      </c>
      <c r="S23" s="124" cm="1">
        <f t="array" ref="S23">_xll.EQNXTDZ($A$1,$B23,S$1,$B$1)</f>
        <v>0</v>
      </c>
      <c r="T23" s="124" cm="1">
        <f t="array" ref="T23">_xll.EQNXTDZ($A$1,$B23,T$1,$B$1)</f>
        <v>0</v>
      </c>
      <c r="U23" s="124" cm="1">
        <f t="array" ref="U23">_xll.EQNXTDZ($A$1,$B23,U$1,$B$1)</f>
        <v>0</v>
      </c>
      <c r="V23" s="124" cm="1">
        <f t="array" ref="V23">_xll.EQNXTDZ($A$1,$B23,V$1,$B$1)</f>
        <v>0</v>
      </c>
      <c r="W23" s="124" cm="1">
        <f t="array" ref="W23">_xll.EQNXTDZ($A$1,$B23,W$1,$B$1)</f>
        <v>0</v>
      </c>
      <c r="X23" s="124" cm="1">
        <f t="array" ref="X23">_xll.EQNXTDZ($A$1,$B23,X$1,$B$1)</f>
        <v>0</v>
      </c>
      <c r="Y23" s="124" cm="1">
        <f t="array" ref="Y23">_xll.EQNXTDZ($A$1,$B23,Y$1,$B$1)</f>
        <v>0</v>
      </c>
      <c r="Z23" s="124" cm="1">
        <f t="array" ref="Z23">_xll.EQNXTDZ($A$1,$B23,Z$1,$B$1)</f>
        <v>0</v>
      </c>
      <c r="AA23" s="124" cm="1">
        <f t="array" ref="AA23">_xll.EQNXTDZ($A$1,$B23,AA$1,$B$1)</f>
        <v>0</v>
      </c>
      <c r="AB23" s="124" cm="1">
        <f t="array" ref="AB23">_xll.EQNXTDZ($A$1,$B23,AB$1,$B$1)</f>
        <v>0</v>
      </c>
      <c r="AC23" s="124" cm="1">
        <f t="array" ref="AC23">_xll.EQNXTDZ($A$1,$B23,AC$1,$B$1)</f>
        <v>0</v>
      </c>
      <c r="AD23" s="124" cm="1">
        <f t="array" ref="AD23">_xll.EQNXTDZ($A$1,$B23,AD$1,$B$1)</f>
        <v>0</v>
      </c>
      <c r="AE23" s="124" cm="1">
        <f t="array" ref="AE23">_xll.EQNXTDZ($A$1,$B23,AE$1,$B$1)</f>
        <v>0</v>
      </c>
      <c r="AF23" s="124" cm="1">
        <f t="array" ref="AF23">_xll.EQNXTDZ($A$1,$B23,AF$1,$B$1)</f>
        <v>0</v>
      </c>
    </row>
    <row r="24" spans="1:32" s="106" customFormat="1" x14ac:dyDescent="0.25">
      <c r="A24" s="106" t="s">
        <v>282</v>
      </c>
      <c r="B24" s="106" t="s">
        <v>374</v>
      </c>
      <c r="C24" s="124" cm="1">
        <f t="array" ref="C24">_xll.EQNXTDZ($A$1,$B24,C$1,$B$1)</f>
        <v>0</v>
      </c>
      <c r="D24" s="124" cm="1">
        <f t="array" ref="D24">_xll.EQNXTDZ($A$1,$B24,D$1,$B$1)</f>
        <v>0</v>
      </c>
      <c r="E24" s="124" cm="1">
        <f t="array" ref="E24">_xll.EQNXTDZ($A$1,$B24,E$1,$B$1)</f>
        <v>0</v>
      </c>
      <c r="F24" s="124" cm="1">
        <f t="array" ref="F24">_xll.EQNXTDZ($A$1,$B24,F$1,$B$1)</f>
        <v>0</v>
      </c>
      <c r="G24" s="124" cm="1">
        <f t="array" ref="G24">_xll.EQNXTDZ($A$1,$B24,G$1,$B$1)</f>
        <v>0</v>
      </c>
      <c r="H24" s="124" cm="1">
        <f t="array" ref="H24">_xll.EQNXTDZ($A$1,$B24,H$1,$B$1)</f>
        <v>0</v>
      </c>
      <c r="I24" s="124" cm="1">
        <f t="array" ref="I24">_xll.EQNXTDZ($A$1,$B24,I$1,$B$1)</f>
        <v>0</v>
      </c>
      <c r="J24" s="124" cm="1">
        <f t="array" ref="J24">_xll.EQNXTDZ($A$1,$B24,J$1,$B$1)</f>
        <v>0</v>
      </c>
      <c r="K24" s="124" cm="1">
        <f t="array" ref="K24">_xll.EQNXTDZ($A$1,$B24,K$1,$B$1)</f>
        <v>0</v>
      </c>
      <c r="L24" s="124" cm="1">
        <f t="array" ref="L24">_xll.EQNXTDZ($A$1,$B24,L$1,$B$1)</f>
        <v>0</v>
      </c>
      <c r="M24" s="124" cm="1">
        <f t="array" ref="M24">_xll.EQNXTDZ($A$1,$B24,M$1,$B$1)</f>
        <v>0</v>
      </c>
      <c r="N24" s="124" cm="1">
        <f t="array" ref="N24">_xll.EQNXTDZ($A$1,$B24,N$1,$B$1)</f>
        <v>0</v>
      </c>
      <c r="O24" s="124" cm="1">
        <f t="array" ref="O24">_xll.EQNXTDZ($A$1,$B24,O$1,$B$1)</f>
        <v>0</v>
      </c>
      <c r="P24" s="124" cm="1">
        <f t="array" ref="P24">_xll.EQNXTDZ($A$1,$B24,P$1,$B$1)</f>
        <v>0</v>
      </c>
      <c r="Q24" s="124" cm="1">
        <f t="array" ref="Q24">_xll.EQNXTDZ($A$1,$B24,Q$1,$B$1)</f>
        <v>0</v>
      </c>
      <c r="R24" s="124" cm="1">
        <f t="array" ref="R24">_xll.EQNXTDZ($A$1,$B24,R$1,$B$1)</f>
        <v>0</v>
      </c>
      <c r="S24" s="124" cm="1">
        <f t="array" ref="S24">_xll.EQNXTDZ($A$1,$B24,S$1,$B$1)</f>
        <v>0</v>
      </c>
      <c r="T24" s="124" cm="1">
        <f t="array" ref="T24">_xll.EQNXTDZ($A$1,$B24,T$1,$B$1)</f>
        <v>0</v>
      </c>
      <c r="U24" s="124" cm="1">
        <f t="array" ref="U24">_xll.EQNXTDZ($A$1,$B24,U$1,$B$1)</f>
        <v>0</v>
      </c>
      <c r="V24" s="124" cm="1">
        <f t="array" ref="V24">_xll.EQNXTDZ($A$1,$B24,V$1,$B$1)</f>
        <v>0</v>
      </c>
      <c r="W24" s="124" cm="1">
        <f t="array" ref="W24">_xll.EQNXTDZ($A$1,$B24,W$1,$B$1)</f>
        <v>0</v>
      </c>
      <c r="X24" s="124" cm="1">
        <f t="array" ref="X24">_xll.EQNXTDZ($A$1,$B24,X$1,$B$1)</f>
        <v>0</v>
      </c>
      <c r="Y24" s="124" cm="1">
        <f t="array" ref="Y24">_xll.EQNXTDZ($A$1,$B24,Y$1,$B$1)</f>
        <v>0</v>
      </c>
      <c r="Z24" s="124" cm="1">
        <f t="array" ref="Z24">_xll.EQNXTDZ($A$1,$B24,Z$1,$B$1)</f>
        <v>0</v>
      </c>
      <c r="AA24" s="124" cm="1">
        <f t="array" ref="AA24">_xll.EQNXTDZ($A$1,$B24,AA$1,$B$1)</f>
        <v>0</v>
      </c>
      <c r="AB24" s="124" cm="1">
        <f t="array" ref="AB24">_xll.EQNXTDZ($A$1,$B24,AB$1,$B$1)</f>
        <v>0</v>
      </c>
      <c r="AC24" s="124" cm="1">
        <f t="array" ref="AC24">_xll.EQNXTDZ($A$1,$B24,AC$1,$B$1)</f>
        <v>0</v>
      </c>
      <c r="AD24" s="124" cm="1">
        <f t="array" ref="AD24">_xll.EQNXTDZ($A$1,$B24,AD$1,$B$1)</f>
        <v>0</v>
      </c>
      <c r="AE24" s="124" cm="1">
        <f t="array" ref="AE24">_xll.EQNXTDZ($A$1,$B24,AE$1,$B$1)</f>
        <v>0</v>
      </c>
      <c r="AF24" s="124" cm="1">
        <f t="array" ref="AF24">_xll.EQNXTDZ($A$1,$B24,AF$1,$B$1)</f>
        <v>0</v>
      </c>
    </row>
    <row r="25" spans="1:32" s="106" customFormat="1" x14ac:dyDescent="0.25">
      <c r="A25" s="106" t="s">
        <v>134</v>
      </c>
      <c r="B25" s="106" t="s">
        <v>375</v>
      </c>
      <c r="C25" s="124" cm="1">
        <f t="array" ref="C25">_xll.EQNXTDZ($A$1,$B25,C$1,$B$1)</f>
        <v>0</v>
      </c>
      <c r="D25" s="124" cm="1">
        <f t="array" ref="D25">_xll.EQNXTDZ($A$1,$B25,D$1,$B$1)</f>
        <v>0</v>
      </c>
      <c r="E25" s="124" cm="1">
        <f t="array" ref="E25">_xll.EQNXTDZ($A$1,$B25,E$1,$B$1)</f>
        <v>0</v>
      </c>
      <c r="F25" s="124" cm="1">
        <f t="array" ref="F25">_xll.EQNXTDZ($A$1,$B25,F$1,$B$1)</f>
        <v>0</v>
      </c>
      <c r="G25" s="124" cm="1">
        <f t="array" ref="G25">_xll.EQNXTDZ($A$1,$B25,G$1,$B$1)</f>
        <v>0</v>
      </c>
      <c r="H25" s="124" cm="1">
        <f t="array" ref="H25">_xll.EQNXTDZ($A$1,$B25,H$1,$B$1)</f>
        <v>0</v>
      </c>
      <c r="I25" s="124" cm="1">
        <f t="array" ref="I25">_xll.EQNXTDZ($A$1,$B25,I$1,$B$1)</f>
        <v>0</v>
      </c>
      <c r="J25" s="124" cm="1">
        <f t="array" ref="J25">_xll.EQNXTDZ($A$1,$B25,J$1,$B$1)</f>
        <v>0</v>
      </c>
      <c r="K25" s="124" cm="1">
        <f t="array" ref="K25">_xll.EQNXTDZ($A$1,$B25,K$1,$B$1)</f>
        <v>0</v>
      </c>
      <c r="L25" s="124" cm="1">
        <f t="array" ref="L25">_xll.EQNXTDZ($A$1,$B25,L$1,$B$1)</f>
        <v>0</v>
      </c>
      <c r="M25" s="124" cm="1">
        <f t="array" ref="M25">_xll.EQNXTDZ($A$1,$B25,M$1,$B$1)</f>
        <v>0</v>
      </c>
      <c r="N25" s="124" cm="1">
        <f t="array" ref="N25">_xll.EQNXTDZ($A$1,$B25,N$1,$B$1)</f>
        <v>0</v>
      </c>
      <c r="O25" s="124" cm="1">
        <f t="array" ref="O25">_xll.EQNXTDZ($A$1,$B25,O$1,$B$1)</f>
        <v>0</v>
      </c>
      <c r="P25" s="124" cm="1">
        <f t="array" ref="P25">_xll.EQNXTDZ($A$1,$B25,P$1,$B$1)</f>
        <v>0</v>
      </c>
      <c r="Q25" s="124" cm="1">
        <f t="array" ref="Q25">_xll.EQNXTDZ($A$1,$B25,Q$1,$B$1)</f>
        <v>0</v>
      </c>
      <c r="R25" s="124" cm="1">
        <f t="array" ref="R25">_xll.EQNXTDZ($A$1,$B25,R$1,$B$1)</f>
        <v>0</v>
      </c>
      <c r="S25" s="124" cm="1">
        <f t="array" ref="S25">_xll.EQNXTDZ($A$1,$B25,S$1,$B$1)</f>
        <v>0</v>
      </c>
      <c r="T25" s="124" cm="1">
        <f t="array" ref="T25">_xll.EQNXTDZ($A$1,$B25,T$1,$B$1)</f>
        <v>0</v>
      </c>
      <c r="U25" s="124" cm="1">
        <f t="array" ref="U25">_xll.EQNXTDZ($A$1,$B25,U$1,$B$1)</f>
        <v>0</v>
      </c>
      <c r="V25" s="124" cm="1">
        <f t="array" ref="V25">_xll.EQNXTDZ($A$1,$B25,V$1,$B$1)</f>
        <v>0</v>
      </c>
      <c r="W25" s="124" cm="1">
        <f t="array" ref="W25">_xll.EQNXTDZ($A$1,$B25,W$1,$B$1)</f>
        <v>0</v>
      </c>
      <c r="X25" s="124" cm="1">
        <f t="array" ref="X25">_xll.EQNXTDZ($A$1,$B25,X$1,$B$1)</f>
        <v>0</v>
      </c>
      <c r="Y25" s="124" cm="1">
        <f t="array" ref="Y25">_xll.EQNXTDZ($A$1,$B25,Y$1,$B$1)</f>
        <v>0</v>
      </c>
      <c r="Z25" s="124" cm="1">
        <f t="array" ref="Z25">_xll.EQNXTDZ($A$1,$B25,Z$1,$B$1)</f>
        <v>0</v>
      </c>
      <c r="AA25" s="124" cm="1">
        <f t="array" ref="AA25">_xll.EQNXTDZ($A$1,$B25,AA$1,$B$1)</f>
        <v>0</v>
      </c>
      <c r="AB25" s="124" cm="1">
        <f t="array" ref="AB25">_xll.EQNXTDZ($A$1,$B25,AB$1,$B$1)</f>
        <v>0</v>
      </c>
      <c r="AC25" s="124" cm="1">
        <f t="array" ref="AC25">_xll.EQNXTDZ($A$1,$B25,AC$1,$B$1)</f>
        <v>0</v>
      </c>
      <c r="AD25" s="124" cm="1">
        <f t="array" ref="AD25">_xll.EQNXTDZ($A$1,$B25,AD$1,$B$1)</f>
        <v>0</v>
      </c>
      <c r="AE25" s="124" cm="1">
        <f t="array" ref="AE25">_xll.EQNXTDZ($A$1,$B25,AE$1,$B$1)</f>
        <v>0</v>
      </c>
      <c r="AF25" s="124" cm="1">
        <f t="array" ref="AF25">_xll.EQNXTDZ($A$1,$B25,AF$1,$B$1)</f>
        <v>0</v>
      </c>
    </row>
    <row r="26" spans="1:32" s="106" customFormat="1" x14ac:dyDescent="0.25">
      <c r="A26" s="106" t="s">
        <v>198</v>
      </c>
      <c r="B26" s="106" t="s">
        <v>376</v>
      </c>
      <c r="C26" s="124" cm="1">
        <f t="array" ref="C26">_xll.EQNXTDZ($A$1,$B26,C$1,$B$1)</f>
        <v>0</v>
      </c>
      <c r="D26" s="124" cm="1">
        <f t="array" ref="D26">_xll.EQNXTDZ($A$1,$B26,D$1,$B$1)</f>
        <v>0</v>
      </c>
      <c r="E26" s="124" cm="1">
        <f t="array" ref="E26">_xll.EQNXTDZ($A$1,$B26,E$1,$B$1)</f>
        <v>0</v>
      </c>
      <c r="F26" s="124" cm="1">
        <f t="array" ref="F26">_xll.EQNXTDZ($A$1,$B26,F$1,$B$1)</f>
        <v>0</v>
      </c>
      <c r="G26" s="124" cm="1">
        <f t="array" ref="G26">_xll.EQNXTDZ($A$1,$B26,G$1,$B$1)</f>
        <v>0</v>
      </c>
      <c r="H26" s="124" cm="1">
        <f t="array" ref="H26">_xll.EQNXTDZ($A$1,$B26,H$1,$B$1)</f>
        <v>0</v>
      </c>
      <c r="I26" s="124" cm="1">
        <f t="array" ref="I26">_xll.EQNXTDZ($A$1,$B26,I$1,$B$1)</f>
        <v>0</v>
      </c>
      <c r="J26" s="124" cm="1">
        <f t="array" ref="J26">_xll.EQNXTDZ($A$1,$B26,J$1,$B$1)</f>
        <v>0</v>
      </c>
      <c r="K26" s="124" cm="1">
        <f t="array" ref="K26">_xll.EQNXTDZ($A$1,$B26,K$1,$B$1)</f>
        <v>0</v>
      </c>
      <c r="L26" s="124" cm="1">
        <f t="array" ref="L26">_xll.EQNXTDZ($A$1,$B26,L$1,$B$1)</f>
        <v>0</v>
      </c>
      <c r="M26" s="124" cm="1">
        <f t="array" ref="M26">_xll.EQNXTDZ($A$1,$B26,M$1,$B$1)</f>
        <v>0</v>
      </c>
      <c r="N26" s="124" cm="1">
        <f t="array" ref="N26">_xll.EQNXTDZ($A$1,$B26,N$1,$B$1)</f>
        <v>0</v>
      </c>
      <c r="O26" s="124" cm="1">
        <f t="array" ref="O26">_xll.EQNXTDZ($A$1,$B26,O$1,$B$1)</f>
        <v>0</v>
      </c>
      <c r="P26" s="124" cm="1">
        <f t="array" ref="P26">_xll.EQNXTDZ($A$1,$B26,P$1,$B$1)</f>
        <v>0</v>
      </c>
      <c r="Q26" s="124" cm="1">
        <f t="array" ref="Q26">_xll.EQNXTDZ($A$1,$B26,Q$1,$B$1)</f>
        <v>0</v>
      </c>
      <c r="R26" s="124" cm="1">
        <f t="array" ref="R26">_xll.EQNXTDZ($A$1,$B26,R$1,$B$1)</f>
        <v>0</v>
      </c>
      <c r="S26" s="124" cm="1">
        <f t="array" ref="S26">_xll.EQNXTDZ($A$1,$B26,S$1,$B$1)</f>
        <v>0</v>
      </c>
      <c r="T26" s="124" cm="1">
        <f t="array" ref="T26">_xll.EQNXTDZ($A$1,$B26,T$1,$B$1)</f>
        <v>0</v>
      </c>
      <c r="U26" s="124" cm="1">
        <f t="array" ref="U26">_xll.EQNXTDZ($A$1,$B26,U$1,$B$1)</f>
        <v>0</v>
      </c>
      <c r="V26" s="124" cm="1">
        <f t="array" ref="V26">_xll.EQNXTDZ($A$1,$B26,V$1,$B$1)</f>
        <v>0</v>
      </c>
      <c r="W26" s="124" cm="1">
        <f t="array" ref="W26">_xll.EQNXTDZ($A$1,$B26,W$1,$B$1)</f>
        <v>0</v>
      </c>
      <c r="X26" s="124" cm="1">
        <f t="array" ref="X26">_xll.EQNXTDZ($A$1,$B26,X$1,$B$1)</f>
        <v>0</v>
      </c>
      <c r="Y26" s="124" cm="1">
        <f t="array" ref="Y26">_xll.EQNXTDZ($A$1,$B26,Y$1,$B$1)</f>
        <v>0</v>
      </c>
      <c r="Z26" s="124" cm="1">
        <f t="array" ref="Z26">_xll.EQNXTDZ($A$1,$B26,Z$1,$B$1)</f>
        <v>0</v>
      </c>
      <c r="AA26" s="124" cm="1">
        <f t="array" ref="AA26">_xll.EQNXTDZ($A$1,$B26,AA$1,$B$1)</f>
        <v>0</v>
      </c>
      <c r="AB26" s="124" cm="1">
        <f t="array" ref="AB26">_xll.EQNXTDZ($A$1,$B26,AB$1,$B$1)</f>
        <v>0</v>
      </c>
      <c r="AC26" s="124" cm="1">
        <f t="array" ref="AC26">_xll.EQNXTDZ($A$1,$B26,AC$1,$B$1)</f>
        <v>0</v>
      </c>
      <c r="AD26" s="124" cm="1">
        <f t="array" ref="AD26">_xll.EQNXTDZ($A$1,$B26,AD$1,$B$1)</f>
        <v>0</v>
      </c>
      <c r="AE26" s="124" cm="1">
        <f t="array" ref="AE26">_xll.EQNXTDZ($A$1,$B26,AE$1,$B$1)</f>
        <v>0</v>
      </c>
      <c r="AF26" s="124" cm="1">
        <f t="array" ref="AF26">_xll.EQNXTDZ($A$1,$B26,AF$1,$B$1)</f>
        <v>0</v>
      </c>
    </row>
    <row r="27" spans="1:32" s="106" customFormat="1" x14ac:dyDescent="0.25">
      <c r="A27" s="106" t="s">
        <v>3</v>
      </c>
      <c r="B27" s="106" t="s">
        <v>377</v>
      </c>
      <c r="C27" s="124" cm="1">
        <f t="array" ref="C27">_xll.EQNXTDZ($A$1,$B27,C$1,$B$1)</f>
        <v>0</v>
      </c>
      <c r="D27" s="124" cm="1">
        <f t="array" ref="D27">_xll.EQNXTDZ($A$1,$B27,D$1,$B$1)</f>
        <v>0</v>
      </c>
      <c r="E27" s="124" cm="1">
        <f t="array" ref="E27">_xll.EQNXTDZ($A$1,$B27,E$1,$B$1)</f>
        <v>0</v>
      </c>
      <c r="F27" s="124" cm="1">
        <f t="array" ref="F27">_xll.EQNXTDZ($A$1,$B27,F$1,$B$1)</f>
        <v>0</v>
      </c>
      <c r="G27" s="124" cm="1">
        <f t="array" ref="G27">_xll.EQNXTDZ($A$1,$B27,G$1,$B$1)</f>
        <v>0</v>
      </c>
      <c r="H27" s="124" cm="1">
        <f t="array" ref="H27">_xll.EQNXTDZ($A$1,$B27,H$1,$B$1)</f>
        <v>0</v>
      </c>
      <c r="I27" s="124" cm="1">
        <f t="array" ref="I27">_xll.EQNXTDZ($A$1,$B27,I$1,$B$1)</f>
        <v>0</v>
      </c>
      <c r="J27" s="124" cm="1">
        <f t="array" ref="J27">_xll.EQNXTDZ($A$1,$B27,J$1,$B$1)</f>
        <v>0</v>
      </c>
      <c r="K27" s="124" cm="1">
        <f t="array" ref="K27">_xll.EQNXTDZ($A$1,$B27,K$1,$B$1)</f>
        <v>0</v>
      </c>
      <c r="L27" s="124" cm="1">
        <f t="array" ref="L27">_xll.EQNXTDZ($A$1,$B27,L$1,$B$1)</f>
        <v>0</v>
      </c>
      <c r="M27" s="124" cm="1">
        <f t="array" ref="M27">_xll.EQNXTDZ($A$1,$B27,M$1,$B$1)</f>
        <v>0</v>
      </c>
      <c r="N27" s="124" cm="1">
        <f t="array" ref="N27">_xll.EQNXTDZ($A$1,$B27,N$1,$B$1)</f>
        <v>0</v>
      </c>
      <c r="O27" s="124" cm="1">
        <f t="array" ref="O27">_xll.EQNXTDZ($A$1,$B27,O$1,$B$1)</f>
        <v>0</v>
      </c>
      <c r="P27" s="124" cm="1">
        <f t="array" ref="P27">_xll.EQNXTDZ($A$1,$B27,P$1,$B$1)</f>
        <v>0</v>
      </c>
      <c r="Q27" s="124" cm="1">
        <f t="array" ref="Q27">_xll.EQNXTDZ($A$1,$B27,Q$1,$B$1)</f>
        <v>0</v>
      </c>
      <c r="R27" s="124" cm="1">
        <f t="array" ref="R27">_xll.EQNXTDZ($A$1,$B27,R$1,$B$1)</f>
        <v>0</v>
      </c>
      <c r="S27" s="124" cm="1">
        <f t="array" ref="S27">_xll.EQNXTDZ($A$1,$B27,S$1,$B$1)</f>
        <v>0</v>
      </c>
      <c r="T27" s="124" cm="1">
        <f t="array" ref="T27">_xll.EQNXTDZ($A$1,$B27,T$1,$B$1)</f>
        <v>0</v>
      </c>
      <c r="U27" s="124" cm="1">
        <f t="array" ref="U27">_xll.EQNXTDZ($A$1,$B27,U$1,$B$1)</f>
        <v>0</v>
      </c>
      <c r="V27" s="124" cm="1">
        <f t="array" ref="V27">_xll.EQNXTDZ($A$1,$B27,V$1,$B$1)</f>
        <v>0</v>
      </c>
      <c r="W27" s="124" cm="1">
        <f t="array" ref="W27">_xll.EQNXTDZ($A$1,$B27,W$1,$B$1)</f>
        <v>0</v>
      </c>
      <c r="X27" s="124" cm="1">
        <f t="array" ref="X27">_xll.EQNXTDZ($A$1,$B27,X$1,$B$1)</f>
        <v>0</v>
      </c>
      <c r="Y27" s="124" cm="1">
        <f t="array" ref="Y27">_xll.EQNXTDZ($A$1,$B27,Y$1,$B$1)</f>
        <v>0</v>
      </c>
      <c r="Z27" s="124" cm="1">
        <f t="array" ref="Z27">_xll.EQNXTDZ($A$1,$B27,Z$1,$B$1)</f>
        <v>0</v>
      </c>
      <c r="AA27" s="124" cm="1">
        <f t="array" ref="AA27">_xll.EQNXTDZ($A$1,$B27,AA$1,$B$1)</f>
        <v>0</v>
      </c>
      <c r="AB27" s="124" cm="1">
        <f t="array" ref="AB27">_xll.EQNXTDZ($A$1,$B27,AB$1,$B$1)</f>
        <v>0</v>
      </c>
      <c r="AC27" s="124" cm="1">
        <f t="array" ref="AC27">_xll.EQNXTDZ($A$1,$B27,AC$1,$B$1)</f>
        <v>0</v>
      </c>
      <c r="AD27" s="124" cm="1">
        <f t="array" ref="AD27">_xll.EQNXTDZ($A$1,$B27,AD$1,$B$1)</f>
        <v>0</v>
      </c>
      <c r="AE27" s="124" cm="1">
        <f t="array" ref="AE27">_xll.EQNXTDZ($A$1,$B27,AE$1,$B$1)</f>
        <v>0</v>
      </c>
      <c r="AF27" s="124" cm="1">
        <f t="array" ref="AF27">_xll.EQNXTDZ($A$1,$B27,AF$1,$B$1)</f>
        <v>0</v>
      </c>
    </row>
    <row r="28" spans="1:32" s="106" customFormat="1" x14ac:dyDescent="0.25">
      <c r="A28" s="106" t="s">
        <v>250</v>
      </c>
      <c r="B28" s="106" t="s">
        <v>378</v>
      </c>
      <c r="C28" s="124" cm="1">
        <f t="array" ref="C28">_xll.EQNXTDZ($A$1,$B28,C$1,$B$1)</f>
        <v>0</v>
      </c>
      <c r="D28" s="124" cm="1">
        <f t="array" ref="D28">_xll.EQNXTDZ($A$1,$B28,D$1,$B$1)</f>
        <v>0</v>
      </c>
      <c r="E28" s="124" cm="1">
        <f t="array" ref="E28">_xll.EQNXTDZ($A$1,$B28,E$1,$B$1)</f>
        <v>0</v>
      </c>
      <c r="F28" s="124" cm="1">
        <f t="array" ref="F28">_xll.EQNXTDZ($A$1,$B28,F$1,$B$1)</f>
        <v>0</v>
      </c>
      <c r="G28" s="124" cm="1">
        <f t="array" ref="G28">_xll.EQNXTDZ($A$1,$B28,G$1,$B$1)</f>
        <v>0</v>
      </c>
      <c r="H28" s="124" cm="1">
        <f t="array" ref="H28">_xll.EQNXTDZ($A$1,$B28,H$1,$B$1)</f>
        <v>0</v>
      </c>
      <c r="I28" s="124" cm="1">
        <f t="array" ref="I28">_xll.EQNXTDZ($A$1,$B28,I$1,$B$1)</f>
        <v>0</v>
      </c>
      <c r="J28" s="124" cm="1">
        <f t="array" ref="J28">_xll.EQNXTDZ($A$1,$B28,J$1,$B$1)</f>
        <v>0</v>
      </c>
      <c r="K28" s="124" cm="1">
        <f t="array" ref="K28">_xll.EQNXTDZ($A$1,$B28,K$1,$B$1)</f>
        <v>0</v>
      </c>
      <c r="L28" s="124" cm="1">
        <f t="array" ref="L28">_xll.EQNXTDZ($A$1,$B28,L$1,$B$1)</f>
        <v>0</v>
      </c>
      <c r="M28" s="124" cm="1">
        <f t="array" ref="M28">_xll.EQNXTDZ($A$1,$B28,M$1,$B$1)</f>
        <v>0</v>
      </c>
      <c r="N28" s="124" cm="1">
        <f t="array" ref="N28">_xll.EQNXTDZ($A$1,$B28,N$1,$B$1)</f>
        <v>0</v>
      </c>
      <c r="O28" s="124" cm="1">
        <f t="array" ref="O28">_xll.EQNXTDZ($A$1,$B28,O$1,$B$1)</f>
        <v>0</v>
      </c>
      <c r="P28" s="124" cm="1">
        <f t="array" ref="P28">_xll.EQNXTDZ($A$1,$B28,P$1,$B$1)</f>
        <v>0</v>
      </c>
      <c r="Q28" s="124" cm="1">
        <f t="array" ref="Q28">_xll.EQNXTDZ($A$1,$B28,Q$1,$B$1)</f>
        <v>0</v>
      </c>
      <c r="R28" s="124" cm="1">
        <f t="array" ref="R28">_xll.EQNXTDZ($A$1,$B28,R$1,$B$1)</f>
        <v>0</v>
      </c>
      <c r="S28" s="124" cm="1">
        <f t="array" ref="S28">_xll.EQNXTDZ($A$1,$B28,S$1,$B$1)</f>
        <v>0</v>
      </c>
      <c r="T28" s="124" cm="1">
        <f t="array" ref="T28">_xll.EQNXTDZ($A$1,$B28,T$1,$B$1)</f>
        <v>0</v>
      </c>
      <c r="U28" s="124" cm="1">
        <f t="array" ref="U28">_xll.EQNXTDZ($A$1,$B28,U$1,$B$1)</f>
        <v>0</v>
      </c>
      <c r="V28" s="124" cm="1">
        <f t="array" ref="V28">_xll.EQNXTDZ($A$1,$B28,V$1,$B$1)</f>
        <v>0</v>
      </c>
      <c r="W28" s="124" cm="1">
        <f t="array" ref="W28">_xll.EQNXTDZ($A$1,$B28,W$1,$B$1)</f>
        <v>0</v>
      </c>
      <c r="X28" s="124" cm="1">
        <f t="array" ref="X28">_xll.EQNXTDZ($A$1,$B28,X$1,$B$1)</f>
        <v>0</v>
      </c>
      <c r="Y28" s="124" cm="1">
        <f t="array" ref="Y28">_xll.EQNXTDZ($A$1,$B28,Y$1,$B$1)</f>
        <v>0</v>
      </c>
      <c r="Z28" s="124" cm="1">
        <f t="array" ref="Z28">_xll.EQNXTDZ($A$1,$B28,Z$1,$B$1)</f>
        <v>0</v>
      </c>
      <c r="AA28" s="124" cm="1">
        <f t="array" ref="AA28">_xll.EQNXTDZ($A$1,$B28,AA$1,$B$1)</f>
        <v>0</v>
      </c>
      <c r="AB28" s="124" cm="1">
        <f t="array" ref="AB28">_xll.EQNXTDZ($A$1,$B28,AB$1,$B$1)</f>
        <v>0</v>
      </c>
      <c r="AC28" s="124" cm="1">
        <f t="array" ref="AC28">_xll.EQNXTDZ($A$1,$B28,AC$1,$B$1)</f>
        <v>0</v>
      </c>
      <c r="AD28" s="124" cm="1">
        <f t="array" ref="AD28">_xll.EQNXTDZ($A$1,$B28,AD$1,$B$1)</f>
        <v>0</v>
      </c>
      <c r="AE28" s="124" cm="1">
        <f t="array" ref="AE28">_xll.EQNXTDZ($A$1,$B28,AE$1,$B$1)</f>
        <v>0</v>
      </c>
      <c r="AF28" s="124" cm="1">
        <f t="array" ref="AF28">_xll.EQNXTDZ($A$1,$B28,AF$1,$B$1)</f>
        <v>0</v>
      </c>
    </row>
    <row r="29" spans="1:32" s="106" customFormat="1" x14ac:dyDescent="0.25">
      <c r="A29" s="106" t="s">
        <v>199</v>
      </c>
      <c r="B29" s="106" t="s">
        <v>379</v>
      </c>
      <c r="C29" s="124" cm="1">
        <f t="array" ref="C29">_xll.EQNXTDZ($A$1,$B29,C$1,$B$1)</f>
        <v>0</v>
      </c>
      <c r="D29" s="124" cm="1">
        <f t="array" ref="D29">_xll.EQNXTDZ($A$1,$B29,D$1,$B$1)</f>
        <v>0</v>
      </c>
      <c r="E29" s="124" cm="1">
        <f t="array" ref="E29">_xll.EQNXTDZ($A$1,$B29,E$1,$B$1)</f>
        <v>0</v>
      </c>
      <c r="F29" s="124" cm="1">
        <f t="array" ref="F29">_xll.EQNXTDZ($A$1,$B29,F$1,$B$1)</f>
        <v>0</v>
      </c>
      <c r="G29" s="124" cm="1">
        <f t="array" ref="G29">_xll.EQNXTDZ($A$1,$B29,G$1,$B$1)</f>
        <v>0</v>
      </c>
      <c r="H29" s="124" cm="1">
        <f t="array" ref="H29">_xll.EQNXTDZ($A$1,$B29,H$1,$B$1)</f>
        <v>0</v>
      </c>
      <c r="I29" s="124" cm="1">
        <f t="array" ref="I29">_xll.EQNXTDZ($A$1,$B29,I$1,$B$1)</f>
        <v>0</v>
      </c>
      <c r="J29" s="124" cm="1">
        <f t="array" ref="J29">_xll.EQNXTDZ($A$1,$B29,J$1,$B$1)</f>
        <v>0</v>
      </c>
      <c r="K29" s="124" cm="1">
        <f t="array" ref="K29">_xll.EQNXTDZ($A$1,$B29,K$1,$B$1)</f>
        <v>0</v>
      </c>
      <c r="L29" s="124" cm="1">
        <f t="array" ref="L29">_xll.EQNXTDZ($A$1,$B29,L$1,$B$1)</f>
        <v>0</v>
      </c>
      <c r="M29" s="124" cm="1">
        <f t="array" ref="M29">_xll.EQNXTDZ($A$1,$B29,M$1,$B$1)</f>
        <v>0</v>
      </c>
      <c r="N29" s="124" cm="1">
        <f t="array" ref="N29">_xll.EQNXTDZ($A$1,$B29,N$1,$B$1)</f>
        <v>0</v>
      </c>
      <c r="O29" s="124" cm="1">
        <f t="array" ref="O29">_xll.EQNXTDZ($A$1,$B29,O$1,$B$1)</f>
        <v>0</v>
      </c>
      <c r="P29" s="124" cm="1">
        <f t="array" ref="P29">_xll.EQNXTDZ($A$1,$B29,P$1,$B$1)</f>
        <v>0</v>
      </c>
      <c r="Q29" s="124" cm="1">
        <f t="array" ref="Q29">_xll.EQNXTDZ($A$1,$B29,Q$1,$B$1)</f>
        <v>0</v>
      </c>
      <c r="R29" s="124" cm="1">
        <f t="array" ref="R29">_xll.EQNXTDZ($A$1,$B29,R$1,$B$1)</f>
        <v>0</v>
      </c>
      <c r="S29" s="124" cm="1">
        <f t="array" ref="S29">_xll.EQNXTDZ($A$1,$B29,S$1,$B$1)</f>
        <v>0</v>
      </c>
      <c r="T29" s="124" cm="1">
        <f t="array" ref="T29">_xll.EQNXTDZ($A$1,$B29,T$1,$B$1)</f>
        <v>0</v>
      </c>
      <c r="U29" s="124" cm="1">
        <f t="array" ref="U29">_xll.EQNXTDZ($A$1,$B29,U$1,$B$1)</f>
        <v>0</v>
      </c>
      <c r="V29" s="124" cm="1">
        <f t="array" ref="V29">_xll.EQNXTDZ($A$1,$B29,V$1,$B$1)</f>
        <v>0</v>
      </c>
      <c r="W29" s="124" cm="1">
        <f t="array" ref="W29">_xll.EQNXTDZ($A$1,$B29,W$1,$B$1)</f>
        <v>0</v>
      </c>
      <c r="X29" s="124" cm="1">
        <f t="array" ref="X29">_xll.EQNXTDZ($A$1,$B29,X$1,$B$1)</f>
        <v>0</v>
      </c>
      <c r="Y29" s="124" cm="1">
        <f t="array" ref="Y29">_xll.EQNXTDZ($A$1,$B29,Y$1,$B$1)</f>
        <v>0</v>
      </c>
      <c r="Z29" s="124" cm="1">
        <f t="array" ref="Z29">_xll.EQNXTDZ($A$1,$B29,Z$1,$B$1)</f>
        <v>0</v>
      </c>
      <c r="AA29" s="124" cm="1">
        <f t="array" ref="AA29">_xll.EQNXTDZ($A$1,$B29,AA$1,$B$1)</f>
        <v>0</v>
      </c>
      <c r="AB29" s="124" cm="1">
        <f t="array" ref="AB29">_xll.EQNXTDZ($A$1,$B29,AB$1,$B$1)</f>
        <v>0</v>
      </c>
      <c r="AC29" s="124" cm="1">
        <f t="array" ref="AC29">_xll.EQNXTDZ($A$1,$B29,AC$1,$B$1)</f>
        <v>0</v>
      </c>
      <c r="AD29" s="124" cm="1">
        <f t="array" ref="AD29">_xll.EQNXTDZ($A$1,$B29,AD$1,$B$1)</f>
        <v>0</v>
      </c>
      <c r="AE29" s="124" cm="1">
        <f t="array" ref="AE29">_xll.EQNXTDZ($A$1,$B29,AE$1,$B$1)</f>
        <v>0</v>
      </c>
      <c r="AF29" s="124" cm="1">
        <f t="array" ref="AF29">_xll.EQNXTDZ($A$1,$B29,AF$1,$B$1)</f>
        <v>0</v>
      </c>
    </row>
    <row r="30" spans="1:32" s="106" customFormat="1" x14ac:dyDescent="0.25">
      <c r="A30" s="106" t="s">
        <v>251</v>
      </c>
      <c r="B30" s="106" t="s">
        <v>380</v>
      </c>
      <c r="C30" s="124" cm="1">
        <f t="array" ref="C30">_xll.EQNXTDZ($A$1,$B30,C$1,$B$1)</f>
        <v>0</v>
      </c>
      <c r="D30" s="124" cm="1">
        <f t="array" ref="D30">_xll.EQNXTDZ($A$1,$B30,D$1,$B$1)</f>
        <v>0</v>
      </c>
      <c r="E30" s="124" cm="1">
        <f t="array" ref="E30">_xll.EQNXTDZ($A$1,$B30,E$1,$B$1)</f>
        <v>0</v>
      </c>
      <c r="F30" s="124" cm="1">
        <f t="array" ref="F30">_xll.EQNXTDZ($A$1,$B30,F$1,$B$1)</f>
        <v>0</v>
      </c>
      <c r="G30" s="124" cm="1">
        <f t="array" ref="G30">_xll.EQNXTDZ($A$1,$B30,G$1,$B$1)</f>
        <v>0</v>
      </c>
      <c r="H30" s="124" cm="1">
        <f t="array" ref="H30">_xll.EQNXTDZ($A$1,$B30,H$1,$B$1)</f>
        <v>0</v>
      </c>
      <c r="I30" s="124" cm="1">
        <f t="array" ref="I30">_xll.EQNXTDZ($A$1,$B30,I$1,$B$1)</f>
        <v>0</v>
      </c>
      <c r="J30" s="124" cm="1">
        <f t="array" ref="J30">_xll.EQNXTDZ($A$1,$B30,J$1,$B$1)</f>
        <v>0</v>
      </c>
      <c r="K30" s="124" cm="1">
        <f t="array" ref="K30">_xll.EQNXTDZ($A$1,$B30,K$1,$B$1)</f>
        <v>0</v>
      </c>
      <c r="L30" s="124" cm="1">
        <f t="array" ref="L30">_xll.EQNXTDZ($A$1,$B30,L$1,$B$1)</f>
        <v>0</v>
      </c>
      <c r="M30" s="124" cm="1">
        <f t="array" ref="M30">_xll.EQNXTDZ($A$1,$B30,M$1,$B$1)</f>
        <v>0</v>
      </c>
      <c r="N30" s="124" cm="1">
        <f t="array" ref="N30">_xll.EQNXTDZ($A$1,$B30,N$1,$B$1)</f>
        <v>0</v>
      </c>
      <c r="O30" s="124" cm="1">
        <f t="array" ref="O30">_xll.EQNXTDZ($A$1,$B30,O$1,$B$1)</f>
        <v>0</v>
      </c>
      <c r="P30" s="124" cm="1">
        <f t="array" ref="P30">_xll.EQNXTDZ($A$1,$B30,P$1,$B$1)</f>
        <v>0</v>
      </c>
      <c r="Q30" s="124" cm="1">
        <f t="array" ref="Q30">_xll.EQNXTDZ($A$1,$B30,Q$1,$B$1)</f>
        <v>0</v>
      </c>
      <c r="R30" s="124" cm="1">
        <f t="array" ref="R30">_xll.EQNXTDZ($A$1,$B30,R$1,$B$1)</f>
        <v>0</v>
      </c>
      <c r="S30" s="124" cm="1">
        <f t="array" ref="S30">_xll.EQNXTDZ($A$1,$B30,S$1,$B$1)</f>
        <v>0</v>
      </c>
      <c r="T30" s="124" cm="1">
        <f t="array" ref="T30">_xll.EQNXTDZ($A$1,$B30,T$1,$B$1)</f>
        <v>0</v>
      </c>
      <c r="U30" s="124" cm="1">
        <f t="array" ref="U30">_xll.EQNXTDZ($A$1,$B30,U$1,$B$1)</f>
        <v>0</v>
      </c>
      <c r="V30" s="124" cm="1">
        <f t="array" ref="V30">_xll.EQNXTDZ($A$1,$B30,V$1,$B$1)</f>
        <v>0</v>
      </c>
      <c r="W30" s="124" cm="1">
        <f t="array" ref="W30">_xll.EQNXTDZ($A$1,$B30,W$1,$B$1)</f>
        <v>0</v>
      </c>
      <c r="X30" s="124" cm="1">
        <f t="array" ref="X30">_xll.EQNXTDZ($A$1,$B30,X$1,$B$1)</f>
        <v>0</v>
      </c>
      <c r="Y30" s="124" cm="1">
        <f t="array" ref="Y30">_xll.EQNXTDZ($A$1,$B30,Y$1,$B$1)</f>
        <v>0</v>
      </c>
      <c r="Z30" s="124" cm="1">
        <f t="array" ref="Z30">_xll.EQNXTDZ($A$1,$B30,Z$1,$B$1)</f>
        <v>0</v>
      </c>
      <c r="AA30" s="124" cm="1">
        <f t="array" ref="AA30">_xll.EQNXTDZ($A$1,$B30,AA$1,$B$1)</f>
        <v>0</v>
      </c>
      <c r="AB30" s="124" cm="1">
        <f t="array" ref="AB30">_xll.EQNXTDZ($A$1,$B30,AB$1,$B$1)</f>
        <v>0</v>
      </c>
      <c r="AC30" s="124" cm="1">
        <f t="array" ref="AC30">_xll.EQNXTDZ($A$1,$B30,AC$1,$B$1)</f>
        <v>0</v>
      </c>
      <c r="AD30" s="124" cm="1">
        <f t="array" ref="AD30">_xll.EQNXTDZ($A$1,$B30,AD$1,$B$1)</f>
        <v>0</v>
      </c>
      <c r="AE30" s="124" cm="1">
        <f t="array" ref="AE30">_xll.EQNXTDZ($A$1,$B30,AE$1,$B$1)</f>
        <v>0</v>
      </c>
      <c r="AF30" s="124" cm="1">
        <f t="array" ref="AF30">_xll.EQNXTDZ($A$1,$B30,AF$1,$B$1)</f>
        <v>0</v>
      </c>
    </row>
    <row r="31" spans="1:32" s="106" customFormat="1" x14ac:dyDescent="0.25">
      <c r="A31" s="106" t="s">
        <v>4</v>
      </c>
      <c r="B31" s="106" t="s">
        <v>381</v>
      </c>
      <c r="C31" s="124" cm="1">
        <f t="array" ref="C31">_xll.EQNXTDZ($A$1,$B31,C$1,$B$1)</f>
        <v>0</v>
      </c>
      <c r="D31" s="124" cm="1">
        <f t="array" ref="D31">_xll.EQNXTDZ($A$1,$B31,D$1,$B$1)</f>
        <v>0</v>
      </c>
      <c r="E31" s="124" cm="1">
        <f t="array" ref="E31">_xll.EQNXTDZ($A$1,$B31,E$1,$B$1)</f>
        <v>0</v>
      </c>
      <c r="F31" s="124" cm="1">
        <f t="array" ref="F31">_xll.EQNXTDZ($A$1,$B31,F$1,$B$1)</f>
        <v>0</v>
      </c>
      <c r="G31" s="124" cm="1">
        <f t="array" ref="G31">_xll.EQNXTDZ($A$1,$B31,G$1,$B$1)</f>
        <v>0</v>
      </c>
      <c r="H31" s="124" cm="1">
        <f t="array" ref="H31">_xll.EQNXTDZ($A$1,$B31,H$1,$B$1)</f>
        <v>0</v>
      </c>
      <c r="I31" s="124" cm="1">
        <f t="array" ref="I31">_xll.EQNXTDZ($A$1,$B31,I$1,$B$1)</f>
        <v>0</v>
      </c>
      <c r="J31" s="124" cm="1">
        <f t="array" ref="J31">_xll.EQNXTDZ($A$1,$B31,J$1,$B$1)</f>
        <v>0</v>
      </c>
      <c r="K31" s="124" cm="1">
        <f t="array" ref="K31">_xll.EQNXTDZ($A$1,$B31,K$1,$B$1)</f>
        <v>0</v>
      </c>
      <c r="L31" s="124" cm="1">
        <f t="array" ref="L31">_xll.EQNXTDZ($A$1,$B31,L$1,$B$1)</f>
        <v>0</v>
      </c>
      <c r="M31" s="124" cm="1">
        <f t="array" ref="M31">_xll.EQNXTDZ($A$1,$B31,M$1,$B$1)</f>
        <v>0</v>
      </c>
      <c r="N31" s="124" cm="1">
        <f t="array" ref="N31">_xll.EQNXTDZ($A$1,$B31,N$1,$B$1)</f>
        <v>0</v>
      </c>
      <c r="O31" s="124" cm="1">
        <f t="array" ref="O31">_xll.EQNXTDZ($A$1,$B31,O$1,$B$1)</f>
        <v>0</v>
      </c>
      <c r="P31" s="124" cm="1">
        <f t="array" ref="P31">_xll.EQNXTDZ($A$1,$B31,P$1,$B$1)</f>
        <v>0</v>
      </c>
      <c r="Q31" s="124" cm="1">
        <f t="array" ref="Q31">_xll.EQNXTDZ($A$1,$B31,Q$1,$B$1)</f>
        <v>0</v>
      </c>
      <c r="R31" s="124" cm="1">
        <f t="array" ref="R31">_xll.EQNXTDZ($A$1,$B31,R$1,$B$1)</f>
        <v>0</v>
      </c>
      <c r="S31" s="124" cm="1">
        <f t="array" ref="S31">_xll.EQNXTDZ($A$1,$B31,S$1,$B$1)</f>
        <v>0</v>
      </c>
      <c r="T31" s="124" cm="1">
        <f t="array" ref="T31">_xll.EQNXTDZ($A$1,$B31,T$1,$B$1)</f>
        <v>0</v>
      </c>
      <c r="U31" s="124" cm="1">
        <f t="array" ref="U31">_xll.EQNXTDZ($A$1,$B31,U$1,$B$1)</f>
        <v>0</v>
      </c>
      <c r="V31" s="124" cm="1">
        <f t="array" ref="V31">_xll.EQNXTDZ($A$1,$B31,V$1,$B$1)</f>
        <v>0</v>
      </c>
      <c r="W31" s="124" cm="1">
        <f t="array" ref="W31">_xll.EQNXTDZ($A$1,$B31,W$1,$B$1)</f>
        <v>0</v>
      </c>
      <c r="X31" s="124" cm="1">
        <f t="array" ref="X31">_xll.EQNXTDZ($A$1,$B31,X$1,$B$1)</f>
        <v>0</v>
      </c>
      <c r="Y31" s="124" cm="1">
        <f t="array" ref="Y31">_xll.EQNXTDZ($A$1,$B31,Y$1,$B$1)</f>
        <v>0</v>
      </c>
      <c r="Z31" s="124" cm="1">
        <f t="array" ref="Z31">_xll.EQNXTDZ($A$1,$B31,Z$1,$B$1)</f>
        <v>0</v>
      </c>
      <c r="AA31" s="124" cm="1">
        <f t="array" ref="AA31">_xll.EQNXTDZ($A$1,$B31,AA$1,$B$1)</f>
        <v>0</v>
      </c>
      <c r="AB31" s="124" cm="1">
        <f t="array" ref="AB31">_xll.EQNXTDZ($A$1,$B31,AB$1,$B$1)</f>
        <v>0</v>
      </c>
      <c r="AC31" s="124" cm="1">
        <f t="array" ref="AC31">_xll.EQNXTDZ($A$1,$B31,AC$1,$B$1)</f>
        <v>0</v>
      </c>
      <c r="AD31" s="124" cm="1">
        <f t="array" ref="AD31">_xll.EQNXTDZ($A$1,$B31,AD$1,$B$1)</f>
        <v>0</v>
      </c>
      <c r="AE31" s="124" cm="1">
        <f t="array" ref="AE31">_xll.EQNXTDZ($A$1,$B31,AE$1,$B$1)</f>
        <v>0</v>
      </c>
      <c r="AF31" s="124" cm="1">
        <f t="array" ref="AF31">_xll.EQNXTDZ($A$1,$B31,AF$1,$B$1)</f>
        <v>0</v>
      </c>
    </row>
    <row r="32" spans="1:32" x14ac:dyDescent="0.25">
      <c r="A32" t="s">
        <v>252</v>
      </c>
      <c r="B32" t="s">
        <v>382</v>
      </c>
      <c r="C32" s="124" cm="1">
        <f t="array" ref="C32">_xll.EQNXTDZ($A$1,$B32,C$1,$B$1)</f>
        <v>0</v>
      </c>
      <c r="D32" s="124" cm="1">
        <f t="array" ref="D32">_xll.EQNXTDZ($A$1,$B32,D$1,$B$1)</f>
        <v>0</v>
      </c>
      <c r="E32" s="124" cm="1">
        <f t="array" ref="E32">_xll.EQNXTDZ($A$1,$B32,E$1,$B$1)</f>
        <v>0</v>
      </c>
      <c r="F32" s="124" cm="1">
        <f t="array" ref="F32">_xll.EQNXTDZ($A$1,$B32,F$1,$B$1)</f>
        <v>0</v>
      </c>
      <c r="G32" s="124" cm="1">
        <f t="array" ref="G32">_xll.EQNXTDZ($A$1,$B32,G$1,$B$1)</f>
        <v>0</v>
      </c>
      <c r="H32" s="124" cm="1">
        <f t="array" ref="H32">_xll.EQNXTDZ($A$1,$B32,H$1,$B$1)</f>
        <v>0</v>
      </c>
      <c r="I32" s="124" cm="1">
        <f t="array" ref="I32">_xll.EQNXTDZ($A$1,$B32,I$1,$B$1)</f>
        <v>0</v>
      </c>
      <c r="J32" s="124" cm="1">
        <f t="array" ref="J32">_xll.EQNXTDZ($A$1,$B32,J$1,$B$1)</f>
        <v>0</v>
      </c>
      <c r="K32" s="124" cm="1">
        <f t="array" ref="K32">_xll.EQNXTDZ($A$1,$B32,K$1,$B$1)</f>
        <v>0</v>
      </c>
      <c r="L32" s="124" cm="1">
        <f t="array" ref="L32">_xll.EQNXTDZ($A$1,$B32,L$1,$B$1)</f>
        <v>0</v>
      </c>
      <c r="M32" s="124" cm="1">
        <f t="array" ref="M32">_xll.EQNXTDZ($A$1,$B32,M$1,$B$1)</f>
        <v>0</v>
      </c>
      <c r="N32" s="124" cm="1">
        <f t="array" ref="N32">_xll.EQNXTDZ($A$1,$B32,N$1,$B$1)</f>
        <v>0</v>
      </c>
      <c r="O32" s="124" cm="1">
        <f t="array" ref="O32">_xll.EQNXTDZ($A$1,$B32,O$1,$B$1)</f>
        <v>0</v>
      </c>
      <c r="P32" s="124" cm="1">
        <f t="array" ref="P32">_xll.EQNXTDZ($A$1,$B32,P$1,$B$1)</f>
        <v>0</v>
      </c>
      <c r="Q32" s="124" cm="1">
        <f t="array" ref="Q32">_xll.EQNXTDZ($A$1,$B32,Q$1,$B$1)</f>
        <v>0</v>
      </c>
      <c r="R32" s="124" cm="1">
        <f t="array" ref="R32">_xll.EQNXTDZ($A$1,$B32,R$1,$B$1)</f>
        <v>0</v>
      </c>
      <c r="S32" s="124" cm="1">
        <f t="array" ref="S32">_xll.EQNXTDZ($A$1,$B32,S$1,$B$1)</f>
        <v>0</v>
      </c>
      <c r="T32" s="124" cm="1">
        <f t="array" ref="T32">_xll.EQNXTDZ($A$1,$B32,T$1,$B$1)</f>
        <v>0</v>
      </c>
      <c r="U32" s="124" cm="1">
        <f t="array" ref="U32">_xll.EQNXTDZ($A$1,$B32,U$1,$B$1)</f>
        <v>0</v>
      </c>
      <c r="V32" s="124" cm="1">
        <f t="array" ref="V32">_xll.EQNXTDZ($A$1,$B32,V$1,$B$1)</f>
        <v>0</v>
      </c>
      <c r="W32" s="124" cm="1">
        <f t="array" ref="W32">_xll.EQNXTDZ($A$1,$B32,W$1,$B$1)</f>
        <v>0</v>
      </c>
      <c r="X32" s="124" cm="1">
        <f t="array" ref="X32">_xll.EQNXTDZ($A$1,$B32,X$1,$B$1)</f>
        <v>0</v>
      </c>
      <c r="Y32" s="124" cm="1">
        <f t="array" ref="Y32">_xll.EQNXTDZ($A$1,$B32,Y$1,$B$1)</f>
        <v>0</v>
      </c>
      <c r="Z32" s="124" cm="1">
        <f t="array" ref="Z32">_xll.EQNXTDZ($A$1,$B32,Z$1,$B$1)</f>
        <v>0</v>
      </c>
      <c r="AA32" s="124" cm="1">
        <f t="array" ref="AA32">_xll.EQNXTDZ($A$1,$B32,AA$1,$B$1)</f>
        <v>0</v>
      </c>
      <c r="AB32" s="124" cm="1">
        <f t="array" ref="AB32">_xll.EQNXTDZ($A$1,$B32,AB$1,$B$1)</f>
        <v>0</v>
      </c>
      <c r="AC32" s="124" cm="1">
        <f t="array" ref="AC32">_xll.EQNXTDZ($A$1,$B32,AC$1,$B$1)</f>
        <v>0</v>
      </c>
      <c r="AD32" s="124" cm="1">
        <f t="array" ref="AD32">_xll.EQNXTDZ($A$1,$B32,AD$1,$B$1)</f>
        <v>0</v>
      </c>
      <c r="AE32" s="124" cm="1">
        <f t="array" ref="AE32">_xll.EQNXTDZ($A$1,$B32,AE$1,$B$1)</f>
        <v>0</v>
      </c>
      <c r="AF32" s="124" cm="1">
        <f t="array" ref="AF32">_xll.EQNXTDZ($A$1,$B32,AF$1,$B$1)</f>
        <v>0</v>
      </c>
    </row>
    <row r="33" spans="1:32" x14ac:dyDescent="0.25">
      <c r="A33" t="s">
        <v>253</v>
      </c>
      <c r="B33" t="s">
        <v>383</v>
      </c>
      <c r="C33" s="124" cm="1">
        <f t="array" ref="C33">_xll.EQNXTDZ($A$1,$B33,C$1,$B$1)</f>
        <v>0</v>
      </c>
      <c r="D33" s="124" cm="1">
        <f t="array" ref="D33">_xll.EQNXTDZ($A$1,$B33,D$1,$B$1)</f>
        <v>0</v>
      </c>
      <c r="E33" s="124" cm="1">
        <f t="array" ref="E33">_xll.EQNXTDZ($A$1,$B33,E$1,$B$1)</f>
        <v>0</v>
      </c>
      <c r="F33" s="124" cm="1">
        <f t="array" ref="F33">_xll.EQNXTDZ($A$1,$B33,F$1,$B$1)</f>
        <v>0</v>
      </c>
      <c r="G33" s="124" cm="1">
        <f t="array" ref="G33">_xll.EQNXTDZ($A$1,$B33,G$1,$B$1)</f>
        <v>0</v>
      </c>
      <c r="H33" s="124" cm="1">
        <f t="array" ref="H33">_xll.EQNXTDZ($A$1,$B33,H$1,$B$1)</f>
        <v>0</v>
      </c>
      <c r="I33" s="124" cm="1">
        <f t="array" ref="I33">_xll.EQNXTDZ($A$1,$B33,I$1,$B$1)</f>
        <v>0</v>
      </c>
      <c r="J33" s="124" cm="1">
        <f t="array" ref="J33">_xll.EQNXTDZ($A$1,$B33,J$1,$B$1)</f>
        <v>0</v>
      </c>
      <c r="K33" s="124" cm="1">
        <f t="array" ref="K33">_xll.EQNXTDZ($A$1,$B33,K$1,$B$1)</f>
        <v>0</v>
      </c>
      <c r="L33" s="124" cm="1">
        <f t="array" ref="L33">_xll.EQNXTDZ($A$1,$B33,L$1,$B$1)</f>
        <v>0</v>
      </c>
      <c r="M33" s="124" cm="1">
        <f t="array" ref="M33">_xll.EQNXTDZ($A$1,$B33,M$1,$B$1)</f>
        <v>0</v>
      </c>
      <c r="N33" s="124" cm="1">
        <f t="array" ref="N33">_xll.EQNXTDZ($A$1,$B33,N$1,$B$1)</f>
        <v>0</v>
      </c>
      <c r="O33" s="124" cm="1">
        <f t="array" ref="O33">_xll.EQNXTDZ($A$1,$B33,O$1,$B$1)</f>
        <v>0</v>
      </c>
      <c r="P33" s="124" cm="1">
        <f t="array" ref="P33">_xll.EQNXTDZ($A$1,$B33,P$1,$B$1)</f>
        <v>0</v>
      </c>
      <c r="Q33" s="124" cm="1">
        <f t="array" ref="Q33">_xll.EQNXTDZ($A$1,$B33,Q$1,$B$1)</f>
        <v>0</v>
      </c>
      <c r="R33" s="124" cm="1">
        <f t="array" ref="R33">_xll.EQNXTDZ($A$1,$B33,R$1,$B$1)</f>
        <v>0</v>
      </c>
      <c r="S33" s="124" cm="1">
        <f t="array" ref="S33">_xll.EQNXTDZ($A$1,$B33,S$1,$B$1)</f>
        <v>0</v>
      </c>
      <c r="T33" s="124" cm="1">
        <f t="array" ref="T33">_xll.EQNXTDZ($A$1,$B33,T$1,$B$1)</f>
        <v>0</v>
      </c>
      <c r="U33" s="124" cm="1">
        <f t="array" ref="U33">_xll.EQNXTDZ($A$1,$B33,U$1,$B$1)</f>
        <v>0</v>
      </c>
      <c r="V33" s="124" cm="1">
        <f t="array" ref="V33">_xll.EQNXTDZ($A$1,$B33,V$1,$B$1)</f>
        <v>0</v>
      </c>
      <c r="W33" s="124" cm="1">
        <f t="array" ref="W33">_xll.EQNXTDZ($A$1,$B33,W$1,$B$1)</f>
        <v>0</v>
      </c>
      <c r="X33" s="124" cm="1">
        <f t="array" ref="X33">_xll.EQNXTDZ($A$1,$B33,X$1,$B$1)</f>
        <v>0</v>
      </c>
      <c r="Y33" s="124" cm="1">
        <f t="array" ref="Y33">_xll.EQNXTDZ($A$1,$B33,Y$1,$B$1)</f>
        <v>0</v>
      </c>
      <c r="Z33" s="124" cm="1">
        <f t="array" ref="Z33">_xll.EQNXTDZ($A$1,$B33,Z$1,$B$1)</f>
        <v>0</v>
      </c>
      <c r="AA33" s="124" cm="1">
        <f t="array" ref="AA33">_xll.EQNXTDZ($A$1,$B33,AA$1,$B$1)</f>
        <v>0</v>
      </c>
      <c r="AB33" s="124" cm="1">
        <f t="array" ref="AB33">_xll.EQNXTDZ($A$1,$B33,AB$1,$B$1)</f>
        <v>0</v>
      </c>
      <c r="AC33" s="124" cm="1">
        <f t="array" ref="AC33">_xll.EQNXTDZ($A$1,$B33,AC$1,$B$1)</f>
        <v>0</v>
      </c>
      <c r="AD33" s="124" cm="1">
        <f t="array" ref="AD33">_xll.EQNXTDZ($A$1,$B33,AD$1,$B$1)</f>
        <v>0</v>
      </c>
      <c r="AE33" s="124" cm="1">
        <f t="array" ref="AE33">_xll.EQNXTDZ($A$1,$B33,AE$1,$B$1)</f>
        <v>0</v>
      </c>
      <c r="AF33" s="124" cm="1">
        <f t="array" ref="AF33">_xll.EQNXTDZ($A$1,$B33,AF$1,$B$1)</f>
        <v>0</v>
      </c>
    </row>
    <row r="34" spans="1:32" x14ac:dyDescent="0.25">
      <c r="A34" t="s">
        <v>254</v>
      </c>
      <c r="B34" t="s">
        <v>384</v>
      </c>
      <c r="C34" s="124" cm="1">
        <f t="array" ref="C34">_xll.EQNXTDZ($A$1,$B34,C$1,$B$1)</f>
        <v>0</v>
      </c>
      <c r="D34" s="124" cm="1">
        <f t="array" ref="D34">_xll.EQNXTDZ($A$1,$B34,D$1,$B$1)</f>
        <v>0</v>
      </c>
      <c r="E34" s="124" cm="1">
        <f t="array" ref="E34">_xll.EQNXTDZ($A$1,$B34,E$1,$B$1)</f>
        <v>0</v>
      </c>
      <c r="F34" s="124" cm="1">
        <f t="array" ref="F34">_xll.EQNXTDZ($A$1,$B34,F$1,$B$1)</f>
        <v>0</v>
      </c>
      <c r="G34" s="124" cm="1">
        <f t="array" ref="G34">_xll.EQNXTDZ($A$1,$B34,G$1,$B$1)</f>
        <v>0</v>
      </c>
      <c r="H34" s="124" cm="1">
        <f t="array" ref="H34">_xll.EQNXTDZ($A$1,$B34,H$1,$B$1)</f>
        <v>0</v>
      </c>
      <c r="I34" s="124" cm="1">
        <f t="array" ref="I34">_xll.EQNXTDZ($A$1,$B34,I$1,$B$1)</f>
        <v>0</v>
      </c>
      <c r="J34" s="124" cm="1">
        <f t="array" ref="J34">_xll.EQNXTDZ($A$1,$B34,J$1,$B$1)</f>
        <v>0</v>
      </c>
      <c r="K34" s="124" cm="1">
        <f t="array" ref="K34">_xll.EQNXTDZ($A$1,$B34,K$1,$B$1)</f>
        <v>0</v>
      </c>
      <c r="L34" s="124" cm="1">
        <f t="array" ref="L34">_xll.EQNXTDZ($A$1,$B34,L$1,$B$1)</f>
        <v>0</v>
      </c>
      <c r="M34" s="124" cm="1">
        <f t="array" ref="M34">_xll.EQNXTDZ($A$1,$B34,M$1,$B$1)</f>
        <v>0</v>
      </c>
      <c r="N34" s="124" cm="1">
        <f t="array" ref="N34">_xll.EQNXTDZ($A$1,$B34,N$1,$B$1)</f>
        <v>0</v>
      </c>
      <c r="O34" s="124" cm="1">
        <f t="array" ref="O34">_xll.EQNXTDZ($A$1,$B34,O$1,$B$1)</f>
        <v>0</v>
      </c>
      <c r="P34" s="124" cm="1">
        <f t="array" ref="P34">_xll.EQNXTDZ($A$1,$B34,P$1,$B$1)</f>
        <v>0</v>
      </c>
      <c r="Q34" s="124" cm="1">
        <f t="array" ref="Q34">_xll.EQNXTDZ($A$1,$B34,Q$1,$B$1)</f>
        <v>0</v>
      </c>
      <c r="R34" s="124" cm="1">
        <f t="array" ref="R34">_xll.EQNXTDZ($A$1,$B34,R$1,$B$1)</f>
        <v>0</v>
      </c>
      <c r="S34" s="124" cm="1">
        <f t="array" ref="S34">_xll.EQNXTDZ($A$1,$B34,S$1,$B$1)</f>
        <v>0</v>
      </c>
      <c r="T34" s="124" cm="1">
        <f t="array" ref="T34">_xll.EQNXTDZ($A$1,$B34,T$1,$B$1)</f>
        <v>0</v>
      </c>
      <c r="U34" s="124" cm="1">
        <f t="array" ref="U34">_xll.EQNXTDZ($A$1,$B34,U$1,$B$1)</f>
        <v>0</v>
      </c>
      <c r="V34" s="124" cm="1">
        <f t="array" ref="V34">_xll.EQNXTDZ($A$1,$B34,V$1,$B$1)</f>
        <v>0</v>
      </c>
      <c r="W34" s="124" cm="1">
        <f t="array" ref="W34">_xll.EQNXTDZ($A$1,$B34,W$1,$B$1)</f>
        <v>0</v>
      </c>
      <c r="X34" s="124" cm="1">
        <f t="array" ref="X34">_xll.EQNXTDZ($A$1,$B34,X$1,$B$1)</f>
        <v>0</v>
      </c>
      <c r="Y34" s="124" cm="1">
        <f t="array" ref="Y34">_xll.EQNXTDZ($A$1,$B34,Y$1,$B$1)</f>
        <v>0</v>
      </c>
      <c r="Z34" s="124" cm="1">
        <f t="array" ref="Z34">_xll.EQNXTDZ($A$1,$B34,Z$1,$B$1)</f>
        <v>0</v>
      </c>
      <c r="AA34" s="124" cm="1">
        <f t="array" ref="AA34">_xll.EQNXTDZ($A$1,$B34,AA$1,$B$1)</f>
        <v>0</v>
      </c>
      <c r="AB34" s="124" cm="1">
        <f t="array" ref="AB34">_xll.EQNXTDZ($A$1,$B34,AB$1,$B$1)</f>
        <v>0</v>
      </c>
      <c r="AC34" s="124" cm="1">
        <f t="array" ref="AC34">_xll.EQNXTDZ($A$1,$B34,AC$1,$B$1)</f>
        <v>0</v>
      </c>
      <c r="AD34" s="124" cm="1">
        <f t="array" ref="AD34">_xll.EQNXTDZ($A$1,$B34,AD$1,$B$1)</f>
        <v>0</v>
      </c>
      <c r="AE34" s="124" cm="1">
        <f t="array" ref="AE34">_xll.EQNXTDZ($A$1,$B34,AE$1,$B$1)</f>
        <v>0</v>
      </c>
      <c r="AF34" s="124" cm="1">
        <f t="array" ref="AF34">_xll.EQNXTDZ($A$1,$B34,AF$1,$B$1)</f>
        <v>0</v>
      </c>
    </row>
    <row r="35" spans="1:32" s="106" customFormat="1" x14ac:dyDescent="0.25">
      <c r="A35" s="106" t="s">
        <v>62</v>
      </c>
      <c r="B35" s="106" t="s">
        <v>385</v>
      </c>
      <c r="C35" s="124" cm="1">
        <f t="array" ref="C35">_xll.EQNXTDZ($A$1,$B35,C$1,$B$1)</f>
        <v>0</v>
      </c>
      <c r="D35" s="124" cm="1">
        <f t="array" ref="D35">_xll.EQNXTDZ($A$1,$B35,D$1,$B$1)</f>
        <v>0</v>
      </c>
      <c r="E35" s="124" cm="1">
        <f t="array" ref="E35">_xll.EQNXTDZ($A$1,$B35,E$1,$B$1)</f>
        <v>0</v>
      </c>
      <c r="F35" s="124" cm="1">
        <f t="array" ref="F35">_xll.EQNXTDZ($A$1,$B35,F$1,$B$1)</f>
        <v>0</v>
      </c>
      <c r="G35" s="124" cm="1">
        <f t="array" ref="G35">_xll.EQNXTDZ($A$1,$B35,G$1,$B$1)</f>
        <v>0</v>
      </c>
      <c r="H35" s="124" cm="1">
        <f t="array" ref="H35">_xll.EQNXTDZ($A$1,$B35,H$1,$B$1)</f>
        <v>0</v>
      </c>
      <c r="I35" s="124" cm="1">
        <f t="array" ref="I35">_xll.EQNXTDZ($A$1,$B35,I$1,$B$1)</f>
        <v>0</v>
      </c>
      <c r="J35" s="124" cm="1">
        <f t="array" ref="J35">_xll.EQNXTDZ($A$1,$B35,J$1,$B$1)</f>
        <v>0</v>
      </c>
      <c r="K35" s="124" cm="1">
        <f t="array" ref="K35">_xll.EQNXTDZ($A$1,$B35,K$1,$B$1)</f>
        <v>0</v>
      </c>
      <c r="L35" s="124" cm="1">
        <f t="array" ref="L35">_xll.EQNXTDZ($A$1,$B35,L$1,$B$1)</f>
        <v>0</v>
      </c>
      <c r="M35" s="124" cm="1">
        <f t="array" ref="M35">_xll.EQNXTDZ($A$1,$B35,M$1,$B$1)</f>
        <v>0</v>
      </c>
      <c r="N35" s="124" cm="1">
        <f t="array" ref="N35">_xll.EQNXTDZ($A$1,$B35,N$1,$B$1)</f>
        <v>0</v>
      </c>
      <c r="O35" s="124" cm="1">
        <f t="array" ref="O35">_xll.EQNXTDZ($A$1,$B35,O$1,$B$1)</f>
        <v>0</v>
      </c>
      <c r="P35" s="124" cm="1">
        <f t="array" ref="P35">_xll.EQNXTDZ($A$1,$B35,P$1,$B$1)</f>
        <v>0</v>
      </c>
      <c r="Q35" s="124" cm="1">
        <f t="array" ref="Q35">_xll.EQNXTDZ($A$1,$B35,Q$1,$B$1)</f>
        <v>0</v>
      </c>
      <c r="R35" s="124" cm="1">
        <f t="array" ref="R35">_xll.EQNXTDZ($A$1,$B35,R$1,$B$1)</f>
        <v>0</v>
      </c>
      <c r="S35" s="124" cm="1">
        <f t="array" ref="S35">_xll.EQNXTDZ($A$1,$B35,S$1,$B$1)</f>
        <v>0</v>
      </c>
      <c r="T35" s="124" cm="1">
        <f t="array" ref="T35">_xll.EQNXTDZ($A$1,$B35,T$1,$B$1)</f>
        <v>0</v>
      </c>
      <c r="U35" s="124" cm="1">
        <f t="array" ref="U35">_xll.EQNXTDZ($A$1,$B35,U$1,$B$1)</f>
        <v>0</v>
      </c>
      <c r="V35" s="124" cm="1">
        <f t="array" ref="V35">_xll.EQNXTDZ($A$1,$B35,V$1,$B$1)</f>
        <v>0</v>
      </c>
      <c r="W35" s="124" cm="1">
        <f t="array" ref="W35">_xll.EQNXTDZ($A$1,$B35,W$1,$B$1)</f>
        <v>0</v>
      </c>
      <c r="X35" s="124" cm="1">
        <f t="array" ref="X35">_xll.EQNXTDZ($A$1,$B35,X$1,$B$1)</f>
        <v>0</v>
      </c>
      <c r="Y35" s="124" cm="1">
        <f t="array" ref="Y35">_xll.EQNXTDZ($A$1,$B35,Y$1,$B$1)</f>
        <v>0</v>
      </c>
      <c r="Z35" s="124" cm="1">
        <f t="array" ref="Z35">_xll.EQNXTDZ($A$1,$B35,Z$1,$B$1)</f>
        <v>0</v>
      </c>
      <c r="AA35" s="124" cm="1">
        <f t="array" ref="AA35">_xll.EQNXTDZ($A$1,$B35,AA$1,$B$1)</f>
        <v>0</v>
      </c>
      <c r="AB35" s="124" cm="1">
        <f t="array" ref="AB35">_xll.EQNXTDZ($A$1,$B35,AB$1,$B$1)</f>
        <v>0</v>
      </c>
      <c r="AC35" s="124" cm="1">
        <f t="array" ref="AC35">_xll.EQNXTDZ($A$1,$B35,AC$1,$B$1)</f>
        <v>0</v>
      </c>
      <c r="AD35" s="124" cm="1">
        <f t="array" ref="AD35">_xll.EQNXTDZ($A$1,$B35,AD$1,$B$1)</f>
        <v>0</v>
      </c>
      <c r="AE35" s="124" cm="1">
        <f t="array" ref="AE35">_xll.EQNXTDZ($A$1,$B35,AE$1,$B$1)</f>
        <v>0</v>
      </c>
      <c r="AF35" s="124" cm="1">
        <f t="array" ref="AF35">_xll.EQNXTDZ($A$1,$B35,AF$1,$B$1)</f>
        <v>0</v>
      </c>
    </row>
    <row r="36" spans="1:32" s="106" customFormat="1" x14ac:dyDescent="0.25">
      <c r="A36" s="106" t="s">
        <v>259</v>
      </c>
      <c r="B36" s="106" t="s">
        <v>386</v>
      </c>
      <c r="C36" s="124" cm="1">
        <f t="array" ref="C36">_xll.EQNXTDZ($A$1,$B36,C$1,$B$1)</f>
        <v>0</v>
      </c>
      <c r="D36" s="124" cm="1">
        <f t="array" ref="D36">_xll.EQNXTDZ($A$1,$B36,D$1,$B$1)</f>
        <v>0</v>
      </c>
      <c r="E36" s="124" cm="1">
        <f t="array" ref="E36">_xll.EQNXTDZ($A$1,$B36,E$1,$B$1)</f>
        <v>0</v>
      </c>
      <c r="F36" s="124" cm="1">
        <f t="array" ref="F36">_xll.EQNXTDZ($A$1,$B36,F$1,$B$1)</f>
        <v>0</v>
      </c>
      <c r="G36" s="124" cm="1">
        <f t="array" ref="G36">_xll.EQNXTDZ($A$1,$B36,G$1,$B$1)</f>
        <v>0</v>
      </c>
      <c r="H36" s="124" cm="1">
        <f t="array" ref="H36">_xll.EQNXTDZ($A$1,$B36,H$1,$B$1)</f>
        <v>0</v>
      </c>
      <c r="I36" s="124" cm="1">
        <f t="array" ref="I36">_xll.EQNXTDZ($A$1,$B36,I$1,$B$1)</f>
        <v>0</v>
      </c>
      <c r="J36" s="124" cm="1">
        <f t="array" ref="J36">_xll.EQNXTDZ($A$1,$B36,J$1,$B$1)</f>
        <v>0</v>
      </c>
      <c r="K36" s="124" cm="1">
        <f t="array" ref="K36">_xll.EQNXTDZ($A$1,$B36,K$1,$B$1)</f>
        <v>0</v>
      </c>
      <c r="L36" s="124" cm="1">
        <f t="array" ref="L36">_xll.EQNXTDZ($A$1,$B36,L$1,$B$1)</f>
        <v>0</v>
      </c>
      <c r="M36" s="124" cm="1">
        <f t="array" ref="M36">_xll.EQNXTDZ($A$1,$B36,M$1,$B$1)</f>
        <v>0</v>
      </c>
      <c r="N36" s="124" cm="1">
        <f t="array" ref="N36">_xll.EQNXTDZ($A$1,$B36,N$1,$B$1)</f>
        <v>0</v>
      </c>
      <c r="O36" s="124" cm="1">
        <f t="array" ref="O36">_xll.EQNXTDZ($A$1,$B36,O$1,$B$1)</f>
        <v>0</v>
      </c>
      <c r="P36" s="124" cm="1">
        <f t="array" ref="P36">_xll.EQNXTDZ($A$1,$B36,P$1,$B$1)</f>
        <v>0</v>
      </c>
      <c r="Q36" s="124" cm="1">
        <f t="array" ref="Q36">_xll.EQNXTDZ($A$1,$B36,Q$1,$B$1)</f>
        <v>0</v>
      </c>
      <c r="R36" s="124" cm="1">
        <f t="array" ref="R36">_xll.EQNXTDZ($A$1,$B36,R$1,$B$1)</f>
        <v>0</v>
      </c>
      <c r="S36" s="124" cm="1">
        <f t="array" ref="S36">_xll.EQNXTDZ($A$1,$B36,S$1,$B$1)</f>
        <v>0</v>
      </c>
      <c r="T36" s="124" cm="1">
        <f t="array" ref="T36">_xll.EQNXTDZ($A$1,$B36,T$1,$B$1)</f>
        <v>0</v>
      </c>
      <c r="U36" s="124" cm="1">
        <f t="array" ref="U36">_xll.EQNXTDZ($A$1,$B36,U$1,$B$1)</f>
        <v>0</v>
      </c>
      <c r="V36" s="124" cm="1">
        <f t="array" ref="V36">_xll.EQNXTDZ($A$1,$B36,V$1,$B$1)</f>
        <v>0</v>
      </c>
      <c r="W36" s="124" cm="1">
        <f t="array" ref="W36">_xll.EQNXTDZ($A$1,$B36,W$1,$B$1)</f>
        <v>0</v>
      </c>
      <c r="X36" s="124" cm="1">
        <f t="array" ref="X36">_xll.EQNXTDZ($A$1,$B36,X$1,$B$1)</f>
        <v>0</v>
      </c>
      <c r="Y36" s="124" cm="1">
        <f t="array" ref="Y36">_xll.EQNXTDZ($A$1,$B36,Y$1,$B$1)</f>
        <v>0</v>
      </c>
      <c r="Z36" s="124" cm="1">
        <f t="array" ref="Z36">_xll.EQNXTDZ($A$1,$B36,Z$1,$B$1)</f>
        <v>0</v>
      </c>
      <c r="AA36" s="124" cm="1">
        <f t="array" ref="AA36">_xll.EQNXTDZ($A$1,$B36,AA$1,$B$1)</f>
        <v>0</v>
      </c>
      <c r="AB36" s="124" cm="1">
        <f t="array" ref="AB36">_xll.EQNXTDZ($A$1,$B36,AB$1,$B$1)</f>
        <v>0</v>
      </c>
      <c r="AC36" s="124" cm="1">
        <f t="array" ref="AC36">_xll.EQNXTDZ($A$1,$B36,AC$1,$B$1)</f>
        <v>0</v>
      </c>
      <c r="AD36" s="124" cm="1">
        <f t="array" ref="AD36">_xll.EQNXTDZ($A$1,$B36,AD$1,$B$1)</f>
        <v>0</v>
      </c>
      <c r="AE36" s="124" cm="1">
        <f t="array" ref="AE36">_xll.EQNXTDZ($A$1,$B36,AE$1,$B$1)</f>
        <v>0</v>
      </c>
      <c r="AF36" s="124" cm="1">
        <f t="array" ref="AF36">_xll.EQNXTDZ($A$1,$B36,AF$1,$B$1)</f>
        <v>0</v>
      </c>
    </row>
    <row r="37" spans="1:32" s="106" customFormat="1" x14ac:dyDescent="0.25">
      <c r="A37" s="106" t="s">
        <v>64</v>
      </c>
      <c r="B37" s="106" t="s">
        <v>387</v>
      </c>
      <c r="C37" s="124" cm="1">
        <f t="array" ref="C37">_xll.EQNXTDZ($A$1,$B37,C$1,$B$1)</f>
        <v>0</v>
      </c>
      <c r="D37" s="124" cm="1">
        <f t="array" ref="D37">_xll.EQNXTDZ($A$1,$B37,D$1,$B$1)</f>
        <v>0</v>
      </c>
      <c r="E37" s="124" cm="1">
        <f t="array" ref="E37">_xll.EQNXTDZ($A$1,$B37,E$1,$B$1)</f>
        <v>0</v>
      </c>
      <c r="F37" s="124" cm="1">
        <f t="array" ref="F37">_xll.EQNXTDZ($A$1,$B37,F$1,$B$1)</f>
        <v>0</v>
      </c>
      <c r="G37" s="124" cm="1">
        <f t="array" ref="G37">_xll.EQNXTDZ($A$1,$B37,G$1,$B$1)</f>
        <v>0</v>
      </c>
      <c r="H37" s="124" cm="1">
        <f t="array" ref="H37">_xll.EQNXTDZ($A$1,$B37,H$1,$B$1)</f>
        <v>0</v>
      </c>
      <c r="I37" s="124" cm="1">
        <f t="array" ref="I37">_xll.EQNXTDZ($A$1,$B37,I$1,$B$1)</f>
        <v>0</v>
      </c>
      <c r="J37" s="124" cm="1">
        <f t="array" ref="J37">_xll.EQNXTDZ($A$1,$B37,J$1,$B$1)</f>
        <v>0</v>
      </c>
      <c r="K37" s="124" cm="1">
        <f t="array" ref="K37">_xll.EQNXTDZ($A$1,$B37,K$1,$B$1)</f>
        <v>0</v>
      </c>
      <c r="L37" s="124" cm="1">
        <f t="array" ref="L37">_xll.EQNXTDZ($A$1,$B37,L$1,$B$1)</f>
        <v>0</v>
      </c>
      <c r="M37" s="124" cm="1">
        <f t="array" ref="M37">_xll.EQNXTDZ($A$1,$B37,M$1,$B$1)</f>
        <v>0</v>
      </c>
      <c r="N37" s="124" cm="1">
        <f t="array" ref="N37">_xll.EQNXTDZ($A$1,$B37,N$1,$B$1)</f>
        <v>0</v>
      </c>
      <c r="O37" s="124" cm="1">
        <f t="array" ref="O37">_xll.EQNXTDZ($A$1,$B37,O$1,$B$1)</f>
        <v>0</v>
      </c>
      <c r="P37" s="124" cm="1">
        <f t="array" ref="P37">_xll.EQNXTDZ($A$1,$B37,P$1,$B$1)</f>
        <v>0</v>
      </c>
      <c r="Q37" s="124" cm="1">
        <f t="array" ref="Q37">_xll.EQNXTDZ($A$1,$B37,Q$1,$B$1)</f>
        <v>0</v>
      </c>
      <c r="R37" s="124" cm="1">
        <f t="array" ref="R37">_xll.EQNXTDZ($A$1,$B37,R$1,$B$1)</f>
        <v>0</v>
      </c>
      <c r="S37" s="124" cm="1">
        <f t="array" ref="S37">_xll.EQNXTDZ($A$1,$B37,S$1,$B$1)</f>
        <v>0</v>
      </c>
      <c r="T37" s="124" cm="1">
        <f t="array" ref="T37">_xll.EQNXTDZ($A$1,$B37,T$1,$B$1)</f>
        <v>0</v>
      </c>
      <c r="U37" s="124" cm="1">
        <f t="array" ref="U37">_xll.EQNXTDZ($A$1,$B37,U$1,$B$1)</f>
        <v>0</v>
      </c>
      <c r="V37" s="124" cm="1">
        <f t="array" ref="V37">_xll.EQNXTDZ($A$1,$B37,V$1,$B$1)</f>
        <v>0</v>
      </c>
      <c r="W37" s="124" cm="1">
        <f t="array" ref="W37">_xll.EQNXTDZ($A$1,$B37,W$1,$B$1)</f>
        <v>0</v>
      </c>
      <c r="X37" s="124" cm="1">
        <f t="array" ref="X37">_xll.EQNXTDZ($A$1,$B37,X$1,$B$1)</f>
        <v>0</v>
      </c>
      <c r="Y37" s="124" cm="1">
        <f t="array" ref="Y37">_xll.EQNXTDZ($A$1,$B37,Y$1,$B$1)</f>
        <v>0</v>
      </c>
      <c r="Z37" s="124" cm="1">
        <f t="array" ref="Z37">_xll.EQNXTDZ($A$1,$B37,Z$1,$B$1)</f>
        <v>0</v>
      </c>
      <c r="AA37" s="124" cm="1">
        <f t="array" ref="AA37">_xll.EQNXTDZ($A$1,$B37,AA$1,$B$1)</f>
        <v>0</v>
      </c>
      <c r="AB37" s="124" cm="1">
        <f t="array" ref="AB37">_xll.EQNXTDZ($A$1,$B37,AB$1,$B$1)</f>
        <v>0</v>
      </c>
      <c r="AC37" s="124" cm="1">
        <f t="array" ref="AC37">_xll.EQNXTDZ($A$1,$B37,AC$1,$B$1)</f>
        <v>0</v>
      </c>
      <c r="AD37" s="124" cm="1">
        <f t="array" ref="AD37">_xll.EQNXTDZ($A$1,$B37,AD$1,$B$1)</f>
        <v>0</v>
      </c>
      <c r="AE37" s="124" cm="1">
        <f t="array" ref="AE37">_xll.EQNXTDZ($A$1,$B37,AE$1,$B$1)</f>
        <v>0</v>
      </c>
      <c r="AF37" s="124" cm="1">
        <f t="array" ref="AF37">_xll.EQNXTDZ($A$1,$B37,AF$1,$B$1)</f>
        <v>0</v>
      </c>
    </row>
    <row r="38" spans="1:32" s="106" customFormat="1" x14ac:dyDescent="0.25">
      <c r="A38" s="106" t="s">
        <v>255</v>
      </c>
      <c r="B38" s="106" t="s">
        <v>388</v>
      </c>
      <c r="C38" s="124" cm="1">
        <f t="array" ref="C38">_xll.EQNXTDZ($A$1,$B38,C$1,$B$1)</f>
        <v>0</v>
      </c>
      <c r="D38" s="124" cm="1">
        <f t="array" ref="D38">_xll.EQNXTDZ($A$1,$B38,D$1,$B$1)</f>
        <v>0</v>
      </c>
      <c r="E38" s="124" cm="1">
        <f t="array" ref="E38">_xll.EQNXTDZ($A$1,$B38,E$1,$B$1)</f>
        <v>0</v>
      </c>
      <c r="F38" s="124" cm="1">
        <f t="array" ref="F38">_xll.EQNXTDZ($A$1,$B38,F$1,$B$1)</f>
        <v>0</v>
      </c>
      <c r="G38" s="124" cm="1">
        <f t="array" ref="G38">_xll.EQNXTDZ($A$1,$B38,G$1,$B$1)</f>
        <v>0</v>
      </c>
      <c r="H38" s="124" cm="1">
        <f t="array" ref="H38">_xll.EQNXTDZ($A$1,$B38,H$1,$B$1)</f>
        <v>0</v>
      </c>
      <c r="I38" s="124" cm="1">
        <f t="array" ref="I38">_xll.EQNXTDZ($A$1,$B38,I$1,$B$1)</f>
        <v>0</v>
      </c>
      <c r="J38" s="124" cm="1">
        <f t="array" ref="J38">_xll.EQNXTDZ($A$1,$B38,J$1,$B$1)</f>
        <v>0</v>
      </c>
      <c r="K38" s="124" cm="1">
        <f t="array" ref="K38">_xll.EQNXTDZ($A$1,$B38,K$1,$B$1)</f>
        <v>0</v>
      </c>
      <c r="L38" s="124" cm="1">
        <f t="array" ref="L38">_xll.EQNXTDZ($A$1,$B38,L$1,$B$1)</f>
        <v>0</v>
      </c>
      <c r="M38" s="124" cm="1">
        <f t="array" ref="M38">_xll.EQNXTDZ($A$1,$B38,M$1,$B$1)</f>
        <v>0</v>
      </c>
      <c r="N38" s="124" cm="1">
        <f t="array" ref="N38">_xll.EQNXTDZ($A$1,$B38,N$1,$B$1)</f>
        <v>0</v>
      </c>
      <c r="O38" s="124" cm="1">
        <f t="array" ref="O38">_xll.EQNXTDZ($A$1,$B38,O$1,$B$1)</f>
        <v>0</v>
      </c>
      <c r="P38" s="124" cm="1">
        <f t="array" ref="P38">_xll.EQNXTDZ($A$1,$B38,P$1,$B$1)</f>
        <v>0</v>
      </c>
      <c r="Q38" s="124" cm="1">
        <f t="array" ref="Q38">_xll.EQNXTDZ($A$1,$B38,Q$1,$B$1)</f>
        <v>0</v>
      </c>
      <c r="R38" s="124" cm="1">
        <f t="array" ref="R38">_xll.EQNXTDZ($A$1,$B38,R$1,$B$1)</f>
        <v>0</v>
      </c>
      <c r="S38" s="124" cm="1">
        <f t="array" ref="S38">_xll.EQNXTDZ($A$1,$B38,S$1,$B$1)</f>
        <v>0</v>
      </c>
      <c r="T38" s="124" cm="1">
        <f t="array" ref="T38">_xll.EQNXTDZ($A$1,$B38,T$1,$B$1)</f>
        <v>0</v>
      </c>
      <c r="U38" s="124" cm="1">
        <f t="array" ref="U38">_xll.EQNXTDZ($A$1,$B38,U$1,$B$1)</f>
        <v>0</v>
      </c>
      <c r="V38" s="124" cm="1">
        <f t="array" ref="V38">_xll.EQNXTDZ($A$1,$B38,V$1,$B$1)</f>
        <v>0</v>
      </c>
      <c r="W38" s="124" cm="1">
        <f t="array" ref="W38">_xll.EQNXTDZ($A$1,$B38,W$1,$B$1)</f>
        <v>0</v>
      </c>
      <c r="X38" s="124" cm="1">
        <f t="array" ref="X38">_xll.EQNXTDZ($A$1,$B38,X$1,$B$1)</f>
        <v>0</v>
      </c>
      <c r="Y38" s="124" cm="1">
        <f t="array" ref="Y38">_xll.EQNXTDZ($A$1,$B38,Y$1,$B$1)</f>
        <v>0</v>
      </c>
      <c r="Z38" s="124" cm="1">
        <f t="array" ref="Z38">_xll.EQNXTDZ($A$1,$B38,Z$1,$B$1)</f>
        <v>0</v>
      </c>
      <c r="AA38" s="124" cm="1">
        <f t="array" ref="AA38">_xll.EQNXTDZ($A$1,$B38,AA$1,$B$1)</f>
        <v>0</v>
      </c>
      <c r="AB38" s="124" cm="1">
        <f t="array" ref="AB38">_xll.EQNXTDZ($A$1,$B38,AB$1,$B$1)</f>
        <v>0</v>
      </c>
      <c r="AC38" s="124" cm="1">
        <f t="array" ref="AC38">_xll.EQNXTDZ($A$1,$B38,AC$1,$B$1)</f>
        <v>0</v>
      </c>
      <c r="AD38" s="124" cm="1">
        <f t="array" ref="AD38">_xll.EQNXTDZ($A$1,$B38,AD$1,$B$1)</f>
        <v>0</v>
      </c>
      <c r="AE38" s="124" cm="1">
        <f t="array" ref="AE38">_xll.EQNXTDZ($A$1,$B38,AE$1,$B$1)</f>
        <v>0</v>
      </c>
      <c r="AF38" s="124" cm="1">
        <f t="array" ref="AF38">_xll.EQNXTDZ($A$1,$B38,AF$1,$B$1)</f>
        <v>0</v>
      </c>
    </row>
    <row r="39" spans="1:32" s="106" customFormat="1" x14ac:dyDescent="0.25">
      <c r="A39" s="106" t="s">
        <v>256</v>
      </c>
      <c r="B39" s="106" t="s">
        <v>389</v>
      </c>
      <c r="C39" s="124" cm="1">
        <f t="array" ref="C39">_xll.EQNXTDZ($A$1,$B39,C$1,$B$1)</f>
        <v>0</v>
      </c>
      <c r="D39" s="124" cm="1">
        <f t="array" ref="D39">_xll.EQNXTDZ($A$1,$B39,D$1,$B$1)</f>
        <v>0</v>
      </c>
      <c r="E39" s="124" cm="1">
        <f t="array" ref="E39">_xll.EQNXTDZ($A$1,$B39,E$1,$B$1)</f>
        <v>0</v>
      </c>
      <c r="F39" s="124" cm="1">
        <f t="array" ref="F39">_xll.EQNXTDZ($A$1,$B39,F$1,$B$1)</f>
        <v>0</v>
      </c>
      <c r="G39" s="124" cm="1">
        <f t="array" ref="G39">_xll.EQNXTDZ($A$1,$B39,G$1,$B$1)</f>
        <v>0</v>
      </c>
      <c r="H39" s="124" cm="1">
        <f t="array" ref="H39">_xll.EQNXTDZ($A$1,$B39,H$1,$B$1)</f>
        <v>0</v>
      </c>
      <c r="I39" s="124" cm="1">
        <f t="array" ref="I39">_xll.EQNXTDZ($A$1,$B39,I$1,$B$1)</f>
        <v>0</v>
      </c>
      <c r="J39" s="124" cm="1">
        <f t="array" ref="J39">_xll.EQNXTDZ($A$1,$B39,J$1,$B$1)</f>
        <v>0</v>
      </c>
      <c r="K39" s="124" cm="1">
        <f t="array" ref="K39">_xll.EQNXTDZ($A$1,$B39,K$1,$B$1)</f>
        <v>0</v>
      </c>
      <c r="L39" s="124" cm="1">
        <f t="array" ref="L39">_xll.EQNXTDZ($A$1,$B39,L$1,$B$1)</f>
        <v>0</v>
      </c>
      <c r="M39" s="124" cm="1">
        <f t="array" ref="M39">_xll.EQNXTDZ($A$1,$B39,M$1,$B$1)</f>
        <v>0</v>
      </c>
      <c r="N39" s="124" cm="1">
        <f t="array" ref="N39">_xll.EQNXTDZ($A$1,$B39,N$1,$B$1)</f>
        <v>0</v>
      </c>
      <c r="O39" s="124" cm="1">
        <f t="array" ref="O39">_xll.EQNXTDZ($A$1,$B39,O$1,$B$1)</f>
        <v>0</v>
      </c>
      <c r="P39" s="124" cm="1">
        <f t="array" ref="P39">_xll.EQNXTDZ($A$1,$B39,P$1,$B$1)</f>
        <v>0</v>
      </c>
      <c r="Q39" s="124" cm="1">
        <f t="array" ref="Q39">_xll.EQNXTDZ($A$1,$B39,Q$1,$B$1)</f>
        <v>0</v>
      </c>
      <c r="R39" s="124" cm="1">
        <f t="array" ref="R39">_xll.EQNXTDZ($A$1,$B39,R$1,$B$1)</f>
        <v>0</v>
      </c>
      <c r="S39" s="124" cm="1">
        <f t="array" ref="S39">_xll.EQNXTDZ($A$1,$B39,S$1,$B$1)</f>
        <v>0</v>
      </c>
      <c r="T39" s="124" cm="1">
        <f t="array" ref="T39">_xll.EQNXTDZ($A$1,$B39,T$1,$B$1)</f>
        <v>0</v>
      </c>
      <c r="U39" s="124" cm="1">
        <f t="array" ref="U39">_xll.EQNXTDZ($A$1,$B39,U$1,$B$1)</f>
        <v>0</v>
      </c>
      <c r="V39" s="124" cm="1">
        <f t="array" ref="V39">_xll.EQNXTDZ($A$1,$B39,V$1,$B$1)</f>
        <v>0</v>
      </c>
      <c r="W39" s="124" cm="1">
        <f t="array" ref="W39">_xll.EQNXTDZ($A$1,$B39,W$1,$B$1)</f>
        <v>0</v>
      </c>
      <c r="X39" s="124" cm="1">
        <f t="array" ref="X39">_xll.EQNXTDZ($A$1,$B39,X$1,$B$1)</f>
        <v>0</v>
      </c>
      <c r="Y39" s="124" cm="1">
        <f t="array" ref="Y39">_xll.EQNXTDZ($A$1,$B39,Y$1,$B$1)</f>
        <v>0</v>
      </c>
      <c r="Z39" s="124" cm="1">
        <f t="array" ref="Z39">_xll.EQNXTDZ($A$1,$B39,Z$1,$B$1)</f>
        <v>0</v>
      </c>
      <c r="AA39" s="124" cm="1">
        <f t="array" ref="AA39">_xll.EQNXTDZ($A$1,$B39,AA$1,$B$1)</f>
        <v>0</v>
      </c>
      <c r="AB39" s="124" cm="1">
        <f t="array" ref="AB39">_xll.EQNXTDZ($A$1,$B39,AB$1,$B$1)</f>
        <v>0</v>
      </c>
      <c r="AC39" s="124" cm="1">
        <f t="array" ref="AC39">_xll.EQNXTDZ($A$1,$B39,AC$1,$B$1)</f>
        <v>0</v>
      </c>
      <c r="AD39" s="124" cm="1">
        <f t="array" ref="AD39">_xll.EQNXTDZ($A$1,$B39,AD$1,$B$1)</f>
        <v>0</v>
      </c>
      <c r="AE39" s="124" cm="1">
        <f t="array" ref="AE39">_xll.EQNXTDZ($A$1,$B39,AE$1,$B$1)</f>
        <v>0</v>
      </c>
      <c r="AF39" s="124" cm="1">
        <f t="array" ref="AF39">_xll.EQNXTDZ($A$1,$B39,AF$1,$B$1)</f>
        <v>0</v>
      </c>
    </row>
    <row r="40" spans="1:32" s="106" customFormat="1" x14ac:dyDescent="0.25">
      <c r="A40" s="106" t="s">
        <v>257</v>
      </c>
      <c r="B40" s="106" t="s">
        <v>390</v>
      </c>
      <c r="C40" s="124" cm="1">
        <f t="array" ref="C40">_xll.EQNXTDZ($A$1,$B40,C$1,$B$1)</f>
        <v>0</v>
      </c>
      <c r="D40" s="124" cm="1">
        <f t="array" ref="D40">_xll.EQNXTDZ($A$1,$B40,D$1,$B$1)</f>
        <v>0</v>
      </c>
      <c r="E40" s="124" cm="1">
        <f t="array" ref="E40">_xll.EQNXTDZ($A$1,$B40,E$1,$B$1)</f>
        <v>0</v>
      </c>
      <c r="F40" s="124" cm="1">
        <f t="array" ref="F40">_xll.EQNXTDZ($A$1,$B40,F$1,$B$1)</f>
        <v>0</v>
      </c>
      <c r="G40" s="124" cm="1">
        <f t="array" ref="G40">_xll.EQNXTDZ($A$1,$B40,G$1,$B$1)</f>
        <v>0</v>
      </c>
      <c r="H40" s="124" cm="1">
        <f t="array" ref="H40">_xll.EQNXTDZ($A$1,$B40,H$1,$B$1)</f>
        <v>0</v>
      </c>
      <c r="I40" s="124" cm="1">
        <f t="array" ref="I40">_xll.EQNXTDZ($A$1,$B40,I$1,$B$1)</f>
        <v>0</v>
      </c>
      <c r="J40" s="124" cm="1">
        <f t="array" ref="J40">_xll.EQNXTDZ($A$1,$B40,J$1,$B$1)</f>
        <v>0</v>
      </c>
      <c r="K40" s="124" cm="1">
        <f t="array" ref="K40">_xll.EQNXTDZ($A$1,$B40,K$1,$B$1)</f>
        <v>0</v>
      </c>
      <c r="L40" s="124" cm="1">
        <f t="array" ref="L40">_xll.EQNXTDZ($A$1,$B40,L$1,$B$1)</f>
        <v>0</v>
      </c>
      <c r="M40" s="124" cm="1">
        <f t="array" ref="M40">_xll.EQNXTDZ($A$1,$B40,M$1,$B$1)</f>
        <v>0</v>
      </c>
      <c r="N40" s="124" cm="1">
        <f t="array" ref="N40">_xll.EQNXTDZ($A$1,$B40,N$1,$B$1)</f>
        <v>0</v>
      </c>
      <c r="O40" s="124" cm="1">
        <f t="array" ref="O40">_xll.EQNXTDZ($A$1,$B40,O$1,$B$1)</f>
        <v>0</v>
      </c>
      <c r="P40" s="124" cm="1">
        <f t="array" ref="P40">_xll.EQNXTDZ($A$1,$B40,P$1,$B$1)</f>
        <v>0</v>
      </c>
      <c r="Q40" s="124" cm="1">
        <f t="array" ref="Q40">_xll.EQNXTDZ($A$1,$B40,Q$1,$B$1)</f>
        <v>0</v>
      </c>
      <c r="R40" s="124" cm="1">
        <f t="array" ref="R40">_xll.EQNXTDZ($A$1,$B40,R$1,$B$1)</f>
        <v>0</v>
      </c>
      <c r="S40" s="124" cm="1">
        <f t="array" ref="S40">_xll.EQNXTDZ($A$1,$B40,S$1,$B$1)</f>
        <v>0</v>
      </c>
      <c r="T40" s="124" cm="1">
        <f t="array" ref="T40">_xll.EQNXTDZ($A$1,$B40,T$1,$B$1)</f>
        <v>0</v>
      </c>
      <c r="U40" s="124" cm="1">
        <f t="array" ref="U40">_xll.EQNXTDZ($A$1,$B40,U$1,$B$1)</f>
        <v>0</v>
      </c>
      <c r="V40" s="124" cm="1">
        <f t="array" ref="V40">_xll.EQNXTDZ($A$1,$B40,V$1,$B$1)</f>
        <v>0</v>
      </c>
      <c r="W40" s="124" cm="1">
        <f t="array" ref="W40">_xll.EQNXTDZ($A$1,$B40,W$1,$B$1)</f>
        <v>0</v>
      </c>
      <c r="X40" s="124" cm="1">
        <f t="array" ref="X40">_xll.EQNXTDZ($A$1,$B40,X$1,$B$1)</f>
        <v>0</v>
      </c>
      <c r="Y40" s="124" cm="1">
        <f t="array" ref="Y40">_xll.EQNXTDZ($A$1,$B40,Y$1,$B$1)</f>
        <v>0</v>
      </c>
      <c r="Z40" s="124" cm="1">
        <f t="array" ref="Z40">_xll.EQNXTDZ($A$1,$B40,Z$1,$B$1)</f>
        <v>0</v>
      </c>
      <c r="AA40" s="124" cm="1">
        <f t="array" ref="AA40">_xll.EQNXTDZ($A$1,$B40,AA$1,$B$1)</f>
        <v>0</v>
      </c>
      <c r="AB40" s="124" cm="1">
        <f t="array" ref="AB40">_xll.EQNXTDZ($A$1,$B40,AB$1,$B$1)</f>
        <v>0</v>
      </c>
      <c r="AC40" s="124" cm="1">
        <f t="array" ref="AC40">_xll.EQNXTDZ($A$1,$B40,AC$1,$B$1)</f>
        <v>0</v>
      </c>
      <c r="AD40" s="124" cm="1">
        <f t="array" ref="AD40">_xll.EQNXTDZ($A$1,$B40,AD$1,$B$1)</f>
        <v>0</v>
      </c>
      <c r="AE40" s="124" cm="1">
        <f t="array" ref="AE40">_xll.EQNXTDZ($A$1,$B40,AE$1,$B$1)</f>
        <v>0</v>
      </c>
      <c r="AF40" s="124" cm="1">
        <f t="array" ref="AF40">_xll.EQNXTDZ($A$1,$B40,AF$1,$B$1)</f>
        <v>0</v>
      </c>
    </row>
    <row r="41" spans="1:32" s="106" customFormat="1" x14ac:dyDescent="0.25">
      <c r="A41" s="106" t="s">
        <v>65</v>
      </c>
      <c r="B41" s="106" t="s">
        <v>391</v>
      </c>
      <c r="C41" s="124" cm="1">
        <f t="array" ref="C41">_xll.EQNXTDZ($A$1,$B41,C$1,$B$1)</f>
        <v>0</v>
      </c>
      <c r="D41" s="124" cm="1">
        <f t="array" ref="D41">_xll.EQNXTDZ($A$1,$B41,D$1,$B$1)</f>
        <v>0</v>
      </c>
      <c r="E41" s="124" cm="1">
        <f t="array" ref="E41">_xll.EQNXTDZ($A$1,$B41,E$1,$B$1)</f>
        <v>0</v>
      </c>
      <c r="F41" s="124" cm="1">
        <f t="array" ref="F41">_xll.EQNXTDZ($A$1,$B41,F$1,$B$1)</f>
        <v>0</v>
      </c>
      <c r="G41" s="124" cm="1">
        <f t="array" ref="G41">_xll.EQNXTDZ($A$1,$B41,G$1,$B$1)</f>
        <v>0</v>
      </c>
      <c r="H41" s="124" cm="1">
        <f t="array" ref="H41">_xll.EQNXTDZ($A$1,$B41,H$1,$B$1)</f>
        <v>0</v>
      </c>
      <c r="I41" s="124" cm="1">
        <f t="array" ref="I41">_xll.EQNXTDZ($A$1,$B41,I$1,$B$1)</f>
        <v>0</v>
      </c>
      <c r="J41" s="124" cm="1">
        <f t="array" ref="J41">_xll.EQNXTDZ($A$1,$B41,J$1,$B$1)</f>
        <v>0</v>
      </c>
      <c r="K41" s="124" cm="1">
        <f t="array" ref="K41">_xll.EQNXTDZ($A$1,$B41,K$1,$B$1)</f>
        <v>0</v>
      </c>
      <c r="L41" s="124" cm="1">
        <f t="array" ref="L41">_xll.EQNXTDZ($A$1,$B41,L$1,$B$1)</f>
        <v>0</v>
      </c>
      <c r="M41" s="124" cm="1">
        <f t="array" ref="M41">_xll.EQNXTDZ($A$1,$B41,M$1,$B$1)</f>
        <v>0</v>
      </c>
      <c r="N41" s="124" cm="1">
        <f t="array" ref="N41">_xll.EQNXTDZ($A$1,$B41,N$1,$B$1)</f>
        <v>0</v>
      </c>
      <c r="O41" s="124" cm="1">
        <f t="array" ref="O41">_xll.EQNXTDZ($A$1,$B41,O$1,$B$1)</f>
        <v>0</v>
      </c>
      <c r="P41" s="124" cm="1">
        <f t="array" ref="P41">_xll.EQNXTDZ($A$1,$B41,P$1,$B$1)</f>
        <v>0</v>
      </c>
      <c r="Q41" s="124" cm="1">
        <f t="array" ref="Q41">_xll.EQNXTDZ($A$1,$B41,Q$1,$B$1)</f>
        <v>0</v>
      </c>
      <c r="R41" s="124" cm="1">
        <f t="array" ref="R41">_xll.EQNXTDZ($A$1,$B41,R$1,$B$1)</f>
        <v>0</v>
      </c>
      <c r="S41" s="124" cm="1">
        <f t="array" ref="S41">_xll.EQNXTDZ($A$1,$B41,S$1,$B$1)</f>
        <v>0</v>
      </c>
      <c r="T41" s="124" cm="1">
        <f t="array" ref="T41">_xll.EQNXTDZ($A$1,$B41,T$1,$B$1)</f>
        <v>0</v>
      </c>
      <c r="U41" s="124" cm="1">
        <f t="array" ref="U41">_xll.EQNXTDZ($A$1,$B41,U$1,$B$1)</f>
        <v>0</v>
      </c>
      <c r="V41" s="124" cm="1">
        <f t="array" ref="V41">_xll.EQNXTDZ($A$1,$B41,V$1,$B$1)</f>
        <v>0</v>
      </c>
      <c r="W41" s="124" cm="1">
        <f t="array" ref="W41">_xll.EQNXTDZ($A$1,$B41,W$1,$B$1)</f>
        <v>0</v>
      </c>
      <c r="X41" s="124" cm="1">
        <f t="array" ref="X41">_xll.EQNXTDZ($A$1,$B41,X$1,$B$1)</f>
        <v>0</v>
      </c>
      <c r="Y41" s="124" cm="1">
        <f t="array" ref="Y41">_xll.EQNXTDZ($A$1,$B41,Y$1,$B$1)</f>
        <v>0</v>
      </c>
      <c r="Z41" s="124" cm="1">
        <f t="array" ref="Z41">_xll.EQNXTDZ($A$1,$B41,Z$1,$B$1)</f>
        <v>0</v>
      </c>
      <c r="AA41" s="124" cm="1">
        <f t="array" ref="AA41">_xll.EQNXTDZ($A$1,$B41,AA$1,$B$1)</f>
        <v>0</v>
      </c>
      <c r="AB41" s="124" cm="1">
        <f t="array" ref="AB41">_xll.EQNXTDZ($A$1,$B41,AB$1,$B$1)</f>
        <v>0</v>
      </c>
      <c r="AC41" s="124" cm="1">
        <f t="array" ref="AC41">_xll.EQNXTDZ($A$1,$B41,AC$1,$B$1)</f>
        <v>0</v>
      </c>
      <c r="AD41" s="124" cm="1">
        <f t="array" ref="AD41">_xll.EQNXTDZ($A$1,$B41,AD$1,$B$1)</f>
        <v>0</v>
      </c>
      <c r="AE41" s="124" cm="1">
        <f t="array" ref="AE41">_xll.EQNXTDZ($A$1,$B41,AE$1,$B$1)</f>
        <v>0</v>
      </c>
      <c r="AF41" s="124" cm="1">
        <f t="array" ref="AF41">_xll.EQNXTDZ($A$1,$B41,AF$1,$B$1)</f>
        <v>0</v>
      </c>
    </row>
    <row r="42" spans="1:32" s="106" customFormat="1" x14ac:dyDescent="0.25">
      <c r="A42" s="106" t="s">
        <v>5</v>
      </c>
      <c r="B42" s="106" t="s">
        <v>392</v>
      </c>
      <c r="C42" s="124" cm="1">
        <f t="array" ref="C42">_xll.EQNXTDZ($A$1,$B42,C$1,$B$1)</f>
        <v>0</v>
      </c>
      <c r="D42" s="124" cm="1">
        <f t="array" ref="D42">_xll.EQNXTDZ($A$1,$B42,D$1,$B$1)</f>
        <v>0</v>
      </c>
      <c r="E42" s="124" cm="1">
        <f t="array" ref="E42">_xll.EQNXTDZ($A$1,$B42,E$1,$B$1)</f>
        <v>0</v>
      </c>
      <c r="F42" s="124" cm="1">
        <f t="array" ref="F42">_xll.EQNXTDZ($A$1,$B42,F$1,$B$1)</f>
        <v>0</v>
      </c>
      <c r="G42" s="124" cm="1">
        <f t="array" ref="G42">_xll.EQNXTDZ($A$1,$B42,G$1,$B$1)</f>
        <v>0</v>
      </c>
      <c r="H42" s="124" cm="1">
        <f t="array" ref="H42">_xll.EQNXTDZ($A$1,$B42,H$1,$B$1)</f>
        <v>0</v>
      </c>
      <c r="I42" s="124" cm="1">
        <f t="array" ref="I42">_xll.EQNXTDZ($A$1,$B42,I$1,$B$1)</f>
        <v>0</v>
      </c>
      <c r="J42" s="124" cm="1">
        <f t="array" ref="J42">_xll.EQNXTDZ($A$1,$B42,J$1,$B$1)</f>
        <v>0</v>
      </c>
      <c r="K42" s="124" cm="1">
        <f t="array" ref="K42">_xll.EQNXTDZ($A$1,$B42,K$1,$B$1)</f>
        <v>0</v>
      </c>
      <c r="L42" s="124" cm="1">
        <f t="array" ref="L42">_xll.EQNXTDZ($A$1,$B42,L$1,$B$1)</f>
        <v>0</v>
      </c>
      <c r="M42" s="124" cm="1">
        <f t="array" ref="M42">_xll.EQNXTDZ($A$1,$B42,M$1,$B$1)</f>
        <v>0</v>
      </c>
      <c r="N42" s="124" cm="1">
        <f t="array" ref="N42">_xll.EQNXTDZ($A$1,$B42,N$1,$B$1)</f>
        <v>0</v>
      </c>
      <c r="O42" s="124" cm="1">
        <f t="array" ref="O42">_xll.EQNXTDZ($A$1,$B42,O$1,$B$1)</f>
        <v>0</v>
      </c>
      <c r="P42" s="124" cm="1">
        <f t="array" ref="P42">_xll.EQNXTDZ($A$1,$B42,P$1,$B$1)</f>
        <v>0</v>
      </c>
      <c r="Q42" s="124" cm="1">
        <f t="array" ref="Q42">_xll.EQNXTDZ($A$1,$B42,Q$1,$B$1)</f>
        <v>0</v>
      </c>
      <c r="R42" s="124" cm="1">
        <f t="array" ref="R42">_xll.EQNXTDZ($A$1,$B42,R$1,$B$1)</f>
        <v>0</v>
      </c>
      <c r="S42" s="124" cm="1">
        <f t="array" ref="S42">_xll.EQNXTDZ($A$1,$B42,S$1,$B$1)</f>
        <v>0</v>
      </c>
      <c r="T42" s="124" cm="1">
        <f t="array" ref="T42">_xll.EQNXTDZ($A$1,$B42,T$1,$B$1)</f>
        <v>0</v>
      </c>
      <c r="U42" s="124" cm="1">
        <f t="array" ref="U42">_xll.EQNXTDZ($A$1,$B42,U$1,$B$1)</f>
        <v>0</v>
      </c>
      <c r="V42" s="124" cm="1">
        <f t="array" ref="V42">_xll.EQNXTDZ($A$1,$B42,V$1,$B$1)</f>
        <v>0</v>
      </c>
      <c r="W42" s="124" cm="1">
        <f t="array" ref="W42">_xll.EQNXTDZ($A$1,$B42,W$1,$B$1)</f>
        <v>0</v>
      </c>
      <c r="X42" s="124" cm="1">
        <f t="array" ref="X42">_xll.EQNXTDZ($A$1,$B42,X$1,$B$1)</f>
        <v>0</v>
      </c>
      <c r="Y42" s="124" cm="1">
        <f t="array" ref="Y42">_xll.EQNXTDZ($A$1,$B42,Y$1,$B$1)</f>
        <v>0</v>
      </c>
      <c r="Z42" s="124" cm="1">
        <f t="array" ref="Z42">_xll.EQNXTDZ($A$1,$B42,Z$1,$B$1)</f>
        <v>0</v>
      </c>
      <c r="AA42" s="124" cm="1">
        <f t="array" ref="AA42">_xll.EQNXTDZ($A$1,$B42,AA$1,$B$1)</f>
        <v>0</v>
      </c>
      <c r="AB42" s="124" cm="1">
        <f t="array" ref="AB42">_xll.EQNXTDZ($A$1,$B42,AB$1,$B$1)</f>
        <v>0</v>
      </c>
      <c r="AC42" s="124" cm="1">
        <f t="array" ref="AC42">_xll.EQNXTDZ($A$1,$B42,AC$1,$B$1)</f>
        <v>0</v>
      </c>
      <c r="AD42" s="124" cm="1">
        <f t="array" ref="AD42">_xll.EQNXTDZ($A$1,$B42,AD$1,$B$1)</f>
        <v>0</v>
      </c>
      <c r="AE42" s="124" cm="1">
        <f t="array" ref="AE42">_xll.EQNXTDZ($A$1,$B42,AE$1,$B$1)</f>
        <v>0</v>
      </c>
      <c r="AF42" s="124" cm="1">
        <f t="array" ref="AF42">_xll.EQNXTDZ($A$1,$B42,AF$1,$B$1)</f>
        <v>0</v>
      </c>
    </row>
    <row r="43" spans="1:32" s="106" customFormat="1" x14ac:dyDescent="0.25">
      <c r="A43" s="106" t="s">
        <v>67</v>
      </c>
      <c r="B43" s="106" t="s">
        <v>393</v>
      </c>
      <c r="C43" s="124" cm="1">
        <f t="array" ref="C43">_xll.EQNXTDZ($A$1,$B43,C$1,$B$1)</f>
        <v>0</v>
      </c>
      <c r="D43" s="124" cm="1">
        <f t="array" ref="D43">_xll.EQNXTDZ($A$1,$B43,D$1,$B$1)</f>
        <v>0</v>
      </c>
      <c r="E43" s="124" cm="1">
        <f t="array" ref="E43">_xll.EQNXTDZ($A$1,$B43,E$1,$B$1)</f>
        <v>0</v>
      </c>
      <c r="F43" s="124" cm="1">
        <f t="array" ref="F43">_xll.EQNXTDZ($A$1,$B43,F$1,$B$1)</f>
        <v>0</v>
      </c>
      <c r="G43" s="124" cm="1">
        <f t="array" ref="G43">_xll.EQNXTDZ($A$1,$B43,G$1,$B$1)</f>
        <v>0</v>
      </c>
      <c r="H43" s="124" cm="1">
        <f t="array" ref="H43">_xll.EQNXTDZ($A$1,$B43,H$1,$B$1)</f>
        <v>0</v>
      </c>
      <c r="I43" s="124" cm="1">
        <f t="array" ref="I43">_xll.EQNXTDZ($A$1,$B43,I$1,$B$1)</f>
        <v>0</v>
      </c>
      <c r="J43" s="124" cm="1">
        <f t="array" ref="J43">_xll.EQNXTDZ($A$1,$B43,J$1,$B$1)</f>
        <v>0</v>
      </c>
      <c r="K43" s="124" cm="1">
        <f t="array" ref="K43">_xll.EQNXTDZ($A$1,$B43,K$1,$B$1)</f>
        <v>0</v>
      </c>
      <c r="L43" s="124" cm="1">
        <f t="array" ref="L43">_xll.EQNXTDZ($A$1,$B43,L$1,$B$1)</f>
        <v>0</v>
      </c>
      <c r="M43" s="124" cm="1">
        <f t="array" ref="M43">_xll.EQNXTDZ($A$1,$B43,M$1,$B$1)</f>
        <v>0</v>
      </c>
      <c r="N43" s="124" cm="1">
        <f t="array" ref="N43">_xll.EQNXTDZ($A$1,$B43,N$1,$B$1)</f>
        <v>0</v>
      </c>
      <c r="O43" s="124" cm="1">
        <f t="array" ref="O43">_xll.EQNXTDZ($A$1,$B43,O$1,$B$1)</f>
        <v>0</v>
      </c>
      <c r="P43" s="124" cm="1">
        <f t="array" ref="P43">_xll.EQNXTDZ($A$1,$B43,P$1,$B$1)</f>
        <v>0</v>
      </c>
      <c r="Q43" s="124" cm="1">
        <f t="array" ref="Q43">_xll.EQNXTDZ($A$1,$B43,Q$1,$B$1)</f>
        <v>0</v>
      </c>
      <c r="R43" s="124" cm="1">
        <f t="array" ref="R43">_xll.EQNXTDZ($A$1,$B43,R$1,$B$1)</f>
        <v>0</v>
      </c>
      <c r="S43" s="124" cm="1">
        <f t="array" ref="S43">_xll.EQNXTDZ($A$1,$B43,S$1,$B$1)</f>
        <v>0</v>
      </c>
      <c r="T43" s="124" cm="1">
        <f t="array" ref="T43">_xll.EQNXTDZ($A$1,$B43,T$1,$B$1)</f>
        <v>0</v>
      </c>
      <c r="U43" s="124" cm="1">
        <f t="array" ref="U43">_xll.EQNXTDZ($A$1,$B43,U$1,$B$1)</f>
        <v>0</v>
      </c>
      <c r="V43" s="124" cm="1">
        <f t="array" ref="V43">_xll.EQNXTDZ($A$1,$B43,V$1,$B$1)</f>
        <v>0</v>
      </c>
      <c r="W43" s="124" cm="1">
        <f t="array" ref="W43">_xll.EQNXTDZ($A$1,$B43,W$1,$B$1)</f>
        <v>0</v>
      </c>
      <c r="X43" s="124" cm="1">
        <f t="array" ref="X43">_xll.EQNXTDZ($A$1,$B43,X$1,$B$1)</f>
        <v>0</v>
      </c>
      <c r="Y43" s="124" cm="1">
        <f t="array" ref="Y43">_xll.EQNXTDZ($A$1,$B43,Y$1,$B$1)</f>
        <v>0</v>
      </c>
      <c r="Z43" s="124" cm="1">
        <f t="array" ref="Z43">_xll.EQNXTDZ($A$1,$B43,Z$1,$B$1)</f>
        <v>0</v>
      </c>
      <c r="AA43" s="124" cm="1">
        <f t="array" ref="AA43">_xll.EQNXTDZ($A$1,$B43,AA$1,$B$1)</f>
        <v>0</v>
      </c>
      <c r="AB43" s="124" cm="1">
        <f t="array" ref="AB43">_xll.EQNXTDZ($A$1,$B43,AB$1,$B$1)</f>
        <v>0</v>
      </c>
      <c r="AC43" s="124" cm="1">
        <f t="array" ref="AC43">_xll.EQNXTDZ($A$1,$B43,AC$1,$B$1)</f>
        <v>0</v>
      </c>
      <c r="AD43" s="124" cm="1">
        <f t="array" ref="AD43">_xll.EQNXTDZ($A$1,$B43,AD$1,$B$1)</f>
        <v>0</v>
      </c>
      <c r="AE43" s="124" cm="1">
        <f t="array" ref="AE43">_xll.EQNXTDZ($A$1,$B43,AE$1,$B$1)</f>
        <v>0</v>
      </c>
      <c r="AF43" s="124" cm="1">
        <f t="array" ref="AF43">_xll.EQNXTDZ($A$1,$B43,AF$1,$B$1)</f>
        <v>0</v>
      </c>
    </row>
    <row r="44" spans="1:32" s="106" customFormat="1" x14ac:dyDescent="0.25">
      <c r="A44" s="106" t="s">
        <v>68</v>
      </c>
      <c r="B44" s="106" t="s">
        <v>394</v>
      </c>
      <c r="C44" s="124" cm="1">
        <f t="array" ref="C44">_xll.EQNXTDZ($A$1,$B44,C$1,$B$1)</f>
        <v>0</v>
      </c>
      <c r="D44" s="124" cm="1">
        <f t="array" ref="D44">_xll.EQNXTDZ($A$1,$B44,D$1,$B$1)</f>
        <v>0</v>
      </c>
      <c r="E44" s="124" cm="1">
        <f t="array" ref="E44">_xll.EQNXTDZ($A$1,$B44,E$1,$B$1)</f>
        <v>0</v>
      </c>
      <c r="F44" s="124" cm="1">
        <f t="array" ref="F44">_xll.EQNXTDZ($A$1,$B44,F$1,$B$1)</f>
        <v>0</v>
      </c>
      <c r="G44" s="124" cm="1">
        <f t="array" ref="G44">_xll.EQNXTDZ($A$1,$B44,G$1,$B$1)</f>
        <v>0</v>
      </c>
      <c r="H44" s="124" cm="1">
        <f t="array" ref="H44">_xll.EQNXTDZ($A$1,$B44,H$1,$B$1)</f>
        <v>0</v>
      </c>
      <c r="I44" s="124" cm="1">
        <f t="array" ref="I44">_xll.EQNXTDZ($A$1,$B44,I$1,$B$1)</f>
        <v>0</v>
      </c>
      <c r="J44" s="124" cm="1">
        <f t="array" ref="J44">_xll.EQNXTDZ($A$1,$B44,J$1,$B$1)</f>
        <v>0</v>
      </c>
      <c r="K44" s="124" cm="1">
        <f t="array" ref="K44">_xll.EQNXTDZ($A$1,$B44,K$1,$B$1)</f>
        <v>0</v>
      </c>
      <c r="L44" s="124" cm="1">
        <f t="array" ref="L44">_xll.EQNXTDZ($A$1,$B44,L$1,$B$1)</f>
        <v>0</v>
      </c>
      <c r="M44" s="124" cm="1">
        <f t="array" ref="M44">_xll.EQNXTDZ($A$1,$B44,M$1,$B$1)</f>
        <v>0</v>
      </c>
      <c r="N44" s="124" cm="1">
        <f t="array" ref="N44">_xll.EQNXTDZ($A$1,$B44,N$1,$B$1)</f>
        <v>0</v>
      </c>
      <c r="O44" s="124" cm="1">
        <f t="array" ref="O44">_xll.EQNXTDZ($A$1,$B44,O$1,$B$1)</f>
        <v>0</v>
      </c>
      <c r="P44" s="124" cm="1">
        <f t="array" ref="P44">_xll.EQNXTDZ($A$1,$B44,P$1,$B$1)</f>
        <v>0</v>
      </c>
      <c r="Q44" s="124" cm="1">
        <f t="array" ref="Q44">_xll.EQNXTDZ($A$1,$B44,Q$1,$B$1)</f>
        <v>0</v>
      </c>
      <c r="R44" s="124" cm="1">
        <f t="array" ref="R44">_xll.EQNXTDZ($A$1,$B44,R$1,$B$1)</f>
        <v>0</v>
      </c>
      <c r="S44" s="124" cm="1">
        <f t="array" ref="S44">_xll.EQNXTDZ($A$1,$B44,S$1,$B$1)</f>
        <v>0</v>
      </c>
      <c r="T44" s="124" cm="1">
        <f t="array" ref="T44">_xll.EQNXTDZ($A$1,$B44,T$1,$B$1)</f>
        <v>0</v>
      </c>
      <c r="U44" s="124" cm="1">
        <f t="array" ref="U44">_xll.EQNXTDZ($A$1,$B44,U$1,$B$1)</f>
        <v>0</v>
      </c>
      <c r="V44" s="124" cm="1">
        <f t="array" ref="V44">_xll.EQNXTDZ($A$1,$B44,V$1,$B$1)</f>
        <v>0</v>
      </c>
      <c r="W44" s="124" cm="1">
        <f t="array" ref="W44">_xll.EQNXTDZ($A$1,$B44,W$1,$B$1)</f>
        <v>0</v>
      </c>
      <c r="X44" s="124" cm="1">
        <f t="array" ref="X44">_xll.EQNXTDZ($A$1,$B44,X$1,$B$1)</f>
        <v>0</v>
      </c>
      <c r="Y44" s="124" cm="1">
        <f t="array" ref="Y44">_xll.EQNXTDZ($A$1,$B44,Y$1,$B$1)</f>
        <v>0</v>
      </c>
      <c r="Z44" s="124" cm="1">
        <f t="array" ref="Z44">_xll.EQNXTDZ($A$1,$B44,Z$1,$B$1)</f>
        <v>0</v>
      </c>
      <c r="AA44" s="124" cm="1">
        <f t="array" ref="AA44">_xll.EQNXTDZ($A$1,$B44,AA$1,$B$1)</f>
        <v>0</v>
      </c>
      <c r="AB44" s="124" cm="1">
        <f t="array" ref="AB44">_xll.EQNXTDZ($A$1,$B44,AB$1,$B$1)</f>
        <v>0</v>
      </c>
      <c r="AC44" s="124" cm="1">
        <f t="array" ref="AC44">_xll.EQNXTDZ($A$1,$B44,AC$1,$B$1)</f>
        <v>0</v>
      </c>
      <c r="AD44" s="124" cm="1">
        <f t="array" ref="AD44">_xll.EQNXTDZ($A$1,$B44,AD$1,$B$1)</f>
        <v>0</v>
      </c>
      <c r="AE44" s="124" cm="1">
        <f t="array" ref="AE44">_xll.EQNXTDZ($A$1,$B44,AE$1,$B$1)</f>
        <v>0</v>
      </c>
      <c r="AF44" s="124" cm="1">
        <f t="array" ref="AF44">_xll.EQNXTDZ($A$1,$B44,AF$1,$B$1)</f>
        <v>0</v>
      </c>
    </row>
    <row r="45" spans="1:32" s="106" customFormat="1" x14ac:dyDescent="0.25">
      <c r="A45" s="106" t="s">
        <v>6</v>
      </c>
      <c r="B45" s="106" t="s">
        <v>474</v>
      </c>
      <c r="C45" s="124" cm="1">
        <f t="array" ref="C45">_xll.EQNXTDZ($A$1,$B45,C$1,$B$1)</f>
        <v>0</v>
      </c>
      <c r="D45" s="124" cm="1">
        <f t="array" ref="D45">_xll.EQNXTDZ($A$1,$B45,D$1,$B$1)</f>
        <v>0</v>
      </c>
      <c r="E45" s="124" cm="1">
        <f t="array" ref="E45">_xll.EQNXTDZ($A$1,$B45,E$1,$B$1)</f>
        <v>0</v>
      </c>
      <c r="F45" s="124" cm="1">
        <f t="array" ref="F45">_xll.EQNXTDZ($A$1,$B45,F$1,$B$1)</f>
        <v>0</v>
      </c>
      <c r="G45" s="124" cm="1">
        <f t="array" ref="G45">_xll.EQNXTDZ($A$1,$B45,G$1,$B$1)</f>
        <v>0</v>
      </c>
      <c r="H45" s="124" cm="1">
        <f t="array" ref="H45">_xll.EQNXTDZ($A$1,$B45,H$1,$B$1)</f>
        <v>0</v>
      </c>
      <c r="I45" s="124" cm="1">
        <f t="array" ref="I45">_xll.EQNXTDZ($A$1,$B45,I$1,$B$1)</f>
        <v>0</v>
      </c>
      <c r="J45" s="124" cm="1">
        <f t="array" ref="J45">_xll.EQNXTDZ($A$1,$B45,J$1,$B$1)</f>
        <v>0</v>
      </c>
      <c r="K45" s="124" cm="1">
        <f t="array" ref="K45">_xll.EQNXTDZ($A$1,$B45,K$1,$B$1)</f>
        <v>0</v>
      </c>
      <c r="L45" s="124" cm="1">
        <f t="array" ref="L45">_xll.EQNXTDZ($A$1,$B45,L$1,$B$1)</f>
        <v>0</v>
      </c>
      <c r="M45" s="124" cm="1">
        <f t="array" ref="M45">_xll.EQNXTDZ($A$1,$B45,M$1,$B$1)</f>
        <v>0</v>
      </c>
      <c r="N45" s="124" cm="1">
        <f t="array" ref="N45">_xll.EQNXTDZ($A$1,$B45,N$1,$B$1)</f>
        <v>0</v>
      </c>
      <c r="O45" s="124" cm="1">
        <f t="array" ref="O45">_xll.EQNXTDZ($A$1,$B45,O$1,$B$1)</f>
        <v>0</v>
      </c>
      <c r="P45" s="124" cm="1">
        <f t="array" ref="P45">_xll.EQNXTDZ($A$1,$B45,P$1,$B$1)</f>
        <v>0</v>
      </c>
      <c r="Q45" s="124" cm="1">
        <f t="array" ref="Q45">_xll.EQNXTDZ($A$1,$B45,Q$1,$B$1)</f>
        <v>0</v>
      </c>
      <c r="R45" s="124" cm="1">
        <f t="array" ref="R45">_xll.EQNXTDZ($A$1,$B45,R$1,$B$1)</f>
        <v>0</v>
      </c>
      <c r="S45" s="124" cm="1">
        <f t="array" ref="S45">_xll.EQNXTDZ($A$1,$B45,S$1,$B$1)</f>
        <v>0</v>
      </c>
      <c r="T45" s="124" cm="1">
        <f t="array" ref="T45">_xll.EQNXTDZ($A$1,$B45,T$1,$B$1)</f>
        <v>0</v>
      </c>
      <c r="U45" s="124" cm="1">
        <f t="array" ref="U45">_xll.EQNXTDZ($A$1,$B45,U$1,$B$1)</f>
        <v>0</v>
      </c>
      <c r="V45" s="124" cm="1">
        <f t="array" ref="V45">_xll.EQNXTDZ($A$1,$B45,V$1,$B$1)</f>
        <v>0</v>
      </c>
      <c r="W45" s="124" cm="1">
        <f t="array" ref="W45">_xll.EQNXTDZ($A$1,$B45,W$1,$B$1)</f>
        <v>0</v>
      </c>
      <c r="X45" s="124" cm="1">
        <f t="array" ref="X45">_xll.EQNXTDZ($A$1,$B45,X$1,$B$1)</f>
        <v>0</v>
      </c>
      <c r="Y45" s="124" cm="1">
        <f t="array" ref="Y45">_xll.EQNXTDZ($A$1,$B45,Y$1,$B$1)</f>
        <v>0</v>
      </c>
      <c r="Z45" s="124" cm="1">
        <f t="array" ref="Z45">_xll.EQNXTDZ($A$1,$B45,Z$1,$B$1)</f>
        <v>0</v>
      </c>
      <c r="AA45" s="124" cm="1">
        <f t="array" ref="AA45">_xll.EQNXTDZ($A$1,$B45,AA$1,$B$1)</f>
        <v>0</v>
      </c>
      <c r="AB45" s="124" cm="1">
        <f t="array" ref="AB45">_xll.EQNXTDZ($A$1,$B45,AB$1,$B$1)</f>
        <v>0</v>
      </c>
      <c r="AC45" s="124" cm="1">
        <f t="array" ref="AC45">_xll.EQNXTDZ($A$1,$B45,AC$1,$B$1)</f>
        <v>0</v>
      </c>
      <c r="AD45" s="124" cm="1">
        <f t="array" ref="AD45">_xll.EQNXTDZ($A$1,$B45,AD$1,$B$1)</f>
        <v>0</v>
      </c>
      <c r="AE45" s="124" cm="1">
        <f t="array" ref="AE45">_xll.EQNXTDZ($A$1,$B45,AE$1,$B$1)</f>
        <v>0</v>
      </c>
      <c r="AF45" s="124" cm="1">
        <f t="array" ref="AF45">_xll.EQNXTDZ($A$1,$B45,AF$1,$B$1)</f>
        <v>0</v>
      </c>
    </row>
    <row r="46" spans="1:32" s="106" customFormat="1" x14ac:dyDescent="0.25">
      <c r="A46" s="106" t="s">
        <v>69</v>
      </c>
      <c r="B46" s="106" t="s">
        <v>395</v>
      </c>
      <c r="C46" s="124" cm="1">
        <f t="array" ref="C46">_xll.EQNXTDZ($A$1,$B46,C$1,$B$1)</f>
        <v>0</v>
      </c>
      <c r="D46" s="124" cm="1">
        <f t="array" ref="D46">_xll.EQNXTDZ($A$1,$B46,D$1,$B$1)</f>
        <v>0</v>
      </c>
      <c r="E46" s="124" cm="1">
        <f t="array" ref="E46">_xll.EQNXTDZ($A$1,$B46,E$1,$B$1)</f>
        <v>0</v>
      </c>
      <c r="F46" s="124" cm="1">
        <f t="array" ref="F46">_xll.EQNXTDZ($A$1,$B46,F$1,$B$1)</f>
        <v>0</v>
      </c>
      <c r="G46" s="124" cm="1">
        <f t="array" ref="G46">_xll.EQNXTDZ($A$1,$B46,G$1,$B$1)</f>
        <v>0</v>
      </c>
      <c r="H46" s="124" cm="1">
        <f t="array" ref="H46">_xll.EQNXTDZ($A$1,$B46,H$1,$B$1)</f>
        <v>0</v>
      </c>
      <c r="I46" s="124" cm="1">
        <f t="array" ref="I46">_xll.EQNXTDZ($A$1,$B46,I$1,$B$1)</f>
        <v>0</v>
      </c>
      <c r="J46" s="124" cm="1">
        <f t="array" ref="J46">_xll.EQNXTDZ($A$1,$B46,J$1,$B$1)</f>
        <v>0</v>
      </c>
      <c r="K46" s="124" cm="1">
        <f t="array" ref="K46">_xll.EQNXTDZ($A$1,$B46,K$1,$B$1)</f>
        <v>0</v>
      </c>
      <c r="L46" s="124" cm="1">
        <f t="array" ref="L46">_xll.EQNXTDZ($A$1,$B46,L$1,$B$1)</f>
        <v>0</v>
      </c>
      <c r="M46" s="124" cm="1">
        <f t="array" ref="M46">_xll.EQNXTDZ($A$1,$B46,M$1,$B$1)</f>
        <v>0</v>
      </c>
      <c r="N46" s="124" cm="1">
        <f t="array" ref="N46">_xll.EQNXTDZ($A$1,$B46,N$1,$B$1)</f>
        <v>0</v>
      </c>
      <c r="O46" s="124" cm="1">
        <f t="array" ref="O46">_xll.EQNXTDZ($A$1,$B46,O$1,$B$1)</f>
        <v>0</v>
      </c>
      <c r="P46" s="124" cm="1">
        <f t="array" ref="P46">_xll.EQNXTDZ($A$1,$B46,P$1,$B$1)</f>
        <v>0</v>
      </c>
      <c r="Q46" s="124" cm="1">
        <f t="array" ref="Q46">_xll.EQNXTDZ($A$1,$B46,Q$1,$B$1)</f>
        <v>0</v>
      </c>
      <c r="R46" s="124" cm="1">
        <f t="array" ref="R46">_xll.EQNXTDZ($A$1,$B46,R$1,$B$1)</f>
        <v>0</v>
      </c>
      <c r="S46" s="124" cm="1">
        <f t="array" ref="S46">_xll.EQNXTDZ($A$1,$B46,S$1,$B$1)</f>
        <v>0</v>
      </c>
      <c r="T46" s="124" cm="1">
        <f t="array" ref="T46">_xll.EQNXTDZ($A$1,$B46,T$1,$B$1)</f>
        <v>0</v>
      </c>
      <c r="U46" s="124" cm="1">
        <f t="array" ref="U46">_xll.EQNXTDZ($A$1,$B46,U$1,$B$1)</f>
        <v>0</v>
      </c>
      <c r="V46" s="124" cm="1">
        <f t="array" ref="V46">_xll.EQNXTDZ($A$1,$B46,V$1,$B$1)</f>
        <v>0</v>
      </c>
      <c r="W46" s="124" cm="1">
        <f t="array" ref="W46">_xll.EQNXTDZ($A$1,$B46,W$1,$B$1)</f>
        <v>0</v>
      </c>
      <c r="X46" s="124" cm="1">
        <f t="array" ref="X46">_xll.EQNXTDZ($A$1,$B46,X$1,$B$1)</f>
        <v>0</v>
      </c>
      <c r="Y46" s="124" cm="1">
        <f t="array" ref="Y46">_xll.EQNXTDZ($A$1,$B46,Y$1,$B$1)</f>
        <v>0</v>
      </c>
      <c r="Z46" s="124" cm="1">
        <f t="array" ref="Z46">_xll.EQNXTDZ($A$1,$B46,Z$1,$B$1)</f>
        <v>0</v>
      </c>
      <c r="AA46" s="124" cm="1">
        <f t="array" ref="AA46">_xll.EQNXTDZ($A$1,$B46,AA$1,$B$1)</f>
        <v>0</v>
      </c>
      <c r="AB46" s="124" cm="1">
        <f t="array" ref="AB46">_xll.EQNXTDZ($A$1,$B46,AB$1,$B$1)</f>
        <v>0</v>
      </c>
      <c r="AC46" s="124" cm="1">
        <f t="array" ref="AC46">_xll.EQNXTDZ($A$1,$B46,AC$1,$B$1)</f>
        <v>0</v>
      </c>
      <c r="AD46" s="124" cm="1">
        <f t="array" ref="AD46">_xll.EQNXTDZ($A$1,$B46,AD$1,$B$1)</f>
        <v>0</v>
      </c>
      <c r="AE46" s="124" cm="1">
        <f t="array" ref="AE46">_xll.EQNXTDZ($A$1,$B46,AE$1,$B$1)</f>
        <v>0</v>
      </c>
      <c r="AF46" s="124" cm="1">
        <f t="array" ref="AF46">_xll.EQNXTDZ($A$1,$B46,AF$1,$B$1)</f>
        <v>0</v>
      </c>
    </row>
    <row r="47" spans="1:32" s="106" customFormat="1" x14ac:dyDescent="0.25">
      <c r="A47" s="106" t="s">
        <v>258</v>
      </c>
      <c r="B47" s="106" t="s">
        <v>396</v>
      </c>
      <c r="C47" s="124" cm="1">
        <f t="array" ref="C47">_xll.EQNXTDZ($A$1,$B47,C$1,$B$1)</f>
        <v>0</v>
      </c>
      <c r="D47" s="124" cm="1">
        <f t="array" ref="D47">_xll.EQNXTDZ($A$1,$B47,D$1,$B$1)</f>
        <v>0</v>
      </c>
      <c r="E47" s="124" cm="1">
        <f t="array" ref="E47">_xll.EQNXTDZ($A$1,$B47,E$1,$B$1)</f>
        <v>0</v>
      </c>
      <c r="F47" s="124" cm="1">
        <f t="array" ref="F47">_xll.EQNXTDZ($A$1,$B47,F$1,$B$1)</f>
        <v>0</v>
      </c>
      <c r="G47" s="124" cm="1">
        <f t="array" ref="G47">_xll.EQNXTDZ($A$1,$B47,G$1,$B$1)</f>
        <v>0</v>
      </c>
      <c r="H47" s="124" cm="1">
        <f t="array" ref="H47">_xll.EQNXTDZ($A$1,$B47,H$1,$B$1)</f>
        <v>0</v>
      </c>
      <c r="I47" s="124" cm="1">
        <f t="array" ref="I47">_xll.EQNXTDZ($A$1,$B47,I$1,$B$1)</f>
        <v>0</v>
      </c>
      <c r="J47" s="124" cm="1">
        <f t="array" ref="J47">_xll.EQNXTDZ($A$1,$B47,J$1,$B$1)</f>
        <v>0</v>
      </c>
      <c r="K47" s="124" cm="1">
        <f t="array" ref="K47">_xll.EQNXTDZ($A$1,$B47,K$1,$B$1)</f>
        <v>0</v>
      </c>
      <c r="L47" s="124" cm="1">
        <f t="array" ref="L47">_xll.EQNXTDZ($A$1,$B47,L$1,$B$1)</f>
        <v>0</v>
      </c>
      <c r="M47" s="124" cm="1">
        <f t="array" ref="M47">_xll.EQNXTDZ($A$1,$B47,M$1,$B$1)</f>
        <v>0</v>
      </c>
      <c r="N47" s="124" cm="1">
        <f t="array" ref="N47">_xll.EQNXTDZ($A$1,$B47,N$1,$B$1)</f>
        <v>0</v>
      </c>
      <c r="O47" s="124" cm="1">
        <f t="array" ref="O47">_xll.EQNXTDZ($A$1,$B47,O$1,$B$1)</f>
        <v>0</v>
      </c>
      <c r="P47" s="124" cm="1">
        <f t="array" ref="P47">_xll.EQNXTDZ($A$1,$B47,P$1,$B$1)</f>
        <v>0</v>
      </c>
      <c r="Q47" s="124" cm="1">
        <f t="array" ref="Q47">_xll.EQNXTDZ($A$1,$B47,Q$1,$B$1)</f>
        <v>0</v>
      </c>
      <c r="R47" s="124" cm="1">
        <f t="array" ref="R47">_xll.EQNXTDZ($A$1,$B47,R$1,$B$1)</f>
        <v>0</v>
      </c>
      <c r="S47" s="124" cm="1">
        <f t="array" ref="S47">_xll.EQNXTDZ($A$1,$B47,S$1,$B$1)</f>
        <v>0</v>
      </c>
      <c r="T47" s="124" cm="1">
        <f t="array" ref="T47">_xll.EQNXTDZ($A$1,$B47,T$1,$B$1)</f>
        <v>0</v>
      </c>
      <c r="U47" s="124" cm="1">
        <f t="array" ref="U47">_xll.EQNXTDZ($A$1,$B47,U$1,$B$1)</f>
        <v>0</v>
      </c>
      <c r="V47" s="124" cm="1">
        <f t="array" ref="V47">_xll.EQNXTDZ($A$1,$B47,V$1,$B$1)</f>
        <v>0</v>
      </c>
      <c r="W47" s="124" cm="1">
        <f t="array" ref="W47">_xll.EQNXTDZ($A$1,$B47,W$1,$B$1)</f>
        <v>0</v>
      </c>
      <c r="X47" s="124" cm="1">
        <f t="array" ref="X47">_xll.EQNXTDZ($A$1,$B47,X$1,$B$1)</f>
        <v>0</v>
      </c>
      <c r="Y47" s="124" cm="1">
        <f t="array" ref="Y47">_xll.EQNXTDZ($A$1,$B47,Y$1,$B$1)</f>
        <v>0</v>
      </c>
      <c r="Z47" s="124" cm="1">
        <f t="array" ref="Z47">_xll.EQNXTDZ($A$1,$B47,Z$1,$B$1)</f>
        <v>0</v>
      </c>
      <c r="AA47" s="124" cm="1">
        <f t="array" ref="AA47">_xll.EQNXTDZ($A$1,$B47,AA$1,$B$1)</f>
        <v>0</v>
      </c>
      <c r="AB47" s="124" cm="1">
        <f t="array" ref="AB47">_xll.EQNXTDZ($A$1,$B47,AB$1,$B$1)</f>
        <v>0</v>
      </c>
      <c r="AC47" s="124" cm="1">
        <f t="array" ref="AC47">_xll.EQNXTDZ($A$1,$B47,AC$1,$B$1)</f>
        <v>0</v>
      </c>
      <c r="AD47" s="124" cm="1">
        <f t="array" ref="AD47">_xll.EQNXTDZ($A$1,$B47,AD$1,$B$1)</f>
        <v>0</v>
      </c>
      <c r="AE47" s="124" cm="1">
        <f t="array" ref="AE47">_xll.EQNXTDZ($A$1,$B47,AE$1,$B$1)</f>
        <v>0</v>
      </c>
      <c r="AF47" s="124" cm="1">
        <f t="array" ref="AF47">_xll.EQNXTDZ($A$1,$B47,AF$1,$B$1)</f>
        <v>0</v>
      </c>
    </row>
    <row r="48" spans="1:32" s="106" customFormat="1" x14ac:dyDescent="0.25">
      <c r="A48" s="106" t="s">
        <v>53</v>
      </c>
      <c r="B48" s="106" t="s">
        <v>54</v>
      </c>
      <c r="C48" s="124" cm="1">
        <f t="array" ref="C48">_xll.EQNXTDZ($A$1,$B48,C$1,$B$1)</f>
        <v>0</v>
      </c>
      <c r="D48" s="124" cm="1">
        <f t="array" ref="D48">_xll.EQNXTDZ($A$1,$B48,D$1,$B$1)</f>
        <v>0</v>
      </c>
      <c r="E48" s="124" cm="1">
        <f t="array" ref="E48">_xll.EQNXTDZ($A$1,$B48,E$1,$B$1)</f>
        <v>0</v>
      </c>
      <c r="F48" s="124" cm="1">
        <f t="array" ref="F48">_xll.EQNXTDZ($A$1,$B48,F$1,$B$1)</f>
        <v>0</v>
      </c>
      <c r="G48" s="124" cm="1">
        <f t="array" ref="G48">_xll.EQNXTDZ($A$1,$B48,G$1,$B$1)</f>
        <v>0</v>
      </c>
      <c r="H48" s="124" cm="1">
        <f t="array" ref="H48">_xll.EQNXTDZ($A$1,$B48,H$1,$B$1)</f>
        <v>0</v>
      </c>
      <c r="I48" s="124" cm="1">
        <f t="array" ref="I48">_xll.EQNXTDZ($A$1,$B48,I$1,$B$1)</f>
        <v>0</v>
      </c>
      <c r="J48" s="124" cm="1">
        <f t="array" ref="J48">_xll.EQNXTDZ($A$1,$B48,J$1,$B$1)</f>
        <v>0</v>
      </c>
      <c r="K48" s="124" cm="1">
        <f t="array" ref="K48">_xll.EQNXTDZ($A$1,$B48,K$1,$B$1)</f>
        <v>0</v>
      </c>
      <c r="L48" s="124" cm="1">
        <f t="array" ref="L48">_xll.EQNXTDZ($A$1,$B48,L$1,$B$1)</f>
        <v>0</v>
      </c>
      <c r="M48" s="124" cm="1">
        <f t="array" ref="M48">_xll.EQNXTDZ($A$1,$B48,M$1,$B$1)</f>
        <v>0</v>
      </c>
      <c r="N48" s="124" cm="1">
        <f t="array" ref="N48">_xll.EQNXTDZ($A$1,$B48,N$1,$B$1)</f>
        <v>0</v>
      </c>
      <c r="O48" s="124" cm="1">
        <f t="array" ref="O48">_xll.EQNXTDZ($A$1,$B48,O$1,$B$1)</f>
        <v>0</v>
      </c>
      <c r="P48" s="124" cm="1">
        <f t="array" ref="P48">_xll.EQNXTDZ($A$1,$B48,P$1,$B$1)</f>
        <v>0</v>
      </c>
      <c r="Q48" s="124" cm="1">
        <f t="array" ref="Q48">_xll.EQNXTDZ($A$1,$B48,Q$1,$B$1)</f>
        <v>0</v>
      </c>
      <c r="R48" s="124" cm="1">
        <f t="array" ref="R48">_xll.EQNXTDZ($A$1,$B48,R$1,$B$1)</f>
        <v>0</v>
      </c>
      <c r="S48" s="124" cm="1">
        <f t="array" ref="S48">_xll.EQNXTDZ($A$1,$B48,S$1,$B$1)</f>
        <v>0</v>
      </c>
      <c r="T48" s="124" cm="1">
        <f t="array" ref="T48">_xll.EQNXTDZ($A$1,$B48,T$1,$B$1)</f>
        <v>0</v>
      </c>
      <c r="U48" s="124" cm="1">
        <f t="array" ref="U48">_xll.EQNXTDZ($A$1,$B48,U$1,$B$1)</f>
        <v>0</v>
      </c>
      <c r="V48" s="124" cm="1">
        <f t="array" ref="V48">_xll.EQNXTDZ($A$1,$B48,V$1,$B$1)</f>
        <v>0</v>
      </c>
      <c r="W48" s="124" cm="1">
        <f t="array" ref="W48">_xll.EQNXTDZ($A$1,$B48,W$1,$B$1)</f>
        <v>0</v>
      </c>
      <c r="X48" s="124" cm="1">
        <f t="array" ref="X48">_xll.EQNXTDZ($A$1,$B48,X$1,$B$1)</f>
        <v>0</v>
      </c>
      <c r="Y48" s="124" cm="1">
        <f t="array" ref="Y48">_xll.EQNXTDZ($A$1,$B48,Y$1,$B$1)</f>
        <v>0</v>
      </c>
      <c r="Z48" s="124" cm="1">
        <f t="array" ref="Z48">_xll.EQNXTDZ($A$1,$B48,Z$1,$B$1)</f>
        <v>0</v>
      </c>
      <c r="AA48" s="124" cm="1">
        <f t="array" ref="AA48">_xll.EQNXTDZ($A$1,$B48,AA$1,$B$1)</f>
        <v>0</v>
      </c>
      <c r="AB48" s="124" cm="1">
        <f t="array" ref="AB48">_xll.EQNXTDZ($A$1,$B48,AB$1,$B$1)</f>
        <v>0</v>
      </c>
      <c r="AC48" s="124" cm="1">
        <f t="array" ref="AC48">_xll.EQNXTDZ($A$1,$B48,AC$1,$B$1)</f>
        <v>0</v>
      </c>
      <c r="AD48" s="124" cm="1">
        <f t="array" ref="AD48">_xll.EQNXTDZ($A$1,$B48,AD$1,$B$1)</f>
        <v>0</v>
      </c>
      <c r="AE48" s="124" cm="1">
        <f t="array" ref="AE48">_xll.EQNXTDZ($A$1,$B48,AE$1,$B$1)</f>
        <v>0</v>
      </c>
      <c r="AF48" s="124" cm="1">
        <f t="array" ref="AF48">_xll.EQNXTDZ($A$1,$B48,AF$1,$B$1)</f>
        <v>0</v>
      </c>
    </row>
    <row r="49" spans="1:32" s="106" customFormat="1" x14ac:dyDescent="0.25">
      <c r="A49" s="106" t="s">
        <v>6</v>
      </c>
      <c r="B49" s="106" t="s">
        <v>482</v>
      </c>
      <c r="C49" s="124" cm="1">
        <f t="array" ref="C49">_xll.EQNXTDZ($A$1,$B49,C$1,$B$1)</f>
        <v>0</v>
      </c>
      <c r="D49" s="124" cm="1">
        <f t="array" ref="D49">_xll.EQNXTDZ($A$1,$B49,D$1,$B$1)</f>
        <v>0</v>
      </c>
      <c r="E49" s="124" cm="1">
        <f t="array" ref="E49">_xll.EQNXTDZ($A$1,$B49,E$1,$B$1)</f>
        <v>0</v>
      </c>
      <c r="F49" s="124" cm="1">
        <f t="array" ref="F49">_xll.EQNXTDZ($A$1,$B49,F$1,$B$1)</f>
        <v>0</v>
      </c>
      <c r="G49" s="124" cm="1">
        <f t="array" ref="G49">_xll.EQNXTDZ($A$1,$B49,G$1,$B$1)</f>
        <v>0</v>
      </c>
      <c r="H49" s="124" cm="1">
        <f t="array" ref="H49">_xll.EQNXTDZ($A$1,$B49,H$1,$B$1)</f>
        <v>0</v>
      </c>
      <c r="I49" s="124" cm="1">
        <f t="array" ref="I49">_xll.EQNXTDZ($A$1,$B49,I$1,$B$1)</f>
        <v>0</v>
      </c>
      <c r="J49" s="124" cm="1">
        <f t="array" ref="J49">_xll.EQNXTDZ($A$1,$B49,J$1,$B$1)</f>
        <v>0</v>
      </c>
      <c r="K49" s="124" cm="1">
        <f t="array" ref="K49">_xll.EQNXTDZ($A$1,$B49,K$1,$B$1)</f>
        <v>0</v>
      </c>
      <c r="L49" s="124" cm="1">
        <f t="array" ref="L49">_xll.EQNXTDZ($A$1,$B49,L$1,$B$1)</f>
        <v>0</v>
      </c>
      <c r="M49" s="124" cm="1">
        <f t="array" ref="M49">_xll.EQNXTDZ($A$1,$B49,M$1,$B$1)</f>
        <v>0</v>
      </c>
      <c r="N49" s="124" cm="1">
        <f t="array" ref="N49">_xll.EQNXTDZ($A$1,$B49,N$1,$B$1)</f>
        <v>0</v>
      </c>
      <c r="O49" s="124" cm="1">
        <f t="array" ref="O49">_xll.EQNXTDZ($A$1,$B49,O$1,$B$1)</f>
        <v>0</v>
      </c>
      <c r="P49" s="124" cm="1">
        <f t="array" ref="P49">_xll.EQNXTDZ($A$1,$B49,P$1,$B$1)</f>
        <v>0</v>
      </c>
      <c r="Q49" s="124" cm="1">
        <f t="array" ref="Q49">_xll.EQNXTDZ($A$1,$B49,Q$1,$B$1)</f>
        <v>0</v>
      </c>
      <c r="R49" s="124" cm="1">
        <f t="array" ref="R49">_xll.EQNXTDZ($A$1,$B49,R$1,$B$1)</f>
        <v>0</v>
      </c>
      <c r="S49" s="124" cm="1">
        <f t="array" ref="S49">_xll.EQNXTDZ($A$1,$B49,S$1,$B$1)</f>
        <v>0</v>
      </c>
      <c r="T49" s="124" cm="1">
        <f t="array" ref="T49">_xll.EQNXTDZ($A$1,$B49,T$1,$B$1)</f>
        <v>0</v>
      </c>
      <c r="U49" s="124" cm="1">
        <f t="array" ref="U49">_xll.EQNXTDZ($A$1,$B49,U$1,$B$1)</f>
        <v>0</v>
      </c>
      <c r="V49" s="124" cm="1">
        <f t="array" ref="V49">_xll.EQNXTDZ($A$1,$B49,V$1,$B$1)</f>
        <v>0</v>
      </c>
      <c r="W49" s="124" cm="1">
        <f t="array" ref="W49">_xll.EQNXTDZ($A$1,$B49,W$1,$B$1)</f>
        <v>0</v>
      </c>
      <c r="X49" s="124" cm="1">
        <f t="array" ref="X49">_xll.EQNXTDZ($A$1,$B49,X$1,$B$1)</f>
        <v>0</v>
      </c>
      <c r="Y49" s="124" cm="1">
        <f t="array" ref="Y49">_xll.EQNXTDZ($A$1,$B49,Y$1,$B$1)</f>
        <v>0</v>
      </c>
      <c r="Z49" s="124" cm="1">
        <f t="array" ref="Z49">_xll.EQNXTDZ($A$1,$B49,Z$1,$B$1)</f>
        <v>0</v>
      </c>
      <c r="AA49" s="124" cm="1">
        <f t="array" ref="AA49">_xll.EQNXTDZ($A$1,$B49,AA$1,$B$1)</f>
        <v>0</v>
      </c>
      <c r="AB49" s="124" cm="1">
        <f t="array" ref="AB49">_xll.EQNXTDZ($A$1,$B49,AB$1,$B$1)</f>
        <v>0</v>
      </c>
      <c r="AC49" s="124" cm="1">
        <f t="array" ref="AC49">_xll.EQNXTDZ($A$1,$B49,AC$1,$B$1)</f>
        <v>0</v>
      </c>
      <c r="AD49" s="124" cm="1">
        <f t="array" ref="AD49">_xll.EQNXTDZ($A$1,$B49,AD$1,$B$1)</f>
        <v>0</v>
      </c>
      <c r="AE49" s="124" cm="1">
        <f t="array" ref="AE49">_xll.EQNXTDZ($A$1,$B49,AE$1,$B$1)</f>
        <v>0</v>
      </c>
      <c r="AF49" s="124" cm="1">
        <f t="array" ref="AF49">_xll.EQNXTDZ($A$1,$B49,AF$1,$B$1)</f>
        <v>0</v>
      </c>
    </row>
    <row r="50" spans="1:32" x14ac:dyDescent="0.25"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</row>
    <row r="51" spans="1:32" x14ac:dyDescent="0.25">
      <c r="A51" t="s">
        <v>53</v>
      </c>
      <c r="B51" t="s">
        <v>54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</row>
    <row r="52" spans="1:32" s="106" customFormat="1" x14ac:dyDescent="0.25">
      <c r="A52" s="106" t="s">
        <v>110</v>
      </c>
      <c r="B52" s="106" t="s">
        <v>114</v>
      </c>
      <c r="C52" s="124" cm="1">
        <f t="array" ref="C52">_xll.EQNXTDZ($A$1,$B52,C$1,$B$1)</f>
        <v>0</v>
      </c>
      <c r="D52" s="124" cm="1">
        <f t="array" ref="D52">_xll.EQNXTDZ($A$1,$B52,D$1,$B$1)</f>
        <v>0</v>
      </c>
      <c r="E52" s="124" cm="1">
        <f t="array" ref="E52">_xll.EQNXTDZ($A$1,$B52,E$1,$B$1)</f>
        <v>0</v>
      </c>
      <c r="F52" s="124" cm="1">
        <f t="array" ref="F52">_xll.EQNXTDZ($A$1,$B52,F$1,$B$1)</f>
        <v>0</v>
      </c>
      <c r="G52" s="124" cm="1">
        <f t="array" ref="G52">_xll.EQNXTDZ($A$1,$B52,G$1,$B$1)</f>
        <v>0</v>
      </c>
      <c r="H52" s="124" cm="1">
        <f t="array" ref="H52">_xll.EQNXTDZ($A$1,$B52,H$1,$B$1)</f>
        <v>0</v>
      </c>
      <c r="I52" s="124" cm="1">
        <f t="array" ref="I52">_xll.EQNXTDZ($A$1,$B52,I$1,$B$1)</f>
        <v>0</v>
      </c>
      <c r="J52" s="124" cm="1">
        <f t="array" ref="J52">_xll.EQNXTDZ($A$1,$B52,J$1,$B$1)</f>
        <v>0</v>
      </c>
      <c r="K52" s="124" cm="1">
        <f t="array" ref="K52">_xll.EQNXTDZ($A$1,$B52,K$1,$B$1)</f>
        <v>0</v>
      </c>
      <c r="L52" s="124" cm="1">
        <f t="array" ref="L52">_xll.EQNXTDZ($A$1,$B52,L$1,$B$1)</f>
        <v>0</v>
      </c>
      <c r="M52" s="124" cm="1">
        <f t="array" ref="M52">_xll.EQNXTDZ($A$1,$B52,M$1,$B$1)</f>
        <v>0</v>
      </c>
      <c r="N52" s="124" cm="1">
        <f t="array" ref="N52">_xll.EQNXTDZ($A$1,$B52,N$1,$B$1)</f>
        <v>0</v>
      </c>
      <c r="O52" s="124" cm="1">
        <f t="array" ref="O52">_xll.EQNXTDZ($A$1,$B52,O$1,$B$1)</f>
        <v>0</v>
      </c>
      <c r="P52" s="124" cm="1">
        <f t="array" ref="P52">_xll.EQNXTDZ($A$1,$B52,P$1,$B$1)</f>
        <v>0</v>
      </c>
      <c r="Q52" s="124" cm="1">
        <f t="array" ref="Q52">_xll.EQNXTDZ($A$1,$B52,Q$1,$B$1)</f>
        <v>0</v>
      </c>
      <c r="R52" s="124" cm="1">
        <f t="array" ref="R52">_xll.EQNXTDZ($A$1,$B52,R$1,$B$1)</f>
        <v>0</v>
      </c>
      <c r="S52" s="124" cm="1">
        <f t="array" ref="S52">_xll.EQNXTDZ($A$1,$B52,S$1,$B$1)</f>
        <v>0</v>
      </c>
      <c r="T52" s="124" cm="1">
        <f t="array" ref="T52">_xll.EQNXTDZ($A$1,$B52,T$1,$B$1)</f>
        <v>0</v>
      </c>
      <c r="U52" s="124" cm="1">
        <f t="array" ref="U52">_xll.EQNXTDZ($A$1,$B52,U$1,$B$1)</f>
        <v>0</v>
      </c>
      <c r="V52" s="124" cm="1">
        <f t="array" ref="V52">_xll.EQNXTDZ($A$1,$B52,V$1,$B$1)</f>
        <v>0</v>
      </c>
      <c r="W52" s="124" cm="1">
        <f t="array" ref="W52">_xll.EQNXTDZ($A$1,$B52,W$1,$B$1)</f>
        <v>0</v>
      </c>
      <c r="X52" s="124" cm="1">
        <f t="array" ref="X52">_xll.EQNXTDZ($A$1,$B52,X$1,$B$1)</f>
        <v>0</v>
      </c>
      <c r="Y52" s="124" cm="1">
        <f t="array" ref="Y52">_xll.EQNXTDZ($A$1,$B52,Y$1,$B$1)</f>
        <v>0</v>
      </c>
      <c r="Z52" s="124" cm="1">
        <f t="array" ref="Z52">_xll.EQNXTDZ($A$1,$B52,Z$1,$B$1)</f>
        <v>0</v>
      </c>
      <c r="AA52" s="124" cm="1">
        <f t="array" ref="AA52">_xll.EQNXTDZ($A$1,$B52,AA$1,$B$1)</f>
        <v>0</v>
      </c>
      <c r="AB52" s="124" cm="1">
        <f t="array" ref="AB52">_xll.EQNXTDZ($A$1,$B52,AB$1,$B$1)</f>
        <v>0</v>
      </c>
      <c r="AC52" s="124" cm="1">
        <f t="array" ref="AC52">_xll.EQNXTDZ($A$1,$B52,AC$1,$B$1)</f>
        <v>0</v>
      </c>
      <c r="AD52" s="124" cm="1">
        <f t="array" ref="AD52">_xll.EQNXTDZ($A$1,$B52,AD$1,$B$1)</f>
        <v>0</v>
      </c>
      <c r="AE52" s="124" cm="1">
        <f t="array" ref="AE52">_xll.EQNXTDZ($A$1,$B52,AE$1,$B$1)</f>
        <v>0</v>
      </c>
      <c r="AF52" s="124" cm="1">
        <f t="array" ref="AF52">_xll.EQNXTDZ($A$1,$B52,AF$1,$B$1)</f>
        <v>0</v>
      </c>
    </row>
    <row r="53" spans="1:32" s="106" customFormat="1" x14ac:dyDescent="0.25">
      <c r="A53" s="106" t="s">
        <v>111</v>
      </c>
      <c r="B53" s="106" t="s">
        <v>115</v>
      </c>
      <c r="C53" s="124" cm="1">
        <f t="array" ref="C53">_xll.EQNXTDZ($A$1,$B53,C$1,$B$1)</f>
        <v>0</v>
      </c>
      <c r="D53" s="124" cm="1">
        <f t="array" ref="D53">_xll.EQNXTDZ($A$1,$B53,D$1,$B$1)</f>
        <v>0</v>
      </c>
      <c r="E53" s="124" cm="1">
        <f t="array" ref="E53">_xll.EQNXTDZ($A$1,$B53,E$1,$B$1)</f>
        <v>0</v>
      </c>
      <c r="F53" s="124" cm="1">
        <f t="array" ref="F53">_xll.EQNXTDZ($A$1,$B53,F$1,$B$1)</f>
        <v>0</v>
      </c>
      <c r="G53" s="124" cm="1">
        <f t="array" ref="G53">_xll.EQNXTDZ($A$1,$B53,G$1,$B$1)</f>
        <v>0</v>
      </c>
      <c r="H53" s="124" cm="1">
        <f t="array" ref="H53">_xll.EQNXTDZ($A$1,$B53,H$1,$B$1)</f>
        <v>0</v>
      </c>
      <c r="I53" s="124" cm="1">
        <f t="array" ref="I53">_xll.EQNXTDZ($A$1,$B53,I$1,$B$1)</f>
        <v>0</v>
      </c>
      <c r="J53" s="124" cm="1">
        <f t="array" ref="J53">_xll.EQNXTDZ($A$1,$B53,J$1,$B$1)</f>
        <v>0</v>
      </c>
      <c r="K53" s="124" cm="1">
        <f t="array" ref="K53">_xll.EQNXTDZ($A$1,$B53,K$1,$B$1)</f>
        <v>0</v>
      </c>
      <c r="L53" s="124" cm="1">
        <f t="array" ref="L53">_xll.EQNXTDZ($A$1,$B53,L$1,$B$1)</f>
        <v>0</v>
      </c>
      <c r="M53" s="124" cm="1">
        <f t="array" ref="M53">_xll.EQNXTDZ($A$1,$B53,M$1,$B$1)</f>
        <v>0</v>
      </c>
      <c r="N53" s="124" cm="1">
        <f t="array" ref="N53">_xll.EQNXTDZ($A$1,$B53,N$1,$B$1)</f>
        <v>0</v>
      </c>
      <c r="O53" s="124" cm="1">
        <f t="array" ref="O53">_xll.EQNXTDZ($A$1,$B53,O$1,$B$1)</f>
        <v>0</v>
      </c>
      <c r="P53" s="124" cm="1">
        <f t="array" ref="P53">_xll.EQNXTDZ($A$1,$B53,P$1,$B$1)</f>
        <v>0</v>
      </c>
      <c r="Q53" s="124" cm="1">
        <f t="array" ref="Q53">_xll.EQNXTDZ($A$1,$B53,Q$1,$B$1)</f>
        <v>0</v>
      </c>
      <c r="R53" s="124" cm="1">
        <f t="array" ref="R53">_xll.EQNXTDZ($A$1,$B53,R$1,$B$1)</f>
        <v>0</v>
      </c>
      <c r="S53" s="124" cm="1">
        <f t="array" ref="S53">_xll.EQNXTDZ($A$1,$B53,S$1,$B$1)</f>
        <v>0</v>
      </c>
      <c r="T53" s="124" cm="1">
        <f t="array" ref="T53">_xll.EQNXTDZ($A$1,$B53,T$1,$B$1)</f>
        <v>0</v>
      </c>
      <c r="U53" s="124" cm="1">
        <f t="array" ref="U53">_xll.EQNXTDZ($A$1,$B53,U$1,$B$1)</f>
        <v>0</v>
      </c>
      <c r="V53" s="124" cm="1">
        <f t="array" ref="V53">_xll.EQNXTDZ($A$1,$B53,V$1,$B$1)</f>
        <v>0</v>
      </c>
      <c r="W53" s="124" cm="1">
        <f t="array" ref="W53">_xll.EQNXTDZ($A$1,$B53,W$1,$B$1)</f>
        <v>0</v>
      </c>
      <c r="X53" s="124" cm="1">
        <f t="array" ref="X53">_xll.EQNXTDZ($A$1,$B53,X$1,$B$1)</f>
        <v>0</v>
      </c>
      <c r="Y53" s="124" cm="1">
        <f t="array" ref="Y53">_xll.EQNXTDZ($A$1,$B53,Y$1,$B$1)</f>
        <v>0</v>
      </c>
      <c r="Z53" s="124" cm="1">
        <f t="array" ref="Z53">_xll.EQNXTDZ($A$1,$B53,Z$1,$B$1)</f>
        <v>0</v>
      </c>
      <c r="AA53" s="124" cm="1">
        <f t="array" ref="AA53">_xll.EQNXTDZ($A$1,$B53,AA$1,$B$1)</f>
        <v>0</v>
      </c>
      <c r="AB53" s="124" cm="1">
        <f t="array" ref="AB53">_xll.EQNXTDZ($A$1,$B53,AB$1,$B$1)</f>
        <v>0</v>
      </c>
      <c r="AC53" s="124" cm="1">
        <f t="array" ref="AC53">_xll.EQNXTDZ($A$1,$B53,AC$1,$B$1)</f>
        <v>0</v>
      </c>
      <c r="AD53" s="124" cm="1">
        <f t="array" ref="AD53">_xll.EQNXTDZ($A$1,$B53,AD$1,$B$1)</f>
        <v>0</v>
      </c>
      <c r="AE53" s="124" cm="1">
        <f t="array" ref="AE53">_xll.EQNXTDZ($A$1,$B53,AE$1,$B$1)</f>
        <v>0</v>
      </c>
      <c r="AF53" s="124" cm="1">
        <f t="array" ref="AF53">_xll.EQNXTDZ($A$1,$B53,AF$1,$B$1)</f>
        <v>0</v>
      </c>
    </row>
    <row r="54" spans="1:32" s="106" customFormat="1" x14ac:dyDescent="0.25">
      <c r="A54" s="106" t="s">
        <v>112</v>
      </c>
      <c r="B54" s="106" t="s">
        <v>116</v>
      </c>
      <c r="C54" s="124" cm="1">
        <f t="array" ref="C54">_xll.EQNXTDZ($A$1,$B54,C$1,$B$1)</f>
        <v>0</v>
      </c>
      <c r="D54" s="124" cm="1">
        <f t="array" ref="D54">_xll.EQNXTDZ($A$1,$B54,D$1,$B$1)</f>
        <v>0</v>
      </c>
      <c r="E54" s="124" cm="1">
        <f t="array" ref="E54">_xll.EQNXTDZ($A$1,$B54,E$1,$B$1)</f>
        <v>0</v>
      </c>
      <c r="F54" s="124" cm="1">
        <f t="array" ref="F54">_xll.EQNXTDZ($A$1,$B54,F$1,$B$1)</f>
        <v>0</v>
      </c>
      <c r="G54" s="124" cm="1">
        <f t="array" ref="G54">_xll.EQNXTDZ($A$1,$B54,G$1,$B$1)</f>
        <v>0</v>
      </c>
      <c r="H54" s="124" cm="1">
        <f t="array" ref="H54">_xll.EQNXTDZ($A$1,$B54,H$1,$B$1)</f>
        <v>0</v>
      </c>
      <c r="I54" s="124" cm="1">
        <f t="array" ref="I54">_xll.EQNXTDZ($A$1,$B54,I$1,$B$1)</f>
        <v>0</v>
      </c>
      <c r="J54" s="124" cm="1">
        <f t="array" ref="J54">_xll.EQNXTDZ($A$1,$B54,J$1,$B$1)</f>
        <v>0</v>
      </c>
      <c r="K54" s="124" cm="1">
        <f t="array" ref="K54">_xll.EQNXTDZ($A$1,$B54,K$1,$B$1)</f>
        <v>0</v>
      </c>
      <c r="L54" s="124" cm="1">
        <f t="array" ref="L54">_xll.EQNXTDZ($A$1,$B54,L$1,$B$1)</f>
        <v>0</v>
      </c>
      <c r="M54" s="124" cm="1">
        <f t="array" ref="M54">_xll.EQNXTDZ($A$1,$B54,M$1,$B$1)</f>
        <v>0</v>
      </c>
      <c r="N54" s="124" cm="1">
        <f t="array" ref="N54">_xll.EQNXTDZ($A$1,$B54,N$1,$B$1)</f>
        <v>0</v>
      </c>
      <c r="O54" s="124" cm="1">
        <f t="array" ref="O54">_xll.EQNXTDZ($A$1,$B54,O$1,$B$1)</f>
        <v>0</v>
      </c>
      <c r="P54" s="124" cm="1">
        <f t="array" ref="P54">_xll.EQNXTDZ($A$1,$B54,P$1,$B$1)</f>
        <v>0</v>
      </c>
      <c r="Q54" s="124" cm="1">
        <f t="array" ref="Q54">_xll.EQNXTDZ($A$1,$B54,Q$1,$B$1)</f>
        <v>0</v>
      </c>
      <c r="R54" s="124" cm="1">
        <f t="array" ref="R54">_xll.EQNXTDZ($A$1,$B54,R$1,$B$1)</f>
        <v>0</v>
      </c>
      <c r="S54" s="124" cm="1">
        <f t="array" ref="S54">_xll.EQNXTDZ($A$1,$B54,S$1,$B$1)</f>
        <v>0</v>
      </c>
      <c r="T54" s="124" cm="1">
        <f t="array" ref="T54">_xll.EQNXTDZ($A$1,$B54,T$1,$B$1)</f>
        <v>0</v>
      </c>
      <c r="U54" s="124" cm="1">
        <f t="array" ref="U54">_xll.EQNXTDZ($A$1,$B54,U$1,$B$1)</f>
        <v>0</v>
      </c>
      <c r="V54" s="124" cm="1">
        <f t="array" ref="V54">_xll.EQNXTDZ($A$1,$B54,V$1,$B$1)</f>
        <v>0</v>
      </c>
      <c r="W54" s="124" cm="1">
        <f t="array" ref="W54">_xll.EQNXTDZ($A$1,$B54,W$1,$B$1)</f>
        <v>0</v>
      </c>
      <c r="X54" s="124" cm="1">
        <f t="array" ref="X54">_xll.EQNXTDZ($A$1,$B54,X$1,$B$1)</f>
        <v>0</v>
      </c>
      <c r="Y54" s="124" cm="1">
        <f t="array" ref="Y54">_xll.EQNXTDZ($A$1,$B54,Y$1,$B$1)</f>
        <v>0</v>
      </c>
      <c r="Z54" s="124" cm="1">
        <f t="array" ref="Z54">_xll.EQNXTDZ($A$1,$B54,Z$1,$B$1)</f>
        <v>0</v>
      </c>
      <c r="AA54" s="124" cm="1">
        <f t="array" ref="AA54">_xll.EQNXTDZ($A$1,$B54,AA$1,$B$1)</f>
        <v>0</v>
      </c>
      <c r="AB54" s="124" cm="1">
        <f t="array" ref="AB54">_xll.EQNXTDZ($A$1,$B54,AB$1,$B$1)</f>
        <v>0</v>
      </c>
      <c r="AC54" s="124" cm="1">
        <f t="array" ref="AC54">_xll.EQNXTDZ($A$1,$B54,AC$1,$B$1)</f>
        <v>0</v>
      </c>
      <c r="AD54" s="124" cm="1">
        <f t="array" ref="AD54">_xll.EQNXTDZ($A$1,$B54,AD$1,$B$1)</f>
        <v>0</v>
      </c>
      <c r="AE54" s="124" cm="1">
        <f t="array" ref="AE54">_xll.EQNXTDZ($A$1,$B54,AE$1,$B$1)</f>
        <v>0</v>
      </c>
      <c r="AF54" s="124" cm="1">
        <f t="array" ref="AF54">_xll.EQNXTDZ($A$1,$B54,AF$1,$B$1)</f>
        <v>0</v>
      </c>
    </row>
    <row r="55" spans="1:32" s="106" customFormat="1" x14ac:dyDescent="0.25">
      <c r="A55" s="106" t="s">
        <v>113</v>
      </c>
      <c r="B55" s="106" t="s">
        <v>117</v>
      </c>
      <c r="C55" s="124" cm="1">
        <f t="array" ref="C55">_xll.EQNXTDZ($A$1,$B55,C$1,$B$1)</f>
        <v>0</v>
      </c>
      <c r="D55" s="124" cm="1">
        <f t="array" ref="D55">_xll.EQNXTDZ($A$1,$B55,D$1,$B$1)</f>
        <v>0</v>
      </c>
      <c r="E55" s="124" cm="1">
        <f t="array" ref="E55">_xll.EQNXTDZ($A$1,$B55,E$1,$B$1)</f>
        <v>0</v>
      </c>
      <c r="F55" s="124" cm="1">
        <f t="array" ref="F55">_xll.EQNXTDZ($A$1,$B55,F$1,$B$1)</f>
        <v>0</v>
      </c>
      <c r="G55" s="124" cm="1">
        <f t="array" ref="G55">_xll.EQNXTDZ($A$1,$B55,G$1,$B$1)</f>
        <v>0</v>
      </c>
      <c r="H55" s="124" cm="1">
        <f t="array" ref="H55">_xll.EQNXTDZ($A$1,$B55,H$1,$B$1)</f>
        <v>0</v>
      </c>
      <c r="I55" s="124" cm="1">
        <f t="array" ref="I55">_xll.EQNXTDZ($A$1,$B55,I$1,$B$1)</f>
        <v>0</v>
      </c>
      <c r="J55" s="124" cm="1">
        <f t="array" ref="J55">_xll.EQNXTDZ($A$1,$B55,J$1,$B$1)</f>
        <v>0</v>
      </c>
      <c r="K55" s="124" cm="1">
        <f t="array" ref="K55">_xll.EQNXTDZ($A$1,$B55,K$1,$B$1)</f>
        <v>0</v>
      </c>
      <c r="L55" s="124" cm="1">
        <f t="array" ref="L55">_xll.EQNXTDZ($A$1,$B55,L$1,$B$1)</f>
        <v>0</v>
      </c>
      <c r="M55" s="124" cm="1">
        <f t="array" ref="M55">_xll.EQNXTDZ($A$1,$B55,M$1,$B$1)</f>
        <v>0</v>
      </c>
      <c r="N55" s="124" cm="1">
        <f t="array" ref="N55">_xll.EQNXTDZ($A$1,$B55,N$1,$B$1)</f>
        <v>0</v>
      </c>
      <c r="O55" s="124" cm="1">
        <f t="array" ref="O55">_xll.EQNXTDZ($A$1,$B55,O$1,$B$1)</f>
        <v>0</v>
      </c>
      <c r="P55" s="124" cm="1">
        <f t="array" ref="P55">_xll.EQNXTDZ($A$1,$B55,P$1,$B$1)</f>
        <v>0</v>
      </c>
      <c r="Q55" s="124" cm="1">
        <f t="array" ref="Q55">_xll.EQNXTDZ($A$1,$B55,Q$1,$B$1)</f>
        <v>0</v>
      </c>
      <c r="R55" s="124" cm="1">
        <f t="array" ref="R55">_xll.EQNXTDZ($A$1,$B55,R$1,$B$1)</f>
        <v>0</v>
      </c>
      <c r="S55" s="124" cm="1">
        <f t="array" ref="S55">_xll.EQNXTDZ($A$1,$B55,S$1,$B$1)</f>
        <v>0</v>
      </c>
      <c r="T55" s="124" cm="1">
        <f t="array" ref="T55">_xll.EQNXTDZ($A$1,$B55,T$1,$B$1)</f>
        <v>0</v>
      </c>
      <c r="U55" s="124" cm="1">
        <f t="array" ref="U55">_xll.EQNXTDZ($A$1,$B55,U$1,$B$1)</f>
        <v>0</v>
      </c>
      <c r="V55" s="124" cm="1">
        <f t="array" ref="V55">_xll.EQNXTDZ($A$1,$B55,V$1,$B$1)</f>
        <v>0</v>
      </c>
      <c r="W55" s="124" cm="1">
        <f t="array" ref="W55">_xll.EQNXTDZ($A$1,$B55,W$1,$B$1)</f>
        <v>0</v>
      </c>
      <c r="X55" s="124" cm="1">
        <f t="array" ref="X55">_xll.EQNXTDZ($A$1,$B55,X$1,$B$1)</f>
        <v>0</v>
      </c>
      <c r="Y55" s="124" cm="1">
        <f t="array" ref="Y55">_xll.EQNXTDZ($A$1,$B55,Y$1,$B$1)</f>
        <v>0</v>
      </c>
      <c r="Z55" s="124" cm="1">
        <f t="array" ref="Z55">_xll.EQNXTDZ($A$1,$B55,Z$1,$B$1)</f>
        <v>0</v>
      </c>
      <c r="AA55" s="124" cm="1">
        <f t="array" ref="AA55">_xll.EQNXTDZ($A$1,$B55,AA$1,$B$1)</f>
        <v>0</v>
      </c>
      <c r="AB55" s="124" cm="1">
        <f t="array" ref="AB55">_xll.EQNXTDZ($A$1,$B55,AB$1,$B$1)</f>
        <v>0</v>
      </c>
      <c r="AC55" s="124" cm="1">
        <f t="array" ref="AC55">_xll.EQNXTDZ($A$1,$B55,AC$1,$B$1)</f>
        <v>0</v>
      </c>
      <c r="AD55" s="124" cm="1">
        <f t="array" ref="AD55">_xll.EQNXTDZ($A$1,$B55,AD$1,$B$1)</f>
        <v>0</v>
      </c>
      <c r="AE55" s="124" cm="1">
        <f t="array" ref="AE55">_xll.EQNXTDZ($A$1,$B55,AE$1,$B$1)</f>
        <v>0</v>
      </c>
      <c r="AF55" s="124" cm="1">
        <f t="array" ref="AF55">_xll.EQNXTDZ($A$1,$B55,AF$1,$B$1)</f>
        <v>0</v>
      </c>
    </row>
    <row r="56" spans="1:32" s="106" customFormat="1" x14ac:dyDescent="0.25">
      <c r="A56" s="106" t="s">
        <v>89</v>
      </c>
      <c r="B56" s="106" t="s">
        <v>118</v>
      </c>
      <c r="C56" s="124" cm="1">
        <f t="array" ref="C56">_xll.EQNXTDZ($A$1,$B56,C$1,$B$1)</f>
        <v>0</v>
      </c>
      <c r="D56" s="124" cm="1">
        <f t="array" ref="D56">_xll.EQNXTDZ($A$1,$B56,D$1,$B$1)</f>
        <v>0</v>
      </c>
      <c r="E56" s="124" cm="1">
        <f t="array" ref="E56">_xll.EQNXTDZ($A$1,$B56,E$1,$B$1)</f>
        <v>0</v>
      </c>
      <c r="F56" s="124" cm="1">
        <f t="array" ref="F56">_xll.EQNXTDZ($A$1,$B56,F$1,$B$1)</f>
        <v>0</v>
      </c>
      <c r="G56" s="124" cm="1">
        <f t="array" ref="G56">_xll.EQNXTDZ($A$1,$B56,G$1,$B$1)</f>
        <v>0</v>
      </c>
      <c r="H56" s="124" cm="1">
        <f t="array" ref="H56">_xll.EQNXTDZ($A$1,$B56,H$1,$B$1)</f>
        <v>0</v>
      </c>
      <c r="I56" s="124" cm="1">
        <f t="array" ref="I56">_xll.EQNXTDZ($A$1,$B56,I$1,$B$1)</f>
        <v>0</v>
      </c>
      <c r="J56" s="124" cm="1">
        <f t="array" ref="J56">_xll.EQNXTDZ($A$1,$B56,J$1,$B$1)</f>
        <v>0</v>
      </c>
      <c r="K56" s="124" cm="1">
        <f t="array" ref="K56">_xll.EQNXTDZ($A$1,$B56,K$1,$B$1)</f>
        <v>0</v>
      </c>
      <c r="L56" s="124" cm="1">
        <f t="array" ref="L56">_xll.EQNXTDZ($A$1,$B56,L$1,$B$1)</f>
        <v>0</v>
      </c>
      <c r="M56" s="124" cm="1">
        <f t="array" ref="M56">_xll.EQNXTDZ($A$1,$B56,M$1,$B$1)</f>
        <v>0</v>
      </c>
      <c r="N56" s="124" cm="1">
        <f t="array" ref="N56">_xll.EQNXTDZ($A$1,$B56,N$1,$B$1)</f>
        <v>0</v>
      </c>
      <c r="O56" s="124" cm="1">
        <f t="array" ref="O56">_xll.EQNXTDZ($A$1,$B56,O$1,$B$1)</f>
        <v>0</v>
      </c>
      <c r="P56" s="124" cm="1">
        <f t="array" ref="P56">_xll.EQNXTDZ($A$1,$B56,P$1,$B$1)</f>
        <v>0</v>
      </c>
      <c r="Q56" s="124" cm="1">
        <f t="array" ref="Q56">_xll.EQNXTDZ($A$1,$B56,Q$1,$B$1)</f>
        <v>0</v>
      </c>
      <c r="R56" s="124" cm="1">
        <f t="array" ref="R56">_xll.EQNXTDZ($A$1,$B56,R$1,$B$1)</f>
        <v>0</v>
      </c>
      <c r="S56" s="124" cm="1">
        <f t="array" ref="S56">_xll.EQNXTDZ($A$1,$B56,S$1,$B$1)</f>
        <v>0</v>
      </c>
      <c r="T56" s="124" cm="1">
        <f t="array" ref="T56">_xll.EQNXTDZ($A$1,$B56,T$1,$B$1)</f>
        <v>0</v>
      </c>
      <c r="U56" s="124" cm="1">
        <f t="array" ref="U56">_xll.EQNXTDZ($A$1,$B56,U$1,$B$1)</f>
        <v>0</v>
      </c>
      <c r="V56" s="124" cm="1">
        <f t="array" ref="V56">_xll.EQNXTDZ($A$1,$B56,V$1,$B$1)</f>
        <v>0</v>
      </c>
      <c r="W56" s="124" cm="1">
        <f t="array" ref="W56">_xll.EQNXTDZ($A$1,$B56,W$1,$B$1)</f>
        <v>0</v>
      </c>
      <c r="X56" s="124" cm="1">
        <f t="array" ref="X56">_xll.EQNXTDZ($A$1,$B56,X$1,$B$1)</f>
        <v>0</v>
      </c>
      <c r="Y56" s="124" cm="1">
        <f t="array" ref="Y56">_xll.EQNXTDZ($A$1,$B56,Y$1,$B$1)</f>
        <v>0</v>
      </c>
      <c r="Z56" s="124" cm="1">
        <f t="array" ref="Z56">_xll.EQNXTDZ($A$1,$B56,Z$1,$B$1)</f>
        <v>0</v>
      </c>
      <c r="AA56" s="124" cm="1">
        <f t="array" ref="AA56">_xll.EQNXTDZ($A$1,$B56,AA$1,$B$1)</f>
        <v>0</v>
      </c>
      <c r="AB56" s="124" cm="1">
        <f t="array" ref="AB56">_xll.EQNXTDZ($A$1,$B56,AB$1,$B$1)</f>
        <v>0</v>
      </c>
      <c r="AC56" s="124" cm="1">
        <f t="array" ref="AC56">_xll.EQNXTDZ($A$1,$B56,AC$1,$B$1)</f>
        <v>0</v>
      </c>
      <c r="AD56" s="124" cm="1">
        <f t="array" ref="AD56">_xll.EQNXTDZ($A$1,$B56,AD$1,$B$1)</f>
        <v>0</v>
      </c>
      <c r="AE56" s="124" cm="1">
        <f t="array" ref="AE56">_xll.EQNXTDZ($A$1,$B56,AE$1,$B$1)</f>
        <v>0</v>
      </c>
      <c r="AF56" s="124" cm="1">
        <f t="array" ref="AF56">_xll.EQNXTDZ($A$1,$B56,AF$1,$B$1)</f>
        <v>0</v>
      </c>
    </row>
    <row r="57" spans="1:32" s="106" customFormat="1" x14ac:dyDescent="0.25">
      <c r="A57" s="106" t="s">
        <v>92</v>
      </c>
      <c r="B57" s="106" t="s">
        <v>119</v>
      </c>
      <c r="C57" s="124" cm="1">
        <f t="array" ref="C57">_xll.EQNXTDZ($A$1,$B57,C$1,$B$1)</f>
        <v>0</v>
      </c>
      <c r="D57" s="124" cm="1">
        <f t="array" ref="D57">_xll.EQNXTDZ($A$1,$B57,D$1,$B$1)</f>
        <v>0</v>
      </c>
      <c r="E57" s="124" cm="1">
        <f t="array" ref="E57">_xll.EQNXTDZ($A$1,$B57,E$1,$B$1)</f>
        <v>0</v>
      </c>
      <c r="F57" s="124" cm="1">
        <f t="array" ref="F57">_xll.EQNXTDZ($A$1,$B57,F$1,$B$1)</f>
        <v>0</v>
      </c>
      <c r="G57" s="124" cm="1">
        <f t="array" ref="G57">_xll.EQNXTDZ($A$1,$B57,G$1,$B$1)</f>
        <v>0</v>
      </c>
      <c r="H57" s="124" cm="1">
        <f t="array" ref="H57">_xll.EQNXTDZ($A$1,$B57,H$1,$B$1)</f>
        <v>0</v>
      </c>
      <c r="I57" s="124" cm="1">
        <f t="array" ref="I57">_xll.EQNXTDZ($A$1,$B57,I$1,$B$1)</f>
        <v>0</v>
      </c>
      <c r="J57" s="124" cm="1">
        <f t="array" ref="J57">_xll.EQNXTDZ($A$1,$B57,J$1,$B$1)</f>
        <v>0</v>
      </c>
      <c r="K57" s="124" cm="1">
        <f t="array" ref="K57">_xll.EQNXTDZ($A$1,$B57,K$1,$B$1)</f>
        <v>0</v>
      </c>
      <c r="L57" s="124" cm="1">
        <f t="array" ref="L57">_xll.EQNXTDZ($A$1,$B57,L$1,$B$1)</f>
        <v>0</v>
      </c>
      <c r="M57" s="124" cm="1">
        <f t="array" ref="M57">_xll.EQNXTDZ($A$1,$B57,M$1,$B$1)</f>
        <v>0</v>
      </c>
      <c r="N57" s="124" cm="1">
        <f t="array" ref="N57">_xll.EQNXTDZ($A$1,$B57,N$1,$B$1)</f>
        <v>0</v>
      </c>
      <c r="O57" s="124" cm="1">
        <f t="array" ref="O57">_xll.EQNXTDZ($A$1,$B57,O$1,$B$1)</f>
        <v>0</v>
      </c>
      <c r="P57" s="124" cm="1">
        <f t="array" ref="P57">_xll.EQNXTDZ($A$1,$B57,P$1,$B$1)</f>
        <v>0</v>
      </c>
      <c r="Q57" s="124" cm="1">
        <f t="array" ref="Q57">_xll.EQNXTDZ($A$1,$B57,Q$1,$B$1)</f>
        <v>0</v>
      </c>
      <c r="R57" s="124" cm="1">
        <f t="array" ref="R57">_xll.EQNXTDZ($A$1,$B57,R$1,$B$1)</f>
        <v>0</v>
      </c>
      <c r="S57" s="124" cm="1">
        <f t="array" ref="S57">_xll.EQNXTDZ($A$1,$B57,S$1,$B$1)</f>
        <v>0</v>
      </c>
      <c r="T57" s="124" cm="1">
        <f t="array" ref="T57">_xll.EQNXTDZ($A$1,$B57,T$1,$B$1)</f>
        <v>0</v>
      </c>
      <c r="U57" s="124" cm="1">
        <f t="array" ref="U57">_xll.EQNXTDZ($A$1,$B57,U$1,$B$1)</f>
        <v>0</v>
      </c>
      <c r="V57" s="124" cm="1">
        <f t="array" ref="V57">_xll.EQNXTDZ($A$1,$B57,V$1,$B$1)</f>
        <v>0</v>
      </c>
      <c r="W57" s="124" cm="1">
        <f t="array" ref="W57">_xll.EQNXTDZ($A$1,$B57,W$1,$B$1)</f>
        <v>0</v>
      </c>
      <c r="X57" s="124" cm="1">
        <f t="array" ref="X57">_xll.EQNXTDZ($A$1,$B57,X$1,$B$1)</f>
        <v>0</v>
      </c>
      <c r="Y57" s="124" cm="1">
        <f t="array" ref="Y57">_xll.EQNXTDZ($A$1,$B57,Y$1,$B$1)</f>
        <v>0</v>
      </c>
      <c r="Z57" s="124" cm="1">
        <f t="array" ref="Z57">_xll.EQNXTDZ($A$1,$B57,Z$1,$B$1)</f>
        <v>0</v>
      </c>
      <c r="AA57" s="124" cm="1">
        <f t="array" ref="AA57">_xll.EQNXTDZ($A$1,$B57,AA$1,$B$1)</f>
        <v>0</v>
      </c>
      <c r="AB57" s="124" cm="1">
        <f t="array" ref="AB57">_xll.EQNXTDZ($A$1,$B57,AB$1,$B$1)</f>
        <v>0</v>
      </c>
      <c r="AC57" s="124" cm="1">
        <f t="array" ref="AC57">_xll.EQNXTDZ($A$1,$B57,AC$1,$B$1)</f>
        <v>0</v>
      </c>
      <c r="AD57" s="124" cm="1">
        <f t="array" ref="AD57">_xll.EQNXTDZ($A$1,$B57,AD$1,$B$1)</f>
        <v>0</v>
      </c>
      <c r="AE57" s="124" cm="1">
        <f t="array" ref="AE57">_xll.EQNXTDZ($A$1,$B57,AE$1,$B$1)</f>
        <v>0</v>
      </c>
      <c r="AF57" s="124" cm="1">
        <f t="array" ref="AF57">_xll.EQNXTDZ($A$1,$B57,AF$1,$B$1)</f>
        <v>0</v>
      </c>
    </row>
    <row r="58" spans="1:32" x14ac:dyDescent="0.25">
      <c r="A58" t="s">
        <v>120</v>
      </c>
      <c r="B58" t="s">
        <v>123</v>
      </c>
      <c r="C58" s="124" cm="1">
        <f t="array" ref="C58">_xll.EQNXTDZ($A$1,$B58,C$1,$B$1)</f>
        <v>0</v>
      </c>
      <c r="D58" s="124" cm="1">
        <f t="array" ref="D58">_xll.EQNXTDZ($A$1,$B58,D$1,$B$1)</f>
        <v>0</v>
      </c>
      <c r="E58" s="124" cm="1">
        <f t="array" ref="E58">_xll.EQNXTDZ($A$1,$B58,E$1,$B$1)</f>
        <v>0</v>
      </c>
      <c r="F58" s="124" cm="1">
        <f t="array" ref="F58">_xll.EQNXTDZ($A$1,$B58,F$1,$B$1)</f>
        <v>0</v>
      </c>
      <c r="G58" s="124" cm="1">
        <f t="array" ref="G58">_xll.EQNXTDZ($A$1,$B58,G$1,$B$1)</f>
        <v>0</v>
      </c>
      <c r="H58" s="124" cm="1">
        <f t="array" ref="H58">_xll.EQNXTDZ($A$1,$B58,H$1,$B$1)</f>
        <v>0</v>
      </c>
      <c r="I58" s="124" cm="1">
        <f t="array" ref="I58">_xll.EQNXTDZ($A$1,$B58,I$1,$B$1)</f>
        <v>0</v>
      </c>
      <c r="J58" s="124" cm="1">
        <f t="array" ref="J58">_xll.EQNXTDZ($A$1,$B58,J$1,$B$1)</f>
        <v>0</v>
      </c>
      <c r="K58" s="124" cm="1">
        <f t="array" ref="K58">_xll.EQNXTDZ($A$1,$B58,K$1,$B$1)</f>
        <v>0</v>
      </c>
      <c r="L58" s="124" cm="1">
        <f t="array" ref="L58">_xll.EQNXTDZ($A$1,$B58,L$1,$B$1)</f>
        <v>0</v>
      </c>
      <c r="M58" s="124" cm="1">
        <f t="array" ref="M58">_xll.EQNXTDZ($A$1,$B58,M$1,$B$1)</f>
        <v>0</v>
      </c>
      <c r="N58" s="124" cm="1">
        <f t="array" ref="N58">_xll.EQNXTDZ($A$1,$B58,N$1,$B$1)</f>
        <v>0</v>
      </c>
      <c r="O58" s="124" cm="1">
        <f t="array" ref="O58">_xll.EQNXTDZ($A$1,$B58,O$1,$B$1)</f>
        <v>0</v>
      </c>
      <c r="P58" s="124" cm="1">
        <f t="array" ref="P58">_xll.EQNXTDZ($A$1,$B58,P$1,$B$1)</f>
        <v>0</v>
      </c>
      <c r="Q58" s="124" cm="1">
        <f t="array" ref="Q58">_xll.EQNXTDZ($A$1,$B58,Q$1,$B$1)</f>
        <v>0</v>
      </c>
      <c r="R58" s="124" cm="1">
        <f t="array" ref="R58">_xll.EQNXTDZ($A$1,$B58,R$1,$B$1)</f>
        <v>0</v>
      </c>
      <c r="S58" s="124" cm="1">
        <f t="array" ref="S58">_xll.EQNXTDZ($A$1,$B58,S$1,$B$1)</f>
        <v>0</v>
      </c>
      <c r="T58" s="124" cm="1">
        <f t="array" ref="T58">_xll.EQNXTDZ($A$1,$B58,T$1,$B$1)</f>
        <v>0</v>
      </c>
      <c r="U58" s="124" cm="1">
        <f t="array" ref="U58">_xll.EQNXTDZ($A$1,$B58,U$1,$B$1)</f>
        <v>0</v>
      </c>
      <c r="V58" s="124" cm="1">
        <f t="array" ref="V58">_xll.EQNXTDZ($A$1,$B58,V$1,$B$1)</f>
        <v>0</v>
      </c>
      <c r="W58" s="124" cm="1">
        <f t="array" ref="W58">_xll.EQNXTDZ($A$1,$B58,W$1,$B$1)</f>
        <v>0</v>
      </c>
      <c r="X58" s="124" cm="1">
        <f t="array" ref="X58">_xll.EQNXTDZ($A$1,$B58,X$1,$B$1)</f>
        <v>0</v>
      </c>
      <c r="Y58" s="124" cm="1">
        <f t="array" ref="Y58">_xll.EQNXTDZ($A$1,$B58,Y$1,$B$1)</f>
        <v>0</v>
      </c>
      <c r="Z58" s="124" cm="1">
        <f t="array" ref="Z58">_xll.EQNXTDZ($A$1,$B58,Z$1,$B$1)</f>
        <v>0</v>
      </c>
      <c r="AA58" s="124" cm="1">
        <f t="array" ref="AA58">_xll.EQNXTDZ($A$1,$B58,AA$1,$B$1)</f>
        <v>0</v>
      </c>
      <c r="AB58" s="124" cm="1">
        <f t="array" ref="AB58">_xll.EQNXTDZ($A$1,$B58,AB$1,$B$1)</f>
        <v>0</v>
      </c>
      <c r="AC58" s="124" cm="1">
        <f t="array" ref="AC58">_xll.EQNXTDZ($A$1,$B58,AC$1,$B$1)</f>
        <v>0</v>
      </c>
      <c r="AD58" s="124" cm="1">
        <f t="array" ref="AD58">_xll.EQNXTDZ($A$1,$B58,AD$1,$B$1)</f>
        <v>0</v>
      </c>
      <c r="AE58" s="124" cm="1">
        <f t="array" ref="AE58">_xll.EQNXTDZ($A$1,$B58,AE$1,$B$1)</f>
        <v>0</v>
      </c>
      <c r="AF58" s="124" cm="1">
        <f t="array" ref="AF58">_xll.EQNXTDZ($A$1,$B58,AF$1,$B$1)</f>
        <v>0</v>
      </c>
    </row>
    <row r="59" spans="1:32" x14ac:dyDescent="0.25">
      <c r="A59" t="s">
        <v>126</v>
      </c>
      <c r="B59" t="s">
        <v>130</v>
      </c>
      <c r="C59" s="124" cm="1">
        <f t="array" ref="C59">_xll.EQNXTDZ($A$1,$B59,C$1,$B$1)</f>
        <v>0</v>
      </c>
      <c r="D59" s="124" cm="1">
        <f t="array" ref="D59">_xll.EQNXTDZ($A$1,$B59,D$1,$B$1)</f>
        <v>0</v>
      </c>
      <c r="E59" s="124" cm="1">
        <f t="array" ref="E59">_xll.EQNXTDZ($A$1,$B59,E$1,$B$1)</f>
        <v>0</v>
      </c>
      <c r="F59" s="124" cm="1">
        <f t="array" ref="F59">_xll.EQNXTDZ($A$1,$B59,F$1,$B$1)</f>
        <v>0</v>
      </c>
      <c r="G59" s="124" cm="1">
        <f t="array" ref="G59">_xll.EQNXTDZ($A$1,$B59,G$1,$B$1)</f>
        <v>0</v>
      </c>
      <c r="H59" s="124" cm="1">
        <f t="array" ref="H59">_xll.EQNXTDZ($A$1,$B59,H$1,$B$1)</f>
        <v>0</v>
      </c>
      <c r="I59" s="124" cm="1">
        <f t="array" ref="I59">_xll.EQNXTDZ($A$1,$B59,I$1,$B$1)</f>
        <v>0</v>
      </c>
      <c r="J59" s="124" cm="1">
        <f t="array" ref="J59">_xll.EQNXTDZ($A$1,$B59,J$1,$B$1)</f>
        <v>0</v>
      </c>
      <c r="K59" s="124" cm="1">
        <f t="array" ref="K59">_xll.EQNXTDZ($A$1,$B59,K$1,$B$1)</f>
        <v>0</v>
      </c>
      <c r="L59" s="124" cm="1">
        <f t="array" ref="L59">_xll.EQNXTDZ($A$1,$B59,L$1,$B$1)</f>
        <v>0</v>
      </c>
      <c r="M59" s="124" cm="1">
        <f t="array" ref="M59">_xll.EQNXTDZ($A$1,$B59,M$1,$B$1)</f>
        <v>0</v>
      </c>
      <c r="N59" s="124" cm="1">
        <f t="array" ref="N59">_xll.EQNXTDZ($A$1,$B59,N$1,$B$1)</f>
        <v>0</v>
      </c>
      <c r="O59" s="124" cm="1">
        <f t="array" ref="O59">_xll.EQNXTDZ($A$1,$B59,O$1,$B$1)</f>
        <v>0</v>
      </c>
      <c r="P59" s="124" cm="1">
        <f t="array" ref="P59">_xll.EQNXTDZ($A$1,$B59,P$1,$B$1)</f>
        <v>0</v>
      </c>
      <c r="Q59" s="124" cm="1">
        <f t="array" ref="Q59">_xll.EQNXTDZ($A$1,$B59,Q$1,$B$1)</f>
        <v>0</v>
      </c>
      <c r="R59" s="124" cm="1">
        <f t="array" ref="R59">_xll.EQNXTDZ($A$1,$B59,R$1,$B$1)</f>
        <v>0</v>
      </c>
      <c r="S59" s="124" cm="1">
        <f t="array" ref="S59">_xll.EQNXTDZ($A$1,$B59,S$1,$B$1)</f>
        <v>0</v>
      </c>
      <c r="T59" s="124" cm="1">
        <f t="array" ref="T59">_xll.EQNXTDZ($A$1,$B59,T$1,$B$1)</f>
        <v>0</v>
      </c>
      <c r="U59" s="124" cm="1">
        <f t="array" ref="U59">_xll.EQNXTDZ($A$1,$B59,U$1,$B$1)</f>
        <v>0</v>
      </c>
      <c r="V59" s="124" cm="1">
        <f t="array" ref="V59">_xll.EQNXTDZ($A$1,$B59,V$1,$B$1)</f>
        <v>0</v>
      </c>
      <c r="W59" s="124" cm="1">
        <f t="array" ref="W59">_xll.EQNXTDZ($A$1,$B59,W$1,$B$1)</f>
        <v>0</v>
      </c>
      <c r="X59" s="124" cm="1">
        <f t="array" ref="X59">_xll.EQNXTDZ($A$1,$B59,X$1,$B$1)</f>
        <v>0</v>
      </c>
      <c r="Y59" s="124" cm="1">
        <f t="array" ref="Y59">_xll.EQNXTDZ($A$1,$B59,Y$1,$B$1)</f>
        <v>0</v>
      </c>
      <c r="Z59" s="124" cm="1">
        <f t="array" ref="Z59">_xll.EQNXTDZ($A$1,$B59,Z$1,$B$1)</f>
        <v>0</v>
      </c>
      <c r="AA59" s="124" cm="1">
        <f t="array" ref="AA59">_xll.EQNXTDZ($A$1,$B59,AA$1,$B$1)</f>
        <v>0</v>
      </c>
      <c r="AB59" s="124" cm="1">
        <f t="array" ref="AB59">_xll.EQNXTDZ($A$1,$B59,AB$1,$B$1)</f>
        <v>0</v>
      </c>
      <c r="AC59" s="124" cm="1">
        <f t="array" ref="AC59">_xll.EQNXTDZ($A$1,$B59,AC$1,$B$1)</f>
        <v>0</v>
      </c>
      <c r="AD59" s="124" cm="1">
        <f t="array" ref="AD59">_xll.EQNXTDZ($A$1,$B59,AD$1,$B$1)</f>
        <v>0</v>
      </c>
      <c r="AE59" s="124" cm="1">
        <f t="array" ref="AE59">_xll.EQNXTDZ($A$1,$B59,AE$1,$B$1)</f>
        <v>0</v>
      </c>
      <c r="AF59" s="124" cm="1">
        <f t="array" ref="AF59">_xll.EQNXTDZ($A$1,$B59,AF$1,$B$1)</f>
        <v>0</v>
      </c>
    </row>
    <row r="60" spans="1:32" x14ac:dyDescent="0.25">
      <c r="A60" t="s">
        <v>127</v>
      </c>
      <c r="B60" t="s">
        <v>131</v>
      </c>
      <c r="C60" s="124" cm="1">
        <f t="array" ref="C60">_xll.EQNXTDZ($A$1,$B60,C$1,$B$1)</f>
        <v>0</v>
      </c>
      <c r="D60" s="124" cm="1">
        <f t="array" ref="D60">_xll.EQNXTDZ($A$1,$B60,D$1,$B$1)</f>
        <v>0</v>
      </c>
      <c r="E60" s="124" cm="1">
        <f t="array" ref="E60">_xll.EQNXTDZ($A$1,$B60,E$1,$B$1)</f>
        <v>0</v>
      </c>
      <c r="F60" s="124" cm="1">
        <f t="array" ref="F60">_xll.EQNXTDZ($A$1,$B60,F$1,$B$1)</f>
        <v>0</v>
      </c>
      <c r="G60" s="124" cm="1">
        <f t="array" ref="G60">_xll.EQNXTDZ($A$1,$B60,G$1,$B$1)</f>
        <v>0</v>
      </c>
      <c r="H60" s="124" cm="1">
        <f t="array" ref="H60">_xll.EQNXTDZ($A$1,$B60,H$1,$B$1)</f>
        <v>0</v>
      </c>
      <c r="I60" s="124" cm="1">
        <f t="array" ref="I60">_xll.EQNXTDZ($A$1,$B60,I$1,$B$1)</f>
        <v>0</v>
      </c>
      <c r="J60" s="124" cm="1">
        <f t="array" ref="J60">_xll.EQNXTDZ($A$1,$B60,J$1,$B$1)</f>
        <v>0</v>
      </c>
      <c r="K60" s="124" cm="1">
        <f t="array" ref="K60">_xll.EQNXTDZ($A$1,$B60,K$1,$B$1)</f>
        <v>0</v>
      </c>
      <c r="L60" s="124" cm="1">
        <f t="array" ref="L60">_xll.EQNXTDZ($A$1,$B60,L$1,$B$1)</f>
        <v>0</v>
      </c>
      <c r="M60" s="124" cm="1">
        <f t="array" ref="M60">_xll.EQNXTDZ($A$1,$B60,M$1,$B$1)</f>
        <v>0</v>
      </c>
      <c r="N60" s="124" cm="1">
        <f t="array" ref="N60">_xll.EQNXTDZ($A$1,$B60,N$1,$B$1)</f>
        <v>0</v>
      </c>
      <c r="O60" s="124" cm="1">
        <f t="array" ref="O60">_xll.EQNXTDZ($A$1,$B60,O$1,$B$1)</f>
        <v>0</v>
      </c>
      <c r="P60" s="124" cm="1">
        <f t="array" ref="P60">_xll.EQNXTDZ($A$1,$B60,P$1,$B$1)</f>
        <v>0</v>
      </c>
      <c r="Q60" s="124" cm="1">
        <f t="array" ref="Q60">_xll.EQNXTDZ($A$1,$B60,Q$1,$B$1)</f>
        <v>0</v>
      </c>
      <c r="R60" s="124" cm="1">
        <f t="array" ref="R60">_xll.EQNXTDZ($A$1,$B60,R$1,$B$1)</f>
        <v>0</v>
      </c>
      <c r="S60" s="124" cm="1">
        <f t="array" ref="S60">_xll.EQNXTDZ($A$1,$B60,S$1,$B$1)</f>
        <v>0</v>
      </c>
      <c r="T60" s="124" cm="1">
        <f t="array" ref="T60">_xll.EQNXTDZ($A$1,$B60,T$1,$B$1)</f>
        <v>0</v>
      </c>
      <c r="U60" s="124" cm="1">
        <f t="array" ref="U60">_xll.EQNXTDZ($A$1,$B60,U$1,$B$1)</f>
        <v>0</v>
      </c>
      <c r="V60" s="124" cm="1">
        <f t="array" ref="V60">_xll.EQNXTDZ($A$1,$B60,V$1,$B$1)</f>
        <v>0</v>
      </c>
      <c r="W60" s="124" cm="1">
        <f t="array" ref="W60">_xll.EQNXTDZ($A$1,$B60,W$1,$B$1)</f>
        <v>0</v>
      </c>
      <c r="X60" s="124" cm="1">
        <f t="array" ref="X60">_xll.EQNXTDZ($A$1,$B60,X$1,$B$1)</f>
        <v>0</v>
      </c>
      <c r="Y60" s="124" cm="1">
        <f t="array" ref="Y60">_xll.EQNXTDZ($A$1,$B60,Y$1,$B$1)</f>
        <v>0</v>
      </c>
      <c r="Z60" s="124" cm="1">
        <f t="array" ref="Z60">_xll.EQNXTDZ($A$1,$B60,Z$1,$B$1)</f>
        <v>0</v>
      </c>
      <c r="AA60" s="124" cm="1">
        <f t="array" ref="AA60">_xll.EQNXTDZ($A$1,$B60,AA$1,$B$1)</f>
        <v>0</v>
      </c>
      <c r="AB60" s="124" cm="1">
        <f t="array" ref="AB60">_xll.EQNXTDZ($A$1,$B60,AB$1,$B$1)</f>
        <v>0</v>
      </c>
      <c r="AC60" s="124" cm="1">
        <f t="array" ref="AC60">_xll.EQNXTDZ($A$1,$B60,AC$1,$B$1)</f>
        <v>0</v>
      </c>
      <c r="AD60" s="124" cm="1">
        <f t="array" ref="AD60">_xll.EQNXTDZ($A$1,$B60,AD$1,$B$1)</f>
        <v>0</v>
      </c>
      <c r="AE60" s="124" cm="1">
        <f t="array" ref="AE60">_xll.EQNXTDZ($A$1,$B60,AE$1,$B$1)</f>
        <v>0</v>
      </c>
      <c r="AF60" s="124" cm="1">
        <f t="array" ref="AF60">_xll.EQNXTDZ($A$1,$B60,AF$1,$B$1)</f>
        <v>0</v>
      </c>
    </row>
    <row r="61" spans="1:32" x14ac:dyDescent="0.25">
      <c r="A61" t="s">
        <v>128</v>
      </c>
      <c r="B61" t="s">
        <v>132</v>
      </c>
      <c r="C61" s="124" cm="1">
        <f t="array" ref="C61">_xll.EQNXTDZ($A$1,$B61,C$1,$B$1)</f>
        <v>0</v>
      </c>
      <c r="D61" s="124" cm="1">
        <f t="array" ref="D61">_xll.EQNXTDZ($A$1,$B61,D$1,$B$1)</f>
        <v>0</v>
      </c>
      <c r="E61" s="124" cm="1">
        <f t="array" ref="E61">_xll.EQNXTDZ($A$1,$B61,E$1,$B$1)</f>
        <v>0</v>
      </c>
      <c r="F61" s="124" cm="1">
        <f t="array" ref="F61">_xll.EQNXTDZ($A$1,$B61,F$1,$B$1)</f>
        <v>0</v>
      </c>
      <c r="G61" s="124" cm="1">
        <f t="array" ref="G61">_xll.EQNXTDZ($A$1,$B61,G$1,$B$1)</f>
        <v>0</v>
      </c>
      <c r="H61" s="124" cm="1">
        <f t="array" ref="H61">_xll.EQNXTDZ($A$1,$B61,H$1,$B$1)</f>
        <v>0</v>
      </c>
      <c r="I61" s="124" cm="1">
        <f t="array" ref="I61">_xll.EQNXTDZ($A$1,$B61,I$1,$B$1)</f>
        <v>0</v>
      </c>
      <c r="J61" s="124" cm="1">
        <f t="array" ref="J61">_xll.EQNXTDZ($A$1,$B61,J$1,$B$1)</f>
        <v>0</v>
      </c>
      <c r="K61" s="124" cm="1">
        <f t="array" ref="K61">_xll.EQNXTDZ($A$1,$B61,K$1,$B$1)</f>
        <v>0</v>
      </c>
      <c r="L61" s="124" cm="1">
        <f t="array" ref="L61">_xll.EQNXTDZ($A$1,$B61,L$1,$B$1)</f>
        <v>0</v>
      </c>
      <c r="M61" s="124" cm="1">
        <f t="array" ref="M61">_xll.EQNXTDZ($A$1,$B61,M$1,$B$1)</f>
        <v>0</v>
      </c>
      <c r="N61" s="124" cm="1">
        <f t="array" ref="N61">_xll.EQNXTDZ($A$1,$B61,N$1,$B$1)</f>
        <v>0</v>
      </c>
      <c r="O61" s="124" cm="1">
        <f t="array" ref="O61">_xll.EQNXTDZ($A$1,$B61,O$1,$B$1)</f>
        <v>0</v>
      </c>
      <c r="P61" s="124" cm="1">
        <f t="array" ref="P61">_xll.EQNXTDZ($A$1,$B61,P$1,$B$1)</f>
        <v>0</v>
      </c>
      <c r="Q61" s="124" cm="1">
        <f t="array" ref="Q61">_xll.EQNXTDZ($A$1,$B61,Q$1,$B$1)</f>
        <v>0</v>
      </c>
      <c r="R61" s="124" cm="1">
        <f t="array" ref="R61">_xll.EQNXTDZ($A$1,$B61,R$1,$B$1)</f>
        <v>0</v>
      </c>
      <c r="S61" s="124" cm="1">
        <f t="array" ref="S61">_xll.EQNXTDZ($A$1,$B61,S$1,$B$1)</f>
        <v>0</v>
      </c>
      <c r="T61" s="124" cm="1">
        <f t="array" ref="T61">_xll.EQNXTDZ($A$1,$B61,T$1,$B$1)</f>
        <v>0</v>
      </c>
      <c r="U61" s="124" cm="1">
        <f t="array" ref="U61">_xll.EQNXTDZ($A$1,$B61,U$1,$B$1)</f>
        <v>0</v>
      </c>
      <c r="V61" s="124" cm="1">
        <f t="array" ref="V61">_xll.EQNXTDZ($A$1,$B61,V$1,$B$1)</f>
        <v>0</v>
      </c>
      <c r="W61" s="124" cm="1">
        <f t="array" ref="W61">_xll.EQNXTDZ($A$1,$B61,W$1,$B$1)</f>
        <v>0</v>
      </c>
      <c r="X61" s="124" cm="1">
        <f t="array" ref="X61">_xll.EQNXTDZ($A$1,$B61,X$1,$B$1)</f>
        <v>0</v>
      </c>
      <c r="Y61" s="124" cm="1">
        <f t="array" ref="Y61">_xll.EQNXTDZ($A$1,$B61,Y$1,$B$1)</f>
        <v>0</v>
      </c>
      <c r="Z61" s="124" cm="1">
        <f t="array" ref="Z61">_xll.EQNXTDZ($A$1,$B61,Z$1,$B$1)</f>
        <v>0</v>
      </c>
      <c r="AA61" s="124" cm="1">
        <f t="array" ref="AA61">_xll.EQNXTDZ($A$1,$B61,AA$1,$B$1)</f>
        <v>0</v>
      </c>
      <c r="AB61" s="124" cm="1">
        <f t="array" ref="AB61">_xll.EQNXTDZ($A$1,$B61,AB$1,$B$1)</f>
        <v>0</v>
      </c>
      <c r="AC61" s="124" cm="1">
        <f t="array" ref="AC61">_xll.EQNXTDZ($A$1,$B61,AC$1,$B$1)</f>
        <v>0</v>
      </c>
      <c r="AD61" s="124" cm="1">
        <f t="array" ref="AD61">_xll.EQNXTDZ($A$1,$B61,AD$1,$B$1)</f>
        <v>0</v>
      </c>
      <c r="AE61" s="124" cm="1">
        <f t="array" ref="AE61">_xll.EQNXTDZ($A$1,$B61,AE$1,$B$1)</f>
        <v>0</v>
      </c>
      <c r="AF61" s="124" cm="1">
        <f t="array" ref="AF61">_xll.EQNXTDZ($A$1,$B61,AF$1,$B$1)</f>
        <v>0</v>
      </c>
    </row>
    <row r="62" spans="1:32" s="106" customFormat="1" x14ac:dyDescent="0.25">
      <c r="A62" s="106" t="s">
        <v>121</v>
      </c>
      <c r="B62" s="106" t="s">
        <v>124</v>
      </c>
      <c r="C62" s="124" cm="1">
        <f t="array" ref="C62">_xll.EQNXTDZ($A$1,$B62,C$1,$B$1)</f>
        <v>0</v>
      </c>
      <c r="D62" s="124" cm="1">
        <f t="array" ref="D62">_xll.EQNXTDZ($A$1,$B62,D$1,$B$1)</f>
        <v>0</v>
      </c>
      <c r="E62" s="124" cm="1">
        <f t="array" ref="E62">_xll.EQNXTDZ($A$1,$B62,E$1,$B$1)</f>
        <v>0</v>
      </c>
      <c r="F62" s="124" cm="1">
        <f t="array" ref="F62">_xll.EQNXTDZ($A$1,$B62,F$1,$B$1)</f>
        <v>0</v>
      </c>
      <c r="G62" s="124" cm="1">
        <f t="array" ref="G62">_xll.EQNXTDZ($A$1,$B62,G$1,$B$1)</f>
        <v>0</v>
      </c>
      <c r="H62" s="124" cm="1">
        <f t="array" ref="H62">_xll.EQNXTDZ($A$1,$B62,H$1,$B$1)</f>
        <v>0</v>
      </c>
      <c r="I62" s="124" cm="1">
        <f t="array" ref="I62">_xll.EQNXTDZ($A$1,$B62,I$1,$B$1)</f>
        <v>0</v>
      </c>
      <c r="J62" s="124" cm="1">
        <f t="array" ref="J62">_xll.EQNXTDZ($A$1,$B62,J$1,$B$1)</f>
        <v>0</v>
      </c>
      <c r="K62" s="124" cm="1">
        <f t="array" ref="K62">_xll.EQNXTDZ($A$1,$B62,K$1,$B$1)</f>
        <v>0</v>
      </c>
      <c r="L62" s="124" cm="1">
        <f t="array" ref="L62">_xll.EQNXTDZ($A$1,$B62,L$1,$B$1)</f>
        <v>0</v>
      </c>
      <c r="M62" s="124" cm="1">
        <f t="array" ref="M62">_xll.EQNXTDZ($A$1,$B62,M$1,$B$1)</f>
        <v>0</v>
      </c>
      <c r="N62" s="124" cm="1">
        <f t="array" ref="N62">_xll.EQNXTDZ($A$1,$B62,N$1,$B$1)</f>
        <v>0</v>
      </c>
      <c r="O62" s="124" cm="1">
        <f t="array" ref="O62">_xll.EQNXTDZ($A$1,$B62,O$1,$B$1)</f>
        <v>0</v>
      </c>
      <c r="P62" s="124" cm="1">
        <f t="array" ref="P62">_xll.EQNXTDZ($A$1,$B62,P$1,$B$1)</f>
        <v>0</v>
      </c>
      <c r="Q62" s="124" cm="1">
        <f t="array" ref="Q62">_xll.EQNXTDZ($A$1,$B62,Q$1,$B$1)</f>
        <v>0</v>
      </c>
      <c r="R62" s="124" cm="1">
        <f t="array" ref="R62">_xll.EQNXTDZ($A$1,$B62,R$1,$B$1)</f>
        <v>0</v>
      </c>
      <c r="S62" s="124" cm="1">
        <f t="array" ref="S62">_xll.EQNXTDZ($A$1,$B62,S$1,$B$1)</f>
        <v>0</v>
      </c>
      <c r="T62" s="124" cm="1">
        <f t="array" ref="T62">_xll.EQNXTDZ($A$1,$B62,T$1,$B$1)</f>
        <v>0</v>
      </c>
      <c r="U62" s="124" cm="1">
        <f t="array" ref="U62">_xll.EQNXTDZ($A$1,$B62,U$1,$B$1)</f>
        <v>0</v>
      </c>
      <c r="V62" s="124" cm="1">
        <f t="array" ref="V62">_xll.EQNXTDZ($A$1,$B62,V$1,$B$1)</f>
        <v>0</v>
      </c>
      <c r="W62" s="124" cm="1">
        <f t="array" ref="W62">_xll.EQNXTDZ($A$1,$B62,W$1,$B$1)</f>
        <v>0</v>
      </c>
      <c r="X62" s="124" cm="1">
        <f t="array" ref="X62">_xll.EQNXTDZ($A$1,$B62,X$1,$B$1)</f>
        <v>0</v>
      </c>
      <c r="Y62" s="124" cm="1">
        <f t="array" ref="Y62">_xll.EQNXTDZ($A$1,$B62,Y$1,$B$1)</f>
        <v>0</v>
      </c>
      <c r="Z62" s="124" cm="1">
        <f t="array" ref="Z62">_xll.EQNXTDZ($A$1,$B62,Z$1,$B$1)</f>
        <v>0</v>
      </c>
      <c r="AA62" s="124" cm="1">
        <f t="array" ref="AA62">_xll.EQNXTDZ($A$1,$B62,AA$1,$B$1)</f>
        <v>0</v>
      </c>
      <c r="AB62" s="124" cm="1">
        <f t="array" ref="AB62">_xll.EQNXTDZ($A$1,$B62,AB$1,$B$1)</f>
        <v>0</v>
      </c>
      <c r="AC62" s="124" cm="1">
        <f t="array" ref="AC62">_xll.EQNXTDZ($A$1,$B62,AC$1,$B$1)</f>
        <v>0</v>
      </c>
      <c r="AD62" s="124" cm="1">
        <f t="array" ref="AD62">_xll.EQNXTDZ($A$1,$B62,AD$1,$B$1)</f>
        <v>0</v>
      </c>
      <c r="AE62" s="124" cm="1">
        <f t="array" ref="AE62">_xll.EQNXTDZ($A$1,$B62,AE$1,$B$1)</f>
        <v>0</v>
      </c>
      <c r="AF62" s="124" cm="1">
        <f t="array" ref="AF62">_xll.EQNXTDZ($A$1,$B62,AF$1,$B$1)</f>
        <v>0</v>
      </c>
    </row>
    <row r="63" spans="1:32" s="106" customFormat="1" x14ac:dyDescent="0.25">
      <c r="A63" s="106" t="s">
        <v>122</v>
      </c>
      <c r="B63" s="106" t="s">
        <v>125</v>
      </c>
      <c r="C63" s="124" cm="1">
        <f t="array" ref="C63">_xll.EQNXTDZ($A$1,$B63,C$1,$B$1)</f>
        <v>0</v>
      </c>
      <c r="D63" s="124" cm="1">
        <f t="array" ref="D63">_xll.EQNXTDZ($A$1,$B63,D$1,$B$1)</f>
        <v>0</v>
      </c>
      <c r="E63" s="124" cm="1">
        <f t="array" ref="E63">_xll.EQNXTDZ($A$1,$B63,E$1,$B$1)</f>
        <v>0</v>
      </c>
      <c r="F63" s="124" cm="1">
        <f t="array" ref="F63">_xll.EQNXTDZ($A$1,$B63,F$1,$B$1)</f>
        <v>0</v>
      </c>
      <c r="G63" s="124" cm="1">
        <f t="array" ref="G63">_xll.EQNXTDZ($A$1,$B63,G$1,$B$1)</f>
        <v>0</v>
      </c>
      <c r="H63" s="124" cm="1">
        <f t="array" ref="H63">_xll.EQNXTDZ($A$1,$B63,H$1,$B$1)</f>
        <v>0</v>
      </c>
      <c r="I63" s="124" cm="1">
        <f t="array" ref="I63">_xll.EQNXTDZ($A$1,$B63,I$1,$B$1)</f>
        <v>0</v>
      </c>
      <c r="J63" s="124" cm="1">
        <f t="array" ref="J63">_xll.EQNXTDZ($A$1,$B63,J$1,$B$1)</f>
        <v>0</v>
      </c>
      <c r="K63" s="124" cm="1">
        <f t="array" ref="K63">_xll.EQNXTDZ($A$1,$B63,K$1,$B$1)</f>
        <v>0</v>
      </c>
      <c r="L63" s="124" cm="1">
        <f t="array" ref="L63">_xll.EQNXTDZ($A$1,$B63,L$1,$B$1)</f>
        <v>0</v>
      </c>
      <c r="M63" s="124" cm="1">
        <f t="array" ref="M63">_xll.EQNXTDZ($A$1,$B63,M$1,$B$1)</f>
        <v>0</v>
      </c>
      <c r="N63" s="124" cm="1">
        <f t="array" ref="N63">_xll.EQNXTDZ($A$1,$B63,N$1,$B$1)</f>
        <v>0</v>
      </c>
      <c r="O63" s="124" cm="1">
        <f t="array" ref="O63">_xll.EQNXTDZ($A$1,$B63,O$1,$B$1)</f>
        <v>0</v>
      </c>
      <c r="P63" s="124" cm="1">
        <f t="array" ref="P63">_xll.EQNXTDZ($A$1,$B63,P$1,$B$1)</f>
        <v>0</v>
      </c>
      <c r="Q63" s="124" cm="1">
        <f t="array" ref="Q63">_xll.EQNXTDZ($A$1,$B63,Q$1,$B$1)</f>
        <v>0</v>
      </c>
      <c r="R63" s="124" cm="1">
        <f t="array" ref="R63">_xll.EQNXTDZ($A$1,$B63,R$1,$B$1)</f>
        <v>0</v>
      </c>
      <c r="S63" s="124" cm="1">
        <f t="array" ref="S63">_xll.EQNXTDZ($A$1,$B63,S$1,$B$1)</f>
        <v>0</v>
      </c>
      <c r="T63" s="124" cm="1">
        <f t="array" ref="T63">_xll.EQNXTDZ($A$1,$B63,T$1,$B$1)</f>
        <v>0</v>
      </c>
      <c r="U63" s="124" cm="1">
        <f t="array" ref="U63">_xll.EQNXTDZ($A$1,$B63,U$1,$B$1)</f>
        <v>0</v>
      </c>
      <c r="V63" s="124" cm="1">
        <f t="array" ref="V63">_xll.EQNXTDZ($A$1,$B63,V$1,$B$1)</f>
        <v>0</v>
      </c>
      <c r="W63" s="124" cm="1">
        <f t="array" ref="W63">_xll.EQNXTDZ($A$1,$B63,W$1,$B$1)</f>
        <v>0</v>
      </c>
      <c r="X63" s="124" cm="1">
        <f t="array" ref="X63">_xll.EQNXTDZ($A$1,$B63,X$1,$B$1)</f>
        <v>0</v>
      </c>
      <c r="Y63" s="124" cm="1">
        <f t="array" ref="Y63">_xll.EQNXTDZ($A$1,$B63,Y$1,$B$1)</f>
        <v>0</v>
      </c>
      <c r="Z63" s="124" cm="1">
        <f t="array" ref="Z63">_xll.EQNXTDZ($A$1,$B63,Z$1,$B$1)</f>
        <v>0</v>
      </c>
      <c r="AA63" s="124" cm="1">
        <f t="array" ref="AA63">_xll.EQNXTDZ($A$1,$B63,AA$1,$B$1)</f>
        <v>0</v>
      </c>
      <c r="AB63" s="124" cm="1">
        <f t="array" ref="AB63">_xll.EQNXTDZ($A$1,$B63,AB$1,$B$1)</f>
        <v>0</v>
      </c>
      <c r="AC63" s="124" cm="1">
        <f t="array" ref="AC63">_xll.EQNXTDZ($A$1,$B63,AC$1,$B$1)</f>
        <v>0</v>
      </c>
      <c r="AD63" s="124" cm="1">
        <f t="array" ref="AD63">_xll.EQNXTDZ($A$1,$B63,AD$1,$B$1)</f>
        <v>0</v>
      </c>
      <c r="AE63" s="124" cm="1">
        <f t="array" ref="AE63">_xll.EQNXTDZ($A$1,$B63,AE$1,$B$1)</f>
        <v>0</v>
      </c>
      <c r="AF63" s="124" cm="1">
        <f t="array" ref="AF63">_xll.EQNXTDZ($A$1,$B63,AF$1,$B$1)</f>
        <v>0</v>
      </c>
    </row>
    <row r="64" spans="1:32" x14ac:dyDescent="0.25">
      <c r="A64" t="s">
        <v>135</v>
      </c>
      <c r="B64" t="s">
        <v>144</v>
      </c>
      <c r="C64" s="124" cm="1">
        <f t="array" ref="C64">_xll.EQNXTDZ($A$1,$B64,C$1,$B$1)</f>
        <v>0</v>
      </c>
      <c r="D64" s="124" cm="1">
        <f t="array" ref="D64">_xll.EQNXTDZ($A$1,$B64,D$1,$B$1)</f>
        <v>0</v>
      </c>
      <c r="E64" s="124" cm="1">
        <f t="array" ref="E64">_xll.EQNXTDZ($A$1,$B64,E$1,$B$1)</f>
        <v>0</v>
      </c>
      <c r="F64" s="124" cm="1">
        <f t="array" ref="F64">_xll.EQNXTDZ($A$1,$B64,F$1,$B$1)</f>
        <v>0</v>
      </c>
      <c r="G64" s="124" cm="1">
        <f t="array" ref="G64">_xll.EQNXTDZ($A$1,$B64,G$1,$B$1)</f>
        <v>0</v>
      </c>
      <c r="H64" s="124" cm="1">
        <f t="array" ref="H64">_xll.EQNXTDZ($A$1,$B64,H$1,$B$1)</f>
        <v>0</v>
      </c>
      <c r="I64" s="124" cm="1">
        <f t="array" ref="I64">_xll.EQNXTDZ($A$1,$B64,I$1,$B$1)</f>
        <v>0</v>
      </c>
      <c r="J64" s="124" cm="1">
        <f t="array" ref="J64">_xll.EQNXTDZ($A$1,$B64,J$1,$B$1)</f>
        <v>0</v>
      </c>
      <c r="K64" s="124" cm="1">
        <f t="array" ref="K64">_xll.EQNXTDZ($A$1,$B64,K$1,$B$1)</f>
        <v>0</v>
      </c>
      <c r="L64" s="124" cm="1">
        <f t="array" ref="L64">_xll.EQNXTDZ($A$1,$B64,L$1,$B$1)</f>
        <v>0</v>
      </c>
      <c r="M64" s="124" cm="1">
        <f t="array" ref="M64">_xll.EQNXTDZ($A$1,$B64,M$1,$B$1)</f>
        <v>0</v>
      </c>
      <c r="N64" s="124" cm="1">
        <f t="array" ref="N64">_xll.EQNXTDZ($A$1,$B64,N$1,$B$1)</f>
        <v>0</v>
      </c>
      <c r="O64" s="124" cm="1">
        <f t="array" ref="O64">_xll.EQNXTDZ($A$1,$B64,O$1,$B$1)</f>
        <v>0</v>
      </c>
      <c r="P64" s="124" cm="1">
        <f t="array" ref="P64">_xll.EQNXTDZ($A$1,$B64,P$1,$B$1)</f>
        <v>0</v>
      </c>
      <c r="Q64" s="124" cm="1">
        <f t="array" ref="Q64">_xll.EQNXTDZ($A$1,$B64,Q$1,$B$1)</f>
        <v>0</v>
      </c>
      <c r="R64" s="124" cm="1">
        <f t="array" ref="R64">_xll.EQNXTDZ($A$1,$B64,R$1,$B$1)</f>
        <v>0</v>
      </c>
      <c r="S64" s="124" cm="1">
        <f t="array" ref="S64">_xll.EQNXTDZ($A$1,$B64,S$1,$B$1)</f>
        <v>0</v>
      </c>
      <c r="T64" s="124" cm="1">
        <f t="array" ref="T64">_xll.EQNXTDZ($A$1,$B64,T$1,$B$1)</f>
        <v>0</v>
      </c>
      <c r="U64" s="124" cm="1">
        <f t="array" ref="U64">_xll.EQNXTDZ($A$1,$B64,U$1,$B$1)</f>
        <v>0</v>
      </c>
      <c r="V64" s="124" cm="1">
        <f t="array" ref="V64">_xll.EQNXTDZ($A$1,$B64,V$1,$B$1)</f>
        <v>0</v>
      </c>
      <c r="W64" s="124" cm="1">
        <f t="array" ref="W64">_xll.EQNXTDZ($A$1,$B64,W$1,$B$1)</f>
        <v>0</v>
      </c>
      <c r="X64" s="124" cm="1">
        <f t="array" ref="X64">_xll.EQNXTDZ($A$1,$B64,X$1,$B$1)</f>
        <v>0</v>
      </c>
      <c r="Y64" s="124" cm="1">
        <f t="array" ref="Y64">_xll.EQNXTDZ($A$1,$B64,Y$1,$B$1)</f>
        <v>0</v>
      </c>
      <c r="Z64" s="124" cm="1">
        <f t="array" ref="Z64">_xll.EQNXTDZ($A$1,$B64,Z$1,$B$1)</f>
        <v>0</v>
      </c>
      <c r="AA64" s="124" cm="1">
        <f t="array" ref="AA64">_xll.EQNXTDZ($A$1,$B64,AA$1,$B$1)</f>
        <v>0</v>
      </c>
      <c r="AB64" s="124" cm="1">
        <f t="array" ref="AB64">_xll.EQNXTDZ($A$1,$B64,AB$1,$B$1)</f>
        <v>0</v>
      </c>
      <c r="AC64" s="124" cm="1">
        <f t="array" ref="AC64">_xll.EQNXTDZ($A$1,$B64,AC$1,$B$1)</f>
        <v>0</v>
      </c>
      <c r="AD64" s="124" cm="1">
        <f t="array" ref="AD64">_xll.EQNXTDZ($A$1,$B64,AD$1,$B$1)</f>
        <v>0</v>
      </c>
      <c r="AE64" s="124" cm="1">
        <f t="array" ref="AE64">_xll.EQNXTDZ($A$1,$B64,AE$1,$B$1)</f>
        <v>0</v>
      </c>
      <c r="AF64" s="124" cm="1">
        <f t="array" ref="AF64">_xll.EQNXTDZ($A$1,$B64,AF$1,$B$1)</f>
        <v>0</v>
      </c>
    </row>
    <row r="65" spans="1:32" x14ac:dyDescent="0.25">
      <c r="A65" t="s">
        <v>129</v>
      </c>
      <c r="B65" t="s">
        <v>133</v>
      </c>
      <c r="C65" s="124" cm="1">
        <f t="array" ref="C65">_xll.EQNXTDZ($A$1,$B65,C$1,$B$1)</f>
        <v>0</v>
      </c>
      <c r="D65" s="124" cm="1">
        <f t="array" ref="D65">_xll.EQNXTDZ($A$1,$B65,D$1,$B$1)</f>
        <v>0</v>
      </c>
      <c r="E65" s="124" cm="1">
        <f t="array" ref="E65">_xll.EQNXTDZ($A$1,$B65,E$1,$B$1)</f>
        <v>0</v>
      </c>
      <c r="F65" s="124" cm="1">
        <f t="array" ref="F65">_xll.EQNXTDZ($A$1,$B65,F$1,$B$1)</f>
        <v>0</v>
      </c>
      <c r="G65" s="124" cm="1">
        <f t="array" ref="G65">_xll.EQNXTDZ($A$1,$B65,G$1,$B$1)</f>
        <v>0</v>
      </c>
      <c r="H65" s="124" cm="1">
        <f t="array" ref="H65">_xll.EQNXTDZ($A$1,$B65,H$1,$B$1)</f>
        <v>0</v>
      </c>
      <c r="I65" s="124" cm="1">
        <f t="array" ref="I65">_xll.EQNXTDZ($A$1,$B65,I$1,$B$1)</f>
        <v>0</v>
      </c>
      <c r="J65" s="124" cm="1">
        <f t="array" ref="J65">_xll.EQNXTDZ($A$1,$B65,J$1,$B$1)</f>
        <v>0</v>
      </c>
      <c r="K65" s="124" cm="1">
        <f t="array" ref="K65">_xll.EQNXTDZ($A$1,$B65,K$1,$B$1)</f>
        <v>0</v>
      </c>
      <c r="L65" s="124" cm="1">
        <f t="array" ref="L65">_xll.EQNXTDZ($A$1,$B65,L$1,$B$1)</f>
        <v>0</v>
      </c>
      <c r="M65" s="124" cm="1">
        <f t="array" ref="M65">_xll.EQNXTDZ($A$1,$B65,M$1,$B$1)</f>
        <v>0</v>
      </c>
      <c r="N65" s="124" cm="1">
        <f t="array" ref="N65">_xll.EQNXTDZ($A$1,$B65,N$1,$B$1)</f>
        <v>0</v>
      </c>
      <c r="O65" s="124" cm="1">
        <f t="array" ref="O65">_xll.EQNXTDZ($A$1,$B65,O$1,$B$1)</f>
        <v>0</v>
      </c>
      <c r="P65" s="124" cm="1">
        <f t="array" ref="P65">_xll.EQNXTDZ($A$1,$B65,P$1,$B$1)</f>
        <v>0</v>
      </c>
      <c r="Q65" s="124" cm="1">
        <f t="array" ref="Q65">_xll.EQNXTDZ($A$1,$B65,Q$1,$B$1)</f>
        <v>0</v>
      </c>
      <c r="R65" s="124" cm="1">
        <f t="array" ref="R65">_xll.EQNXTDZ($A$1,$B65,R$1,$B$1)</f>
        <v>0</v>
      </c>
      <c r="S65" s="124" cm="1">
        <f t="array" ref="S65">_xll.EQNXTDZ($A$1,$B65,S$1,$B$1)</f>
        <v>0</v>
      </c>
      <c r="T65" s="124" cm="1">
        <f t="array" ref="T65">_xll.EQNXTDZ($A$1,$B65,T$1,$B$1)</f>
        <v>0</v>
      </c>
      <c r="U65" s="124" cm="1">
        <f t="array" ref="U65">_xll.EQNXTDZ($A$1,$B65,U$1,$B$1)</f>
        <v>0</v>
      </c>
      <c r="V65" s="124" cm="1">
        <f t="array" ref="V65">_xll.EQNXTDZ($A$1,$B65,V$1,$B$1)</f>
        <v>0</v>
      </c>
      <c r="W65" s="124" cm="1">
        <f t="array" ref="W65">_xll.EQNXTDZ($A$1,$B65,W$1,$B$1)</f>
        <v>0</v>
      </c>
      <c r="X65" s="124" cm="1">
        <f t="array" ref="X65">_xll.EQNXTDZ($A$1,$B65,X$1,$B$1)</f>
        <v>0</v>
      </c>
      <c r="Y65" s="124" cm="1">
        <f t="array" ref="Y65">_xll.EQNXTDZ($A$1,$B65,Y$1,$B$1)</f>
        <v>0</v>
      </c>
      <c r="Z65" s="124" cm="1">
        <f t="array" ref="Z65">_xll.EQNXTDZ($A$1,$B65,Z$1,$B$1)</f>
        <v>0</v>
      </c>
      <c r="AA65" s="124" cm="1">
        <f t="array" ref="AA65">_xll.EQNXTDZ($A$1,$B65,AA$1,$B$1)</f>
        <v>0</v>
      </c>
      <c r="AB65" s="124" cm="1">
        <f t="array" ref="AB65">_xll.EQNXTDZ($A$1,$B65,AB$1,$B$1)</f>
        <v>0</v>
      </c>
      <c r="AC65" s="124" cm="1">
        <f t="array" ref="AC65">_xll.EQNXTDZ($A$1,$B65,AC$1,$B$1)</f>
        <v>0</v>
      </c>
      <c r="AD65" s="124" cm="1">
        <f t="array" ref="AD65">_xll.EQNXTDZ($A$1,$B65,AD$1,$B$1)</f>
        <v>0</v>
      </c>
      <c r="AE65" s="124" cm="1">
        <f t="array" ref="AE65">_xll.EQNXTDZ($A$1,$B65,AE$1,$B$1)</f>
        <v>0</v>
      </c>
      <c r="AF65" s="124" cm="1">
        <f t="array" ref="AF65">_xll.EQNXTDZ($A$1,$B65,AF$1,$B$1)</f>
        <v>0</v>
      </c>
    </row>
    <row r="66" spans="1:32" x14ac:dyDescent="0.25">
      <c r="A66" t="s">
        <v>140</v>
      </c>
      <c r="B66" t="s">
        <v>137</v>
      </c>
      <c r="C66" s="124" cm="1">
        <f t="array" ref="C66">_xll.EQNXTDZ($A$1,$B66,C$1,$B$1)</f>
        <v>0</v>
      </c>
      <c r="D66" s="124" cm="1">
        <f t="array" ref="D66">_xll.EQNXTDZ($A$1,$B66,D$1,$B$1)</f>
        <v>0</v>
      </c>
      <c r="E66" s="124" cm="1">
        <f t="array" ref="E66">_xll.EQNXTDZ($A$1,$B66,E$1,$B$1)</f>
        <v>0</v>
      </c>
      <c r="F66" s="124" cm="1">
        <f t="array" ref="F66">_xll.EQNXTDZ($A$1,$B66,F$1,$B$1)</f>
        <v>0</v>
      </c>
      <c r="G66" s="124" cm="1">
        <f t="array" ref="G66">_xll.EQNXTDZ($A$1,$B66,G$1,$B$1)</f>
        <v>0</v>
      </c>
      <c r="H66" s="124" cm="1">
        <f t="array" ref="H66">_xll.EQNXTDZ($A$1,$B66,H$1,$B$1)</f>
        <v>0</v>
      </c>
      <c r="I66" s="124" cm="1">
        <f t="array" ref="I66">_xll.EQNXTDZ($A$1,$B66,I$1,$B$1)</f>
        <v>0</v>
      </c>
      <c r="J66" s="124" cm="1">
        <f t="array" ref="J66">_xll.EQNXTDZ($A$1,$B66,J$1,$B$1)</f>
        <v>0</v>
      </c>
      <c r="K66" s="124" cm="1">
        <f t="array" ref="K66">_xll.EQNXTDZ($A$1,$B66,K$1,$B$1)</f>
        <v>0</v>
      </c>
      <c r="L66" s="124" cm="1">
        <f t="array" ref="L66">_xll.EQNXTDZ($A$1,$B66,L$1,$B$1)</f>
        <v>0</v>
      </c>
      <c r="M66" s="124" cm="1">
        <f t="array" ref="M66">_xll.EQNXTDZ($A$1,$B66,M$1,$B$1)</f>
        <v>0</v>
      </c>
      <c r="N66" s="124" cm="1">
        <f t="array" ref="N66">_xll.EQNXTDZ($A$1,$B66,N$1,$B$1)</f>
        <v>0</v>
      </c>
      <c r="O66" s="124" cm="1">
        <f t="array" ref="O66">_xll.EQNXTDZ($A$1,$B66,O$1,$B$1)</f>
        <v>0</v>
      </c>
      <c r="P66" s="124" cm="1">
        <f t="array" ref="P66">_xll.EQNXTDZ($A$1,$B66,P$1,$B$1)</f>
        <v>0</v>
      </c>
      <c r="Q66" s="124" cm="1">
        <f t="array" ref="Q66">_xll.EQNXTDZ($A$1,$B66,Q$1,$B$1)</f>
        <v>0</v>
      </c>
      <c r="R66" s="124" cm="1">
        <f t="array" ref="R66">_xll.EQNXTDZ($A$1,$B66,R$1,$B$1)</f>
        <v>0</v>
      </c>
      <c r="S66" s="124" cm="1">
        <f t="array" ref="S66">_xll.EQNXTDZ($A$1,$B66,S$1,$B$1)</f>
        <v>0</v>
      </c>
      <c r="T66" s="124" cm="1">
        <f t="array" ref="T66">_xll.EQNXTDZ($A$1,$B66,T$1,$B$1)</f>
        <v>0</v>
      </c>
      <c r="U66" s="124" cm="1">
        <f t="array" ref="U66">_xll.EQNXTDZ($A$1,$B66,U$1,$B$1)</f>
        <v>0</v>
      </c>
      <c r="V66" s="124" cm="1">
        <f t="array" ref="V66">_xll.EQNXTDZ($A$1,$B66,V$1,$B$1)</f>
        <v>0</v>
      </c>
      <c r="W66" s="124" cm="1">
        <f t="array" ref="W66">_xll.EQNXTDZ($A$1,$B66,W$1,$B$1)</f>
        <v>0</v>
      </c>
      <c r="X66" s="124" cm="1">
        <f t="array" ref="X66">_xll.EQNXTDZ($A$1,$B66,X$1,$B$1)</f>
        <v>0</v>
      </c>
      <c r="Y66" s="124" cm="1">
        <f t="array" ref="Y66">_xll.EQNXTDZ($A$1,$B66,Y$1,$B$1)</f>
        <v>0</v>
      </c>
      <c r="Z66" s="124" cm="1">
        <f t="array" ref="Z66">_xll.EQNXTDZ($A$1,$B66,Z$1,$B$1)</f>
        <v>0</v>
      </c>
      <c r="AA66" s="124" cm="1">
        <f t="array" ref="AA66">_xll.EQNXTDZ($A$1,$B66,AA$1,$B$1)</f>
        <v>0</v>
      </c>
      <c r="AB66" s="124" cm="1">
        <f t="array" ref="AB66">_xll.EQNXTDZ($A$1,$B66,AB$1,$B$1)</f>
        <v>0</v>
      </c>
      <c r="AC66" s="124" cm="1">
        <f t="array" ref="AC66">_xll.EQNXTDZ($A$1,$B66,AC$1,$B$1)</f>
        <v>0</v>
      </c>
      <c r="AD66" s="124" cm="1">
        <f t="array" ref="AD66">_xll.EQNXTDZ($A$1,$B66,AD$1,$B$1)</f>
        <v>0</v>
      </c>
      <c r="AE66" s="124" cm="1">
        <f t="array" ref="AE66">_xll.EQNXTDZ($A$1,$B66,AE$1,$B$1)</f>
        <v>0</v>
      </c>
      <c r="AF66" s="124" cm="1">
        <f t="array" ref="AF66">_xll.EQNXTDZ($A$1,$B66,AF$1,$B$1)</f>
        <v>0</v>
      </c>
    </row>
    <row r="67" spans="1:32" x14ac:dyDescent="0.25">
      <c r="A67" t="s">
        <v>141</v>
      </c>
      <c r="B67" t="s">
        <v>138</v>
      </c>
      <c r="C67" s="124" cm="1">
        <f t="array" ref="C67">_xll.EQNXTDZ($A$1,$B67,C$1,$B$1)</f>
        <v>0</v>
      </c>
      <c r="D67" s="124" cm="1">
        <f t="array" ref="D67">_xll.EQNXTDZ($A$1,$B67,D$1,$B$1)</f>
        <v>0</v>
      </c>
      <c r="E67" s="124" cm="1">
        <f t="array" ref="E67">_xll.EQNXTDZ($A$1,$B67,E$1,$B$1)</f>
        <v>0</v>
      </c>
      <c r="F67" s="124" cm="1">
        <f t="array" ref="F67">_xll.EQNXTDZ($A$1,$B67,F$1,$B$1)</f>
        <v>0</v>
      </c>
      <c r="G67" s="124" cm="1">
        <f t="array" ref="G67">_xll.EQNXTDZ($A$1,$B67,G$1,$B$1)</f>
        <v>0</v>
      </c>
      <c r="H67" s="124" cm="1">
        <f t="array" ref="H67">_xll.EQNXTDZ($A$1,$B67,H$1,$B$1)</f>
        <v>0</v>
      </c>
      <c r="I67" s="124" cm="1">
        <f t="array" ref="I67">_xll.EQNXTDZ($A$1,$B67,I$1,$B$1)</f>
        <v>0</v>
      </c>
      <c r="J67" s="124" cm="1">
        <f t="array" ref="J67">_xll.EQNXTDZ($A$1,$B67,J$1,$B$1)</f>
        <v>0</v>
      </c>
      <c r="K67" s="124" cm="1">
        <f t="array" ref="K67">_xll.EQNXTDZ($A$1,$B67,K$1,$B$1)</f>
        <v>0</v>
      </c>
      <c r="L67" s="124" cm="1">
        <f t="array" ref="L67">_xll.EQNXTDZ($A$1,$B67,L$1,$B$1)</f>
        <v>0</v>
      </c>
      <c r="M67" s="124" cm="1">
        <f t="array" ref="M67">_xll.EQNXTDZ($A$1,$B67,M$1,$B$1)</f>
        <v>0</v>
      </c>
      <c r="N67" s="124" cm="1">
        <f t="array" ref="N67">_xll.EQNXTDZ($A$1,$B67,N$1,$B$1)</f>
        <v>0</v>
      </c>
      <c r="O67" s="124" cm="1">
        <f t="array" ref="O67">_xll.EQNXTDZ($A$1,$B67,O$1,$B$1)</f>
        <v>0</v>
      </c>
      <c r="P67" s="124" cm="1">
        <f t="array" ref="P67">_xll.EQNXTDZ($A$1,$B67,P$1,$B$1)</f>
        <v>0</v>
      </c>
      <c r="Q67" s="124" cm="1">
        <f t="array" ref="Q67">_xll.EQNXTDZ($A$1,$B67,Q$1,$B$1)</f>
        <v>0</v>
      </c>
      <c r="R67" s="124" cm="1">
        <f t="array" ref="R67">_xll.EQNXTDZ($A$1,$B67,R$1,$B$1)</f>
        <v>0</v>
      </c>
      <c r="S67" s="124" cm="1">
        <f t="array" ref="S67">_xll.EQNXTDZ($A$1,$B67,S$1,$B$1)</f>
        <v>0</v>
      </c>
      <c r="T67" s="124" cm="1">
        <f t="array" ref="T67">_xll.EQNXTDZ($A$1,$B67,T$1,$B$1)</f>
        <v>0</v>
      </c>
      <c r="U67" s="124" cm="1">
        <f t="array" ref="U67">_xll.EQNXTDZ($A$1,$B67,U$1,$B$1)</f>
        <v>0</v>
      </c>
      <c r="V67" s="124" cm="1">
        <f t="array" ref="V67">_xll.EQNXTDZ($A$1,$B67,V$1,$B$1)</f>
        <v>0</v>
      </c>
      <c r="W67" s="124" cm="1">
        <f t="array" ref="W67">_xll.EQNXTDZ($A$1,$B67,W$1,$B$1)</f>
        <v>0</v>
      </c>
      <c r="X67" s="124" cm="1">
        <f t="array" ref="X67">_xll.EQNXTDZ($A$1,$B67,X$1,$B$1)</f>
        <v>0</v>
      </c>
      <c r="Y67" s="124" cm="1">
        <f t="array" ref="Y67">_xll.EQNXTDZ($A$1,$B67,Y$1,$B$1)</f>
        <v>0</v>
      </c>
      <c r="Z67" s="124" cm="1">
        <f t="array" ref="Z67">_xll.EQNXTDZ($A$1,$B67,Z$1,$B$1)</f>
        <v>0</v>
      </c>
      <c r="AA67" s="124" cm="1">
        <f t="array" ref="AA67">_xll.EQNXTDZ($A$1,$B67,AA$1,$B$1)</f>
        <v>0</v>
      </c>
      <c r="AB67" s="124" cm="1">
        <f t="array" ref="AB67">_xll.EQNXTDZ($A$1,$B67,AB$1,$B$1)</f>
        <v>0</v>
      </c>
      <c r="AC67" s="124" cm="1">
        <f t="array" ref="AC67">_xll.EQNXTDZ($A$1,$B67,AC$1,$B$1)</f>
        <v>0</v>
      </c>
      <c r="AD67" s="124" cm="1">
        <f t="array" ref="AD67">_xll.EQNXTDZ($A$1,$B67,AD$1,$B$1)</f>
        <v>0</v>
      </c>
      <c r="AE67" s="124" cm="1">
        <f t="array" ref="AE67">_xll.EQNXTDZ($A$1,$B67,AE$1,$B$1)</f>
        <v>0</v>
      </c>
      <c r="AF67" s="124" cm="1">
        <f t="array" ref="AF67">_xll.EQNXTDZ($A$1,$B67,AF$1,$B$1)</f>
        <v>0</v>
      </c>
    </row>
    <row r="68" spans="1:32" x14ac:dyDescent="0.25">
      <c r="A68" t="s">
        <v>136</v>
      </c>
      <c r="B68" t="s">
        <v>139</v>
      </c>
      <c r="C68" s="124" cm="1">
        <f t="array" ref="C68">_xll.EQNXTDZ($A$1,$B68,C$1,$B$1)</f>
        <v>0</v>
      </c>
      <c r="D68" s="124" cm="1">
        <f t="array" ref="D68">_xll.EQNXTDZ($A$1,$B68,D$1,$B$1)</f>
        <v>0</v>
      </c>
      <c r="E68" s="124" cm="1">
        <f t="array" ref="E68">_xll.EQNXTDZ($A$1,$B68,E$1,$B$1)</f>
        <v>0</v>
      </c>
      <c r="F68" s="124" cm="1">
        <f t="array" ref="F68">_xll.EQNXTDZ($A$1,$B68,F$1,$B$1)</f>
        <v>0</v>
      </c>
      <c r="G68" s="124" cm="1">
        <f t="array" ref="G68">_xll.EQNXTDZ($A$1,$B68,G$1,$B$1)</f>
        <v>0</v>
      </c>
      <c r="H68" s="124" cm="1">
        <f t="array" ref="H68">_xll.EQNXTDZ($A$1,$B68,H$1,$B$1)</f>
        <v>0</v>
      </c>
      <c r="I68" s="124" cm="1">
        <f t="array" ref="I68">_xll.EQNXTDZ($A$1,$B68,I$1,$B$1)</f>
        <v>0</v>
      </c>
      <c r="J68" s="124" cm="1">
        <f t="array" ref="J68">_xll.EQNXTDZ($A$1,$B68,J$1,$B$1)</f>
        <v>0</v>
      </c>
      <c r="K68" s="124" cm="1">
        <f t="array" ref="K68">_xll.EQNXTDZ($A$1,$B68,K$1,$B$1)</f>
        <v>0</v>
      </c>
      <c r="L68" s="124" cm="1">
        <f t="array" ref="L68">_xll.EQNXTDZ($A$1,$B68,L$1,$B$1)</f>
        <v>0</v>
      </c>
      <c r="M68" s="124" cm="1">
        <f t="array" ref="M68">_xll.EQNXTDZ($A$1,$B68,M$1,$B$1)</f>
        <v>0</v>
      </c>
      <c r="N68" s="124" cm="1">
        <f t="array" ref="N68">_xll.EQNXTDZ($A$1,$B68,N$1,$B$1)</f>
        <v>0</v>
      </c>
      <c r="O68" s="124" cm="1">
        <f t="array" ref="O68">_xll.EQNXTDZ($A$1,$B68,O$1,$B$1)</f>
        <v>0</v>
      </c>
      <c r="P68" s="124" cm="1">
        <f t="array" ref="P68">_xll.EQNXTDZ($A$1,$B68,P$1,$B$1)</f>
        <v>0</v>
      </c>
      <c r="Q68" s="124" cm="1">
        <f t="array" ref="Q68">_xll.EQNXTDZ($A$1,$B68,Q$1,$B$1)</f>
        <v>0</v>
      </c>
      <c r="R68" s="124" cm="1">
        <f t="array" ref="R68">_xll.EQNXTDZ($A$1,$B68,R$1,$B$1)</f>
        <v>0</v>
      </c>
      <c r="S68" s="124" cm="1">
        <f t="array" ref="S68">_xll.EQNXTDZ($A$1,$B68,S$1,$B$1)</f>
        <v>0</v>
      </c>
      <c r="T68" s="124" cm="1">
        <f t="array" ref="T68">_xll.EQNXTDZ($A$1,$B68,T$1,$B$1)</f>
        <v>0</v>
      </c>
      <c r="U68" s="124" cm="1">
        <f t="array" ref="U68">_xll.EQNXTDZ($A$1,$B68,U$1,$B$1)</f>
        <v>0</v>
      </c>
      <c r="V68" s="124" cm="1">
        <f t="array" ref="V68">_xll.EQNXTDZ($A$1,$B68,V$1,$B$1)</f>
        <v>0</v>
      </c>
      <c r="W68" s="124" cm="1">
        <f t="array" ref="W68">_xll.EQNXTDZ($A$1,$B68,W$1,$B$1)</f>
        <v>0</v>
      </c>
      <c r="X68" s="124" cm="1">
        <f t="array" ref="X68">_xll.EQNXTDZ($A$1,$B68,X$1,$B$1)</f>
        <v>0</v>
      </c>
      <c r="Y68" s="124" cm="1">
        <f t="array" ref="Y68">_xll.EQNXTDZ($A$1,$B68,Y$1,$B$1)</f>
        <v>0</v>
      </c>
      <c r="Z68" s="124" cm="1">
        <f t="array" ref="Z68">_xll.EQNXTDZ($A$1,$B68,Z$1,$B$1)</f>
        <v>0</v>
      </c>
      <c r="AA68" s="124" cm="1">
        <f t="array" ref="AA68">_xll.EQNXTDZ($A$1,$B68,AA$1,$B$1)</f>
        <v>0</v>
      </c>
      <c r="AB68" s="124" cm="1">
        <f t="array" ref="AB68">_xll.EQNXTDZ($A$1,$B68,AB$1,$B$1)</f>
        <v>0</v>
      </c>
      <c r="AC68" s="124" cm="1">
        <f t="array" ref="AC68">_xll.EQNXTDZ($A$1,$B68,AC$1,$B$1)</f>
        <v>0</v>
      </c>
      <c r="AD68" s="124" cm="1">
        <f t="array" ref="AD68">_xll.EQNXTDZ($A$1,$B68,AD$1,$B$1)</f>
        <v>0</v>
      </c>
      <c r="AE68" s="124" cm="1">
        <f t="array" ref="AE68">_xll.EQNXTDZ($A$1,$B68,AE$1,$B$1)</f>
        <v>0</v>
      </c>
      <c r="AF68" s="124" cm="1">
        <f t="array" ref="AF68">_xll.EQNXTDZ($A$1,$B68,AF$1,$B$1)</f>
        <v>0</v>
      </c>
    </row>
    <row r="69" spans="1:32" x14ac:dyDescent="0.25"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</row>
    <row r="70" spans="1:32" x14ac:dyDescent="0.25">
      <c r="A70" s="124" t="s">
        <v>472</v>
      </c>
      <c r="C70" s="124">
        <f t="shared" ref="C70:AF70" si="0">+C85+C105+C107-C108-C109+C111+C112+C114+C115+C116+C117+C118+C120+C121+C122+C123+C124+C125+C126+C106+C113</f>
        <v>0</v>
      </c>
      <c r="D70" s="124">
        <f t="shared" si="0"/>
        <v>0</v>
      </c>
      <c r="E70" s="124">
        <f t="shared" si="0"/>
        <v>0</v>
      </c>
      <c r="F70" s="124">
        <f t="shared" si="0"/>
        <v>0</v>
      </c>
      <c r="G70" s="124">
        <f t="shared" si="0"/>
        <v>0</v>
      </c>
      <c r="H70" s="124">
        <f t="shared" si="0"/>
        <v>0</v>
      </c>
      <c r="I70" s="124">
        <f t="shared" si="0"/>
        <v>0</v>
      </c>
      <c r="J70" s="124">
        <f t="shared" si="0"/>
        <v>0</v>
      </c>
      <c r="K70" s="124">
        <f t="shared" si="0"/>
        <v>0</v>
      </c>
      <c r="L70" s="124">
        <f t="shared" si="0"/>
        <v>0</v>
      </c>
      <c r="M70" s="124">
        <f t="shared" si="0"/>
        <v>0</v>
      </c>
      <c r="N70" s="124">
        <f t="shared" si="0"/>
        <v>0</v>
      </c>
      <c r="O70" s="124">
        <f t="shared" si="0"/>
        <v>0</v>
      </c>
      <c r="P70" s="124">
        <f t="shared" si="0"/>
        <v>0</v>
      </c>
      <c r="Q70" s="124">
        <f t="shared" si="0"/>
        <v>0</v>
      </c>
      <c r="R70" s="124">
        <f t="shared" si="0"/>
        <v>0</v>
      </c>
      <c r="S70" s="124">
        <f t="shared" si="0"/>
        <v>0</v>
      </c>
      <c r="T70" s="124">
        <f t="shared" si="0"/>
        <v>0</v>
      </c>
      <c r="U70" s="124">
        <f t="shared" si="0"/>
        <v>0</v>
      </c>
      <c r="V70" s="124">
        <f t="shared" si="0"/>
        <v>0</v>
      </c>
      <c r="W70" s="124">
        <f t="shared" si="0"/>
        <v>0</v>
      </c>
      <c r="X70" s="124">
        <f t="shared" si="0"/>
        <v>0</v>
      </c>
      <c r="Y70" s="124">
        <f t="shared" si="0"/>
        <v>0</v>
      </c>
      <c r="Z70" s="124">
        <f t="shared" si="0"/>
        <v>0</v>
      </c>
      <c r="AA70" s="124">
        <f t="shared" si="0"/>
        <v>0</v>
      </c>
      <c r="AB70" s="124">
        <f t="shared" si="0"/>
        <v>0</v>
      </c>
      <c r="AC70" s="124">
        <f t="shared" si="0"/>
        <v>0</v>
      </c>
      <c r="AD70" s="124">
        <f t="shared" si="0"/>
        <v>0</v>
      </c>
      <c r="AE70" s="124">
        <f t="shared" si="0"/>
        <v>0</v>
      </c>
      <c r="AF70" s="124">
        <f t="shared" si="0"/>
        <v>0</v>
      </c>
    </row>
    <row r="71" spans="1:32" x14ac:dyDescent="0.25">
      <c r="A71" s="124" t="s">
        <v>473</v>
      </c>
      <c r="C71" s="124">
        <f t="shared" ref="C71:AF71" si="1">+C77+C78+C79+C81+C82+C83+C84+C86+C87+C88+C89+C90+C91+C93+C94+C100+C101+C102</f>
        <v>0</v>
      </c>
      <c r="D71" s="124">
        <f t="shared" si="1"/>
        <v>0</v>
      </c>
      <c r="E71" s="124">
        <f t="shared" si="1"/>
        <v>0</v>
      </c>
      <c r="F71" s="124">
        <f t="shared" si="1"/>
        <v>0</v>
      </c>
      <c r="G71" s="124">
        <f t="shared" si="1"/>
        <v>0</v>
      </c>
      <c r="H71" s="124">
        <f t="shared" si="1"/>
        <v>0</v>
      </c>
      <c r="I71" s="124">
        <f t="shared" si="1"/>
        <v>0</v>
      </c>
      <c r="J71" s="124">
        <f t="shared" si="1"/>
        <v>0</v>
      </c>
      <c r="K71" s="124">
        <f t="shared" si="1"/>
        <v>0</v>
      </c>
      <c r="L71" s="124">
        <f t="shared" si="1"/>
        <v>0</v>
      </c>
      <c r="M71" s="124">
        <f t="shared" si="1"/>
        <v>0</v>
      </c>
      <c r="N71" s="124">
        <f t="shared" si="1"/>
        <v>0</v>
      </c>
      <c r="O71" s="124">
        <f t="shared" si="1"/>
        <v>0</v>
      </c>
      <c r="P71" s="124">
        <f t="shared" si="1"/>
        <v>0</v>
      </c>
      <c r="Q71" s="124">
        <f t="shared" si="1"/>
        <v>0</v>
      </c>
      <c r="R71" s="124">
        <f t="shared" si="1"/>
        <v>0</v>
      </c>
      <c r="S71" s="124">
        <f t="shared" si="1"/>
        <v>0</v>
      </c>
      <c r="T71" s="124">
        <f t="shared" si="1"/>
        <v>0</v>
      </c>
      <c r="U71" s="124">
        <f t="shared" si="1"/>
        <v>0</v>
      </c>
      <c r="V71" s="124">
        <f t="shared" si="1"/>
        <v>0</v>
      </c>
      <c r="W71" s="124">
        <f t="shared" si="1"/>
        <v>0</v>
      </c>
      <c r="X71" s="124">
        <f t="shared" si="1"/>
        <v>0</v>
      </c>
      <c r="Y71" s="124">
        <f t="shared" si="1"/>
        <v>0</v>
      </c>
      <c r="Z71" s="124">
        <f t="shared" si="1"/>
        <v>0</v>
      </c>
      <c r="AA71" s="124">
        <f t="shared" si="1"/>
        <v>0</v>
      </c>
      <c r="AB71" s="124">
        <f t="shared" si="1"/>
        <v>0</v>
      </c>
      <c r="AC71" s="124">
        <f t="shared" si="1"/>
        <v>0</v>
      </c>
      <c r="AD71" s="124">
        <f t="shared" si="1"/>
        <v>0</v>
      </c>
      <c r="AE71" s="124">
        <f t="shared" si="1"/>
        <v>0</v>
      </c>
      <c r="AF71" s="124">
        <f t="shared" si="1"/>
        <v>0</v>
      </c>
    </row>
    <row r="72" spans="1:32" x14ac:dyDescent="0.25">
      <c r="A72" t="s">
        <v>53</v>
      </c>
      <c r="B72" t="s">
        <v>54</v>
      </c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</row>
    <row r="73" spans="1:32" s="141" customFormat="1" x14ac:dyDescent="0.25">
      <c r="A73" s="141" t="s">
        <v>90</v>
      </c>
      <c r="B73" s="141" t="s">
        <v>106</v>
      </c>
      <c r="C73" s="142" cm="1">
        <f t="array" ref="C73">_xll.EQNXTDZ($A$1,$B73,C$1,$B$1)</f>
        <v>0</v>
      </c>
      <c r="D73" s="142" cm="1">
        <f t="array" ref="D73">_xll.EQNXTDZ($A$1,$B73,D$1,$B$1)</f>
        <v>0</v>
      </c>
      <c r="E73" s="142" cm="1">
        <f t="array" ref="E73">_xll.EQNXTDZ($A$1,$B73,E$1,$B$1)</f>
        <v>0</v>
      </c>
      <c r="F73" s="142" cm="1">
        <f t="array" ref="F73">_xll.EQNXTDZ($A$1,$B73,F$1,$B$1)</f>
        <v>0</v>
      </c>
      <c r="G73" s="142" cm="1">
        <f t="array" ref="G73">_xll.EQNXTDZ($A$1,$B73,G$1,$B$1)</f>
        <v>0</v>
      </c>
      <c r="H73" s="142" cm="1">
        <f t="array" ref="H73">_xll.EQNXTDZ($A$1,$B73,H$1,$B$1)</f>
        <v>0</v>
      </c>
      <c r="I73" s="142" cm="1">
        <f t="array" ref="I73">_xll.EQNXTDZ($A$1,$B73,I$1,$B$1)</f>
        <v>0</v>
      </c>
      <c r="J73" s="142" cm="1">
        <f t="array" ref="J73">_xll.EQNXTDZ($A$1,$B73,J$1,$B$1)</f>
        <v>0</v>
      </c>
      <c r="K73" s="142" cm="1">
        <f t="array" ref="K73">_xll.EQNXTDZ($A$1,$B73,K$1,$B$1)</f>
        <v>0</v>
      </c>
      <c r="L73" s="142" cm="1">
        <f t="array" ref="L73">_xll.EQNXTDZ($A$1,$B73,L$1,$B$1)</f>
        <v>0</v>
      </c>
      <c r="M73" s="142" cm="1">
        <f t="array" ref="M73">_xll.EQNXTDZ($A$1,$B73,M$1,$B$1)</f>
        <v>0</v>
      </c>
      <c r="N73" s="142" cm="1">
        <f t="array" ref="N73">_xll.EQNXTDZ($A$1,$B73,N$1,$B$1)</f>
        <v>0</v>
      </c>
      <c r="O73" s="142" cm="1">
        <f t="array" ref="O73">_xll.EQNXTDZ($A$1,$B73,O$1,$B$1)</f>
        <v>0</v>
      </c>
      <c r="P73" s="142" cm="1">
        <f t="array" ref="P73">_xll.EQNXTDZ($A$1,$B73,P$1,$B$1)</f>
        <v>0</v>
      </c>
      <c r="Q73" s="142" cm="1">
        <f t="array" ref="Q73">_xll.EQNXTDZ($A$1,$B73,Q$1,$B$1)</f>
        <v>0</v>
      </c>
      <c r="R73" s="142" cm="1">
        <f t="array" ref="R73">_xll.EQNXTDZ($A$1,$B73,R$1,$B$1)</f>
        <v>0</v>
      </c>
      <c r="S73" s="142" cm="1">
        <f t="array" ref="S73">_xll.EQNXTDZ($A$1,$B73,S$1,$B$1)</f>
        <v>0</v>
      </c>
      <c r="T73" s="142" cm="1">
        <f t="array" ref="T73">_xll.EQNXTDZ($A$1,$B73,T$1,$B$1)</f>
        <v>0</v>
      </c>
      <c r="U73" s="142" cm="1">
        <f t="array" ref="U73">_xll.EQNXTDZ($A$1,$B73,U$1,$B$1)</f>
        <v>0</v>
      </c>
      <c r="V73" s="142" cm="1">
        <f t="array" ref="V73">_xll.EQNXTDZ($A$1,$B73,V$1,$B$1)</f>
        <v>0</v>
      </c>
      <c r="W73" s="142" cm="1">
        <f t="array" ref="W73">_xll.EQNXTDZ($A$1,$B73,W$1,$B$1)</f>
        <v>0</v>
      </c>
      <c r="X73" s="142" cm="1">
        <f t="array" ref="X73">_xll.EQNXTDZ($A$1,$B73,X$1,$B$1)</f>
        <v>0</v>
      </c>
      <c r="Y73" s="142" cm="1">
        <f t="array" ref="Y73">_xll.EQNXTDZ($A$1,$B73,Y$1,$B$1)</f>
        <v>0</v>
      </c>
      <c r="Z73" s="142" cm="1">
        <f t="array" ref="Z73">_xll.EQNXTDZ($A$1,$B73,Z$1,$B$1)</f>
        <v>0</v>
      </c>
      <c r="AA73" s="142" cm="1">
        <f t="array" ref="AA73">_xll.EQNXTDZ($A$1,$B73,AA$1,$B$1)</f>
        <v>0</v>
      </c>
      <c r="AB73" s="142" cm="1">
        <f t="array" ref="AB73">_xll.EQNXTDZ($A$1,$B73,AB$1,$B$1)</f>
        <v>0</v>
      </c>
      <c r="AC73" s="142" cm="1">
        <f t="array" ref="AC73">_xll.EQNXTDZ($A$1,$B73,AC$1,$B$1)</f>
        <v>0</v>
      </c>
      <c r="AD73" s="142" cm="1">
        <f t="array" ref="AD73">_xll.EQNXTDZ($A$1,$B73,AD$1,$B$1)</f>
        <v>0</v>
      </c>
      <c r="AE73" s="142" cm="1">
        <f t="array" ref="AE73">_xll.EQNXTDZ($A$1,$B73,AE$1,$B$1)</f>
        <v>0</v>
      </c>
      <c r="AF73" s="142" cm="1">
        <f t="array" ref="AF73">_xll.EQNXTDZ($A$1,$B73,AF$1,$B$1)</f>
        <v>0</v>
      </c>
    </row>
    <row r="74" spans="1:32" x14ac:dyDescent="0.25">
      <c r="A74" t="s">
        <v>91</v>
      </c>
      <c r="B74" t="s">
        <v>107</v>
      </c>
      <c r="C74" s="124" cm="1">
        <f t="array" ref="C74">_xll.EQNXTDZ($A$1,$B74,C$1,$B$1)</f>
        <v>0</v>
      </c>
      <c r="D74" s="124" cm="1">
        <f t="array" ref="D74">_xll.EQNXTDZ($A$1,$B74,D$1,$B$1)</f>
        <v>0</v>
      </c>
      <c r="E74" s="124" cm="1">
        <f t="array" ref="E74">_xll.EQNXTDZ($A$1,$B74,E$1,$B$1)</f>
        <v>0</v>
      </c>
      <c r="F74" s="124" cm="1">
        <f t="array" ref="F74">_xll.EQNXTDZ($A$1,$B74,F$1,$B$1)</f>
        <v>0</v>
      </c>
      <c r="G74" s="124" cm="1">
        <f t="array" ref="G74">_xll.EQNXTDZ($A$1,$B74,G$1,$B$1)</f>
        <v>0</v>
      </c>
      <c r="H74" s="124" cm="1">
        <f t="array" ref="H74">_xll.EQNXTDZ($A$1,$B74,H$1,$B$1)</f>
        <v>0</v>
      </c>
      <c r="I74" s="124" cm="1">
        <f t="array" ref="I74">_xll.EQNXTDZ($A$1,$B74,I$1,$B$1)</f>
        <v>0</v>
      </c>
      <c r="J74" s="124" cm="1">
        <f t="array" ref="J74">_xll.EQNXTDZ($A$1,$B74,J$1,$B$1)</f>
        <v>0</v>
      </c>
      <c r="K74" s="124" cm="1">
        <f t="array" ref="K74">_xll.EQNXTDZ($A$1,$B74,K$1,$B$1)</f>
        <v>0</v>
      </c>
      <c r="L74" s="124" cm="1">
        <f t="array" ref="L74">_xll.EQNXTDZ($A$1,$B74,L$1,$B$1)</f>
        <v>0</v>
      </c>
      <c r="M74" s="124" cm="1">
        <f t="array" ref="M74">_xll.EQNXTDZ($A$1,$B74,M$1,$B$1)</f>
        <v>0</v>
      </c>
      <c r="N74" s="124" cm="1">
        <f t="array" ref="N74">_xll.EQNXTDZ($A$1,$B74,N$1,$B$1)</f>
        <v>0</v>
      </c>
      <c r="O74" s="124" cm="1">
        <f t="array" ref="O74">_xll.EQNXTDZ($A$1,$B74,O$1,$B$1)</f>
        <v>0</v>
      </c>
      <c r="P74" s="124" cm="1">
        <f t="array" ref="P74">_xll.EQNXTDZ($A$1,$B74,P$1,$B$1)</f>
        <v>0</v>
      </c>
      <c r="Q74" s="124" cm="1">
        <f t="array" ref="Q74">_xll.EQNXTDZ($A$1,$B74,Q$1,$B$1)</f>
        <v>0</v>
      </c>
      <c r="R74" s="124" cm="1">
        <f t="array" ref="R74">_xll.EQNXTDZ($A$1,$B74,R$1,$B$1)</f>
        <v>0</v>
      </c>
      <c r="S74" s="124" cm="1">
        <f t="array" ref="S74">_xll.EQNXTDZ($A$1,$B74,S$1,$B$1)</f>
        <v>0</v>
      </c>
      <c r="T74" s="124" cm="1">
        <f t="array" ref="T74">_xll.EQNXTDZ($A$1,$B74,T$1,$B$1)</f>
        <v>0</v>
      </c>
      <c r="U74" s="124" cm="1">
        <f t="array" ref="U74">_xll.EQNXTDZ($A$1,$B74,U$1,$B$1)</f>
        <v>0</v>
      </c>
      <c r="V74" s="124" cm="1">
        <f t="array" ref="V74">_xll.EQNXTDZ($A$1,$B74,V$1,$B$1)</f>
        <v>0</v>
      </c>
      <c r="W74" s="124" cm="1">
        <f t="array" ref="W74">_xll.EQNXTDZ($A$1,$B74,W$1,$B$1)</f>
        <v>0</v>
      </c>
      <c r="X74" s="124" cm="1">
        <f t="array" ref="X74">_xll.EQNXTDZ($A$1,$B74,X$1,$B$1)</f>
        <v>0</v>
      </c>
      <c r="Y74" s="124" cm="1">
        <f t="array" ref="Y74">_xll.EQNXTDZ($A$1,$B74,Y$1,$B$1)</f>
        <v>0</v>
      </c>
      <c r="Z74" s="124" cm="1">
        <f t="array" ref="Z74">_xll.EQNXTDZ($A$1,$B74,Z$1,$B$1)</f>
        <v>0</v>
      </c>
      <c r="AA74" s="124" cm="1">
        <f t="array" ref="AA74">_xll.EQNXTDZ($A$1,$B74,AA$1,$B$1)</f>
        <v>0</v>
      </c>
      <c r="AB74" s="124" cm="1">
        <f t="array" ref="AB74">_xll.EQNXTDZ($A$1,$B74,AB$1,$B$1)</f>
        <v>0</v>
      </c>
      <c r="AC74" s="124" cm="1">
        <f t="array" ref="AC74">_xll.EQNXTDZ($A$1,$B74,AC$1,$B$1)</f>
        <v>0</v>
      </c>
      <c r="AD74" s="124" cm="1">
        <f t="array" ref="AD74">_xll.EQNXTDZ($A$1,$B74,AD$1,$B$1)</f>
        <v>0</v>
      </c>
      <c r="AE74" s="124" cm="1">
        <f t="array" ref="AE74">_xll.EQNXTDZ($A$1,$B74,AE$1,$B$1)</f>
        <v>0</v>
      </c>
      <c r="AF74" s="124" cm="1">
        <f t="array" ref="AF74">_xll.EQNXTDZ($A$1,$B74,AF$1,$B$1)</f>
        <v>0</v>
      </c>
    </row>
    <row r="75" spans="1:32" x14ac:dyDescent="0.25">
      <c r="A75" t="s">
        <v>56</v>
      </c>
      <c r="B75" t="s">
        <v>108</v>
      </c>
      <c r="C75" s="124" cm="1">
        <f t="array" ref="C75">_xll.EQNXTDZ($A$1,$B75,C$1,$B$1)</f>
        <v>0</v>
      </c>
      <c r="D75" s="124" cm="1">
        <f t="array" ref="D75">_xll.EQNXTDZ($A$1,$B75,D$1,$B$1)</f>
        <v>0</v>
      </c>
      <c r="E75" s="124" cm="1">
        <f t="array" ref="E75">_xll.EQNXTDZ($A$1,$B75,E$1,$B$1)</f>
        <v>0</v>
      </c>
      <c r="F75" s="124" cm="1">
        <f t="array" ref="F75">_xll.EQNXTDZ($A$1,$B75,F$1,$B$1)</f>
        <v>0</v>
      </c>
      <c r="G75" s="124" cm="1">
        <f t="array" ref="G75">_xll.EQNXTDZ($A$1,$B75,G$1,$B$1)</f>
        <v>0</v>
      </c>
      <c r="H75" s="124" cm="1">
        <f t="array" ref="H75">_xll.EQNXTDZ($A$1,$B75,H$1,$B$1)</f>
        <v>0</v>
      </c>
      <c r="I75" s="124" cm="1">
        <f t="array" ref="I75">_xll.EQNXTDZ($A$1,$B75,I$1,$B$1)</f>
        <v>0</v>
      </c>
      <c r="J75" s="124" cm="1">
        <f t="array" ref="J75">_xll.EQNXTDZ($A$1,$B75,J$1,$B$1)</f>
        <v>0</v>
      </c>
      <c r="K75" s="124" cm="1">
        <f t="array" ref="K75">_xll.EQNXTDZ($A$1,$B75,K$1,$B$1)</f>
        <v>0</v>
      </c>
      <c r="L75" s="124" cm="1">
        <f t="array" ref="L75">_xll.EQNXTDZ($A$1,$B75,L$1,$B$1)</f>
        <v>0</v>
      </c>
      <c r="M75" s="124" cm="1">
        <f t="array" ref="M75">_xll.EQNXTDZ($A$1,$B75,M$1,$B$1)</f>
        <v>0</v>
      </c>
      <c r="N75" s="124" cm="1">
        <f t="array" ref="N75">_xll.EQNXTDZ($A$1,$B75,N$1,$B$1)</f>
        <v>0</v>
      </c>
      <c r="O75" s="124" cm="1">
        <f t="array" ref="O75">_xll.EQNXTDZ($A$1,$B75,O$1,$B$1)</f>
        <v>0</v>
      </c>
      <c r="P75" s="124" cm="1">
        <f t="array" ref="P75">_xll.EQNXTDZ($A$1,$B75,P$1,$B$1)</f>
        <v>0</v>
      </c>
      <c r="Q75" s="124" cm="1">
        <f t="array" ref="Q75">_xll.EQNXTDZ($A$1,$B75,Q$1,$B$1)</f>
        <v>0</v>
      </c>
      <c r="R75" s="124" cm="1">
        <f t="array" ref="R75">_xll.EQNXTDZ($A$1,$B75,R$1,$B$1)</f>
        <v>0</v>
      </c>
      <c r="S75" s="124" cm="1">
        <f t="array" ref="S75">_xll.EQNXTDZ($A$1,$B75,S$1,$B$1)</f>
        <v>0</v>
      </c>
      <c r="T75" s="124" cm="1">
        <f t="array" ref="T75">_xll.EQNXTDZ($A$1,$B75,T$1,$B$1)</f>
        <v>0</v>
      </c>
      <c r="U75" s="124" cm="1">
        <f t="array" ref="U75">_xll.EQNXTDZ($A$1,$B75,U$1,$B$1)</f>
        <v>0</v>
      </c>
      <c r="V75" s="124" cm="1">
        <f t="array" ref="V75">_xll.EQNXTDZ($A$1,$B75,V$1,$B$1)</f>
        <v>0</v>
      </c>
      <c r="W75" s="124" cm="1">
        <f t="array" ref="W75">_xll.EQNXTDZ($A$1,$B75,W$1,$B$1)</f>
        <v>0</v>
      </c>
      <c r="X75" s="124" cm="1">
        <f t="array" ref="X75">_xll.EQNXTDZ($A$1,$B75,X$1,$B$1)</f>
        <v>0</v>
      </c>
      <c r="Y75" s="124" cm="1">
        <f t="array" ref="Y75">_xll.EQNXTDZ($A$1,$B75,Y$1,$B$1)</f>
        <v>0</v>
      </c>
      <c r="Z75" s="124" cm="1">
        <f t="array" ref="Z75">_xll.EQNXTDZ($A$1,$B75,Z$1,$B$1)</f>
        <v>0</v>
      </c>
      <c r="AA75" s="124" cm="1">
        <f t="array" ref="AA75">_xll.EQNXTDZ($A$1,$B75,AA$1,$B$1)</f>
        <v>0</v>
      </c>
      <c r="AB75" s="124" cm="1">
        <f t="array" ref="AB75">_xll.EQNXTDZ($A$1,$B75,AB$1,$B$1)</f>
        <v>0</v>
      </c>
      <c r="AC75" s="124" cm="1">
        <f t="array" ref="AC75">_xll.EQNXTDZ($A$1,$B75,AC$1,$B$1)</f>
        <v>0</v>
      </c>
      <c r="AD75" s="124" cm="1">
        <f t="array" ref="AD75">_xll.EQNXTDZ($A$1,$B75,AD$1,$B$1)</f>
        <v>0</v>
      </c>
      <c r="AE75" s="124" cm="1">
        <f t="array" ref="AE75">_xll.EQNXTDZ($A$1,$B75,AE$1,$B$1)</f>
        <v>0</v>
      </c>
      <c r="AF75" s="124" cm="1">
        <f t="array" ref="AF75">_xll.EQNXTDZ($A$1,$B75,AF$1,$B$1)</f>
        <v>0</v>
      </c>
    </row>
    <row r="76" spans="1:32" x14ac:dyDescent="0.25">
      <c r="A76" t="s">
        <v>55</v>
      </c>
      <c r="B76" t="s">
        <v>109</v>
      </c>
      <c r="C76" s="124" cm="1">
        <f t="array" ref="C76">_xll.EQNXTDZ($A$1,$B76,C$1,$B$1)</f>
        <v>0</v>
      </c>
      <c r="D76" s="124" cm="1">
        <f t="array" ref="D76">_xll.EQNXTDZ($A$1,$B76,D$1,$B$1)</f>
        <v>0</v>
      </c>
      <c r="E76" s="124" cm="1">
        <f t="array" ref="E76">_xll.EQNXTDZ($A$1,$B76,E$1,$B$1)</f>
        <v>0</v>
      </c>
      <c r="F76" s="124" cm="1">
        <f t="array" ref="F76">_xll.EQNXTDZ($A$1,$B76,F$1,$B$1)</f>
        <v>0</v>
      </c>
      <c r="G76" s="124" cm="1">
        <f t="array" ref="G76">_xll.EQNXTDZ($A$1,$B76,G$1,$B$1)</f>
        <v>0</v>
      </c>
      <c r="H76" s="124" cm="1">
        <f t="array" ref="H76">_xll.EQNXTDZ($A$1,$B76,H$1,$B$1)</f>
        <v>0</v>
      </c>
      <c r="I76" s="124" cm="1">
        <f t="array" ref="I76">_xll.EQNXTDZ($A$1,$B76,I$1,$B$1)</f>
        <v>0</v>
      </c>
      <c r="J76" s="124" cm="1">
        <f t="array" ref="J76">_xll.EQNXTDZ($A$1,$B76,J$1,$B$1)</f>
        <v>0</v>
      </c>
      <c r="K76" s="124" cm="1">
        <f t="array" ref="K76">_xll.EQNXTDZ($A$1,$B76,K$1,$B$1)</f>
        <v>0</v>
      </c>
      <c r="L76" s="124" cm="1">
        <f t="array" ref="L76">_xll.EQNXTDZ($A$1,$B76,L$1,$B$1)</f>
        <v>0</v>
      </c>
      <c r="M76" s="124" cm="1">
        <f t="array" ref="M76">_xll.EQNXTDZ($A$1,$B76,M$1,$B$1)</f>
        <v>0</v>
      </c>
      <c r="N76" s="124" cm="1">
        <f t="array" ref="N76">_xll.EQNXTDZ($A$1,$B76,N$1,$B$1)</f>
        <v>0</v>
      </c>
      <c r="O76" s="124" cm="1">
        <f t="array" ref="O76">_xll.EQNXTDZ($A$1,$B76,O$1,$B$1)</f>
        <v>0</v>
      </c>
      <c r="P76" s="124" cm="1">
        <f t="array" ref="P76">_xll.EQNXTDZ($A$1,$B76,P$1,$B$1)</f>
        <v>0</v>
      </c>
      <c r="Q76" s="124" cm="1">
        <f t="array" ref="Q76">_xll.EQNXTDZ($A$1,$B76,Q$1,$B$1)</f>
        <v>0</v>
      </c>
      <c r="R76" s="124" cm="1">
        <f t="array" ref="R76">_xll.EQNXTDZ($A$1,$B76,R$1,$B$1)</f>
        <v>0</v>
      </c>
      <c r="S76" s="124" cm="1">
        <f t="array" ref="S76">_xll.EQNXTDZ($A$1,$B76,S$1,$B$1)</f>
        <v>0</v>
      </c>
      <c r="T76" s="124" cm="1">
        <f t="array" ref="T76">_xll.EQNXTDZ($A$1,$B76,T$1,$B$1)</f>
        <v>0</v>
      </c>
      <c r="U76" s="124" cm="1">
        <f t="array" ref="U76">_xll.EQNXTDZ($A$1,$B76,U$1,$B$1)</f>
        <v>0</v>
      </c>
      <c r="V76" s="124" cm="1">
        <f t="array" ref="V76">_xll.EQNXTDZ($A$1,$B76,V$1,$B$1)</f>
        <v>0</v>
      </c>
      <c r="W76" s="124" cm="1">
        <f t="array" ref="W76">_xll.EQNXTDZ($A$1,$B76,W$1,$B$1)</f>
        <v>0</v>
      </c>
      <c r="X76" s="124" cm="1">
        <f t="array" ref="X76">_xll.EQNXTDZ($A$1,$B76,X$1,$B$1)</f>
        <v>0</v>
      </c>
      <c r="Y76" s="124" cm="1">
        <f t="array" ref="Y76">_xll.EQNXTDZ($A$1,$B76,Y$1,$B$1)</f>
        <v>0</v>
      </c>
      <c r="Z76" s="124" cm="1">
        <f t="array" ref="Z76">_xll.EQNXTDZ($A$1,$B76,Z$1,$B$1)</f>
        <v>0</v>
      </c>
      <c r="AA76" s="124" cm="1">
        <f t="array" ref="AA76">_xll.EQNXTDZ($A$1,$B76,AA$1,$B$1)</f>
        <v>0</v>
      </c>
      <c r="AB76" s="124" cm="1">
        <f t="array" ref="AB76">_xll.EQNXTDZ($A$1,$B76,AB$1,$B$1)</f>
        <v>0</v>
      </c>
      <c r="AC76" s="124" cm="1">
        <f t="array" ref="AC76">_xll.EQNXTDZ($A$1,$B76,AC$1,$B$1)</f>
        <v>0</v>
      </c>
      <c r="AD76" s="124" cm="1">
        <f t="array" ref="AD76">_xll.EQNXTDZ($A$1,$B76,AD$1,$B$1)</f>
        <v>0</v>
      </c>
      <c r="AE76" s="124" cm="1">
        <f t="array" ref="AE76">_xll.EQNXTDZ($A$1,$B76,AE$1,$B$1)</f>
        <v>0</v>
      </c>
      <c r="AF76" s="124" cm="1">
        <f t="array" ref="AF76">_xll.EQNXTDZ($A$1,$B76,AF$1,$B$1)</f>
        <v>0</v>
      </c>
    </row>
    <row r="77" spans="1:32" x14ac:dyDescent="0.25">
      <c r="A77" t="s">
        <v>16</v>
      </c>
      <c r="B77" t="s">
        <v>397</v>
      </c>
      <c r="C77" s="124" cm="1">
        <f t="array" ref="C77">_xll.EQNXTDZ($A$1,$B77,C$1,$B$1)</f>
        <v>0</v>
      </c>
      <c r="D77" s="124" cm="1">
        <f t="array" ref="D77">_xll.EQNXTDZ($A$1,$B77,D$1,$B$1)</f>
        <v>0</v>
      </c>
      <c r="E77" s="124" cm="1">
        <f t="array" ref="E77">_xll.EQNXTDZ($A$1,$B77,E$1,$B$1)</f>
        <v>0</v>
      </c>
      <c r="F77" s="124" cm="1">
        <f t="array" ref="F77">_xll.EQNXTDZ($A$1,$B77,F$1,$B$1)</f>
        <v>0</v>
      </c>
      <c r="G77" s="124" cm="1">
        <f t="array" ref="G77">_xll.EQNXTDZ($A$1,$B77,G$1,$B$1)</f>
        <v>0</v>
      </c>
      <c r="H77" s="124" cm="1">
        <f t="array" ref="H77">_xll.EQNXTDZ($A$1,$B77,H$1,$B$1)</f>
        <v>0</v>
      </c>
      <c r="I77" s="124" cm="1">
        <f t="array" ref="I77">_xll.EQNXTDZ($A$1,$B77,I$1,$B$1)</f>
        <v>0</v>
      </c>
      <c r="J77" s="124" cm="1">
        <f t="array" ref="J77">_xll.EQNXTDZ($A$1,$B77,J$1,$B$1)</f>
        <v>0</v>
      </c>
      <c r="K77" s="124" cm="1">
        <f t="array" ref="K77">_xll.EQNXTDZ($A$1,$B77,K$1,$B$1)</f>
        <v>0</v>
      </c>
      <c r="L77" s="124" cm="1">
        <f t="array" ref="L77">_xll.EQNXTDZ($A$1,$B77,L$1,$B$1)</f>
        <v>0</v>
      </c>
      <c r="M77" s="124" cm="1">
        <f t="array" ref="M77">_xll.EQNXTDZ($A$1,$B77,M$1,$B$1)</f>
        <v>0</v>
      </c>
      <c r="N77" s="124" cm="1">
        <f t="array" ref="N77">_xll.EQNXTDZ($A$1,$B77,N$1,$B$1)</f>
        <v>0</v>
      </c>
      <c r="O77" s="124" cm="1">
        <f t="array" ref="O77">_xll.EQNXTDZ($A$1,$B77,O$1,$B$1)</f>
        <v>0</v>
      </c>
      <c r="P77" s="124" cm="1">
        <f t="array" ref="P77">_xll.EQNXTDZ($A$1,$B77,P$1,$B$1)</f>
        <v>0</v>
      </c>
      <c r="Q77" s="124" cm="1">
        <f t="array" ref="Q77">_xll.EQNXTDZ($A$1,$B77,Q$1,$B$1)</f>
        <v>0</v>
      </c>
      <c r="R77" s="124" cm="1">
        <f t="array" ref="R77">_xll.EQNXTDZ($A$1,$B77,R$1,$B$1)</f>
        <v>0</v>
      </c>
      <c r="S77" s="124" cm="1">
        <f t="array" ref="S77">_xll.EQNXTDZ($A$1,$B77,S$1,$B$1)</f>
        <v>0</v>
      </c>
      <c r="T77" s="124" cm="1">
        <f t="array" ref="T77">_xll.EQNXTDZ($A$1,$B77,T$1,$B$1)</f>
        <v>0</v>
      </c>
      <c r="U77" s="124" cm="1">
        <f t="array" ref="U77">_xll.EQNXTDZ($A$1,$B77,U$1,$B$1)</f>
        <v>0</v>
      </c>
      <c r="V77" s="124" cm="1">
        <f t="array" ref="V77">_xll.EQNXTDZ($A$1,$B77,V$1,$B$1)</f>
        <v>0</v>
      </c>
      <c r="W77" s="124" cm="1">
        <f t="array" ref="W77">_xll.EQNXTDZ($A$1,$B77,W$1,$B$1)</f>
        <v>0</v>
      </c>
      <c r="X77" s="124" cm="1">
        <f t="array" ref="X77">_xll.EQNXTDZ($A$1,$B77,X$1,$B$1)</f>
        <v>0</v>
      </c>
      <c r="Y77" s="124" cm="1">
        <f t="array" ref="Y77">_xll.EQNXTDZ($A$1,$B77,Y$1,$B$1)</f>
        <v>0</v>
      </c>
      <c r="Z77" s="124" cm="1">
        <f t="array" ref="Z77">_xll.EQNXTDZ($A$1,$B77,Z$1,$B$1)</f>
        <v>0</v>
      </c>
      <c r="AA77" s="124" cm="1">
        <f t="array" ref="AA77">_xll.EQNXTDZ($A$1,$B77,AA$1,$B$1)</f>
        <v>0</v>
      </c>
      <c r="AB77" s="124" cm="1">
        <f t="array" ref="AB77">_xll.EQNXTDZ($A$1,$B77,AB$1,$B$1)</f>
        <v>0</v>
      </c>
      <c r="AC77" s="124" cm="1">
        <f t="array" ref="AC77">_xll.EQNXTDZ($A$1,$B77,AC$1,$B$1)</f>
        <v>0</v>
      </c>
      <c r="AD77" s="124" cm="1">
        <f t="array" ref="AD77">_xll.EQNXTDZ($A$1,$B77,AD$1,$B$1)</f>
        <v>0</v>
      </c>
      <c r="AE77" s="124" cm="1">
        <f t="array" ref="AE77">_xll.EQNXTDZ($A$1,$B77,AE$1,$B$1)</f>
        <v>0</v>
      </c>
      <c r="AF77" s="124" cm="1">
        <f t="array" ref="AF77">_xll.EQNXTDZ($A$1,$B77,AF$1,$B$1)</f>
        <v>0</v>
      </c>
    </row>
    <row r="78" spans="1:32" s="106" customFormat="1" x14ac:dyDescent="0.25">
      <c r="A78" s="106" t="s">
        <v>17</v>
      </c>
      <c r="B78" s="106" t="s">
        <v>398</v>
      </c>
      <c r="C78" s="124" cm="1">
        <f t="array" ref="C78">_xll.EQNXTDZ($A$1,$B78,C$1,$B$1)</f>
        <v>0</v>
      </c>
      <c r="D78" s="124" cm="1">
        <f t="array" ref="D78">_xll.EQNXTDZ($A$1,$B78,D$1,$B$1)</f>
        <v>0</v>
      </c>
      <c r="E78" s="124" cm="1">
        <f t="array" ref="E78">_xll.EQNXTDZ($A$1,$B78,E$1,$B$1)</f>
        <v>0</v>
      </c>
      <c r="F78" s="124" cm="1">
        <f t="array" ref="F78">_xll.EQNXTDZ($A$1,$B78,F$1,$B$1)</f>
        <v>0</v>
      </c>
      <c r="G78" s="124" cm="1">
        <f t="array" ref="G78">_xll.EQNXTDZ($A$1,$B78,G$1,$B$1)</f>
        <v>0</v>
      </c>
      <c r="H78" s="124" cm="1">
        <f t="array" ref="H78">_xll.EQNXTDZ($A$1,$B78,H$1,$B$1)</f>
        <v>0</v>
      </c>
      <c r="I78" s="124" cm="1">
        <f t="array" ref="I78">_xll.EQNXTDZ($A$1,$B78,I$1,$B$1)</f>
        <v>0</v>
      </c>
      <c r="J78" s="124" cm="1">
        <f t="array" ref="J78">_xll.EQNXTDZ($A$1,$B78,J$1,$B$1)</f>
        <v>0</v>
      </c>
      <c r="K78" s="124" cm="1">
        <f t="array" ref="K78">_xll.EQNXTDZ($A$1,$B78,K$1,$B$1)</f>
        <v>0</v>
      </c>
      <c r="L78" s="124" cm="1">
        <f t="array" ref="L78">_xll.EQNXTDZ($A$1,$B78,L$1,$B$1)</f>
        <v>0</v>
      </c>
      <c r="M78" s="124" cm="1">
        <f t="array" ref="M78">_xll.EQNXTDZ($A$1,$B78,M$1,$B$1)</f>
        <v>0</v>
      </c>
      <c r="N78" s="124" cm="1">
        <f t="array" ref="N78">_xll.EQNXTDZ($A$1,$B78,N$1,$B$1)</f>
        <v>0</v>
      </c>
      <c r="O78" s="124" cm="1">
        <f t="array" ref="O78">_xll.EQNXTDZ($A$1,$B78,O$1,$B$1)</f>
        <v>0</v>
      </c>
      <c r="P78" s="124" cm="1">
        <f t="array" ref="P78">_xll.EQNXTDZ($A$1,$B78,P$1,$B$1)</f>
        <v>0</v>
      </c>
      <c r="Q78" s="124" cm="1">
        <f t="array" ref="Q78">_xll.EQNXTDZ($A$1,$B78,Q$1,$B$1)</f>
        <v>0</v>
      </c>
      <c r="R78" s="124" cm="1">
        <f t="array" ref="R78">_xll.EQNXTDZ($A$1,$B78,R$1,$B$1)</f>
        <v>0</v>
      </c>
      <c r="S78" s="124" cm="1">
        <f t="array" ref="S78">_xll.EQNXTDZ($A$1,$B78,S$1,$B$1)</f>
        <v>0</v>
      </c>
      <c r="T78" s="124" cm="1">
        <f t="array" ref="T78">_xll.EQNXTDZ($A$1,$B78,T$1,$B$1)</f>
        <v>0</v>
      </c>
      <c r="U78" s="124" cm="1">
        <f t="array" ref="U78">_xll.EQNXTDZ($A$1,$B78,U$1,$B$1)</f>
        <v>0</v>
      </c>
      <c r="V78" s="124" cm="1">
        <f t="array" ref="V78">_xll.EQNXTDZ($A$1,$B78,V$1,$B$1)</f>
        <v>0</v>
      </c>
      <c r="W78" s="124" cm="1">
        <f t="array" ref="W78">_xll.EQNXTDZ($A$1,$B78,W$1,$B$1)</f>
        <v>0</v>
      </c>
      <c r="X78" s="124" cm="1">
        <f t="array" ref="X78">_xll.EQNXTDZ($A$1,$B78,X$1,$B$1)</f>
        <v>0</v>
      </c>
      <c r="Y78" s="124" cm="1">
        <f t="array" ref="Y78">_xll.EQNXTDZ($A$1,$B78,Y$1,$B$1)</f>
        <v>0</v>
      </c>
      <c r="Z78" s="124" cm="1">
        <f t="array" ref="Z78">_xll.EQNXTDZ($A$1,$B78,Z$1,$B$1)</f>
        <v>0</v>
      </c>
      <c r="AA78" s="124" cm="1">
        <f t="array" ref="AA78">_xll.EQNXTDZ($A$1,$B78,AA$1,$B$1)</f>
        <v>0</v>
      </c>
      <c r="AB78" s="124" cm="1">
        <f t="array" ref="AB78">_xll.EQNXTDZ($A$1,$B78,AB$1,$B$1)</f>
        <v>0</v>
      </c>
      <c r="AC78" s="124" cm="1">
        <f t="array" ref="AC78">_xll.EQNXTDZ($A$1,$B78,AC$1,$B$1)</f>
        <v>0</v>
      </c>
      <c r="AD78" s="124" cm="1">
        <f t="array" ref="AD78">_xll.EQNXTDZ($A$1,$B78,AD$1,$B$1)</f>
        <v>0</v>
      </c>
      <c r="AE78" s="124" cm="1">
        <f t="array" ref="AE78">_xll.EQNXTDZ($A$1,$B78,AE$1,$B$1)</f>
        <v>0</v>
      </c>
      <c r="AF78" s="124" cm="1">
        <f t="array" ref="AF78">_xll.EQNXTDZ($A$1,$B78,AF$1,$B$1)</f>
        <v>0</v>
      </c>
    </row>
    <row r="79" spans="1:32" s="106" customFormat="1" x14ac:dyDescent="0.25">
      <c r="A79" s="106" t="s">
        <v>18</v>
      </c>
      <c r="B79" s="106" t="s">
        <v>399</v>
      </c>
      <c r="C79" s="124" cm="1">
        <f t="array" ref="C79">_xll.EQNXTDZ($A$1,$B79,C$1,$B$1)</f>
        <v>0</v>
      </c>
      <c r="D79" s="124" cm="1">
        <f t="array" ref="D79">_xll.EQNXTDZ($A$1,$B79,D$1,$B$1)</f>
        <v>0</v>
      </c>
      <c r="E79" s="124" cm="1">
        <f t="array" ref="E79">_xll.EQNXTDZ($A$1,$B79,E$1,$B$1)</f>
        <v>0</v>
      </c>
      <c r="F79" s="124" cm="1">
        <f t="array" ref="F79">_xll.EQNXTDZ($A$1,$B79,F$1,$B$1)</f>
        <v>0</v>
      </c>
      <c r="G79" s="124" cm="1">
        <f t="array" ref="G79">_xll.EQNXTDZ($A$1,$B79,G$1,$B$1)</f>
        <v>0</v>
      </c>
      <c r="H79" s="124" cm="1">
        <f t="array" ref="H79">_xll.EQNXTDZ($A$1,$B79,H$1,$B$1)</f>
        <v>0</v>
      </c>
      <c r="I79" s="124" cm="1">
        <f t="array" ref="I79">_xll.EQNXTDZ($A$1,$B79,I$1,$B$1)</f>
        <v>0</v>
      </c>
      <c r="J79" s="124" cm="1">
        <f t="array" ref="J79">_xll.EQNXTDZ($A$1,$B79,J$1,$B$1)</f>
        <v>0</v>
      </c>
      <c r="K79" s="124" cm="1">
        <f t="array" ref="K79">_xll.EQNXTDZ($A$1,$B79,K$1,$B$1)</f>
        <v>0</v>
      </c>
      <c r="L79" s="124" cm="1">
        <f t="array" ref="L79">_xll.EQNXTDZ($A$1,$B79,L$1,$B$1)</f>
        <v>0</v>
      </c>
      <c r="M79" s="124" cm="1">
        <f t="array" ref="M79">_xll.EQNXTDZ($A$1,$B79,M$1,$B$1)</f>
        <v>0</v>
      </c>
      <c r="N79" s="124" cm="1">
        <f t="array" ref="N79">_xll.EQNXTDZ($A$1,$B79,N$1,$B$1)</f>
        <v>0</v>
      </c>
      <c r="O79" s="124" cm="1">
        <f t="array" ref="O79">_xll.EQNXTDZ($A$1,$B79,O$1,$B$1)</f>
        <v>0</v>
      </c>
      <c r="P79" s="124" cm="1">
        <f t="array" ref="P79">_xll.EQNXTDZ($A$1,$B79,P$1,$B$1)</f>
        <v>0</v>
      </c>
      <c r="Q79" s="124" cm="1">
        <f t="array" ref="Q79">_xll.EQNXTDZ($A$1,$B79,Q$1,$B$1)</f>
        <v>0</v>
      </c>
      <c r="R79" s="124" cm="1">
        <f t="array" ref="R79">_xll.EQNXTDZ($A$1,$B79,R$1,$B$1)</f>
        <v>0</v>
      </c>
      <c r="S79" s="124" cm="1">
        <f t="array" ref="S79">_xll.EQNXTDZ($A$1,$B79,S$1,$B$1)</f>
        <v>0</v>
      </c>
      <c r="T79" s="124" cm="1">
        <f t="array" ref="T79">_xll.EQNXTDZ($A$1,$B79,T$1,$B$1)</f>
        <v>0</v>
      </c>
      <c r="U79" s="124" cm="1">
        <f t="array" ref="U79">_xll.EQNXTDZ($A$1,$B79,U$1,$B$1)</f>
        <v>0</v>
      </c>
      <c r="V79" s="124" cm="1">
        <f t="array" ref="V79">_xll.EQNXTDZ($A$1,$B79,V$1,$B$1)</f>
        <v>0</v>
      </c>
      <c r="W79" s="124" cm="1">
        <f t="array" ref="W79">_xll.EQNXTDZ($A$1,$B79,W$1,$B$1)</f>
        <v>0</v>
      </c>
      <c r="X79" s="124" cm="1">
        <f t="array" ref="X79">_xll.EQNXTDZ($A$1,$B79,X$1,$B$1)</f>
        <v>0</v>
      </c>
      <c r="Y79" s="124" cm="1">
        <f t="array" ref="Y79">_xll.EQNXTDZ($A$1,$B79,Y$1,$B$1)</f>
        <v>0</v>
      </c>
      <c r="Z79" s="124" cm="1">
        <f t="array" ref="Z79">_xll.EQNXTDZ($A$1,$B79,Z$1,$B$1)</f>
        <v>0</v>
      </c>
      <c r="AA79" s="124" cm="1">
        <f t="array" ref="AA79">_xll.EQNXTDZ($A$1,$B79,AA$1,$B$1)</f>
        <v>0</v>
      </c>
      <c r="AB79" s="124" cm="1">
        <f t="array" ref="AB79">_xll.EQNXTDZ($A$1,$B79,AB$1,$B$1)</f>
        <v>0</v>
      </c>
      <c r="AC79" s="124" cm="1">
        <f t="array" ref="AC79">_xll.EQNXTDZ($A$1,$B79,AC$1,$B$1)</f>
        <v>0</v>
      </c>
      <c r="AD79" s="124" cm="1">
        <f t="array" ref="AD79">_xll.EQNXTDZ($A$1,$B79,AD$1,$B$1)</f>
        <v>0</v>
      </c>
      <c r="AE79" s="124" cm="1">
        <f t="array" ref="AE79">_xll.EQNXTDZ($A$1,$B79,AE$1,$B$1)</f>
        <v>0</v>
      </c>
      <c r="AF79" s="124" cm="1">
        <f t="array" ref="AF79">_xll.EQNXTDZ($A$1,$B79,AF$1,$B$1)</f>
        <v>0</v>
      </c>
    </row>
    <row r="80" spans="1:32" s="106" customFormat="1" x14ac:dyDescent="0.25">
      <c r="A80" s="106" t="s">
        <v>19</v>
      </c>
      <c r="B80" s="106" t="s">
        <v>400</v>
      </c>
      <c r="C80" s="124" cm="1">
        <f t="array" ref="C80">_xll.EQNXTDZ($A$1,$B80,C$1,$B$1)</f>
        <v>0</v>
      </c>
      <c r="D80" s="124" cm="1">
        <f t="array" ref="D80">_xll.EQNXTDZ($A$1,$B80,D$1,$B$1)</f>
        <v>0</v>
      </c>
      <c r="E80" s="124" cm="1">
        <f t="array" ref="E80">_xll.EQNXTDZ($A$1,$B80,E$1,$B$1)</f>
        <v>0</v>
      </c>
      <c r="F80" s="124" cm="1">
        <f t="array" ref="F80">_xll.EQNXTDZ($A$1,$B80,F$1,$B$1)</f>
        <v>0</v>
      </c>
      <c r="G80" s="124" cm="1">
        <f t="array" ref="G80">_xll.EQNXTDZ($A$1,$B80,G$1,$B$1)</f>
        <v>0</v>
      </c>
      <c r="H80" s="124" cm="1">
        <f t="array" ref="H80">_xll.EQNXTDZ($A$1,$B80,H$1,$B$1)</f>
        <v>0</v>
      </c>
      <c r="I80" s="124" cm="1">
        <f t="array" ref="I80">_xll.EQNXTDZ($A$1,$B80,I$1,$B$1)</f>
        <v>0</v>
      </c>
      <c r="J80" s="124" cm="1">
        <f t="array" ref="J80">_xll.EQNXTDZ($A$1,$B80,J$1,$B$1)</f>
        <v>0</v>
      </c>
      <c r="K80" s="124" cm="1">
        <f t="array" ref="K80">_xll.EQNXTDZ($A$1,$B80,K$1,$B$1)</f>
        <v>0</v>
      </c>
      <c r="L80" s="124" cm="1">
        <f t="array" ref="L80">_xll.EQNXTDZ($A$1,$B80,L$1,$B$1)</f>
        <v>0</v>
      </c>
      <c r="M80" s="124" cm="1">
        <f t="array" ref="M80">_xll.EQNXTDZ($A$1,$B80,M$1,$B$1)</f>
        <v>0</v>
      </c>
      <c r="N80" s="124" cm="1">
        <f t="array" ref="N80">_xll.EQNXTDZ($A$1,$B80,N$1,$B$1)</f>
        <v>0</v>
      </c>
      <c r="O80" s="124" cm="1">
        <f t="array" ref="O80">_xll.EQNXTDZ($A$1,$B80,O$1,$B$1)</f>
        <v>0</v>
      </c>
      <c r="P80" s="124" cm="1">
        <f t="array" ref="P80">_xll.EQNXTDZ($A$1,$B80,P$1,$B$1)</f>
        <v>0</v>
      </c>
      <c r="Q80" s="124" cm="1">
        <f t="array" ref="Q80">_xll.EQNXTDZ($A$1,$B80,Q$1,$B$1)</f>
        <v>0</v>
      </c>
      <c r="R80" s="124" cm="1">
        <f t="array" ref="R80">_xll.EQNXTDZ($A$1,$B80,R$1,$B$1)</f>
        <v>0</v>
      </c>
      <c r="S80" s="124" cm="1">
        <f t="array" ref="S80">_xll.EQNXTDZ($A$1,$B80,S$1,$B$1)</f>
        <v>0</v>
      </c>
      <c r="T80" s="124" cm="1">
        <f t="array" ref="T80">_xll.EQNXTDZ($A$1,$B80,T$1,$B$1)</f>
        <v>0</v>
      </c>
      <c r="U80" s="124" cm="1">
        <f t="array" ref="U80">_xll.EQNXTDZ($A$1,$B80,U$1,$B$1)</f>
        <v>0</v>
      </c>
      <c r="V80" s="124" cm="1">
        <f t="array" ref="V80">_xll.EQNXTDZ($A$1,$B80,V$1,$B$1)</f>
        <v>0</v>
      </c>
      <c r="W80" s="124" cm="1">
        <f t="array" ref="W80">_xll.EQNXTDZ($A$1,$B80,W$1,$B$1)</f>
        <v>0</v>
      </c>
      <c r="X80" s="124" cm="1">
        <f t="array" ref="X80">_xll.EQNXTDZ($A$1,$B80,X$1,$B$1)</f>
        <v>0</v>
      </c>
      <c r="Y80" s="124" cm="1">
        <f t="array" ref="Y80">_xll.EQNXTDZ($A$1,$B80,Y$1,$B$1)</f>
        <v>0</v>
      </c>
      <c r="Z80" s="124" cm="1">
        <f t="array" ref="Z80">_xll.EQNXTDZ($A$1,$B80,Z$1,$B$1)</f>
        <v>0</v>
      </c>
      <c r="AA80" s="124" cm="1">
        <f t="array" ref="AA80">_xll.EQNXTDZ($A$1,$B80,AA$1,$B$1)</f>
        <v>0</v>
      </c>
      <c r="AB80" s="124" cm="1">
        <f t="array" ref="AB80">_xll.EQNXTDZ($A$1,$B80,AB$1,$B$1)</f>
        <v>0</v>
      </c>
      <c r="AC80" s="124" cm="1">
        <f t="array" ref="AC80">_xll.EQNXTDZ($A$1,$B80,AC$1,$B$1)</f>
        <v>0</v>
      </c>
      <c r="AD80" s="124" cm="1">
        <f t="array" ref="AD80">_xll.EQNXTDZ($A$1,$B80,AD$1,$B$1)</f>
        <v>0</v>
      </c>
      <c r="AE80" s="124" cm="1">
        <f t="array" ref="AE80">_xll.EQNXTDZ($A$1,$B80,AE$1,$B$1)</f>
        <v>0</v>
      </c>
      <c r="AF80" s="124" cm="1">
        <f t="array" ref="AF80">_xll.EQNXTDZ($A$1,$B80,AF$1,$B$1)</f>
        <v>0</v>
      </c>
    </row>
    <row r="81" spans="1:32" s="106" customFormat="1" x14ac:dyDescent="0.25">
      <c r="A81" s="106" t="s">
        <v>5</v>
      </c>
      <c r="B81" s="106" t="s">
        <v>401</v>
      </c>
      <c r="C81" s="124" cm="1">
        <f t="array" ref="C81">_xll.EQNXTDZ($A$1,$B81,C$1,$B$1)</f>
        <v>0</v>
      </c>
      <c r="D81" s="124" cm="1">
        <f t="array" ref="D81">_xll.EQNXTDZ($A$1,$B81,D$1,$B$1)</f>
        <v>0</v>
      </c>
      <c r="E81" s="124" cm="1">
        <f t="array" ref="E81">_xll.EQNXTDZ($A$1,$B81,E$1,$B$1)</f>
        <v>0</v>
      </c>
      <c r="F81" s="124" cm="1">
        <f t="array" ref="F81">_xll.EQNXTDZ($A$1,$B81,F$1,$B$1)</f>
        <v>0</v>
      </c>
      <c r="G81" s="124" cm="1">
        <f t="array" ref="G81">_xll.EQNXTDZ($A$1,$B81,G$1,$B$1)</f>
        <v>0</v>
      </c>
      <c r="H81" s="124" cm="1">
        <f t="array" ref="H81">_xll.EQNXTDZ($A$1,$B81,H$1,$B$1)</f>
        <v>0</v>
      </c>
      <c r="I81" s="124" cm="1">
        <f t="array" ref="I81">_xll.EQNXTDZ($A$1,$B81,I$1,$B$1)</f>
        <v>0</v>
      </c>
      <c r="J81" s="124" cm="1">
        <f t="array" ref="J81">_xll.EQNXTDZ($A$1,$B81,J$1,$B$1)</f>
        <v>0</v>
      </c>
      <c r="K81" s="124" cm="1">
        <f t="array" ref="K81">_xll.EQNXTDZ($A$1,$B81,K$1,$B$1)</f>
        <v>0</v>
      </c>
      <c r="L81" s="124" cm="1">
        <f t="array" ref="L81">_xll.EQNXTDZ($A$1,$B81,L$1,$B$1)</f>
        <v>0</v>
      </c>
      <c r="M81" s="124" cm="1">
        <f t="array" ref="M81">_xll.EQNXTDZ($A$1,$B81,M$1,$B$1)</f>
        <v>0</v>
      </c>
      <c r="N81" s="124" cm="1">
        <f t="array" ref="N81">_xll.EQNXTDZ($A$1,$B81,N$1,$B$1)</f>
        <v>0</v>
      </c>
      <c r="O81" s="124" cm="1">
        <f t="array" ref="O81">_xll.EQNXTDZ($A$1,$B81,O$1,$B$1)</f>
        <v>0</v>
      </c>
      <c r="P81" s="124" cm="1">
        <f t="array" ref="P81">_xll.EQNXTDZ($A$1,$B81,P$1,$B$1)</f>
        <v>0</v>
      </c>
      <c r="Q81" s="124" cm="1">
        <f t="array" ref="Q81">_xll.EQNXTDZ($A$1,$B81,Q$1,$B$1)</f>
        <v>0</v>
      </c>
      <c r="R81" s="124" cm="1">
        <f t="array" ref="R81">_xll.EQNXTDZ($A$1,$B81,R$1,$B$1)</f>
        <v>0</v>
      </c>
      <c r="S81" s="124" cm="1">
        <f t="array" ref="S81">_xll.EQNXTDZ($A$1,$B81,S$1,$B$1)</f>
        <v>0</v>
      </c>
      <c r="T81" s="124" cm="1">
        <f t="array" ref="T81">_xll.EQNXTDZ($A$1,$B81,T$1,$B$1)</f>
        <v>0</v>
      </c>
      <c r="U81" s="124" cm="1">
        <f t="array" ref="U81">_xll.EQNXTDZ($A$1,$B81,U$1,$B$1)</f>
        <v>0</v>
      </c>
      <c r="V81" s="124" cm="1">
        <f t="array" ref="V81">_xll.EQNXTDZ($A$1,$B81,V$1,$B$1)</f>
        <v>0</v>
      </c>
      <c r="W81" s="124" cm="1">
        <f t="array" ref="W81">_xll.EQNXTDZ($A$1,$B81,W$1,$B$1)</f>
        <v>0</v>
      </c>
      <c r="X81" s="124" cm="1">
        <f t="array" ref="X81">_xll.EQNXTDZ($A$1,$B81,X$1,$B$1)</f>
        <v>0</v>
      </c>
      <c r="Y81" s="124" cm="1">
        <f t="array" ref="Y81">_xll.EQNXTDZ($A$1,$B81,Y$1,$B$1)</f>
        <v>0</v>
      </c>
      <c r="Z81" s="124" cm="1">
        <f t="array" ref="Z81">_xll.EQNXTDZ($A$1,$B81,Z$1,$B$1)</f>
        <v>0</v>
      </c>
      <c r="AA81" s="124" cm="1">
        <f t="array" ref="AA81">_xll.EQNXTDZ($A$1,$B81,AA$1,$B$1)</f>
        <v>0</v>
      </c>
      <c r="AB81" s="124" cm="1">
        <f t="array" ref="AB81">_xll.EQNXTDZ($A$1,$B81,AB$1,$B$1)</f>
        <v>0</v>
      </c>
      <c r="AC81" s="124" cm="1">
        <f t="array" ref="AC81">_xll.EQNXTDZ($A$1,$B81,AC$1,$B$1)</f>
        <v>0</v>
      </c>
      <c r="AD81" s="124" cm="1">
        <f t="array" ref="AD81">_xll.EQNXTDZ($A$1,$B81,AD$1,$B$1)</f>
        <v>0</v>
      </c>
      <c r="AE81" s="124" cm="1">
        <f t="array" ref="AE81">_xll.EQNXTDZ($A$1,$B81,AE$1,$B$1)</f>
        <v>0</v>
      </c>
      <c r="AF81" s="124" cm="1">
        <f t="array" ref="AF81">_xll.EQNXTDZ($A$1,$B81,AF$1,$B$1)</f>
        <v>0</v>
      </c>
    </row>
    <row r="82" spans="1:32" s="106" customFormat="1" x14ac:dyDescent="0.25">
      <c r="A82" s="106" t="s">
        <v>260</v>
      </c>
      <c r="B82" s="106" t="s">
        <v>402</v>
      </c>
      <c r="C82" s="124" cm="1">
        <f t="array" ref="C82">_xll.EQNXTDZ($A$1,$B82,C$1,$B$1)</f>
        <v>0</v>
      </c>
      <c r="D82" s="124" cm="1">
        <f t="array" ref="D82">_xll.EQNXTDZ($A$1,$B82,D$1,$B$1)</f>
        <v>0</v>
      </c>
      <c r="E82" s="124" cm="1">
        <f t="array" ref="E82">_xll.EQNXTDZ($A$1,$B82,E$1,$B$1)</f>
        <v>0</v>
      </c>
      <c r="F82" s="124" cm="1">
        <f t="array" ref="F82">_xll.EQNXTDZ($A$1,$B82,F$1,$B$1)</f>
        <v>0</v>
      </c>
      <c r="G82" s="124" cm="1">
        <f t="array" ref="G82">_xll.EQNXTDZ($A$1,$B82,G$1,$B$1)</f>
        <v>0</v>
      </c>
      <c r="H82" s="124" cm="1">
        <f t="array" ref="H82">_xll.EQNXTDZ($A$1,$B82,H$1,$B$1)</f>
        <v>0</v>
      </c>
      <c r="I82" s="124" cm="1">
        <f t="array" ref="I82">_xll.EQNXTDZ($A$1,$B82,I$1,$B$1)</f>
        <v>0</v>
      </c>
      <c r="J82" s="124" cm="1">
        <f t="array" ref="J82">_xll.EQNXTDZ($A$1,$B82,J$1,$B$1)</f>
        <v>0</v>
      </c>
      <c r="K82" s="124" cm="1">
        <f t="array" ref="K82">_xll.EQNXTDZ($A$1,$B82,K$1,$B$1)</f>
        <v>0</v>
      </c>
      <c r="L82" s="124" cm="1">
        <f t="array" ref="L82">_xll.EQNXTDZ($A$1,$B82,L$1,$B$1)</f>
        <v>0</v>
      </c>
      <c r="M82" s="124" cm="1">
        <f t="array" ref="M82">_xll.EQNXTDZ($A$1,$B82,M$1,$B$1)</f>
        <v>0</v>
      </c>
      <c r="N82" s="124" cm="1">
        <f t="array" ref="N82">_xll.EQNXTDZ($A$1,$B82,N$1,$B$1)</f>
        <v>0</v>
      </c>
      <c r="O82" s="124" cm="1">
        <f t="array" ref="O82">_xll.EQNXTDZ($A$1,$B82,O$1,$B$1)</f>
        <v>0</v>
      </c>
      <c r="P82" s="124" cm="1">
        <f t="array" ref="P82">_xll.EQNXTDZ($A$1,$B82,P$1,$B$1)</f>
        <v>0</v>
      </c>
      <c r="Q82" s="124" cm="1">
        <f t="array" ref="Q82">_xll.EQNXTDZ($A$1,$B82,Q$1,$B$1)</f>
        <v>0</v>
      </c>
      <c r="R82" s="124" cm="1">
        <f t="array" ref="R82">_xll.EQNXTDZ($A$1,$B82,R$1,$B$1)</f>
        <v>0</v>
      </c>
      <c r="S82" s="124" cm="1">
        <f t="array" ref="S82">_xll.EQNXTDZ($A$1,$B82,S$1,$B$1)</f>
        <v>0</v>
      </c>
      <c r="T82" s="124" cm="1">
        <f t="array" ref="T82">_xll.EQNXTDZ($A$1,$B82,T$1,$B$1)</f>
        <v>0</v>
      </c>
      <c r="U82" s="124" cm="1">
        <f t="array" ref="U82">_xll.EQNXTDZ($A$1,$B82,U$1,$B$1)</f>
        <v>0</v>
      </c>
      <c r="V82" s="124" cm="1">
        <f t="array" ref="V82">_xll.EQNXTDZ($A$1,$B82,V$1,$B$1)</f>
        <v>0</v>
      </c>
      <c r="W82" s="124" cm="1">
        <f t="array" ref="W82">_xll.EQNXTDZ($A$1,$B82,W$1,$B$1)</f>
        <v>0</v>
      </c>
      <c r="X82" s="124" cm="1">
        <f t="array" ref="X82">_xll.EQNXTDZ($A$1,$B82,X$1,$B$1)</f>
        <v>0</v>
      </c>
      <c r="Y82" s="124" cm="1">
        <f t="array" ref="Y82">_xll.EQNXTDZ($A$1,$B82,Y$1,$B$1)</f>
        <v>0</v>
      </c>
      <c r="Z82" s="124" cm="1">
        <f t="array" ref="Z82">_xll.EQNXTDZ($A$1,$B82,Z$1,$B$1)</f>
        <v>0</v>
      </c>
      <c r="AA82" s="124" cm="1">
        <f t="array" ref="AA82">_xll.EQNXTDZ($A$1,$B82,AA$1,$B$1)</f>
        <v>0</v>
      </c>
      <c r="AB82" s="124" cm="1">
        <f t="array" ref="AB82">_xll.EQNXTDZ($A$1,$B82,AB$1,$B$1)</f>
        <v>0</v>
      </c>
      <c r="AC82" s="124" cm="1">
        <f t="array" ref="AC82">_xll.EQNXTDZ($A$1,$B82,AC$1,$B$1)</f>
        <v>0</v>
      </c>
      <c r="AD82" s="124" cm="1">
        <f t="array" ref="AD82">_xll.EQNXTDZ($A$1,$B82,AD$1,$B$1)</f>
        <v>0</v>
      </c>
      <c r="AE82" s="124" cm="1">
        <f t="array" ref="AE82">_xll.EQNXTDZ($A$1,$B82,AE$1,$B$1)</f>
        <v>0</v>
      </c>
      <c r="AF82" s="124" cm="1">
        <f t="array" ref="AF82">_xll.EQNXTDZ($A$1,$B82,AF$1,$B$1)</f>
        <v>0</v>
      </c>
    </row>
    <row r="83" spans="1:32" s="106" customFormat="1" x14ac:dyDescent="0.25">
      <c r="A83" s="106" t="s">
        <v>233</v>
      </c>
      <c r="B83" s="106" t="s">
        <v>403</v>
      </c>
      <c r="C83" s="124" cm="1">
        <f t="array" ref="C83">_xll.EQNXTDZ($A$1,$B83,C$1,$B$1)</f>
        <v>0</v>
      </c>
      <c r="D83" s="124" cm="1">
        <f t="array" ref="D83">_xll.EQNXTDZ($A$1,$B83,D$1,$B$1)</f>
        <v>0</v>
      </c>
      <c r="E83" s="124" cm="1">
        <f t="array" ref="E83">_xll.EQNXTDZ($A$1,$B83,E$1,$B$1)</f>
        <v>0</v>
      </c>
      <c r="F83" s="124" cm="1">
        <f t="array" ref="F83">_xll.EQNXTDZ($A$1,$B83,F$1,$B$1)</f>
        <v>0</v>
      </c>
      <c r="G83" s="124" cm="1">
        <f t="array" ref="G83">_xll.EQNXTDZ($A$1,$B83,G$1,$B$1)</f>
        <v>0</v>
      </c>
      <c r="H83" s="124" cm="1">
        <f t="array" ref="H83">_xll.EQNXTDZ($A$1,$B83,H$1,$B$1)</f>
        <v>0</v>
      </c>
      <c r="I83" s="124" cm="1">
        <f t="array" ref="I83">_xll.EQNXTDZ($A$1,$B83,I$1,$B$1)</f>
        <v>0</v>
      </c>
      <c r="J83" s="124" cm="1">
        <f t="array" ref="J83">_xll.EQNXTDZ($A$1,$B83,J$1,$B$1)</f>
        <v>0</v>
      </c>
      <c r="K83" s="124" cm="1">
        <f t="array" ref="K83">_xll.EQNXTDZ($A$1,$B83,K$1,$B$1)</f>
        <v>0</v>
      </c>
      <c r="L83" s="124" cm="1">
        <f t="array" ref="L83">_xll.EQNXTDZ($A$1,$B83,L$1,$B$1)</f>
        <v>0</v>
      </c>
      <c r="M83" s="124" cm="1">
        <f t="array" ref="M83">_xll.EQNXTDZ($A$1,$B83,M$1,$B$1)</f>
        <v>0</v>
      </c>
      <c r="N83" s="124" cm="1">
        <f t="array" ref="N83">_xll.EQNXTDZ($A$1,$B83,N$1,$B$1)</f>
        <v>0</v>
      </c>
      <c r="O83" s="124" cm="1">
        <f t="array" ref="O83">_xll.EQNXTDZ($A$1,$B83,O$1,$B$1)</f>
        <v>0</v>
      </c>
      <c r="P83" s="124" cm="1">
        <f t="array" ref="P83">_xll.EQNXTDZ($A$1,$B83,P$1,$B$1)</f>
        <v>0</v>
      </c>
      <c r="Q83" s="124" cm="1">
        <f t="array" ref="Q83">_xll.EQNXTDZ($A$1,$B83,Q$1,$B$1)</f>
        <v>0</v>
      </c>
      <c r="R83" s="124" cm="1">
        <f t="array" ref="R83">_xll.EQNXTDZ($A$1,$B83,R$1,$B$1)</f>
        <v>0</v>
      </c>
      <c r="S83" s="124" cm="1">
        <f t="array" ref="S83">_xll.EQNXTDZ($A$1,$B83,S$1,$B$1)</f>
        <v>0</v>
      </c>
      <c r="T83" s="124" cm="1">
        <f t="array" ref="T83">_xll.EQNXTDZ($A$1,$B83,T$1,$B$1)</f>
        <v>0</v>
      </c>
      <c r="U83" s="124" cm="1">
        <f t="array" ref="U83">_xll.EQNXTDZ($A$1,$B83,U$1,$B$1)</f>
        <v>0</v>
      </c>
      <c r="V83" s="124" cm="1">
        <f t="array" ref="V83">_xll.EQNXTDZ($A$1,$B83,V$1,$B$1)</f>
        <v>0</v>
      </c>
      <c r="W83" s="124" cm="1">
        <f t="array" ref="W83">_xll.EQNXTDZ($A$1,$B83,W$1,$B$1)</f>
        <v>0</v>
      </c>
      <c r="X83" s="124" cm="1">
        <f t="array" ref="X83">_xll.EQNXTDZ($A$1,$B83,X$1,$B$1)</f>
        <v>0</v>
      </c>
      <c r="Y83" s="124" cm="1">
        <f t="array" ref="Y83">_xll.EQNXTDZ($A$1,$B83,Y$1,$B$1)</f>
        <v>0</v>
      </c>
      <c r="Z83" s="124" cm="1">
        <f t="array" ref="Z83">_xll.EQNXTDZ($A$1,$B83,Z$1,$B$1)</f>
        <v>0</v>
      </c>
      <c r="AA83" s="124" cm="1">
        <f t="array" ref="AA83">_xll.EQNXTDZ($A$1,$B83,AA$1,$B$1)</f>
        <v>0</v>
      </c>
      <c r="AB83" s="124" cm="1">
        <f t="array" ref="AB83">_xll.EQNXTDZ($A$1,$B83,AB$1,$B$1)</f>
        <v>0</v>
      </c>
      <c r="AC83" s="124" cm="1">
        <f t="array" ref="AC83">_xll.EQNXTDZ($A$1,$B83,AC$1,$B$1)</f>
        <v>0</v>
      </c>
      <c r="AD83" s="124" cm="1">
        <f t="array" ref="AD83">_xll.EQNXTDZ($A$1,$B83,AD$1,$B$1)</f>
        <v>0</v>
      </c>
      <c r="AE83" s="124" cm="1">
        <f t="array" ref="AE83">_xll.EQNXTDZ($A$1,$B83,AE$1,$B$1)</f>
        <v>0</v>
      </c>
      <c r="AF83" s="124" cm="1">
        <f t="array" ref="AF83">_xll.EQNXTDZ($A$1,$B83,AF$1,$B$1)</f>
        <v>0</v>
      </c>
    </row>
    <row r="84" spans="1:32" s="106" customFormat="1" x14ac:dyDescent="0.25">
      <c r="A84" s="106" t="s">
        <v>204</v>
      </c>
      <c r="B84" s="106" t="s">
        <v>404</v>
      </c>
      <c r="C84" s="124" cm="1">
        <f t="array" ref="C84">_xll.EQNXTDZ($A$1,$B84,C$1,$B$1)</f>
        <v>0</v>
      </c>
      <c r="D84" s="124" cm="1">
        <f t="array" ref="D84">_xll.EQNXTDZ($A$1,$B84,D$1,$B$1)</f>
        <v>0</v>
      </c>
      <c r="E84" s="124" cm="1">
        <f t="array" ref="E84">_xll.EQNXTDZ($A$1,$B84,E$1,$B$1)</f>
        <v>0</v>
      </c>
      <c r="F84" s="124" cm="1">
        <f t="array" ref="F84">_xll.EQNXTDZ($A$1,$B84,F$1,$B$1)</f>
        <v>0</v>
      </c>
      <c r="G84" s="124" cm="1">
        <f t="array" ref="G84">_xll.EQNXTDZ($A$1,$B84,G$1,$B$1)</f>
        <v>0</v>
      </c>
      <c r="H84" s="124" cm="1">
        <f t="array" ref="H84">_xll.EQNXTDZ($A$1,$B84,H$1,$B$1)</f>
        <v>0</v>
      </c>
      <c r="I84" s="124" cm="1">
        <f t="array" ref="I84">_xll.EQNXTDZ($A$1,$B84,I$1,$B$1)</f>
        <v>0</v>
      </c>
      <c r="J84" s="124" cm="1">
        <f t="array" ref="J84">_xll.EQNXTDZ($A$1,$B84,J$1,$B$1)</f>
        <v>0</v>
      </c>
      <c r="K84" s="124" cm="1">
        <f t="array" ref="K84">_xll.EQNXTDZ($A$1,$B84,K$1,$B$1)</f>
        <v>0</v>
      </c>
      <c r="L84" s="124" cm="1">
        <f t="array" ref="L84">_xll.EQNXTDZ($A$1,$B84,L$1,$B$1)</f>
        <v>0</v>
      </c>
      <c r="M84" s="124" cm="1">
        <f t="array" ref="M84">_xll.EQNXTDZ($A$1,$B84,M$1,$B$1)</f>
        <v>0</v>
      </c>
      <c r="N84" s="124" cm="1">
        <f t="array" ref="N84">_xll.EQNXTDZ($A$1,$B84,N$1,$B$1)</f>
        <v>0</v>
      </c>
      <c r="O84" s="124" cm="1">
        <f t="array" ref="O84">_xll.EQNXTDZ($A$1,$B84,O$1,$B$1)</f>
        <v>0</v>
      </c>
      <c r="P84" s="124" cm="1">
        <f t="array" ref="P84">_xll.EQNXTDZ($A$1,$B84,P$1,$B$1)</f>
        <v>0</v>
      </c>
      <c r="Q84" s="124" cm="1">
        <f t="array" ref="Q84">_xll.EQNXTDZ($A$1,$B84,Q$1,$B$1)</f>
        <v>0</v>
      </c>
      <c r="R84" s="124" cm="1">
        <f t="array" ref="R84">_xll.EQNXTDZ($A$1,$B84,R$1,$B$1)</f>
        <v>0</v>
      </c>
      <c r="S84" s="124" cm="1">
        <f t="array" ref="S84">_xll.EQNXTDZ($A$1,$B84,S$1,$B$1)</f>
        <v>0</v>
      </c>
      <c r="T84" s="124" cm="1">
        <f t="array" ref="T84">_xll.EQNXTDZ($A$1,$B84,T$1,$B$1)</f>
        <v>0</v>
      </c>
      <c r="U84" s="124" cm="1">
        <f t="array" ref="U84">_xll.EQNXTDZ($A$1,$B84,U$1,$B$1)</f>
        <v>0</v>
      </c>
      <c r="V84" s="124" cm="1">
        <f t="array" ref="V84">_xll.EQNXTDZ($A$1,$B84,V$1,$B$1)</f>
        <v>0</v>
      </c>
      <c r="W84" s="124" cm="1">
        <f t="array" ref="W84">_xll.EQNXTDZ($A$1,$B84,W$1,$B$1)</f>
        <v>0</v>
      </c>
      <c r="X84" s="124" cm="1">
        <f t="array" ref="X84">_xll.EQNXTDZ($A$1,$B84,X$1,$B$1)</f>
        <v>0</v>
      </c>
      <c r="Y84" s="124" cm="1">
        <f t="array" ref="Y84">_xll.EQNXTDZ($A$1,$B84,Y$1,$B$1)</f>
        <v>0</v>
      </c>
      <c r="Z84" s="124" cm="1">
        <f t="array" ref="Z84">_xll.EQNXTDZ($A$1,$B84,Z$1,$B$1)</f>
        <v>0</v>
      </c>
      <c r="AA84" s="124" cm="1">
        <f t="array" ref="AA84">_xll.EQNXTDZ($A$1,$B84,AA$1,$B$1)</f>
        <v>0</v>
      </c>
      <c r="AB84" s="124" cm="1">
        <f t="array" ref="AB84">_xll.EQNXTDZ($A$1,$B84,AB$1,$B$1)</f>
        <v>0</v>
      </c>
      <c r="AC84" s="124" cm="1">
        <f t="array" ref="AC84">_xll.EQNXTDZ($A$1,$B84,AC$1,$B$1)</f>
        <v>0</v>
      </c>
      <c r="AD84" s="124" cm="1">
        <f t="array" ref="AD84">_xll.EQNXTDZ($A$1,$B84,AD$1,$B$1)</f>
        <v>0</v>
      </c>
      <c r="AE84" s="124" cm="1">
        <f t="array" ref="AE84">_xll.EQNXTDZ($A$1,$B84,AE$1,$B$1)</f>
        <v>0</v>
      </c>
      <c r="AF84" s="124" cm="1">
        <f t="array" ref="AF84">_xll.EQNXTDZ($A$1,$B84,AF$1,$B$1)</f>
        <v>0</v>
      </c>
    </row>
    <row r="85" spans="1:32" s="106" customFormat="1" x14ac:dyDescent="0.25">
      <c r="A85" s="106" t="s">
        <v>89</v>
      </c>
      <c r="B85" s="106" t="s">
        <v>405</v>
      </c>
      <c r="C85" s="124" cm="1">
        <f t="array" ref="C85">_xll.EQNXTDZ($A$1,$B85,C$1,$B$1)</f>
        <v>0</v>
      </c>
      <c r="D85" s="124" cm="1">
        <f t="array" ref="D85">_xll.EQNXTDZ($A$1,$B85,D$1,$B$1)</f>
        <v>0</v>
      </c>
      <c r="E85" s="124" cm="1">
        <f t="array" ref="E85">_xll.EQNXTDZ($A$1,$B85,E$1,$B$1)</f>
        <v>0</v>
      </c>
      <c r="F85" s="124" cm="1">
        <f t="array" ref="F85">_xll.EQNXTDZ($A$1,$B85,F$1,$B$1)</f>
        <v>0</v>
      </c>
      <c r="G85" s="124" cm="1">
        <f t="array" ref="G85">_xll.EQNXTDZ($A$1,$B85,G$1,$B$1)</f>
        <v>0</v>
      </c>
      <c r="H85" s="124" cm="1">
        <f t="array" ref="H85">_xll.EQNXTDZ($A$1,$B85,H$1,$B$1)</f>
        <v>0</v>
      </c>
      <c r="I85" s="124" cm="1">
        <f t="array" ref="I85">_xll.EQNXTDZ($A$1,$B85,I$1,$B$1)</f>
        <v>0</v>
      </c>
      <c r="J85" s="124" cm="1">
        <f t="array" ref="J85">_xll.EQNXTDZ($A$1,$B85,J$1,$B$1)</f>
        <v>0</v>
      </c>
      <c r="K85" s="124" cm="1">
        <f t="array" ref="K85">_xll.EQNXTDZ($A$1,$B85,K$1,$B$1)</f>
        <v>0</v>
      </c>
      <c r="L85" s="124" cm="1">
        <f t="array" ref="L85">_xll.EQNXTDZ($A$1,$B85,L$1,$B$1)</f>
        <v>0</v>
      </c>
      <c r="M85" s="124" cm="1">
        <f t="array" ref="M85">_xll.EQNXTDZ($A$1,$B85,M$1,$B$1)</f>
        <v>0</v>
      </c>
      <c r="N85" s="124" cm="1">
        <f t="array" ref="N85">_xll.EQNXTDZ($A$1,$B85,N$1,$B$1)</f>
        <v>0</v>
      </c>
      <c r="O85" s="124" cm="1">
        <f t="array" ref="O85">_xll.EQNXTDZ($A$1,$B85,O$1,$B$1)</f>
        <v>0</v>
      </c>
      <c r="P85" s="124" cm="1">
        <f t="array" ref="P85">_xll.EQNXTDZ($A$1,$B85,P$1,$B$1)</f>
        <v>0</v>
      </c>
      <c r="Q85" s="124" cm="1">
        <f t="array" ref="Q85">_xll.EQNXTDZ($A$1,$B85,Q$1,$B$1)</f>
        <v>0</v>
      </c>
      <c r="R85" s="124" cm="1">
        <f t="array" ref="R85">_xll.EQNXTDZ($A$1,$B85,R$1,$B$1)</f>
        <v>0</v>
      </c>
      <c r="S85" s="124" cm="1">
        <f t="array" ref="S85">_xll.EQNXTDZ($A$1,$B85,S$1,$B$1)</f>
        <v>0</v>
      </c>
      <c r="T85" s="124" cm="1">
        <f t="array" ref="T85">_xll.EQNXTDZ($A$1,$B85,T$1,$B$1)</f>
        <v>0</v>
      </c>
      <c r="U85" s="124" cm="1">
        <f t="array" ref="U85">_xll.EQNXTDZ($A$1,$B85,U$1,$B$1)</f>
        <v>0</v>
      </c>
      <c r="V85" s="124" cm="1">
        <f t="array" ref="V85">_xll.EQNXTDZ($A$1,$B85,V$1,$B$1)</f>
        <v>0</v>
      </c>
      <c r="W85" s="124" cm="1">
        <f t="array" ref="W85">_xll.EQNXTDZ($A$1,$B85,W$1,$B$1)</f>
        <v>0</v>
      </c>
      <c r="X85" s="124" cm="1">
        <f t="array" ref="X85">_xll.EQNXTDZ($A$1,$B85,X$1,$B$1)</f>
        <v>0</v>
      </c>
      <c r="Y85" s="124" cm="1">
        <f t="array" ref="Y85">_xll.EQNXTDZ($A$1,$B85,Y$1,$B$1)</f>
        <v>0</v>
      </c>
      <c r="Z85" s="124" cm="1">
        <f t="array" ref="Z85">_xll.EQNXTDZ($A$1,$B85,Z$1,$B$1)</f>
        <v>0</v>
      </c>
      <c r="AA85" s="124" cm="1">
        <f t="array" ref="AA85">_xll.EQNXTDZ($A$1,$B85,AA$1,$B$1)</f>
        <v>0</v>
      </c>
      <c r="AB85" s="124" cm="1">
        <f t="array" ref="AB85">_xll.EQNXTDZ($A$1,$B85,AB$1,$B$1)</f>
        <v>0</v>
      </c>
      <c r="AC85" s="124" cm="1">
        <f t="array" ref="AC85">_xll.EQNXTDZ($A$1,$B85,AC$1,$B$1)</f>
        <v>0</v>
      </c>
      <c r="AD85" s="124" cm="1">
        <f t="array" ref="AD85">_xll.EQNXTDZ($A$1,$B85,AD$1,$B$1)</f>
        <v>0</v>
      </c>
      <c r="AE85" s="124" cm="1">
        <f t="array" ref="AE85">_xll.EQNXTDZ($A$1,$B85,AE$1,$B$1)</f>
        <v>0</v>
      </c>
      <c r="AF85" s="124" cm="1">
        <f t="array" ref="AF85">_xll.EQNXTDZ($A$1,$B85,AF$1,$B$1)</f>
        <v>0</v>
      </c>
    </row>
    <row r="86" spans="1:32" s="106" customFormat="1" x14ac:dyDescent="0.25">
      <c r="A86" s="106" t="s">
        <v>92</v>
      </c>
      <c r="B86" s="106" t="s">
        <v>406</v>
      </c>
      <c r="C86" s="124" cm="1">
        <f t="array" ref="C86">_xll.EQNXTDZ($A$1,$B86,C$1,$B$1)</f>
        <v>0</v>
      </c>
      <c r="D86" s="124" cm="1">
        <f t="array" ref="D86">_xll.EQNXTDZ($A$1,$B86,D$1,$B$1)</f>
        <v>0</v>
      </c>
      <c r="E86" s="124" cm="1">
        <f t="array" ref="E86">_xll.EQNXTDZ($A$1,$B86,E$1,$B$1)</f>
        <v>0</v>
      </c>
      <c r="F86" s="124" cm="1">
        <f t="array" ref="F86">_xll.EQNXTDZ($A$1,$B86,F$1,$B$1)</f>
        <v>0</v>
      </c>
      <c r="G86" s="124" cm="1">
        <f t="array" ref="G86">_xll.EQNXTDZ($A$1,$B86,G$1,$B$1)</f>
        <v>0</v>
      </c>
      <c r="H86" s="124" cm="1">
        <f t="array" ref="H86">_xll.EQNXTDZ($A$1,$B86,H$1,$B$1)</f>
        <v>0</v>
      </c>
      <c r="I86" s="124" cm="1">
        <f t="array" ref="I86">_xll.EQNXTDZ($A$1,$B86,I$1,$B$1)</f>
        <v>0</v>
      </c>
      <c r="J86" s="124" cm="1">
        <f t="array" ref="J86">_xll.EQNXTDZ($A$1,$B86,J$1,$B$1)</f>
        <v>0</v>
      </c>
      <c r="K86" s="124" cm="1">
        <f t="array" ref="K86">_xll.EQNXTDZ($A$1,$B86,K$1,$B$1)</f>
        <v>0</v>
      </c>
      <c r="L86" s="124" cm="1">
        <f t="array" ref="L86">_xll.EQNXTDZ($A$1,$B86,L$1,$B$1)</f>
        <v>0</v>
      </c>
      <c r="M86" s="124" cm="1">
        <f t="array" ref="M86">_xll.EQNXTDZ($A$1,$B86,M$1,$B$1)</f>
        <v>0</v>
      </c>
      <c r="N86" s="124" cm="1">
        <f t="array" ref="N86">_xll.EQNXTDZ($A$1,$B86,N$1,$B$1)</f>
        <v>0</v>
      </c>
      <c r="O86" s="124" cm="1">
        <f t="array" ref="O86">_xll.EQNXTDZ($A$1,$B86,O$1,$B$1)</f>
        <v>0</v>
      </c>
      <c r="P86" s="124" cm="1">
        <f t="array" ref="P86">_xll.EQNXTDZ($A$1,$B86,P$1,$B$1)</f>
        <v>0</v>
      </c>
      <c r="Q86" s="124" cm="1">
        <f t="array" ref="Q86">_xll.EQNXTDZ($A$1,$B86,Q$1,$B$1)</f>
        <v>0</v>
      </c>
      <c r="R86" s="124" cm="1">
        <f t="array" ref="R86">_xll.EQNXTDZ($A$1,$B86,R$1,$B$1)</f>
        <v>0</v>
      </c>
      <c r="S86" s="124" cm="1">
        <f t="array" ref="S86">_xll.EQNXTDZ($A$1,$B86,S$1,$B$1)</f>
        <v>0</v>
      </c>
      <c r="T86" s="124" cm="1">
        <f t="array" ref="T86">_xll.EQNXTDZ($A$1,$B86,T$1,$B$1)</f>
        <v>0</v>
      </c>
      <c r="U86" s="124" cm="1">
        <f t="array" ref="U86">_xll.EQNXTDZ($A$1,$B86,U$1,$B$1)</f>
        <v>0</v>
      </c>
      <c r="V86" s="124" cm="1">
        <f t="array" ref="V86">_xll.EQNXTDZ($A$1,$B86,V$1,$B$1)</f>
        <v>0</v>
      </c>
      <c r="W86" s="124" cm="1">
        <f t="array" ref="W86">_xll.EQNXTDZ($A$1,$B86,W$1,$B$1)</f>
        <v>0</v>
      </c>
      <c r="X86" s="124" cm="1">
        <f t="array" ref="X86">_xll.EQNXTDZ($A$1,$B86,X$1,$B$1)</f>
        <v>0</v>
      </c>
      <c r="Y86" s="124" cm="1">
        <f t="array" ref="Y86">_xll.EQNXTDZ($A$1,$B86,Y$1,$B$1)</f>
        <v>0</v>
      </c>
      <c r="Z86" s="124" cm="1">
        <f t="array" ref="Z86">_xll.EQNXTDZ($A$1,$B86,Z$1,$B$1)</f>
        <v>0</v>
      </c>
      <c r="AA86" s="124" cm="1">
        <f t="array" ref="AA86">_xll.EQNXTDZ($A$1,$B86,AA$1,$B$1)</f>
        <v>0</v>
      </c>
      <c r="AB86" s="124" cm="1">
        <f t="array" ref="AB86">_xll.EQNXTDZ($A$1,$B86,AB$1,$B$1)</f>
        <v>0</v>
      </c>
      <c r="AC86" s="124" cm="1">
        <f t="array" ref="AC86">_xll.EQNXTDZ($A$1,$B86,AC$1,$B$1)</f>
        <v>0</v>
      </c>
      <c r="AD86" s="124" cm="1">
        <f t="array" ref="AD86">_xll.EQNXTDZ($A$1,$B86,AD$1,$B$1)</f>
        <v>0</v>
      </c>
      <c r="AE86" s="124" cm="1">
        <f t="array" ref="AE86">_xll.EQNXTDZ($A$1,$B86,AE$1,$B$1)</f>
        <v>0</v>
      </c>
      <c r="AF86" s="124" cm="1">
        <f t="array" ref="AF86">_xll.EQNXTDZ($A$1,$B86,AF$1,$B$1)</f>
        <v>0</v>
      </c>
    </row>
    <row r="87" spans="1:32" s="106" customFormat="1" x14ac:dyDescent="0.25">
      <c r="A87" s="106" t="s">
        <v>93</v>
      </c>
      <c r="B87" s="106" t="s">
        <v>407</v>
      </c>
      <c r="C87" s="124" cm="1">
        <f t="array" ref="C87">_xll.EQNXTDZ($A$1,$B87,C$1,$B$1)</f>
        <v>0</v>
      </c>
      <c r="D87" s="124" cm="1">
        <f t="array" ref="D87">_xll.EQNXTDZ($A$1,$B87,D$1,$B$1)</f>
        <v>0</v>
      </c>
      <c r="E87" s="124" cm="1">
        <f t="array" ref="E87">_xll.EQNXTDZ($A$1,$B87,E$1,$B$1)</f>
        <v>0</v>
      </c>
      <c r="F87" s="124" cm="1">
        <f t="array" ref="F87">_xll.EQNXTDZ($A$1,$B87,F$1,$B$1)</f>
        <v>0</v>
      </c>
      <c r="G87" s="124" cm="1">
        <f t="array" ref="G87">_xll.EQNXTDZ($A$1,$B87,G$1,$B$1)</f>
        <v>0</v>
      </c>
      <c r="H87" s="124" cm="1">
        <f t="array" ref="H87">_xll.EQNXTDZ($A$1,$B87,H$1,$B$1)</f>
        <v>0</v>
      </c>
      <c r="I87" s="124" cm="1">
        <f t="array" ref="I87">_xll.EQNXTDZ($A$1,$B87,I$1,$B$1)</f>
        <v>0</v>
      </c>
      <c r="J87" s="124" cm="1">
        <f t="array" ref="J87">_xll.EQNXTDZ($A$1,$B87,J$1,$B$1)</f>
        <v>0</v>
      </c>
      <c r="K87" s="124" cm="1">
        <f t="array" ref="K87">_xll.EQNXTDZ($A$1,$B87,K$1,$B$1)</f>
        <v>0</v>
      </c>
      <c r="L87" s="124" cm="1">
        <f t="array" ref="L87">_xll.EQNXTDZ($A$1,$B87,L$1,$B$1)</f>
        <v>0</v>
      </c>
      <c r="M87" s="124" cm="1">
        <f t="array" ref="M87">_xll.EQNXTDZ($A$1,$B87,M$1,$B$1)</f>
        <v>0</v>
      </c>
      <c r="N87" s="124" cm="1">
        <f t="array" ref="N87">_xll.EQNXTDZ($A$1,$B87,N$1,$B$1)</f>
        <v>0</v>
      </c>
      <c r="O87" s="124" cm="1">
        <f t="array" ref="O87">_xll.EQNXTDZ($A$1,$B87,O$1,$B$1)</f>
        <v>0</v>
      </c>
      <c r="P87" s="124" cm="1">
        <f t="array" ref="P87">_xll.EQNXTDZ($A$1,$B87,P$1,$B$1)</f>
        <v>0</v>
      </c>
      <c r="Q87" s="124" cm="1">
        <f t="array" ref="Q87">_xll.EQNXTDZ($A$1,$B87,Q$1,$B$1)</f>
        <v>0</v>
      </c>
      <c r="R87" s="124" cm="1">
        <f t="array" ref="R87">_xll.EQNXTDZ($A$1,$B87,R$1,$B$1)</f>
        <v>0</v>
      </c>
      <c r="S87" s="124" cm="1">
        <f t="array" ref="S87">_xll.EQNXTDZ($A$1,$B87,S$1,$B$1)</f>
        <v>0</v>
      </c>
      <c r="T87" s="124" cm="1">
        <f t="array" ref="T87">_xll.EQNXTDZ($A$1,$B87,T$1,$B$1)</f>
        <v>0</v>
      </c>
      <c r="U87" s="124" cm="1">
        <f t="array" ref="U87">_xll.EQNXTDZ($A$1,$B87,U$1,$B$1)</f>
        <v>0</v>
      </c>
      <c r="V87" s="124" cm="1">
        <f t="array" ref="V87">_xll.EQNXTDZ($A$1,$B87,V$1,$B$1)</f>
        <v>0</v>
      </c>
      <c r="W87" s="124" cm="1">
        <f t="array" ref="W87">_xll.EQNXTDZ($A$1,$B87,W$1,$B$1)</f>
        <v>0</v>
      </c>
      <c r="X87" s="124" cm="1">
        <f t="array" ref="X87">_xll.EQNXTDZ($A$1,$B87,X$1,$B$1)</f>
        <v>0</v>
      </c>
      <c r="Y87" s="124" cm="1">
        <f t="array" ref="Y87">_xll.EQNXTDZ($A$1,$B87,Y$1,$B$1)</f>
        <v>0</v>
      </c>
      <c r="Z87" s="124" cm="1">
        <f t="array" ref="Z87">_xll.EQNXTDZ($A$1,$B87,Z$1,$B$1)</f>
        <v>0</v>
      </c>
      <c r="AA87" s="124" cm="1">
        <f t="array" ref="AA87">_xll.EQNXTDZ($A$1,$B87,AA$1,$B$1)</f>
        <v>0</v>
      </c>
      <c r="AB87" s="124" cm="1">
        <f t="array" ref="AB87">_xll.EQNXTDZ($A$1,$B87,AB$1,$B$1)</f>
        <v>0</v>
      </c>
      <c r="AC87" s="124" cm="1">
        <f t="array" ref="AC87">_xll.EQNXTDZ($A$1,$B87,AC$1,$B$1)</f>
        <v>0</v>
      </c>
      <c r="AD87" s="124" cm="1">
        <f t="array" ref="AD87">_xll.EQNXTDZ($A$1,$B87,AD$1,$B$1)</f>
        <v>0</v>
      </c>
      <c r="AE87" s="124" cm="1">
        <f t="array" ref="AE87">_xll.EQNXTDZ($A$1,$B87,AE$1,$B$1)</f>
        <v>0</v>
      </c>
      <c r="AF87" s="124" cm="1">
        <f t="array" ref="AF87">_xll.EQNXTDZ($A$1,$B87,AF$1,$B$1)</f>
        <v>0</v>
      </c>
    </row>
    <row r="88" spans="1:32" s="106" customFormat="1" x14ac:dyDescent="0.25">
      <c r="A88" s="106" t="s">
        <v>232</v>
      </c>
      <c r="B88" s="106" t="s">
        <v>408</v>
      </c>
      <c r="C88" s="124" cm="1">
        <f t="array" ref="C88">_xll.EQNXTDZ($A$1,$B88,C$1,$B$1)</f>
        <v>0</v>
      </c>
      <c r="D88" s="124" cm="1">
        <f t="array" ref="D88">_xll.EQNXTDZ($A$1,$B88,D$1,$B$1)</f>
        <v>0</v>
      </c>
      <c r="E88" s="124" cm="1">
        <f t="array" ref="E88">_xll.EQNXTDZ($A$1,$B88,E$1,$B$1)</f>
        <v>0</v>
      </c>
      <c r="F88" s="124" cm="1">
        <f t="array" ref="F88">_xll.EQNXTDZ($A$1,$B88,F$1,$B$1)</f>
        <v>0</v>
      </c>
      <c r="G88" s="124" cm="1">
        <f t="array" ref="G88">_xll.EQNXTDZ($A$1,$B88,G$1,$B$1)</f>
        <v>0</v>
      </c>
      <c r="H88" s="124" cm="1">
        <f t="array" ref="H88">_xll.EQNXTDZ($A$1,$B88,H$1,$B$1)</f>
        <v>0</v>
      </c>
      <c r="I88" s="124" cm="1">
        <f t="array" ref="I88">_xll.EQNXTDZ($A$1,$B88,I$1,$B$1)</f>
        <v>0</v>
      </c>
      <c r="J88" s="124" cm="1">
        <f t="array" ref="J88">_xll.EQNXTDZ($A$1,$B88,J$1,$B$1)</f>
        <v>0</v>
      </c>
      <c r="K88" s="124" cm="1">
        <f t="array" ref="K88">_xll.EQNXTDZ($A$1,$B88,K$1,$B$1)</f>
        <v>0</v>
      </c>
      <c r="L88" s="124" cm="1">
        <f t="array" ref="L88">_xll.EQNXTDZ($A$1,$B88,L$1,$B$1)</f>
        <v>0</v>
      </c>
      <c r="M88" s="124" cm="1">
        <f t="array" ref="M88">_xll.EQNXTDZ($A$1,$B88,M$1,$B$1)</f>
        <v>0</v>
      </c>
      <c r="N88" s="124" cm="1">
        <f t="array" ref="N88">_xll.EQNXTDZ($A$1,$B88,N$1,$B$1)</f>
        <v>0</v>
      </c>
      <c r="O88" s="124" cm="1">
        <f t="array" ref="O88">_xll.EQNXTDZ($A$1,$B88,O$1,$B$1)</f>
        <v>0</v>
      </c>
      <c r="P88" s="124" cm="1">
        <f t="array" ref="P88">_xll.EQNXTDZ($A$1,$B88,P$1,$B$1)</f>
        <v>0</v>
      </c>
      <c r="Q88" s="124" cm="1">
        <f t="array" ref="Q88">_xll.EQNXTDZ($A$1,$B88,Q$1,$B$1)</f>
        <v>0</v>
      </c>
      <c r="R88" s="124" cm="1">
        <f t="array" ref="R88">_xll.EQNXTDZ($A$1,$B88,R$1,$B$1)</f>
        <v>0</v>
      </c>
      <c r="S88" s="124" cm="1">
        <f t="array" ref="S88">_xll.EQNXTDZ($A$1,$B88,S$1,$B$1)</f>
        <v>0</v>
      </c>
      <c r="T88" s="124" cm="1">
        <f t="array" ref="T88">_xll.EQNXTDZ($A$1,$B88,T$1,$B$1)</f>
        <v>0</v>
      </c>
      <c r="U88" s="124" cm="1">
        <f t="array" ref="U88">_xll.EQNXTDZ($A$1,$B88,U$1,$B$1)</f>
        <v>0</v>
      </c>
      <c r="V88" s="124" cm="1">
        <f t="array" ref="V88">_xll.EQNXTDZ($A$1,$B88,V$1,$B$1)</f>
        <v>0</v>
      </c>
      <c r="W88" s="124" cm="1">
        <f t="array" ref="W88">_xll.EQNXTDZ($A$1,$B88,W$1,$B$1)</f>
        <v>0</v>
      </c>
      <c r="X88" s="124" cm="1">
        <f t="array" ref="X88">_xll.EQNXTDZ($A$1,$B88,X$1,$B$1)</f>
        <v>0</v>
      </c>
      <c r="Y88" s="124" cm="1">
        <f t="array" ref="Y88">_xll.EQNXTDZ($A$1,$B88,Y$1,$B$1)</f>
        <v>0</v>
      </c>
      <c r="Z88" s="124" cm="1">
        <f t="array" ref="Z88">_xll.EQNXTDZ($A$1,$B88,Z$1,$B$1)</f>
        <v>0</v>
      </c>
      <c r="AA88" s="124" cm="1">
        <f t="array" ref="AA88">_xll.EQNXTDZ($A$1,$B88,AA$1,$B$1)</f>
        <v>0</v>
      </c>
      <c r="AB88" s="124" cm="1">
        <f t="array" ref="AB88">_xll.EQNXTDZ($A$1,$B88,AB$1,$B$1)</f>
        <v>0</v>
      </c>
      <c r="AC88" s="124" cm="1">
        <f t="array" ref="AC88">_xll.EQNXTDZ($A$1,$B88,AC$1,$B$1)</f>
        <v>0</v>
      </c>
      <c r="AD88" s="124" cm="1">
        <f t="array" ref="AD88">_xll.EQNXTDZ($A$1,$B88,AD$1,$B$1)</f>
        <v>0</v>
      </c>
      <c r="AE88" s="124" cm="1">
        <f t="array" ref="AE88">_xll.EQNXTDZ($A$1,$B88,AE$1,$B$1)</f>
        <v>0</v>
      </c>
      <c r="AF88" s="124" cm="1">
        <f t="array" ref="AF88">_xll.EQNXTDZ($A$1,$B88,AF$1,$B$1)</f>
        <v>0</v>
      </c>
    </row>
    <row r="89" spans="1:32" s="106" customFormat="1" x14ac:dyDescent="0.25">
      <c r="A89" s="106" t="s">
        <v>205</v>
      </c>
      <c r="B89" s="106" t="s">
        <v>409</v>
      </c>
      <c r="C89" s="124" cm="1">
        <f t="array" ref="C89">_xll.EQNXTDZ($A$1,$B89,C$1,$B$1)</f>
        <v>0</v>
      </c>
      <c r="D89" s="124" cm="1">
        <f t="array" ref="D89">_xll.EQNXTDZ($A$1,$B89,D$1,$B$1)</f>
        <v>0</v>
      </c>
      <c r="E89" s="124" cm="1">
        <f t="array" ref="E89">_xll.EQNXTDZ($A$1,$B89,E$1,$B$1)</f>
        <v>0</v>
      </c>
      <c r="F89" s="124" cm="1">
        <f t="array" ref="F89">_xll.EQNXTDZ($A$1,$B89,F$1,$B$1)</f>
        <v>0</v>
      </c>
      <c r="G89" s="124" cm="1">
        <f t="array" ref="G89">_xll.EQNXTDZ($A$1,$B89,G$1,$B$1)</f>
        <v>0</v>
      </c>
      <c r="H89" s="124" cm="1">
        <f t="array" ref="H89">_xll.EQNXTDZ($A$1,$B89,H$1,$B$1)</f>
        <v>0</v>
      </c>
      <c r="I89" s="124" cm="1">
        <f t="array" ref="I89">_xll.EQNXTDZ($A$1,$B89,I$1,$B$1)</f>
        <v>0</v>
      </c>
      <c r="J89" s="124" cm="1">
        <f t="array" ref="J89">_xll.EQNXTDZ($A$1,$B89,J$1,$B$1)</f>
        <v>0</v>
      </c>
      <c r="K89" s="124" cm="1">
        <f t="array" ref="K89">_xll.EQNXTDZ($A$1,$B89,K$1,$B$1)</f>
        <v>0</v>
      </c>
      <c r="L89" s="124" cm="1">
        <f t="array" ref="L89">_xll.EQNXTDZ($A$1,$B89,L$1,$B$1)</f>
        <v>0</v>
      </c>
      <c r="M89" s="124" cm="1">
        <f t="array" ref="M89">_xll.EQNXTDZ($A$1,$B89,M$1,$B$1)</f>
        <v>0</v>
      </c>
      <c r="N89" s="124" cm="1">
        <f t="array" ref="N89">_xll.EQNXTDZ($A$1,$B89,N$1,$B$1)</f>
        <v>0</v>
      </c>
      <c r="O89" s="124" cm="1">
        <f t="array" ref="O89">_xll.EQNXTDZ($A$1,$B89,O$1,$B$1)</f>
        <v>0</v>
      </c>
      <c r="P89" s="124" cm="1">
        <f t="array" ref="P89">_xll.EQNXTDZ($A$1,$B89,P$1,$B$1)</f>
        <v>0</v>
      </c>
      <c r="Q89" s="124" cm="1">
        <f t="array" ref="Q89">_xll.EQNXTDZ($A$1,$B89,Q$1,$B$1)</f>
        <v>0</v>
      </c>
      <c r="R89" s="124" cm="1">
        <f t="array" ref="R89">_xll.EQNXTDZ($A$1,$B89,R$1,$B$1)</f>
        <v>0</v>
      </c>
      <c r="S89" s="124" cm="1">
        <f t="array" ref="S89">_xll.EQNXTDZ($A$1,$B89,S$1,$B$1)</f>
        <v>0</v>
      </c>
      <c r="T89" s="124" cm="1">
        <f t="array" ref="T89">_xll.EQNXTDZ($A$1,$B89,T$1,$B$1)</f>
        <v>0</v>
      </c>
      <c r="U89" s="124" cm="1">
        <f t="array" ref="U89">_xll.EQNXTDZ($A$1,$B89,U$1,$B$1)</f>
        <v>0</v>
      </c>
      <c r="V89" s="124" cm="1">
        <f t="array" ref="V89">_xll.EQNXTDZ($A$1,$B89,V$1,$B$1)</f>
        <v>0</v>
      </c>
      <c r="W89" s="124" cm="1">
        <f t="array" ref="W89">_xll.EQNXTDZ($A$1,$B89,W$1,$B$1)</f>
        <v>0</v>
      </c>
      <c r="X89" s="124" cm="1">
        <f t="array" ref="X89">_xll.EQNXTDZ($A$1,$B89,X$1,$B$1)</f>
        <v>0</v>
      </c>
      <c r="Y89" s="124" cm="1">
        <f t="array" ref="Y89">_xll.EQNXTDZ($A$1,$B89,Y$1,$B$1)</f>
        <v>0</v>
      </c>
      <c r="Z89" s="124" cm="1">
        <f t="array" ref="Z89">_xll.EQNXTDZ($A$1,$B89,Z$1,$B$1)</f>
        <v>0</v>
      </c>
      <c r="AA89" s="124" cm="1">
        <f t="array" ref="AA89">_xll.EQNXTDZ($A$1,$B89,AA$1,$B$1)</f>
        <v>0</v>
      </c>
      <c r="AB89" s="124" cm="1">
        <f t="array" ref="AB89">_xll.EQNXTDZ($A$1,$B89,AB$1,$B$1)</f>
        <v>0</v>
      </c>
      <c r="AC89" s="124" cm="1">
        <f t="array" ref="AC89">_xll.EQNXTDZ($A$1,$B89,AC$1,$B$1)</f>
        <v>0</v>
      </c>
      <c r="AD89" s="124" cm="1">
        <f t="array" ref="AD89">_xll.EQNXTDZ($A$1,$B89,AD$1,$B$1)</f>
        <v>0</v>
      </c>
      <c r="AE89" s="124" cm="1">
        <f t="array" ref="AE89">_xll.EQNXTDZ($A$1,$B89,AE$1,$B$1)</f>
        <v>0</v>
      </c>
      <c r="AF89" s="124" cm="1">
        <f t="array" ref="AF89">_xll.EQNXTDZ($A$1,$B89,AF$1,$B$1)</f>
        <v>0</v>
      </c>
    </row>
    <row r="90" spans="1:32" s="106" customFormat="1" x14ac:dyDescent="0.25">
      <c r="A90" s="106" t="s">
        <v>206</v>
      </c>
      <c r="B90" s="106" t="s">
        <v>410</v>
      </c>
      <c r="C90" s="124" cm="1">
        <f t="array" ref="C90">_xll.EQNXTDZ($A$1,$B90,C$1,$B$1)</f>
        <v>0</v>
      </c>
      <c r="D90" s="124" cm="1">
        <f t="array" ref="D90">_xll.EQNXTDZ($A$1,$B90,D$1,$B$1)</f>
        <v>0</v>
      </c>
      <c r="E90" s="124" cm="1">
        <f t="array" ref="E90">_xll.EQNXTDZ($A$1,$B90,E$1,$B$1)</f>
        <v>0</v>
      </c>
      <c r="F90" s="124" cm="1">
        <f t="array" ref="F90">_xll.EQNXTDZ($A$1,$B90,F$1,$B$1)</f>
        <v>0</v>
      </c>
      <c r="G90" s="124" cm="1">
        <f t="array" ref="G90">_xll.EQNXTDZ($A$1,$B90,G$1,$B$1)</f>
        <v>0</v>
      </c>
      <c r="H90" s="124" cm="1">
        <f t="array" ref="H90">_xll.EQNXTDZ($A$1,$B90,H$1,$B$1)</f>
        <v>0</v>
      </c>
      <c r="I90" s="124" cm="1">
        <f t="array" ref="I90">_xll.EQNXTDZ($A$1,$B90,I$1,$B$1)</f>
        <v>0</v>
      </c>
      <c r="J90" s="124" cm="1">
        <f t="array" ref="J90">_xll.EQNXTDZ($A$1,$B90,J$1,$B$1)</f>
        <v>0</v>
      </c>
      <c r="K90" s="124" cm="1">
        <f t="array" ref="K90">_xll.EQNXTDZ($A$1,$B90,K$1,$B$1)</f>
        <v>0</v>
      </c>
      <c r="L90" s="124" cm="1">
        <f t="array" ref="L90">_xll.EQNXTDZ($A$1,$B90,L$1,$B$1)</f>
        <v>0</v>
      </c>
      <c r="M90" s="124" cm="1">
        <f t="array" ref="M90">_xll.EQNXTDZ($A$1,$B90,M$1,$B$1)</f>
        <v>0</v>
      </c>
      <c r="N90" s="124" cm="1">
        <f t="array" ref="N90">_xll.EQNXTDZ($A$1,$B90,N$1,$B$1)</f>
        <v>0</v>
      </c>
      <c r="O90" s="124" cm="1">
        <f t="array" ref="O90">_xll.EQNXTDZ($A$1,$B90,O$1,$B$1)</f>
        <v>0</v>
      </c>
      <c r="P90" s="124" cm="1">
        <f t="array" ref="P90">_xll.EQNXTDZ($A$1,$B90,P$1,$B$1)</f>
        <v>0</v>
      </c>
      <c r="Q90" s="124" cm="1">
        <f t="array" ref="Q90">_xll.EQNXTDZ($A$1,$B90,Q$1,$B$1)</f>
        <v>0</v>
      </c>
      <c r="R90" s="124" cm="1">
        <f t="array" ref="R90">_xll.EQNXTDZ($A$1,$B90,R$1,$B$1)</f>
        <v>0</v>
      </c>
      <c r="S90" s="124" cm="1">
        <f t="array" ref="S90">_xll.EQNXTDZ($A$1,$B90,S$1,$B$1)</f>
        <v>0</v>
      </c>
      <c r="T90" s="124" cm="1">
        <f t="array" ref="T90">_xll.EQNXTDZ($A$1,$B90,T$1,$B$1)</f>
        <v>0</v>
      </c>
      <c r="U90" s="124" cm="1">
        <f t="array" ref="U90">_xll.EQNXTDZ($A$1,$B90,U$1,$B$1)</f>
        <v>0</v>
      </c>
      <c r="V90" s="124" cm="1">
        <f t="array" ref="V90">_xll.EQNXTDZ($A$1,$B90,V$1,$B$1)</f>
        <v>0</v>
      </c>
      <c r="W90" s="124" cm="1">
        <f t="array" ref="W90">_xll.EQNXTDZ($A$1,$B90,W$1,$B$1)</f>
        <v>0</v>
      </c>
      <c r="X90" s="124" cm="1">
        <f t="array" ref="X90">_xll.EQNXTDZ($A$1,$B90,X$1,$B$1)</f>
        <v>0</v>
      </c>
      <c r="Y90" s="124" cm="1">
        <f t="array" ref="Y90">_xll.EQNXTDZ($A$1,$B90,Y$1,$B$1)</f>
        <v>0</v>
      </c>
      <c r="Z90" s="124" cm="1">
        <f t="array" ref="Z90">_xll.EQNXTDZ($A$1,$B90,Z$1,$B$1)</f>
        <v>0</v>
      </c>
      <c r="AA90" s="124" cm="1">
        <f t="array" ref="AA90">_xll.EQNXTDZ($A$1,$B90,AA$1,$B$1)</f>
        <v>0</v>
      </c>
      <c r="AB90" s="124" cm="1">
        <f t="array" ref="AB90">_xll.EQNXTDZ($A$1,$B90,AB$1,$B$1)</f>
        <v>0</v>
      </c>
      <c r="AC90" s="124" cm="1">
        <f t="array" ref="AC90">_xll.EQNXTDZ($A$1,$B90,AC$1,$B$1)</f>
        <v>0</v>
      </c>
      <c r="AD90" s="124" cm="1">
        <f t="array" ref="AD90">_xll.EQNXTDZ($A$1,$B90,AD$1,$B$1)</f>
        <v>0</v>
      </c>
      <c r="AE90" s="124" cm="1">
        <f t="array" ref="AE90">_xll.EQNXTDZ($A$1,$B90,AE$1,$B$1)</f>
        <v>0</v>
      </c>
      <c r="AF90" s="124" cm="1">
        <f t="array" ref="AF90">_xll.EQNXTDZ($A$1,$B90,AF$1,$B$1)</f>
        <v>0</v>
      </c>
    </row>
    <row r="91" spans="1:32" s="106" customFormat="1" x14ac:dyDescent="0.25">
      <c r="A91" s="106" t="s">
        <v>239</v>
      </c>
      <c r="B91" s="106" t="s">
        <v>411</v>
      </c>
      <c r="C91" s="124" cm="1">
        <f t="array" ref="C91">_xll.EQNXTDZ($A$1,$B91,C$1,$B$1)</f>
        <v>0</v>
      </c>
      <c r="D91" s="124" cm="1">
        <f t="array" ref="D91">_xll.EQNXTDZ($A$1,$B91,D$1,$B$1)</f>
        <v>0</v>
      </c>
      <c r="E91" s="124" cm="1">
        <f t="array" ref="E91">_xll.EQNXTDZ($A$1,$B91,E$1,$B$1)</f>
        <v>0</v>
      </c>
      <c r="F91" s="124" cm="1">
        <f t="array" ref="F91">_xll.EQNXTDZ($A$1,$B91,F$1,$B$1)</f>
        <v>0</v>
      </c>
      <c r="G91" s="124" cm="1">
        <f t="array" ref="G91">_xll.EQNXTDZ($A$1,$B91,G$1,$B$1)</f>
        <v>0</v>
      </c>
      <c r="H91" s="124" cm="1">
        <f t="array" ref="H91">_xll.EQNXTDZ($A$1,$B91,H$1,$B$1)</f>
        <v>0</v>
      </c>
      <c r="I91" s="124" cm="1">
        <f t="array" ref="I91">_xll.EQNXTDZ($A$1,$B91,I$1,$B$1)</f>
        <v>0</v>
      </c>
      <c r="J91" s="124" cm="1">
        <f t="array" ref="J91">_xll.EQNXTDZ($A$1,$B91,J$1,$B$1)</f>
        <v>0</v>
      </c>
      <c r="K91" s="124" cm="1">
        <f t="array" ref="K91">_xll.EQNXTDZ($A$1,$B91,K$1,$B$1)</f>
        <v>0</v>
      </c>
      <c r="L91" s="124" cm="1">
        <f t="array" ref="L91">_xll.EQNXTDZ($A$1,$B91,L$1,$B$1)</f>
        <v>0</v>
      </c>
      <c r="M91" s="124" cm="1">
        <f t="array" ref="M91">_xll.EQNXTDZ($A$1,$B91,M$1,$B$1)</f>
        <v>0</v>
      </c>
      <c r="N91" s="124" cm="1">
        <f t="array" ref="N91">_xll.EQNXTDZ($A$1,$B91,N$1,$B$1)</f>
        <v>0</v>
      </c>
      <c r="O91" s="124" cm="1">
        <f t="array" ref="O91">_xll.EQNXTDZ($A$1,$B91,O$1,$B$1)</f>
        <v>0</v>
      </c>
      <c r="P91" s="124" cm="1">
        <f t="array" ref="P91">_xll.EQNXTDZ($A$1,$B91,P$1,$B$1)</f>
        <v>0</v>
      </c>
      <c r="Q91" s="124" cm="1">
        <f t="array" ref="Q91">_xll.EQNXTDZ($A$1,$B91,Q$1,$B$1)</f>
        <v>0</v>
      </c>
      <c r="R91" s="124" cm="1">
        <f t="array" ref="R91">_xll.EQNXTDZ($A$1,$B91,R$1,$B$1)</f>
        <v>0</v>
      </c>
      <c r="S91" s="124" cm="1">
        <f t="array" ref="S91">_xll.EQNXTDZ($A$1,$B91,S$1,$B$1)</f>
        <v>0</v>
      </c>
      <c r="T91" s="124" cm="1">
        <f t="array" ref="T91">_xll.EQNXTDZ($A$1,$B91,T$1,$B$1)</f>
        <v>0</v>
      </c>
      <c r="U91" s="124" cm="1">
        <f t="array" ref="U91">_xll.EQNXTDZ($A$1,$B91,U$1,$B$1)</f>
        <v>0</v>
      </c>
      <c r="V91" s="124" cm="1">
        <f t="array" ref="V91">_xll.EQNXTDZ($A$1,$B91,V$1,$B$1)</f>
        <v>0</v>
      </c>
      <c r="W91" s="124" cm="1">
        <f t="array" ref="W91">_xll.EQNXTDZ($A$1,$B91,W$1,$B$1)</f>
        <v>0</v>
      </c>
      <c r="X91" s="124" cm="1">
        <f t="array" ref="X91">_xll.EQNXTDZ($A$1,$B91,X$1,$B$1)</f>
        <v>0</v>
      </c>
      <c r="Y91" s="124" cm="1">
        <f t="array" ref="Y91">_xll.EQNXTDZ($A$1,$B91,Y$1,$B$1)</f>
        <v>0</v>
      </c>
      <c r="Z91" s="124" cm="1">
        <f t="array" ref="Z91">_xll.EQNXTDZ($A$1,$B91,Z$1,$B$1)</f>
        <v>0</v>
      </c>
      <c r="AA91" s="124" cm="1">
        <f t="array" ref="AA91">_xll.EQNXTDZ($A$1,$B91,AA$1,$B$1)</f>
        <v>0</v>
      </c>
      <c r="AB91" s="124" cm="1">
        <f t="array" ref="AB91">_xll.EQNXTDZ($A$1,$B91,AB$1,$B$1)</f>
        <v>0</v>
      </c>
      <c r="AC91" s="124" cm="1">
        <f t="array" ref="AC91">_xll.EQNXTDZ($A$1,$B91,AC$1,$B$1)</f>
        <v>0</v>
      </c>
      <c r="AD91" s="124" cm="1">
        <f t="array" ref="AD91">_xll.EQNXTDZ($A$1,$B91,AD$1,$B$1)</f>
        <v>0</v>
      </c>
      <c r="AE91" s="124" cm="1">
        <f t="array" ref="AE91">_xll.EQNXTDZ($A$1,$B91,AE$1,$B$1)</f>
        <v>0</v>
      </c>
      <c r="AF91" s="124" cm="1">
        <f t="array" ref="AF91">_xll.EQNXTDZ($A$1,$B91,AF$1,$B$1)</f>
        <v>0</v>
      </c>
    </row>
    <row r="92" spans="1:32" s="106" customFormat="1" x14ac:dyDescent="0.25">
      <c r="A92" s="106" t="s">
        <v>261</v>
      </c>
      <c r="B92" s="106" t="s">
        <v>412</v>
      </c>
      <c r="C92" s="124" cm="1">
        <f t="array" ref="C92">_xll.EQNXTDZ($A$1,$B92,C$1,$B$1)</f>
        <v>0</v>
      </c>
      <c r="D92" s="124" cm="1">
        <f t="array" ref="D92">_xll.EQNXTDZ($A$1,$B92,D$1,$B$1)</f>
        <v>0</v>
      </c>
      <c r="E92" s="124" cm="1">
        <f t="array" ref="E92">_xll.EQNXTDZ($A$1,$B92,E$1,$B$1)</f>
        <v>0</v>
      </c>
      <c r="F92" s="124" cm="1">
        <f t="array" ref="F92">_xll.EQNXTDZ($A$1,$B92,F$1,$B$1)</f>
        <v>0</v>
      </c>
      <c r="G92" s="124" cm="1">
        <f t="array" ref="G92">_xll.EQNXTDZ($A$1,$B92,G$1,$B$1)</f>
        <v>0</v>
      </c>
      <c r="H92" s="124" cm="1">
        <f t="array" ref="H92">_xll.EQNXTDZ($A$1,$B92,H$1,$B$1)</f>
        <v>0</v>
      </c>
      <c r="I92" s="124" cm="1">
        <f t="array" ref="I92">_xll.EQNXTDZ($A$1,$B92,I$1,$B$1)</f>
        <v>0</v>
      </c>
      <c r="J92" s="124" cm="1">
        <f t="array" ref="J92">_xll.EQNXTDZ($A$1,$B92,J$1,$B$1)</f>
        <v>0</v>
      </c>
      <c r="K92" s="124" cm="1">
        <f t="array" ref="K92">_xll.EQNXTDZ($A$1,$B92,K$1,$B$1)</f>
        <v>0</v>
      </c>
      <c r="L92" s="124" cm="1">
        <f t="array" ref="L92">_xll.EQNXTDZ($A$1,$B92,L$1,$B$1)</f>
        <v>0</v>
      </c>
      <c r="M92" s="124" cm="1">
        <f t="array" ref="M92">_xll.EQNXTDZ($A$1,$B92,M$1,$B$1)</f>
        <v>0</v>
      </c>
      <c r="N92" s="124" cm="1">
        <f t="array" ref="N92">_xll.EQNXTDZ($A$1,$B92,N$1,$B$1)</f>
        <v>0</v>
      </c>
      <c r="O92" s="124" cm="1">
        <f t="array" ref="O92">_xll.EQNXTDZ($A$1,$B92,O$1,$B$1)</f>
        <v>0</v>
      </c>
      <c r="P92" s="124" cm="1">
        <f t="array" ref="P92">_xll.EQNXTDZ($A$1,$B92,P$1,$B$1)</f>
        <v>0</v>
      </c>
      <c r="Q92" s="124" cm="1">
        <f t="array" ref="Q92">_xll.EQNXTDZ($A$1,$B92,Q$1,$B$1)</f>
        <v>0</v>
      </c>
      <c r="R92" s="124" cm="1">
        <f t="array" ref="R92">_xll.EQNXTDZ($A$1,$B92,R$1,$B$1)</f>
        <v>0</v>
      </c>
      <c r="S92" s="124" cm="1">
        <f t="array" ref="S92">_xll.EQNXTDZ($A$1,$B92,S$1,$B$1)</f>
        <v>0</v>
      </c>
      <c r="T92" s="124" cm="1">
        <f t="array" ref="T92">_xll.EQNXTDZ($A$1,$B92,T$1,$B$1)</f>
        <v>0</v>
      </c>
      <c r="U92" s="124" cm="1">
        <f t="array" ref="U92">_xll.EQNXTDZ($A$1,$B92,U$1,$B$1)</f>
        <v>0</v>
      </c>
      <c r="V92" s="124" cm="1">
        <f t="array" ref="V92">_xll.EQNXTDZ($A$1,$B92,V$1,$B$1)</f>
        <v>0</v>
      </c>
      <c r="W92" s="124" cm="1">
        <f t="array" ref="W92">_xll.EQNXTDZ($A$1,$B92,W$1,$B$1)</f>
        <v>0</v>
      </c>
      <c r="X92" s="124" cm="1">
        <f t="array" ref="X92">_xll.EQNXTDZ($A$1,$B92,X$1,$B$1)</f>
        <v>0</v>
      </c>
      <c r="Y92" s="124" cm="1">
        <f t="array" ref="Y92">_xll.EQNXTDZ($A$1,$B92,Y$1,$B$1)</f>
        <v>0</v>
      </c>
      <c r="Z92" s="124" cm="1">
        <f t="array" ref="Z92">_xll.EQNXTDZ($A$1,$B92,Z$1,$B$1)</f>
        <v>0</v>
      </c>
      <c r="AA92" s="124" cm="1">
        <f t="array" ref="AA92">_xll.EQNXTDZ($A$1,$B92,AA$1,$B$1)</f>
        <v>0</v>
      </c>
      <c r="AB92" s="124" cm="1">
        <f t="array" ref="AB92">_xll.EQNXTDZ($A$1,$B92,AB$1,$B$1)</f>
        <v>0</v>
      </c>
      <c r="AC92" s="124" cm="1">
        <f t="array" ref="AC92">_xll.EQNXTDZ($A$1,$B92,AC$1,$B$1)</f>
        <v>0</v>
      </c>
      <c r="AD92" s="124" cm="1">
        <f t="array" ref="AD92">_xll.EQNXTDZ($A$1,$B92,AD$1,$B$1)</f>
        <v>0</v>
      </c>
      <c r="AE92" s="124" cm="1">
        <f t="array" ref="AE92">_xll.EQNXTDZ($A$1,$B92,AE$1,$B$1)</f>
        <v>0</v>
      </c>
      <c r="AF92" s="124" cm="1">
        <f t="array" ref="AF92">_xll.EQNXTDZ($A$1,$B92,AF$1,$B$1)</f>
        <v>0</v>
      </c>
    </row>
    <row r="93" spans="1:32" s="106" customFormat="1" x14ac:dyDescent="0.25">
      <c r="A93" s="106" t="s">
        <v>226</v>
      </c>
      <c r="B93" s="106" t="s">
        <v>413</v>
      </c>
      <c r="C93" s="124" cm="1">
        <f t="array" ref="C93">_xll.EQNXTDZ($A$1,$B93,C$1,$B$1)</f>
        <v>0</v>
      </c>
      <c r="D93" s="124" cm="1">
        <f t="array" ref="D93">_xll.EQNXTDZ($A$1,$B93,D$1,$B$1)</f>
        <v>0</v>
      </c>
      <c r="E93" s="124" cm="1">
        <f t="array" ref="E93">_xll.EQNXTDZ($A$1,$B93,E$1,$B$1)</f>
        <v>0</v>
      </c>
      <c r="F93" s="124" cm="1">
        <f t="array" ref="F93">_xll.EQNXTDZ($A$1,$B93,F$1,$B$1)</f>
        <v>0</v>
      </c>
      <c r="G93" s="124" cm="1">
        <f t="array" ref="G93">_xll.EQNXTDZ($A$1,$B93,G$1,$B$1)</f>
        <v>0</v>
      </c>
      <c r="H93" s="124" cm="1">
        <f t="array" ref="H93">_xll.EQNXTDZ($A$1,$B93,H$1,$B$1)</f>
        <v>0</v>
      </c>
      <c r="I93" s="124" cm="1">
        <f t="array" ref="I93">_xll.EQNXTDZ($A$1,$B93,I$1,$B$1)</f>
        <v>0</v>
      </c>
      <c r="J93" s="124" cm="1">
        <f t="array" ref="J93">_xll.EQNXTDZ($A$1,$B93,J$1,$B$1)</f>
        <v>0</v>
      </c>
      <c r="K93" s="124" cm="1">
        <f t="array" ref="K93">_xll.EQNXTDZ($A$1,$B93,K$1,$B$1)</f>
        <v>0</v>
      </c>
      <c r="L93" s="124" cm="1">
        <f t="array" ref="L93">_xll.EQNXTDZ($A$1,$B93,L$1,$B$1)</f>
        <v>0</v>
      </c>
      <c r="M93" s="124" cm="1">
        <f t="array" ref="M93">_xll.EQNXTDZ($A$1,$B93,M$1,$B$1)</f>
        <v>0</v>
      </c>
      <c r="N93" s="124" cm="1">
        <f t="array" ref="N93">_xll.EQNXTDZ($A$1,$B93,N$1,$B$1)</f>
        <v>0</v>
      </c>
      <c r="O93" s="124" cm="1">
        <f t="array" ref="O93">_xll.EQNXTDZ($A$1,$B93,O$1,$B$1)</f>
        <v>0</v>
      </c>
      <c r="P93" s="124" cm="1">
        <f t="array" ref="P93">_xll.EQNXTDZ($A$1,$B93,P$1,$B$1)</f>
        <v>0</v>
      </c>
      <c r="Q93" s="124" cm="1">
        <f t="array" ref="Q93">_xll.EQNXTDZ($A$1,$B93,Q$1,$B$1)</f>
        <v>0</v>
      </c>
      <c r="R93" s="124" cm="1">
        <f t="array" ref="R93">_xll.EQNXTDZ($A$1,$B93,R$1,$B$1)</f>
        <v>0</v>
      </c>
      <c r="S93" s="124" cm="1">
        <f t="array" ref="S93">_xll.EQNXTDZ($A$1,$B93,S$1,$B$1)</f>
        <v>0</v>
      </c>
      <c r="T93" s="124" cm="1">
        <f t="array" ref="T93">_xll.EQNXTDZ($A$1,$B93,T$1,$B$1)</f>
        <v>0</v>
      </c>
      <c r="U93" s="124" cm="1">
        <f t="array" ref="U93">_xll.EQNXTDZ($A$1,$B93,U$1,$B$1)</f>
        <v>0</v>
      </c>
      <c r="V93" s="124" cm="1">
        <f t="array" ref="V93">_xll.EQNXTDZ($A$1,$B93,V$1,$B$1)</f>
        <v>0</v>
      </c>
      <c r="W93" s="124" cm="1">
        <f t="array" ref="W93">_xll.EQNXTDZ($A$1,$B93,W$1,$B$1)</f>
        <v>0</v>
      </c>
      <c r="X93" s="124" cm="1">
        <f t="array" ref="X93">_xll.EQNXTDZ($A$1,$B93,X$1,$B$1)</f>
        <v>0</v>
      </c>
      <c r="Y93" s="124" cm="1">
        <f t="array" ref="Y93">_xll.EQNXTDZ($A$1,$B93,Y$1,$B$1)</f>
        <v>0</v>
      </c>
      <c r="Z93" s="124" cm="1">
        <f t="array" ref="Z93">_xll.EQNXTDZ($A$1,$B93,Z$1,$B$1)</f>
        <v>0</v>
      </c>
      <c r="AA93" s="124" cm="1">
        <f t="array" ref="AA93">_xll.EQNXTDZ($A$1,$B93,AA$1,$B$1)</f>
        <v>0</v>
      </c>
      <c r="AB93" s="124" cm="1">
        <f t="array" ref="AB93">_xll.EQNXTDZ($A$1,$B93,AB$1,$B$1)</f>
        <v>0</v>
      </c>
      <c r="AC93" s="124" cm="1">
        <f t="array" ref="AC93">_xll.EQNXTDZ($A$1,$B93,AC$1,$B$1)</f>
        <v>0</v>
      </c>
      <c r="AD93" s="124" cm="1">
        <f t="array" ref="AD93">_xll.EQNXTDZ($A$1,$B93,AD$1,$B$1)</f>
        <v>0</v>
      </c>
      <c r="AE93" s="124" cm="1">
        <f t="array" ref="AE93">_xll.EQNXTDZ($A$1,$B93,AE$1,$B$1)</f>
        <v>0</v>
      </c>
      <c r="AF93" s="124" cm="1">
        <f t="array" ref="AF93">_xll.EQNXTDZ($A$1,$B93,AF$1,$B$1)</f>
        <v>0</v>
      </c>
    </row>
    <row r="94" spans="1:32" s="106" customFormat="1" x14ac:dyDescent="0.25">
      <c r="A94" s="106" t="s">
        <v>227</v>
      </c>
      <c r="B94" s="106" t="s">
        <v>414</v>
      </c>
      <c r="C94" s="124" cm="1">
        <f t="array" ref="C94">_xll.EQNXTDZ($A$1,$B94,C$1,$B$1)</f>
        <v>0</v>
      </c>
      <c r="D94" s="124" cm="1">
        <f t="array" ref="D94">_xll.EQNXTDZ($A$1,$B94,D$1,$B$1)</f>
        <v>0</v>
      </c>
      <c r="E94" s="124" cm="1">
        <f t="array" ref="E94">_xll.EQNXTDZ($A$1,$B94,E$1,$B$1)</f>
        <v>0</v>
      </c>
      <c r="F94" s="124" cm="1">
        <f t="array" ref="F94">_xll.EQNXTDZ($A$1,$B94,F$1,$B$1)</f>
        <v>0</v>
      </c>
      <c r="G94" s="124" cm="1">
        <f t="array" ref="G94">_xll.EQNXTDZ($A$1,$B94,G$1,$B$1)</f>
        <v>0</v>
      </c>
      <c r="H94" s="124" cm="1">
        <f t="array" ref="H94">_xll.EQNXTDZ($A$1,$B94,H$1,$B$1)</f>
        <v>0</v>
      </c>
      <c r="I94" s="124" cm="1">
        <f t="array" ref="I94">_xll.EQNXTDZ($A$1,$B94,I$1,$B$1)</f>
        <v>0</v>
      </c>
      <c r="J94" s="124" cm="1">
        <f t="array" ref="J94">_xll.EQNXTDZ($A$1,$B94,J$1,$B$1)</f>
        <v>0</v>
      </c>
      <c r="K94" s="124" cm="1">
        <f t="array" ref="K94">_xll.EQNXTDZ($A$1,$B94,K$1,$B$1)</f>
        <v>0</v>
      </c>
      <c r="L94" s="124" cm="1">
        <f t="array" ref="L94">_xll.EQNXTDZ($A$1,$B94,L$1,$B$1)</f>
        <v>0</v>
      </c>
      <c r="M94" s="124" cm="1">
        <f t="array" ref="M94">_xll.EQNXTDZ($A$1,$B94,M$1,$B$1)</f>
        <v>0</v>
      </c>
      <c r="N94" s="124" cm="1">
        <f t="array" ref="N94">_xll.EQNXTDZ($A$1,$B94,N$1,$B$1)</f>
        <v>0</v>
      </c>
      <c r="O94" s="124" cm="1">
        <f t="array" ref="O94">_xll.EQNXTDZ($A$1,$B94,O$1,$B$1)</f>
        <v>0</v>
      </c>
      <c r="P94" s="124" cm="1">
        <f t="array" ref="P94">_xll.EQNXTDZ($A$1,$B94,P$1,$B$1)</f>
        <v>0</v>
      </c>
      <c r="Q94" s="124" cm="1">
        <f t="array" ref="Q94">_xll.EQNXTDZ($A$1,$B94,Q$1,$B$1)</f>
        <v>0</v>
      </c>
      <c r="R94" s="124" cm="1">
        <f t="array" ref="R94">_xll.EQNXTDZ($A$1,$B94,R$1,$B$1)</f>
        <v>0</v>
      </c>
      <c r="S94" s="124" cm="1">
        <f t="array" ref="S94">_xll.EQNXTDZ($A$1,$B94,S$1,$B$1)</f>
        <v>0</v>
      </c>
      <c r="T94" s="124" cm="1">
        <f t="array" ref="T94">_xll.EQNXTDZ($A$1,$B94,T$1,$B$1)</f>
        <v>0</v>
      </c>
      <c r="U94" s="124" cm="1">
        <f t="array" ref="U94">_xll.EQNXTDZ($A$1,$B94,U$1,$B$1)</f>
        <v>0</v>
      </c>
      <c r="V94" s="124" cm="1">
        <f t="array" ref="V94">_xll.EQNXTDZ($A$1,$B94,V$1,$B$1)</f>
        <v>0</v>
      </c>
      <c r="W94" s="124" cm="1">
        <f t="array" ref="W94">_xll.EQNXTDZ($A$1,$B94,W$1,$B$1)</f>
        <v>0</v>
      </c>
      <c r="X94" s="124" cm="1">
        <f t="array" ref="X94">_xll.EQNXTDZ($A$1,$B94,X$1,$B$1)</f>
        <v>0</v>
      </c>
      <c r="Y94" s="124" cm="1">
        <f t="array" ref="Y94">_xll.EQNXTDZ($A$1,$B94,Y$1,$B$1)</f>
        <v>0</v>
      </c>
      <c r="Z94" s="124" cm="1">
        <f t="array" ref="Z94">_xll.EQNXTDZ($A$1,$B94,Z$1,$B$1)</f>
        <v>0</v>
      </c>
      <c r="AA94" s="124" cm="1">
        <f t="array" ref="AA94">_xll.EQNXTDZ($A$1,$B94,AA$1,$B$1)</f>
        <v>0</v>
      </c>
      <c r="AB94" s="124" cm="1">
        <f t="array" ref="AB94">_xll.EQNXTDZ($A$1,$B94,AB$1,$B$1)</f>
        <v>0</v>
      </c>
      <c r="AC94" s="124" cm="1">
        <f t="array" ref="AC94">_xll.EQNXTDZ($A$1,$B94,AC$1,$B$1)</f>
        <v>0</v>
      </c>
      <c r="AD94" s="124" cm="1">
        <f t="array" ref="AD94">_xll.EQNXTDZ($A$1,$B94,AD$1,$B$1)</f>
        <v>0</v>
      </c>
      <c r="AE94" s="124" cm="1">
        <f t="array" ref="AE94">_xll.EQNXTDZ($A$1,$B94,AE$1,$B$1)</f>
        <v>0</v>
      </c>
      <c r="AF94" s="124" cm="1">
        <f t="array" ref="AF94">_xll.EQNXTDZ($A$1,$B94,AF$1,$B$1)</f>
        <v>0</v>
      </c>
    </row>
    <row r="95" spans="1:32" s="106" customFormat="1" x14ac:dyDescent="0.25">
      <c r="A95" s="106" t="s">
        <v>491</v>
      </c>
      <c r="B95" s="106" t="s">
        <v>493</v>
      </c>
      <c r="C95" s="124" cm="1">
        <f t="array" ref="C95">_xll.EQNXTDZ($A$1,$B95,C$1,$B$1)</f>
        <v>0</v>
      </c>
      <c r="D95" s="124" cm="1">
        <f t="array" ref="D95">_xll.EQNXTDZ($A$1,$B95,D$1,$B$1)</f>
        <v>0</v>
      </c>
      <c r="E95" s="124" cm="1">
        <f t="array" ref="E95">_xll.EQNXTDZ($A$1,$B95,E$1,$B$1)</f>
        <v>0</v>
      </c>
      <c r="F95" s="124" cm="1">
        <f t="array" ref="F95">_xll.EQNXTDZ($A$1,$B95,F$1,$B$1)</f>
        <v>0</v>
      </c>
      <c r="G95" s="124" cm="1">
        <f t="array" ref="G95">_xll.EQNXTDZ($A$1,$B95,G$1,$B$1)</f>
        <v>0</v>
      </c>
      <c r="H95" s="124" cm="1">
        <f t="array" ref="H95">_xll.EQNXTDZ($A$1,$B95,H$1,$B$1)</f>
        <v>0</v>
      </c>
      <c r="I95" s="124" cm="1">
        <f t="array" ref="I95">_xll.EQNXTDZ($A$1,$B95,I$1,$B$1)</f>
        <v>0</v>
      </c>
      <c r="J95" s="124" cm="1">
        <f t="array" ref="J95">_xll.EQNXTDZ($A$1,$B95,J$1,$B$1)</f>
        <v>0</v>
      </c>
      <c r="K95" s="124" cm="1">
        <f t="array" ref="K95">_xll.EQNXTDZ($A$1,$B95,K$1,$B$1)</f>
        <v>0</v>
      </c>
      <c r="L95" s="124" cm="1">
        <f t="array" ref="L95">_xll.EQNXTDZ($A$1,$B95,L$1,$B$1)</f>
        <v>0</v>
      </c>
      <c r="M95" s="124" cm="1">
        <f t="array" ref="M95">_xll.EQNXTDZ($A$1,$B95,M$1,$B$1)</f>
        <v>0</v>
      </c>
      <c r="N95" s="124" cm="1">
        <f t="array" ref="N95">_xll.EQNXTDZ($A$1,$B95,N$1,$B$1)</f>
        <v>0</v>
      </c>
      <c r="O95" s="124" cm="1">
        <f t="array" ref="O95">_xll.EQNXTDZ($A$1,$B95,O$1,$B$1)</f>
        <v>0</v>
      </c>
      <c r="P95" s="124" cm="1">
        <f t="array" ref="P95">_xll.EQNXTDZ($A$1,$B95,P$1,$B$1)</f>
        <v>0</v>
      </c>
      <c r="Q95" s="124" cm="1">
        <f t="array" ref="Q95">_xll.EQNXTDZ($A$1,$B95,Q$1,$B$1)</f>
        <v>0</v>
      </c>
      <c r="R95" s="124" cm="1">
        <f t="array" ref="R95">_xll.EQNXTDZ($A$1,$B95,R$1,$B$1)</f>
        <v>0</v>
      </c>
      <c r="S95" s="124" cm="1">
        <f t="array" ref="S95">_xll.EQNXTDZ($A$1,$B95,S$1,$B$1)</f>
        <v>0</v>
      </c>
      <c r="T95" s="124" cm="1">
        <f t="array" ref="T95">_xll.EQNXTDZ($A$1,$B95,T$1,$B$1)</f>
        <v>0</v>
      </c>
      <c r="U95" s="124" cm="1">
        <f t="array" ref="U95">_xll.EQNXTDZ($A$1,$B95,U$1,$B$1)</f>
        <v>0</v>
      </c>
      <c r="V95" s="124" cm="1">
        <f t="array" ref="V95">_xll.EQNXTDZ($A$1,$B95,V$1,$B$1)</f>
        <v>0</v>
      </c>
      <c r="W95" s="124" cm="1">
        <f t="array" ref="W95">_xll.EQNXTDZ($A$1,$B95,W$1,$B$1)</f>
        <v>0</v>
      </c>
      <c r="X95" s="124" cm="1">
        <f t="array" ref="X95">_xll.EQNXTDZ($A$1,$B95,X$1,$B$1)</f>
        <v>0</v>
      </c>
      <c r="Y95" s="124" cm="1">
        <f t="array" ref="Y95">_xll.EQNXTDZ($A$1,$B95,Y$1,$B$1)</f>
        <v>0</v>
      </c>
      <c r="Z95" s="124" cm="1">
        <f t="array" ref="Z95">_xll.EQNXTDZ($A$1,$B95,Z$1,$B$1)</f>
        <v>0</v>
      </c>
      <c r="AA95" s="124" cm="1">
        <f t="array" ref="AA95">_xll.EQNXTDZ($A$1,$B95,AA$1,$B$1)</f>
        <v>0</v>
      </c>
      <c r="AB95" s="124" cm="1">
        <f t="array" ref="AB95">_xll.EQNXTDZ($A$1,$B95,AB$1,$B$1)</f>
        <v>0</v>
      </c>
      <c r="AC95" s="124" cm="1">
        <f t="array" ref="AC95">_xll.EQNXTDZ($A$1,$B95,AC$1,$B$1)</f>
        <v>0</v>
      </c>
      <c r="AD95" s="124" cm="1">
        <f t="array" ref="AD95">_xll.EQNXTDZ($A$1,$B95,AD$1,$B$1)</f>
        <v>0</v>
      </c>
      <c r="AE95" s="124" cm="1">
        <f t="array" ref="AE95">_xll.EQNXTDZ($A$1,$B95,AE$1,$B$1)</f>
        <v>0</v>
      </c>
      <c r="AF95" s="124" cm="1">
        <f t="array" ref="AF95">_xll.EQNXTDZ($A$1,$B95,AF$1,$B$1)</f>
        <v>0</v>
      </c>
    </row>
    <row r="96" spans="1:32" s="106" customFormat="1" x14ac:dyDescent="0.25">
      <c r="A96" s="138" t="s">
        <v>89</v>
      </c>
      <c r="B96" s="106" t="s">
        <v>494</v>
      </c>
      <c r="C96" s="124" cm="1">
        <f t="array" ref="C96">_xll.EQNXTDZ($A$1,$B96,C$1,$B$1)</f>
        <v>0</v>
      </c>
      <c r="D96" s="124" cm="1">
        <f t="array" ref="D96">_xll.EQNXTDZ($A$1,$B96,D$1,$B$1)</f>
        <v>0</v>
      </c>
      <c r="E96" s="124" cm="1">
        <f t="array" ref="E96">_xll.EQNXTDZ($A$1,$B96,E$1,$B$1)</f>
        <v>0</v>
      </c>
      <c r="F96" s="124" cm="1">
        <f t="array" ref="F96">_xll.EQNXTDZ($A$1,$B96,F$1,$B$1)</f>
        <v>0</v>
      </c>
      <c r="G96" s="124" cm="1">
        <f t="array" ref="G96">_xll.EQNXTDZ($A$1,$B96,G$1,$B$1)</f>
        <v>0</v>
      </c>
      <c r="H96" s="124" cm="1">
        <f t="array" ref="H96">_xll.EQNXTDZ($A$1,$B96,H$1,$B$1)</f>
        <v>0</v>
      </c>
      <c r="I96" s="124" cm="1">
        <f t="array" ref="I96">_xll.EQNXTDZ($A$1,$B96,I$1,$B$1)</f>
        <v>0</v>
      </c>
      <c r="J96" s="124" cm="1">
        <f t="array" ref="J96">_xll.EQNXTDZ($A$1,$B96,J$1,$B$1)</f>
        <v>0</v>
      </c>
      <c r="K96" s="124" cm="1">
        <f t="array" ref="K96">_xll.EQNXTDZ($A$1,$B96,K$1,$B$1)</f>
        <v>0</v>
      </c>
      <c r="L96" s="124" cm="1">
        <f t="array" ref="L96">_xll.EQNXTDZ($A$1,$B96,L$1,$B$1)</f>
        <v>0</v>
      </c>
      <c r="M96" s="124" cm="1">
        <f t="array" ref="M96">_xll.EQNXTDZ($A$1,$B96,M$1,$B$1)</f>
        <v>0</v>
      </c>
      <c r="N96" s="124" cm="1">
        <f t="array" ref="N96">_xll.EQNXTDZ($A$1,$B96,N$1,$B$1)</f>
        <v>0</v>
      </c>
      <c r="O96" s="124" cm="1">
        <f t="array" ref="O96">_xll.EQNXTDZ($A$1,$B96,O$1,$B$1)</f>
        <v>0</v>
      </c>
      <c r="P96" s="124" cm="1">
        <f t="array" ref="P96">_xll.EQNXTDZ($A$1,$B96,P$1,$B$1)</f>
        <v>0</v>
      </c>
      <c r="Q96" s="124" cm="1">
        <f t="array" ref="Q96">_xll.EQNXTDZ($A$1,$B96,Q$1,$B$1)</f>
        <v>0</v>
      </c>
      <c r="R96" s="124" cm="1">
        <f t="array" ref="R96">_xll.EQNXTDZ($A$1,$B96,R$1,$B$1)</f>
        <v>0</v>
      </c>
      <c r="S96" s="124" cm="1">
        <f t="array" ref="S96">_xll.EQNXTDZ($A$1,$B96,S$1,$B$1)</f>
        <v>0</v>
      </c>
      <c r="T96" s="124" cm="1">
        <f t="array" ref="T96">_xll.EQNXTDZ($A$1,$B96,T$1,$B$1)</f>
        <v>0</v>
      </c>
      <c r="U96" s="124" cm="1">
        <f t="array" ref="U96">_xll.EQNXTDZ($A$1,$B96,U$1,$B$1)</f>
        <v>0</v>
      </c>
      <c r="V96" s="124" cm="1">
        <f t="array" ref="V96">_xll.EQNXTDZ($A$1,$B96,V$1,$B$1)</f>
        <v>0</v>
      </c>
      <c r="W96" s="124" cm="1">
        <f t="array" ref="W96">_xll.EQNXTDZ($A$1,$B96,W$1,$B$1)</f>
        <v>0</v>
      </c>
      <c r="X96" s="124" cm="1">
        <f t="array" ref="X96">_xll.EQNXTDZ($A$1,$B96,X$1,$B$1)</f>
        <v>0</v>
      </c>
      <c r="Y96" s="124" cm="1">
        <f t="array" ref="Y96">_xll.EQNXTDZ($A$1,$B96,Y$1,$B$1)</f>
        <v>0</v>
      </c>
      <c r="Z96" s="124" cm="1">
        <f t="array" ref="Z96">_xll.EQNXTDZ($A$1,$B96,Z$1,$B$1)</f>
        <v>0</v>
      </c>
      <c r="AA96" s="124" cm="1">
        <f t="array" ref="AA96">_xll.EQNXTDZ($A$1,$B96,AA$1,$B$1)</f>
        <v>0</v>
      </c>
      <c r="AB96" s="124" cm="1">
        <f t="array" ref="AB96">_xll.EQNXTDZ($A$1,$B96,AB$1,$B$1)</f>
        <v>0</v>
      </c>
      <c r="AC96" s="124" cm="1">
        <f t="array" ref="AC96">_xll.EQNXTDZ($A$1,$B96,AC$1,$B$1)</f>
        <v>0</v>
      </c>
      <c r="AD96" s="124" cm="1">
        <f t="array" ref="AD96">_xll.EQNXTDZ($A$1,$B96,AD$1,$B$1)</f>
        <v>0</v>
      </c>
      <c r="AE96" s="124" cm="1">
        <f t="array" ref="AE96">_xll.EQNXTDZ($A$1,$B96,AE$1,$B$1)</f>
        <v>0</v>
      </c>
      <c r="AF96" s="124" cm="1">
        <f t="array" ref="AF96">_xll.EQNXTDZ($A$1,$B96,AF$1,$B$1)</f>
        <v>0</v>
      </c>
    </row>
    <row r="97" spans="1:32" s="106" customFormat="1" x14ac:dyDescent="0.25">
      <c r="A97" s="138" t="s">
        <v>475</v>
      </c>
      <c r="B97" s="106" t="s">
        <v>478</v>
      </c>
      <c r="C97" s="124" cm="1">
        <f t="array" ref="C97">_xll.EQNXTDZ($A$1,$B97,C$1,$B$1)</f>
        <v>0</v>
      </c>
      <c r="D97" s="124" cm="1">
        <f t="array" ref="D97">_xll.EQNXTDZ($A$1,$B97,D$1,$B$1)</f>
        <v>0</v>
      </c>
      <c r="E97" s="124" cm="1">
        <f t="array" ref="E97">_xll.EQNXTDZ($A$1,$B97,E$1,$B$1)</f>
        <v>0</v>
      </c>
      <c r="F97" s="124" cm="1">
        <f t="array" ref="F97">_xll.EQNXTDZ($A$1,$B97,F$1,$B$1)</f>
        <v>0</v>
      </c>
      <c r="G97" s="124" cm="1">
        <f t="array" ref="G97">_xll.EQNXTDZ($A$1,$B97,G$1,$B$1)</f>
        <v>0</v>
      </c>
      <c r="H97" s="124" cm="1">
        <f t="array" ref="H97">_xll.EQNXTDZ($A$1,$B97,H$1,$B$1)</f>
        <v>0</v>
      </c>
      <c r="I97" s="124" cm="1">
        <f t="array" ref="I97">_xll.EQNXTDZ($A$1,$B97,I$1,$B$1)</f>
        <v>0</v>
      </c>
      <c r="J97" s="124" cm="1">
        <f t="array" ref="J97">_xll.EQNXTDZ($A$1,$B97,J$1,$B$1)</f>
        <v>0</v>
      </c>
      <c r="K97" s="124" cm="1">
        <f t="array" ref="K97">_xll.EQNXTDZ($A$1,$B97,K$1,$B$1)</f>
        <v>0</v>
      </c>
      <c r="L97" s="124" cm="1">
        <f t="array" ref="L97">_xll.EQNXTDZ($A$1,$B97,L$1,$B$1)</f>
        <v>0</v>
      </c>
      <c r="M97" s="124" cm="1">
        <f t="array" ref="M97">_xll.EQNXTDZ($A$1,$B97,M$1,$B$1)</f>
        <v>0</v>
      </c>
      <c r="N97" s="124" cm="1">
        <f t="array" ref="N97">_xll.EQNXTDZ($A$1,$B97,N$1,$B$1)</f>
        <v>0</v>
      </c>
      <c r="O97" s="124" cm="1">
        <f t="array" ref="O97">_xll.EQNXTDZ($A$1,$B97,O$1,$B$1)</f>
        <v>0</v>
      </c>
      <c r="P97" s="124" cm="1">
        <f t="array" ref="P97">_xll.EQNXTDZ($A$1,$B97,P$1,$B$1)</f>
        <v>0</v>
      </c>
      <c r="Q97" s="124" cm="1">
        <f t="array" ref="Q97">_xll.EQNXTDZ($A$1,$B97,Q$1,$B$1)</f>
        <v>0</v>
      </c>
      <c r="R97" s="124" cm="1">
        <f t="array" ref="R97">_xll.EQNXTDZ($A$1,$B97,R$1,$B$1)</f>
        <v>0</v>
      </c>
      <c r="S97" s="124" cm="1">
        <f t="array" ref="S97">_xll.EQNXTDZ($A$1,$B97,S$1,$B$1)</f>
        <v>0</v>
      </c>
      <c r="T97" s="124" cm="1">
        <f t="array" ref="T97">_xll.EQNXTDZ($A$1,$B97,T$1,$B$1)</f>
        <v>0</v>
      </c>
      <c r="U97" s="124" cm="1">
        <f t="array" ref="U97">_xll.EQNXTDZ($A$1,$B97,U$1,$B$1)</f>
        <v>0</v>
      </c>
      <c r="V97" s="124" cm="1">
        <f t="array" ref="V97">_xll.EQNXTDZ($A$1,$B97,V$1,$B$1)</f>
        <v>0</v>
      </c>
      <c r="W97" s="124" cm="1">
        <f t="array" ref="W97">_xll.EQNXTDZ($A$1,$B97,W$1,$B$1)</f>
        <v>0</v>
      </c>
      <c r="X97" s="124" cm="1">
        <f t="array" ref="X97">_xll.EQNXTDZ($A$1,$B97,X$1,$B$1)</f>
        <v>0</v>
      </c>
      <c r="Y97" s="124" cm="1">
        <f t="array" ref="Y97">_xll.EQNXTDZ($A$1,$B97,Y$1,$B$1)</f>
        <v>0</v>
      </c>
      <c r="Z97" s="124" cm="1">
        <f t="array" ref="Z97">_xll.EQNXTDZ($A$1,$B97,Z$1,$B$1)</f>
        <v>0</v>
      </c>
      <c r="AA97" s="124" cm="1">
        <f t="array" ref="AA97">_xll.EQNXTDZ($A$1,$B97,AA$1,$B$1)</f>
        <v>0</v>
      </c>
      <c r="AB97" s="124" cm="1">
        <f t="array" ref="AB97">_xll.EQNXTDZ($A$1,$B97,AB$1,$B$1)</f>
        <v>0</v>
      </c>
      <c r="AC97" s="124" cm="1">
        <f t="array" ref="AC97">_xll.EQNXTDZ($A$1,$B97,AC$1,$B$1)</f>
        <v>0</v>
      </c>
      <c r="AD97" s="124" cm="1">
        <f t="array" ref="AD97">_xll.EQNXTDZ($A$1,$B97,AD$1,$B$1)</f>
        <v>0</v>
      </c>
      <c r="AE97" s="124" cm="1">
        <f t="array" ref="AE97">_xll.EQNXTDZ($A$1,$B97,AE$1,$B$1)</f>
        <v>0</v>
      </c>
      <c r="AF97" s="124" cm="1">
        <f t="array" ref="AF97">_xll.EQNXTDZ($A$1,$B97,AF$1,$B$1)</f>
        <v>0</v>
      </c>
    </row>
    <row r="98" spans="1:32" s="106" customFormat="1" x14ac:dyDescent="0.25">
      <c r="A98" s="138" t="s">
        <v>476</v>
      </c>
      <c r="B98" s="106" t="s">
        <v>479</v>
      </c>
      <c r="C98" s="124" cm="1">
        <f t="array" ref="C98">_xll.EQNXTDZ($A$1,$B98,C$1,$B$1)</f>
        <v>0</v>
      </c>
      <c r="D98" s="124" cm="1">
        <f t="array" ref="D98">_xll.EQNXTDZ($A$1,$B98,D$1,$B$1)</f>
        <v>0</v>
      </c>
      <c r="E98" s="124" cm="1">
        <f t="array" ref="E98">_xll.EQNXTDZ($A$1,$B98,E$1,$B$1)</f>
        <v>0</v>
      </c>
      <c r="F98" s="124" cm="1">
        <f t="array" ref="F98">_xll.EQNXTDZ($A$1,$B98,F$1,$B$1)</f>
        <v>0</v>
      </c>
      <c r="G98" s="124" cm="1">
        <f t="array" ref="G98">_xll.EQNXTDZ($A$1,$B98,G$1,$B$1)</f>
        <v>0</v>
      </c>
      <c r="H98" s="124" cm="1">
        <f t="array" ref="H98">_xll.EQNXTDZ($A$1,$B98,H$1,$B$1)</f>
        <v>0</v>
      </c>
      <c r="I98" s="124" cm="1">
        <f t="array" ref="I98">_xll.EQNXTDZ($A$1,$B98,I$1,$B$1)</f>
        <v>0</v>
      </c>
      <c r="J98" s="124" cm="1">
        <f t="array" ref="J98">_xll.EQNXTDZ($A$1,$B98,J$1,$B$1)</f>
        <v>0</v>
      </c>
      <c r="K98" s="124" cm="1">
        <f t="array" ref="K98">_xll.EQNXTDZ($A$1,$B98,K$1,$B$1)</f>
        <v>0</v>
      </c>
      <c r="L98" s="124" cm="1">
        <f t="array" ref="L98">_xll.EQNXTDZ($A$1,$B98,L$1,$B$1)</f>
        <v>0</v>
      </c>
      <c r="M98" s="124" cm="1">
        <f t="array" ref="M98">_xll.EQNXTDZ($A$1,$B98,M$1,$B$1)</f>
        <v>0</v>
      </c>
      <c r="N98" s="124" cm="1">
        <f t="array" ref="N98">_xll.EQNXTDZ($A$1,$B98,N$1,$B$1)</f>
        <v>0</v>
      </c>
      <c r="O98" s="124" cm="1">
        <f t="array" ref="O98">_xll.EQNXTDZ($A$1,$B98,O$1,$B$1)</f>
        <v>0</v>
      </c>
      <c r="P98" s="124" cm="1">
        <f t="array" ref="P98">_xll.EQNXTDZ($A$1,$B98,P$1,$B$1)</f>
        <v>0</v>
      </c>
      <c r="Q98" s="124" cm="1">
        <f t="array" ref="Q98">_xll.EQNXTDZ($A$1,$B98,Q$1,$B$1)</f>
        <v>0</v>
      </c>
      <c r="R98" s="124" cm="1">
        <f t="array" ref="R98">_xll.EQNXTDZ($A$1,$B98,R$1,$B$1)</f>
        <v>0</v>
      </c>
      <c r="S98" s="124" cm="1">
        <f t="array" ref="S98">_xll.EQNXTDZ($A$1,$B98,S$1,$B$1)</f>
        <v>0</v>
      </c>
      <c r="T98" s="124" cm="1">
        <f t="array" ref="T98">_xll.EQNXTDZ($A$1,$B98,T$1,$B$1)</f>
        <v>0</v>
      </c>
      <c r="U98" s="124" cm="1">
        <f t="array" ref="U98">_xll.EQNXTDZ($A$1,$B98,U$1,$B$1)</f>
        <v>0</v>
      </c>
      <c r="V98" s="124" cm="1">
        <f t="array" ref="V98">_xll.EQNXTDZ($A$1,$B98,V$1,$B$1)</f>
        <v>0</v>
      </c>
      <c r="W98" s="124" cm="1">
        <f t="array" ref="W98">_xll.EQNXTDZ($A$1,$B98,W$1,$B$1)</f>
        <v>0</v>
      </c>
      <c r="X98" s="124" cm="1">
        <f t="array" ref="X98">_xll.EQNXTDZ($A$1,$B98,X$1,$B$1)</f>
        <v>0</v>
      </c>
      <c r="Y98" s="124" cm="1">
        <f t="array" ref="Y98">_xll.EQNXTDZ($A$1,$B98,Y$1,$B$1)</f>
        <v>0</v>
      </c>
      <c r="Z98" s="124" cm="1">
        <f t="array" ref="Z98">_xll.EQNXTDZ($A$1,$B98,Z$1,$B$1)</f>
        <v>0</v>
      </c>
      <c r="AA98" s="124" cm="1">
        <f t="array" ref="AA98">_xll.EQNXTDZ($A$1,$B98,AA$1,$B$1)</f>
        <v>0</v>
      </c>
      <c r="AB98" s="124" cm="1">
        <f t="array" ref="AB98">_xll.EQNXTDZ($A$1,$B98,AB$1,$B$1)</f>
        <v>0</v>
      </c>
      <c r="AC98" s="124" cm="1">
        <f t="array" ref="AC98">_xll.EQNXTDZ($A$1,$B98,AC$1,$B$1)</f>
        <v>0</v>
      </c>
      <c r="AD98" s="124" cm="1">
        <f t="array" ref="AD98">_xll.EQNXTDZ($A$1,$B98,AD$1,$B$1)</f>
        <v>0</v>
      </c>
      <c r="AE98" s="124" cm="1">
        <f t="array" ref="AE98">_xll.EQNXTDZ($A$1,$B98,AE$1,$B$1)</f>
        <v>0</v>
      </c>
      <c r="AF98" s="124" cm="1">
        <f t="array" ref="AF98">_xll.EQNXTDZ($A$1,$B98,AF$1,$B$1)</f>
        <v>0</v>
      </c>
    </row>
    <row r="99" spans="1:32" s="106" customFormat="1" x14ac:dyDescent="0.25">
      <c r="A99" s="138" t="s">
        <v>477</v>
      </c>
      <c r="B99" s="106" t="s">
        <v>480</v>
      </c>
      <c r="C99" s="124" cm="1">
        <f t="array" ref="C99">_xll.EQNXTDZ($A$1,$B99,C$1,$B$1)</f>
        <v>0</v>
      </c>
      <c r="D99" s="124" cm="1">
        <f t="array" ref="D99">_xll.EQNXTDZ($A$1,$B99,D$1,$B$1)</f>
        <v>0</v>
      </c>
      <c r="E99" s="124" cm="1">
        <f t="array" ref="E99">_xll.EQNXTDZ($A$1,$B99,E$1,$B$1)</f>
        <v>0</v>
      </c>
      <c r="F99" s="124" cm="1">
        <f t="array" ref="F99">_xll.EQNXTDZ($A$1,$B99,F$1,$B$1)</f>
        <v>0</v>
      </c>
      <c r="G99" s="124" cm="1">
        <f t="array" ref="G99">_xll.EQNXTDZ($A$1,$B99,G$1,$B$1)</f>
        <v>0</v>
      </c>
      <c r="H99" s="124" cm="1">
        <f t="array" ref="H99">_xll.EQNXTDZ($A$1,$B99,H$1,$B$1)</f>
        <v>0</v>
      </c>
      <c r="I99" s="124" cm="1">
        <f t="array" ref="I99">_xll.EQNXTDZ($A$1,$B99,I$1,$B$1)</f>
        <v>0</v>
      </c>
      <c r="J99" s="124" cm="1">
        <f t="array" ref="J99">_xll.EQNXTDZ($A$1,$B99,J$1,$B$1)</f>
        <v>0</v>
      </c>
      <c r="K99" s="124" cm="1">
        <f t="array" ref="K99">_xll.EQNXTDZ($A$1,$B99,K$1,$B$1)</f>
        <v>0</v>
      </c>
      <c r="L99" s="124" cm="1">
        <f t="array" ref="L99">_xll.EQNXTDZ($A$1,$B99,L$1,$B$1)</f>
        <v>0</v>
      </c>
      <c r="M99" s="124" cm="1">
        <f t="array" ref="M99">_xll.EQNXTDZ($A$1,$B99,M$1,$B$1)</f>
        <v>0</v>
      </c>
      <c r="N99" s="124" cm="1">
        <f t="array" ref="N99">_xll.EQNXTDZ($A$1,$B99,N$1,$B$1)</f>
        <v>0</v>
      </c>
      <c r="O99" s="124" cm="1">
        <f t="array" ref="O99">_xll.EQNXTDZ($A$1,$B99,O$1,$B$1)</f>
        <v>0</v>
      </c>
      <c r="P99" s="124" cm="1">
        <f t="array" ref="P99">_xll.EQNXTDZ($A$1,$B99,P$1,$B$1)</f>
        <v>0</v>
      </c>
      <c r="Q99" s="124" cm="1">
        <f t="array" ref="Q99">_xll.EQNXTDZ($A$1,$B99,Q$1,$B$1)</f>
        <v>0</v>
      </c>
      <c r="R99" s="124" cm="1">
        <f t="array" ref="R99">_xll.EQNXTDZ($A$1,$B99,R$1,$B$1)</f>
        <v>0</v>
      </c>
      <c r="S99" s="124" cm="1">
        <f t="array" ref="S99">_xll.EQNXTDZ($A$1,$B99,S$1,$B$1)</f>
        <v>0</v>
      </c>
      <c r="T99" s="124" cm="1">
        <f t="array" ref="T99">_xll.EQNXTDZ($A$1,$B99,T$1,$B$1)</f>
        <v>0</v>
      </c>
      <c r="U99" s="124" cm="1">
        <f t="array" ref="U99">_xll.EQNXTDZ($A$1,$B99,U$1,$B$1)</f>
        <v>0</v>
      </c>
      <c r="V99" s="124" cm="1">
        <f t="array" ref="V99">_xll.EQNXTDZ($A$1,$B99,V$1,$B$1)</f>
        <v>0</v>
      </c>
      <c r="W99" s="124" cm="1">
        <f t="array" ref="W99">_xll.EQNXTDZ($A$1,$B99,W$1,$B$1)</f>
        <v>0</v>
      </c>
      <c r="X99" s="124" cm="1">
        <f t="array" ref="X99">_xll.EQNXTDZ($A$1,$B99,X$1,$B$1)</f>
        <v>0</v>
      </c>
      <c r="Y99" s="124" cm="1">
        <f t="array" ref="Y99">_xll.EQNXTDZ($A$1,$B99,Y$1,$B$1)</f>
        <v>0</v>
      </c>
      <c r="Z99" s="124" cm="1">
        <f t="array" ref="Z99">_xll.EQNXTDZ($A$1,$B99,Z$1,$B$1)</f>
        <v>0</v>
      </c>
      <c r="AA99" s="124" cm="1">
        <f t="array" ref="AA99">_xll.EQNXTDZ($A$1,$B99,AA$1,$B$1)</f>
        <v>0</v>
      </c>
      <c r="AB99" s="124" cm="1">
        <f t="array" ref="AB99">_xll.EQNXTDZ($A$1,$B99,AB$1,$B$1)</f>
        <v>0</v>
      </c>
      <c r="AC99" s="124" cm="1">
        <f t="array" ref="AC99">_xll.EQNXTDZ($A$1,$B99,AC$1,$B$1)</f>
        <v>0</v>
      </c>
      <c r="AD99" s="124" cm="1">
        <f t="array" ref="AD99">_xll.EQNXTDZ($A$1,$B99,AD$1,$B$1)</f>
        <v>0</v>
      </c>
      <c r="AE99" s="124" cm="1">
        <f t="array" ref="AE99">_xll.EQNXTDZ($A$1,$B99,AE$1,$B$1)</f>
        <v>0</v>
      </c>
      <c r="AF99" s="124" cm="1">
        <f t="array" ref="AF99">_xll.EQNXTDZ($A$1,$B99,AF$1,$B$1)</f>
        <v>0</v>
      </c>
    </row>
    <row r="100" spans="1:32" s="106" customFormat="1" x14ac:dyDescent="0.25">
      <c r="A100" s="106" t="s">
        <v>225</v>
      </c>
      <c r="B100" s="106" t="s">
        <v>415</v>
      </c>
      <c r="C100" s="124" cm="1">
        <f t="array" ref="C100">_xll.EQNXTDZ($A$1,$B100,C$1,$B$1)</f>
        <v>0</v>
      </c>
      <c r="D100" s="124" cm="1">
        <f t="array" ref="D100">_xll.EQNXTDZ($A$1,$B100,D$1,$B$1)</f>
        <v>0</v>
      </c>
      <c r="E100" s="124" cm="1">
        <f t="array" ref="E100">_xll.EQNXTDZ($A$1,$B100,E$1,$B$1)</f>
        <v>0</v>
      </c>
      <c r="F100" s="124" cm="1">
        <f t="array" ref="F100">_xll.EQNXTDZ($A$1,$B100,F$1,$B$1)</f>
        <v>0</v>
      </c>
      <c r="G100" s="124" cm="1">
        <f t="array" ref="G100">_xll.EQNXTDZ($A$1,$B100,G$1,$B$1)</f>
        <v>0</v>
      </c>
      <c r="H100" s="124" cm="1">
        <f t="array" ref="H100">_xll.EQNXTDZ($A$1,$B100,H$1,$B$1)</f>
        <v>0</v>
      </c>
      <c r="I100" s="124" cm="1">
        <f t="array" ref="I100">_xll.EQNXTDZ($A$1,$B100,I$1,$B$1)</f>
        <v>0</v>
      </c>
      <c r="J100" s="124" cm="1">
        <f t="array" ref="J100">_xll.EQNXTDZ($A$1,$B100,J$1,$B$1)</f>
        <v>0</v>
      </c>
      <c r="K100" s="124" cm="1">
        <f t="array" ref="K100">_xll.EQNXTDZ($A$1,$B100,K$1,$B$1)</f>
        <v>0</v>
      </c>
      <c r="L100" s="124" cm="1">
        <f t="array" ref="L100">_xll.EQNXTDZ($A$1,$B100,L$1,$B$1)</f>
        <v>0</v>
      </c>
      <c r="M100" s="124" cm="1">
        <f t="array" ref="M100">_xll.EQNXTDZ($A$1,$B100,M$1,$B$1)</f>
        <v>0</v>
      </c>
      <c r="N100" s="124" cm="1">
        <f t="array" ref="N100">_xll.EQNXTDZ($A$1,$B100,N$1,$B$1)</f>
        <v>0</v>
      </c>
      <c r="O100" s="124" cm="1">
        <f t="array" ref="O100">_xll.EQNXTDZ($A$1,$B100,O$1,$B$1)</f>
        <v>0</v>
      </c>
      <c r="P100" s="124" cm="1">
        <f t="array" ref="P100">_xll.EQNXTDZ($A$1,$B100,P$1,$B$1)</f>
        <v>0</v>
      </c>
      <c r="Q100" s="124" cm="1">
        <f t="array" ref="Q100">_xll.EQNXTDZ($A$1,$B100,Q$1,$B$1)</f>
        <v>0</v>
      </c>
      <c r="R100" s="124" cm="1">
        <f t="array" ref="R100">_xll.EQNXTDZ($A$1,$B100,R$1,$B$1)</f>
        <v>0</v>
      </c>
      <c r="S100" s="124" cm="1">
        <f t="array" ref="S100">_xll.EQNXTDZ($A$1,$B100,S$1,$B$1)</f>
        <v>0</v>
      </c>
      <c r="T100" s="124" cm="1">
        <f t="array" ref="T100">_xll.EQNXTDZ($A$1,$B100,T$1,$B$1)</f>
        <v>0</v>
      </c>
      <c r="U100" s="124" cm="1">
        <f t="array" ref="U100">_xll.EQNXTDZ($A$1,$B100,U$1,$B$1)</f>
        <v>0</v>
      </c>
      <c r="V100" s="124" cm="1">
        <f t="array" ref="V100">_xll.EQNXTDZ($A$1,$B100,V$1,$B$1)</f>
        <v>0</v>
      </c>
      <c r="W100" s="124" cm="1">
        <f t="array" ref="W100">_xll.EQNXTDZ($A$1,$B100,W$1,$B$1)</f>
        <v>0</v>
      </c>
      <c r="X100" s="124" cm="1">
        <f t="array" ref="X100">_xll.EQNXTDZ($A$1,$B100,X$1,$B$1)</f>
        <v>0</v>
      </c>
      <c r="Y100" s="124" cm="1">
        <f t="array" ref="Y100">_xll.EQNXTDZ($A$1,$B100,Y$1,$B$1)</f>
        <v>0</v>
      </c>
      <c r="Z100" s="124" cm="1">
        <f t="array" ref="Z100">_xll.EQNXTDZ($A$1,$B100,Z$1,$B$1)</f>
        <v>0</v>
      </c>
      <c r="AA100" s="124" cm="1">
        <f t="array" ref="AA100">_xll.EQNXTDZ($A$1,$B100,AA$1,$B$1)</f>
        <v>0</v>
      </c>
      <c r="AB100" s="124" cm="1">
        <f t="array" ref="AB100">_xll.EQNXTDZ($A$1,$B100,AB$1,$B$1)</f>
        <v>0</v>
      </c>
      <c r="AC100" s="124" cm="1">
        <f t="array" ref="AC100">_xll.EQNXTDZ($A$1,$B100,AC$1,$B$1)</f>
        <v>0</v>
      </c>
      <c r="AD100" s="124" cm="1">
        <f t="array" ref="AD100">_xll.EQNXTDZ($A$1,$B100,AD$1,$B$1)</f>
        <v>0</v>
      </c>
      <c r="AE100" s="124" cm="1">
        <f t="array" ref="AE100">_xll.EQNXTDZ($A$1,$B100,AE$1,$B$1)</f>
        <v>0</v>
      </c>
      <c r="AF100" s="124" cm="1">
        <f t="array" ref="AF100">_xll.EQNXTDZ($A$1,$B100,AF$1,$B$1)</f>
        <v>0</v>
      </c>
    </row>
    <row r="101" spans="1:32" s="106" customFormat="1" x14ac:dyDescent="0.25">
      <c r="A101" s="106" t="s">
        <v>240</v>
      </c>
      <c r="B101" s="106" t="s">
        <v>416</v>
      </c>
      <c r="C101" s="124" cm="1">
        <f t="array" ref="C101">_xll.EQNXTDZ($A$1,$B101,C$1,$B$1)</f>
        <v>0</v>
      </c>
      <c r="D101" s="124" cm="1">
        <f t="array" ref="D101">_xll.EQNXTDZ($A$1,$B101,D$1,$B$1)</f>
        <v>0</v>
      </c>
      <c r="E101" s="124" cm="1">
        <f t="array" ref="E101">_xll.EQNXTDZ($A$1,$B101,E$1,$B$1)</f>
        <v>0</v>
      </c>
      <c r="F101" s="124" cm="1">
        <f t="array" ref="F101">_xll.EQNXTDZ($A$1,$B101,F$1,$B$1)</f>
        <v>0</v>
      </c>
      <c r="G101" s="124" cm="1">
        <f t="array" ref="G101">_xll.EQNXTDZ($A$1,$B101,G$1,$B$1)</f>
        <v>0</v>
      </c>
      <c r="H101" s="124" cm="1">
        <f t="array" ref="H101">_xll.EQNXTDZ($A$1,$B101,H$1,$B$1)</f>
        <v>0</v>
      </c>
      <c r="I101" s="124" cm="1">
        <f t="array" ref="I101">_xll.EQNXTDZ($A$1,$B101,I$1,$B$1)</f>
        <v>0</v>
      </c>
      <c r="J101" s="124" cm="1">
        <f t="array" ref="J101">_xll.EQNXTDZ($A$1,$B101,J$1,$B$1)</f>
        <v>0</v>
      </c>
      <c r="K101" s="124" cm="1">
        <f t="array" ref="K101">_xll.EQNXTDZ($A$1,$B101,K$1,$B$1)</f>
        <v>0</v>
      </c>
      <c r="L101" s="124" cm="1">
        <f t="array" ref="L101">_xll.EQNXTDZ($A$1,$B101,L$1,$B$1)</f>
        <v>0</v>
      </c>
      <c r="M101" s="124" cm="1">
        <f t="array" ref="M101">_xll.EQNXTDZ($A$1,$B101,M$1,$B$1)</f>
        <v>0</v>
      </c>
      <c r="N101" s="124" cm="1">
        <f t="array" ref="N101">_xll.EQNXTDZ($A$1,$B101,N$1,$B$1)</f>
        <v>0</v>
      </c>
      <c r="O101" s="124" cm="1">
        <f t="array" ref="O101">_xll.EQNXTDZ($A$1,$B101,O$1,$B$1)</f>
        <v>0</v>
      </c>
      <c r="P101" s="124" cm="1">
        <f t="array" ref="P101">_xll.EQNXTDZ($A$1,$B101,P$1,$B$1)</f>
        <v>0</v>
      </c>
      <c r="Q101" s="124" cm="1">
        <f t="array" ref="Q101">_xll.EQNXTDZ($A$1,$B101,Q$1,$B$1)</f>
        <v>0</v>
      </c>
      <c r="R101" s="124" cm="1">
        <f t="array" ref="R101">_xll.EQNXTDZ($A$1,$B101,R$1,$B$1)</f>
        <v>0</v>
      </c>
      <c r="S101" s="124" cm="1">
        <f t="array" ref="S101">_xll.EQNXTDZ($A$1,$B101,S$1,$B$1)</f>
        <v>0</v>
      </c>
      <c r="T101" s="124" cm="1">
        <f t="array" ref="T101">_xll.EQNXTDZ($A$1,$B101,T$1,$B$1)</f>
        <v>0</v>
      </c>
      <c r="U101" s="124" cm="1">
        <f t="array" ref="U101">_xll.EQNXTDZ($A$1,$B101,U$1,$B$1)</f>
        <v>0</v>
      </c>
      <c r="V101" s="124" cm="1">
        <f t="array" ref="V101">_xll.EQNXTDZ($A$1,$B101,V$1,$B$1)</f>
        <v>0</v>
      </c>
      <c r="W101" s="124" cm="1">
        <f t="array" ref="W101">_xll.EQNXTDZ($A$1,$B101,W$1,$B$1)</f>
        <v>0</v>
      </c>
      <c r="X101" s="124" cm="1">
        <f t="array" ref="X101">_xll.EQNXTDZ($A$1,$B101,X$1,$B$1)</f>
        <v>0</v>
      </c>
      <c r="Y101" s="124" cm="1">
        <f t="array" ref="Y101">_xll.EQNXTDZ($A$1,$B101,Y$1,$B$1)</f>
        <v>0</v>
      </c>
      <c r="Z101" s="124" cm="1">
        <f t="array" ref="Z101">_xll.EQNXTDZ($A$1,$B101,Z$1,$B$1)</f>
        <v>0</v>
      </c>
      <c r="AA101" s="124" cm="1">
        <f t="array" ref="AA101">_xll.EQNXTDZ($A$1,$B101,AA$1,$B$1)</f>
        <v>0</v>
      </c>
      <c r="AB101" s="124" cm="1">
        <f t="array" ref="AB101">_xll.EQNXTDZ($A$1,$B101,AB$1,$B$1)</f>
        <v>0</v>
      </c>
      <c r="AC101" s="124" cm="1">
        <f t="array" ref="AC101">_xll.EQNXTDZ($A$1,$B101,AC$1,$B$1)</f>
        <v>0</v>
      </c>
      <c r="AD101" s="124" cm="1">
        <f t="array" ref="AD101">_xll.EQNXTDZ($A$1,$B101,AD$1,$B$1)</f>
        <v>0</v>
      </c>
      <c r="AE101" s="124" cm="1">
        <f t="array" ref="AE101">_xll.EQNXTDZ($A$1,$B101,AE$1,$B$1)</f>
        <v>0</v>
      </c>
      <c r="AF101" s="124" cm="1">
        <f t="array" ref="AF101">_xll.EQNXTDZ($A$1,$B101,AF$1,$B$1)</f>
        <v>0</v>
      </c>
    </row>
    <row r="102" spans="1:32" s="106" customFormat="1" x14ac:dyDescent="0.25">
      <c r="A102" s="106" t="s">
        <v>262</v>
      </c>
      <c r="B102" s="106" t="s">
        <v>417</v>
      </c>
      <c r="C102" s="124" cm="1">
        <f t="array" ref="C102">_xll.EQNXTDZ($A$1,$B102,C$1,$B$1)</f>
        <v>0</v>
      </c>
      <c r="D102" s="124" cm="1">
        <f t="array" ref="D102">_xll.EQNXTDZ($A$1,$B102,D$1,$B$1)</f>
        <v>0</v>
      </c>
      <c r="E102" s="124" cm="1">
        <f t="array" ref="E102">_xll.EQNXTDZ($A$1,$B102,E$1,$B$1)</f>
        <v>0</v>
      </c>
      <c r="F102" s="124" cm="1">
        <f t="array" ref="F102">_xll.EQNXTDZ($A$1,$B102,F$1,$B$1)</f>
        <v>0</v>
      </c>
      <c r="G102" s="124" cm="1">
        <f t="array" ref="G102">_xll.EQNXTDZ($A$1,$B102,G$1,$B$1)</f>
        <v>0</v>
      </c>
      <c r="H102" s="124" cm="1">
        <f t="array" ref="H102">_xll.EQNXTDZ($A$1,$B102,H$1,$B$1)</f>
        <v>0</v>
      </c>
      <c r="I102" s="124" cm="1">
        <f t="array" ref="I102">_xll.EQNXTDZ($A$1,$B102,I$1,$B$1)</f>
        <v>0</v>
      </c>
      <c r="J102" s="124" cm="1">
        <f t="array" ref="J102">_xll.EQNXTDZ($A$1,$B102,J$1,$B$1)</f>
        <v>0</v>
      </c>
      <c r="K102" s="124" cm="1">
        <f t="array" ref="K102">_xll.EQNXTDZ($A$1,$B102,K$1,$B$1)</f>
        <v>0</v>
      </c>
      <c r="L102" s="124" cm="1">
        <f t="array" ref="L102">_xll.EQNXTDZ($A$1,$B102,L$1,$B$1)</f>
        <v>0</v>
      </c>
      <c r="M102" s="124" cm="1">
        <f t="array" ref="M102">_xll.EQNXTDZ($A$1,$B102,M$1,$B$1)</f>
        <v>0</v>
      </c>
      <c r="N102" s="124" cm="1">
        <f t="array" ref="N102">_xll.EQNXTDZ($A$1,$B102,N$1,$B$1)</f>
        <v>0</v>
      </c>
      <c r="O102" s="124" cm="1">
        <f t="array" ref="O102">_xll.EQNXTDZ($A$1,$B102,O$1,$B$1)</f>
        <v>0</v>
      </c>
      <c r="P102" s="124" cm="1">
        <f t="array" ref="P102">_xll.EQNXTDZ($A$1,$B102,P$1,$B$1)</f>
        <v>0</v>
      </c>
      <c r="Q102" s="124" cm="1">
        <f t="array" ref="Q102">_xll.EQNXTDZ($A$1,$B102,Q$1,$B$1)</f>
        <v>0</v>
      </c>
      <c r="R102" s="124" cm="1">
        <f t="array" ref="R102">_xll.EQNXTDZ($A$1,$B102,R$1,$B$1)</f>
        <v>0</v>
      </c>
      <c r="S102" s="124" cm="1">
        <f t="array" ref="S102">_xll.EQNXTDZ($A$1,$B102,S$1,$B$1)</f>
        <v>0</v>
      </c>
      <c r="T102" s="124" cm="1">
        <f t="array" ref="T102">_xll.EQNXTDZ($A$1,$B102,T$1,$B$1)</f>
        <v>0</v>
      </c>
      <c r="U102" s="124" cm="1">
        <f t="array" ref="U102">_xll.EQNXTDZ($A$1,$B102,U$1,$B$1)</f>
        <v>0</v>
      </c>
      <c r="V102" s="124" cm="1">
        <f t="array" ref="V102">_xll.EQNXTDZ($A$1,$B102,V$1,$B$1)</f>
        <v>0</v>
      </c>
      <c r="W102" s="124" cm="1">
        <f t="array" ref="W102">_xll.EQNXTDZ($A$1,$B102,W$1,$B$1)</f>
        <v>0</v>
      </c>
      <c r="X102" s="124" cm="1">
        <f t="array" ref="X102">_xll.EQNXTDZ($A$1,$B102,X$1,$B$1)</f>
        <v>0</v>
      </c>
      <c r="Y102" s="124" cm="1">
        <f t="array" ref="Y102">_xll.EQNXTDZ($A$1,$B102,Y$1,$B$1)</f>
        <v>0</v>
      </c>
      <c r="Z102" s="124" cm="1">
        <f t="array" ref="Z102">_xll.EQNXTDZ($A$1,$B102,Z$1,$B$1)</f>
        <v>0</v>
      </c>
      <c r="AA102" s="124" cm="1">
        <f t="array" ref="AA102">_xll.EQNXTDZ($A$1,$B102,AA$1,$B$1)</f>
        <v>0</v>
      </c>
      <c r="AB102" s="124" cm="1">
        <f t="array" ref="AB102">_xll.EQNXTDZ($A$1,$B102,AB$1,$B$1)</f>
        <v>0</v>
      </c>
      <c r="AC102" s="124" cm="1">
        <f t="array" ref="AC102">_xll.EQNXTDZ($A$1,$B102,AC$1,$B$1)</f>
        <v>0</v>
      </c>
      <c r="AD102" s="124" cm="1">
        <f t="array" ref="AD102">_xll.EQNXTDZ($A$1,$B102,AD$1,$B$1)</f>
        <v>0</v>
      </c>
      <c r="AE102" s="124" cm="1">
        <f t="array" ref="AE102">_xll.EQNXTDZ($A$1,$B102,AE$1,$B$1)</f>
        <v>0</v>
      </c>
      <c r="AF102" s="124" cm="1">
        <f t="array" ref="AF102">_xll.EQNXTDZ($A$1,$B102,AF$1,$B$1)</f>
        <v>0</v>
      </c>
    </row>
    <row r="103" spans="1:32" s="106" customFormat="1" x14ac:dyDescent="0.25">
      <c r="A103" s="106" t="s">
        <v>229</v>
      </c>
      <c r="B103" s="106" t="s">
        <v>418</v>
      </c>
      <c r="C103" s="124" cm="1">
        <f t="array" ref="C103">_xll.EQNXTDZ($A$1,$B103,C$1,$B$1)</f>
        <v>0</v>
      </c>
      <c r="D103" s="124" cm="1">
        <f t="array" ref="D103">_xll.EQNXTDZ($A$1,$B103,D$1,$B$1)</f>
        <v>0</v>
      </c>
      <c r="E103" s="124" cm="1">
        <f t="array" ref="E103">_xll.EQNXTDZ($A$1,$B103,E$1,$B$1)</f>
        <v>0</v>
      </c>
      <c r="F103" s="124" cm="1">
        <f t="array" ref="F103">_xll.EQNXTDZ($A$1,$B103,F$1,$B$1)</f>
        <v>0</v>
      </c>
      <c r="G103" s="124" cm="1">
        <f t="array" ref="G103">_xll.EQNXTDZ($A$1,$B103,G$1,$B$1)</f>
        <v>0</v>
      </c>
      <c r="H103" s="124" cm="1">
        <f t="array" ref="H103">_xll.EQNXTDZ($A$1,$B103,H$1,$B$1)</f>
        <v>0</v>
      </c>
      <c r="I103" s="124" cm="1">
        <f t="array" ref="I103">_xll.EQNXTDZ($A$1,$B103,I$1,$B$1)</f>
        <v>0</v>
      </c>
      <c r="J103" s="124" cm="1">
        <f t="array" ref="J103">_xll.EQNXTDZ($A$1,$B103,J$1,$B$1)</f>
        <v>0</v>
      </c>
      <c r="K103" s="124" cm="1">
        <f t="array" ref="K103">_xll.EQNXTDZ($A$1,$B103,K$1,$B$1)</f>
        <v>0</v>
      </c>
      <c r="L103" s="124" cm="1">
        <f t="array" ref="L103">_xll.EQNXTDZ($A$1,$B103,L$1,$B$1)</f>
        <v>0</v>
      </c>
      <c r="M103" s="124" cm="1">
        <f t="array" ref="M103">_xll.EQNXTDZ($A$1,$B103,M$1,$B$1)</f>
        <v>0</v>
      </c>
      <c r="N103" s="124" cm="1">
        <f t="array" ref="N103">_xll.EQNXTDZ($A$1,$B103,N$1,$B$1)</f>
        <v>0</v>
      </c>
      <c r="O103" s="124" cm="1">
        <f t="array" ref="O103">_xll.EQNXTDZ($A$1,$B103,O$1,$B$1)</f>
        <v>0</v>
      </c>
      <c r="P103" s="124" cm="1">
        <f t="array" ref="P103">_xll.EQNXTDZ($A$1,$B103,P$1,$B$1)</f>
        <v>0</v>
      </c>
      <c r="Q103" s="124" cm="1">
        <f t="array" ref="Q103">_xll.EQNXTDZ($A$1,$B103,Q$1,$B$1)</f>
        <v>0</v>
      </c>
      <c r="R103" s="124" cm="1">
        <f t="array" ref="R103">_xll.EQNXTDZ($A$1,$B103,R$1,$B$1)</f>
        <v>0</v>
      </c>
      <c r="S103" s="124" cm="1">
        <f t="array" ref="S103">_xll.EQNXTDZ($A$1,$B103,S$1,$B$1)</f>
        <v>0</v>
      </c>
      <c r="T103" s="124" cm="1">
        <f t="array" ref="T103">_xll.EQNXTDZ($A$1,$B103,T$1,$B$1)</f>
        <v>0</v>
      </c>
      <c r="U103" s="124" cm="1">
        <f t="array" ref="U103">_xll.EQNXTDZ($A$1,$B103,U$1,$B$1)</f>
        <v>0</v>
      </c>
      <c r="V103" s="124" cm="1">
        <f t="array" ref="V103">_xll.EQNXTDZ($A$1,$B103,V$1,$B$1)</f>
        <v>0</v>
      </c>
      <c r="W103" s="124" cm="1">
        <f t="array" ref="W103">_xll.EQNXTDZ($A$1,$B103,W$1,$B$1)</f>
        <v>0</v>
      </c>
      <c r="X103" s="124" cm="1">
        <f t="array" ref="X103">_xll.EQNXTDZ($A$1,$B103,X$1,$B$1)</f>
        <v>0</v>
      </c>
      <c r="Y103" s="124" cm="1">
        <f t="array" ref="Y103">_xll.EQNXTDZ($A$1,$B103,Y$1,$B$1)</f>
        <v>0</v>
      </c>
      <c r="Z103" s="124" cm="1">
        <f t="array" ref="Z103">_xll.EQNXTDZ($A$1,$B103,Z$1,$B$1)</f>
        <v>0</v>
      </c>
      <c r="AA103" s="124" cm="1">
        <f t="array" ref="AA103">_xll.EQNXTDZ($A$1,$B103,AA$1,$B$1)</f>
        <v>0</v>
      </c>
      <c r="AB103" s="124" cm="1">
        <f t="array" ref="AB103">_xll.EQNXTDZ($A$1,$B103,AB$1,$B$1)</f>
        <v>0</v>
      </c>
      <c r="AC103" s="124" cm="1">
        <f t="array" ref="AC103">_xll.EQNXTDZ($A$1,$B103,AC$1,$B$1)</f>
        <v>0</v>
      </c>
      <c r="AD103" s="124" cm="1">
        <f t="array" ref="AD103">_xll.EQNXTDZ($A$1,$B103,AD$1,$B$1)</f>
        <v>0</v>
      </c>
      <c r="AE103" s="124" cm="1">
        <f t="array" ref="AE103">_xll.EQNXTDZ($A$1,$B103,AE$1,$B$1)</f>
        <v>0</v>
      </c>
      <c r="AF103" s="124" cm="1">
        <f t="array" ref="AF103">_xll.EQNXTDZ($A$1,$B103,AF$1,$B$1)</f>
        <v>0</v>
      </c>
    </row>
    <row r="104" spans="1:32" s="106" customFormat="1" x14ac:dyDescent="0.25">
      <c r="A104" s="106" t="s">
        <v>94</v>
      </c>
      <c r="B104" s="106" t="s">
        <v>419</v>
      </c>
      <c r="C104" s="124" cm="1">
        <f t="array" ref="C104">_xll.EQNXTDZ($A$1,$B104,C$1,$B$1)</f>
        <v>0</v>
      </c>
      <c r="D104" s="124" cm="1">
        <f t="array" ref="D104">_xll.EQNXTDZ($A$1,$B104,D$1,$B$1)</f>
        <v>0</v>
      </c>
      <c r="E104" s="124" cm="1">
        <f t="array" ref="E104">_xll.EQNXTDZ($A$1,$B104,E$1,$B$1)</f>
        <v>0</v>
      </c>
      <c r="F104" s="124" cm="1">
        <f t="array" ref="F104">_xll.EQNXTDZ($A$1,$B104,F$1,$B$1)</f>
        <v>0</v>
      </c>
      <c r="G104" s="124" cm="1">
        <f t="array" ref="G104">_xll.EQNXTDZ($A$1,$B104,G$1,$B$1)</f>
        <v>0</v>
      </c>
      <c r="H104" s="124" cm="1">
        <f t="array" ref="H104">_xll.EQNXTDZ($A$1,$B104,H$1,$B$1)</f>
        <v>0</v>
      </c>
      <c r="I104" s="124" cm="1">
        <f t="array" ref="I104">_xll.EQNXTDZ($A$1,$B104,I$1,$B$1)</f>
        <v>0</v>
      </c>
      <c r="J104" s="124" cm="1">
        <f t="array" ref="J104">_xll.EQNXTDZ($A$1,$B104,J$1,$B$1)</f>
        <v>0</v>
      </c>
      <c r="K104" s="124" cm="1">
        <f t="array" ref="K104">_xll.EQNXTDZ($A$1,$B104,K$1,$B$1)</f>
        <v>0</v>
      </c>
      <c r="L104" s="124" cm="1">
        <f t="array" ref="L104">_xll.EQNXTDZ($A$1,$B104,L$1,$B$1)</f>
        <v>0</v>
      </c>
      <c r="M104" s="124" cm="1">
        <f t="array" ref="M104">_xll.EQNXTDZ($A$1,$B104,M$1,$B$1)</f>
        <v>0</v>
      </c>
      <c r="N104" s="124" cm="1">
        <f t="array" ref="N104">_xll.EQNXTDZ($A$1,$B104,N$1,$B$1)</f>
        <v>0</v>
      </c>
      <c r="O104" s="124" cm="1">
        <f t="array" ref="O104">_xll.EQNXTDZ($A$1,$B104,O$1,$B$1)</f>
        <v>0</v>
      </c>
      <c r="P104" s="124" cm="1">
        <f t="array" ref="P104">_xll.EQNXTDZ($A$1,$B104,P$1,$B$1)</f>
        <v>0</v>
      </c>
      <c r="Q104" s="124" cm="1">
        <f t="array" ref="Q104">_xll.EQNXTDZ($A$1,$B104,Q$1,$B$1)</f>
        <v>0</v>
      </c>
      <c r="R104" s="124" cm="1">
        <f t="array" ref="R104">_xll.EQNXTDZ($A$1,$B104,R$1,$B$1)</f>
        <v>0</v>
      </c>
      <c r="S104" s="124" cm="1">
        <f t="array" ref="S104">_xll.EQNXTDZ($A$1,$B104,S$1,$B$1)</f>
        <v>0</v>
      </c>
      <c r="T104" s="124" cm="1">
        <f t="array" ref="T104">_xll.EQNXTDZ($A$1,$B104,T$1,$B$1)</f>
        <v>0</v>
      </c>
      <c r="U104" s="124" cm="1">
        <f t="array" ref="U104">_xll.EQNXTDZ($A$1,$B104,U$1,$B$1)</f>
        <v>0</v>
      </c>
      <c r="V104" s="124" cm="1">
        <f t="array" ref="V104">_xll.EQNXTDZ($A$1,$B104,V$1,$B$1)</f>
        <v>0</v>
      </c>
      <c r="W104" s="124" cm="1">
        <f t="array" ref="W104">_xll.EQNXTDZ($A$1,$B104,W$1,$B$1)</f>
        <v>0</v>
      </c>
      <c r="X104" s="124" cm="1">
        <f t="array" ref="X104">_xll.EQNXTDZ($A$1,$B104,X$1,$B$1)</f>
        <v>0</v>
      </c>
      <c r="Y104" s="124" cm="1">
        <f t="array" ref="Y104">_xll.EQNXTDZ($A$1,$B104,Y$1,$B$1)</f>
        <v>0</v>
      </c>
      <c r="Z104" s="124" cm="1">
        <f t="array" ref="Z104">_xll.EQNXTDZ($A$1,$B104,Z$1,$B$1)</f>
        <v>0</v>
      </c>
      <c r="AA104" s="124" cm="1">
        <f t="array" ref="AA104">_xll.EQNXTDZ($A$1,$B104,AA$1,$B$1)</f>
        <v>0</v>
      </c>
      <c r="AB104" s="124" cm="1">
        <f t="array" ref="AB104">_xll.EQNXTDZ($A$1,$B104,AB$1,$B$1)</f>
        <v>0</v>
      </c>
      <c r="AC104" s="124" cm="1">
        <f t="array" ref="AC104">_xll.EQNXTDZ($A$1,$B104,AC$1,$B$1)</f>
        <v>0</v>
      </c>
      <c r="AD104" s="124" cm="1">
        <f t="array" ref="AD104">_xll.EQNXTDZ($A$1,$B104,AD$1,$B$1)</f>
        <v>0</v>
      </c>
      <c r="AE104" s="124" cm="1">
        <f t="array" ref="AE104">_xll.EQNXTDZ($A$1,$B104,AE$1,$B$1)</f>
        <v>0</v>
      </c>
      <c r="AF104" s="124" cm="1">
        <f t="array" ref="AF104">_xll.EQNXTDZ($A$1,$B104,AF$1,$B$1)</f>
        <v>0</v>
      </c>
    </row>
    <row r="105" spans="1:32" x14ac:dyDescent="0.25">
      <c r="A105" t="s">
        <v>263</v>
      </c>
      <c r="B105" t="s">
        <v>420</v>
      </c>
      <c r="C105" s="124" cm="1">
        <f t="array" ref="C105">_xll.EQNXTDZ($A$1,$B105,C$1,$B$1)</f>
        <v>0</v>
      </c>
      <c r="D105" s="124" cm="1">
        <f t="array" ref="D105">_xll.EQNXTDZ($A$1,$B105,D$1,$B$1)</f>
        <v>0</v>
      </c>
      <c r="E105" s="124" cm="1">
        <f t="array" ref="E105">_xll.EQNXTDZ($A$1,$B105,E$1,$B$1)</f>
        <v>0</v>
      </c>
      <c r="F105" s="124" cm="1">
        <f t="array" ref="F105">_xll.EQNXTDZ($A$1,$B105,F$1,$B$1)</f>
        <v>0</v>
      </c>
      <c r="G105" s="124" cm="1">
        <f t="array" ref="G105">_xll.EQNXTDZ($A$1,$B105,G$1,$B$1)</f>
        <v>0</v>
      </c>
      <c r="H105" s="124" cm="1">
        <f t="array" ref="H105">_xll.EQNXTDZ($A$1,$B105,H$1,$B$1)</f>
        <v>0</v>
      </c>
      <c r="I105" s="124" cm="1">
        <f t="array" ref="I105">_xll.EQNXTDZ($A$1,$B105,I$1,$B$1)</f>
        <v>0</v>
      </c>
      <c r="J105" s="124" cm="1">
        <f t="array" ref="J105">_xll.EQNXTDZ($A$1,$B105,J$1,$B$1)</f>
        <v>0</v>
      </c>
      <c r="K105" s="124" cm="1">
        <f t="array" ref="K105">_xll.EQNXTDZ($A$1,$B105,K$1,$B$1)</f>
        <v>0</v>
      </c>
      <c r="L105" s="124" cm="1">
        <f t="array" ref="L105">_xll.EQNXTDZ($A$1,$B105,L$1,$B$1)</f>
        <v>0</v>
      </c>
      <c r="M105" s="124" cm="1">
        <f t="array" ref="M105">_xll.EQNXTDZ($A$1,$B105,M$1,$B$1)</f>
        <v>0</v>
      </c>
      <c r="N105" s="124" cm="1">
        <f t="array" ref="N105">_xll.EQNXTDZ($A$1,$B105,N$1,$B$1)</f>
        <v>0</v>
      </c>
      <c r="O105" s="124" cm="1">
        <f t="array" ref="O105">_xll.EQNXTDZ($A$1,$B105,O$1,$B$1)</f>
        <v>0</v>
      </c>
      <c r="P105" s="124" cm="1">
        <f t="array" ref="P105">_xll.EQNXTDZ($A$1,$B105,P$1,$B$1)</f>
        <v>0</v>
      </c>
      <c r="Q105" s="124" cm="1">
        <f t="array" ref="Q105">_xll.EQNXTDZ($A$1,$B105,Q$1,$B$1)</f>
        <v>0</v>
      </c>
      <c r="R105" s="124" cm="1">
        <f t="array" ref="R105">_xll.EQNXTDZ($A$1,$B105,R$1,$B$1)</f>
        <v>0</v>
      </c>
      <c r="S105" s="124" cm="1">
        <f t="array" ref="S105">_xll.EQNXTDZ($A$1,$B105,S$1,$B$1)</f>
        <v>0</v>
      </c>
      <c r="T105" s="124" cm="1">
        <f t="array" ref="T105">_xll.EQNXTDZ($A$1,$B105,T$1,$B$1)</f>
        <v>0</v>
      </c>
      <c r="U105" s="124" cm="1">
        <f t="array" ref="U105">_xll.EQNXTDZ($A$1,$B105,U$1,$B$1)</f>
        <v>0</v>
      </c>
      <c r="V105" s="124" cm="1">
        <f t="array" ref="V105">_xll.EQNXTDZ($A$1,$B105,V$1,$B$1)</f>
        <v>0</v>
      </c>
      <c r="W105" s="124" cm="1">
        <f t="array" ref="W105">_xll.EQNXTDZ($A$1,$B105,W$1,$B$1)</f>
        <v>0</v>
      </c>
      <c r="X105" s="124" cm="1">
        <f t="array" ref="X105">_xll.EQNXTDZ($A$1,$B105,X$1,$B$1)</f>
        <v>0</v>
      </c>
      <c r="Y105" s="124" cm="1">
        <f t="array" ref="Y105">_xll.EQNXTDZ($A$1,$B105,Y$1,$B$1)</f>
        <v>0</v>
      </c>
      <c r="Z105" s="124" cm="1">
        <f t="array" ref="Z105">_xll.EQNXTDZ($A$1,$B105,Z$1,$B$1)</f>
        <v>0</v>
      </c>
      <c r="AA105" s="124" cm="1">
        <f t="array" ref="AA105">_xll.EQNXTDZ($A$1,$B105,AA$1,$B$1)</f>
        <v>0</v>
      </c>
      <c r="AB105" s="124" cm="1">
        <f t="array" ref="AB105">_xll.EQNXTDZ($A$1,$B105,AB$1,$B$1)</f>
        <v>0</v>
      </c>
      <c r="AC105" s="124" cm="1">
        <f t="array" ref="AC105">_xll.EQNXTDZ($A$1,$B105,AC$1,$B$1)</f>
        <v>0</v>
      </c>
      <c r="AD105" s="124" cm="1">
        <f t="array" ref="AD105">_xll.EQNXTDZ($A$1,$B105,AD$1,$B$1)</f>
        <v>0</v>
      </c>
      <c r="AE105" s="124" cm="1">
        <f t="array" ref="AE105">_xll.EQNXTDZ($A$1,$B105,AE$1,$B$1)</f>
        <v>0</v>
      </c>
      <c r="AF105" s="124" cm="1">
        <f t="array" ref="AF105">_xll.EQNXTDZ($A$1,$B105,AF$1,$B$1)</f>
        <v>0</v>
      </c>
    </row>
    <row r="106" spans="1:32" x14ac:dyDescent="0.25">
      <c r="A106" t="s">
        <v>264</v>
      </c>
      <c r="B106" t="s">
        <v>421</v>
      </c>
      <c r="C106" s="124" cm="1">
        <f t="array" ref="C106">_xll.EQNXTDZ($A$1,$B106,C$1,$B$1)</f>
        <v>0</v>
      </c>
      <c r="D106" s="124" cm="1">
        <f t="array" ref="D106">_xll.EQNXTDZ($A$1,$B106,D$1,$B$1)</f>
        <v>0</v>
      </c>
      <c r="E106" s="124" cm="1">
        <f t="array" ref="E106">_xll.EQNXTDZ($A$1,$B106,E$1,$B$1)</f>
        <v>0</v>
      </c>
      <c r="F106" s="124" cm="1">
        <f t="array" ref="F106">_xll.EQNXTDZ($A$1,$B106,F$1,$B$1)</f>
        <v>0</v>
      </c>
      <c r="G106" s="124" cm="1">
        <f t="array" ref="G106">_xll.EQNXTDZ($A$1,$B106,G$1,$B$1)</f>
        <v>0</v>
      </c>
      <c r="H106" s="124" cm="1">
        <f t="array" ref="H106">_xll.EQNXTDZ($A$1,$B106,H$1,$B$1)</f>
        <v>0</v>
      </c>
      <c r="I106" s="124" cm="1">
        <f t="array" ref="I106">_xll.EQNXTDZ($A$1,$B106,I$1,$B$1)</f>
        <v>0</v>
      </c>
      <c r="J106" s="124" cm="1">
        <f t="array" ref="J106">_xll.EQNXTDZ($A$1,$B106,J$1,$B$1)</f>
        <v>0</v>
      </c>
      <c r="K106" s="124" cm="1">
        <f t="array" ref="K106">_xll.EQNXTDZ($A$1,$B106,K$1,$B$1)</f>
        <v>0</v>
      </c>
      <c r="L106" s="124" cm="1">
        <f t="array" ref="L106">_xll.EQNXTDZ($A$1,$B106,L$1,$B$1)</f>
        <v>0</v>
      </c>
      <c r="M106" s="124" cm="1">
        <f t="array" ref="M106">_xll.EQNXTDZ($A$1,$B106,M$1,$B$1)</f>
        <v>0</v>
      </c>
      <c r="N106" s="124" cm="1">
        <f t="array" ref="N106">_xll.EQNXTDZ($A$1,$B106,N$1,$B$1)</f>
        <v>0</v>
      </c>
      <c r="O106" s="124" cm="1">
        <f t="array" ref="O106">_xll.EQNXTDZ($A$1,$B106,O$1,$B$1)</f>
        <v>0</v>
      </c>
      <c r="P106" s="124" cm="1">
        <f t="array" ref="P106">_xll.EQNXTDZ($A$1,$B106,P$1,$B$1)</f>
        <v>0</v>
      </c>
      <c r="Q106" s="124" cm="1">
        <f t="array" ref="Q106">_xll.EQNXTDZ($A$1,$B106,Q$1,$B$1)</f>
        <v>0</v>
      </c>
      <c r="R106" s="124" cm="1">
        <f t="array" ref="R106">_xll.EQNXTDZ($A$1,$B106,R$1,$B$1)</f>
        <v>0</v>
      </c>
      <c r="S106" s="124" cm="1">
        <f t="array" ref="S106">_xll.EQNXTDZ($A$1,$B106,S$1,$B$1)</f>
        <v>0</v>
      </c>
      <c r="T106" s="124" cm="1">
        <f t="array" ref="T106">_xll.EQNXTDZ($A$1,$B106,T$1,$B$1)</f>
        <v>0</v>
      </c>
      <c r="U106" s="124" cm="1">
        <f t="array" ref="U106">_xll.EQNXTDZ($A$1,$B106,U$1,$B$1)</f>
        <v>0</v>
      </c>
      <c r="V106" s="124" cm="1">
        <f t="array" ref="V106">_xll.EQNXTDZ($A$1,$B106,V$1,$B$1)</f>
        <v>0</v>
      </c>
      <c r="W106" s="124" cm="1">
        <f t="array" ref="W106">_xll.EQNXTDZ($A$1,$B106,W$1,$B$1)</f>
        <v>0</v>
      </c>
      <c r="X106" s="124" cm="1">
        <f t="array" ref="X106">_xll.EQNXTDZ($A$1,$B106,X$1,$B$1)</f>
        <v>0</v>
      </c>
      <c r="Y106" s="124" cm="1">
        <f t="array" ref="Y106">_xll.EQNXTDZ($A$1,$B106,Y$1,$B$1)</f>
        <v>0</v>
      </c>
      <c r="Z106" s="124" cm="1">
        <f t="array" ref="Z106">_xll.EQNXTDZ($A$1,$B106,Z$1,$B$1)</f>
        <v>0</v>
      </c>
      <c r="AA106" s="124" cm="1">
        <f t="array" ref="AA106">_xll.EQNXTDZ($A$1,$B106,AA$1,$B$1)</f>
        <v>0</v>
      </c>
      <c r="AB106" s="124" cm="1">
        <f t="array" ref="AB106">_xll.EQNXTDZ($A$1,$B106,AB$1,$B$1)</f>
        <v>0</v>
      </c>
      <c r="AC106" s="124" cm="1">
        <f t="array" ref="AC106">_xll.EQNXTDZ($A$1,$B106,AC$1,$B$1)</f>
        <v>0</v>
      </c>
      <c r="AD106" s="124" cm="1">
        <f t="array" ref="AD106">_xll.EQNXTDZ($A$1,$B106,AD$1,$B$1)</f>
        <v>0</v>
      </c>
      <c r="AE106" s="124" cm="1">
        <f t="array" ref="AE106">_xll.EQNXTDZ($A$1,$B106,AE$1,$B$1)</f>
        <v>0</v>
      </c>
      <c r="AF106" s="124" cm="1">
        <f t="array" ref="AF106">_xll.EQNXTDZ($A$1,$B106,AF$1,$B$1)</f>
        <v>0</v>
      </c>
    </row>
    <row r="107" spans="1:32" x14ac:dyDescent="0.25">
      <c r="A107" t="s">
        <v>234</v>
      </c>
      <c r="B107" t="s">
        <v>422</v>
      </c>
      <c r="C107" s="124" cm="1">
        <f t="array" ref="C107">_xll.EQNXTDZ($A$1,$B107,C$1,$B$1)</f>
        <v>0</v>
      </c>
      <c r="D107" s="124" cm="1">
        <f t="array" ref="D107">_xll.EQNXTDZ($A$1,$B107,D$1,$B$1)</f>
        <v>0</v>
      </c>
      <c r="E107" s="124" cm="1">
        <f t="array" ref="E107">_xll.EQNXTDZ($A$1,$B107,E$1,$B$1)</f>
        <v>0</v>
      </c>
      <c r="F107" s="124" cm="1">
        <f t="array" ref="F107">_xll.EQNXTDZ($A$1,$B107,F$1,$B$1)</f>
        <v>0</v>
      </c>
      <c r="G107" s="124" cm="1">
        <f t="array" ref="G107">_xll.EQNXTDZ($A$1,$B107,G$1,$B$1)</f>
        <v>0</v>
      </c>
      <c r="H107" s="124" cm="1">
        <f t="array" ref="H107">_xll.EQNXTDZ($A$1,$B107,H$1,$B$1)</f>
        <v>0</v>
      </c>
      <c r="I107" s="124" cm="1">
        <f t="array" ref="I107">_xll.EQNXTDZ($A$1,$B107,I$1,$B$1)</f>
        <v>0</v>
      </c>
      <c r="J107" s="124" cm="1">
        <f t="array" ref="J107">_xll.EQNXTDZ($A$1,$B107,J$1,$B$1)</f>
        <v>0</v>
      </c>
      <c r="K107" s="124" cm="1">
        <f t="array" ref="K107">_xll.EQNXTDZ($A$1,$B107,K$1,$B$1)</f>
        <v>0</v>
      </c>
      <c r="L107" s="124" cm="1">
        <f t="array" ref="L107">_xll.EQNXTDZ($A$1,$B107,L$1,$B$1)</f>
        <v>0</v>
      </c>
      <c r="M107" s="124" cm="1">
        <f t="array" ref="M107">_xll.EQNXTDZ($A$1,$B107,M$1,$B$1)</f>
        <v>0</v>
      </c>
      <c r="N107" s="124" cm="1">
        <f t="array" ref="N107">_xll.EQNXTDZ($A$1,$B107,N$1,$B$1)</f>
        <v>0</v>
      </c>
      <c r="O107" s="124" cm="1">
        <f t="array" ref="O107">_xll.EQNXTDZ($A$1,$B107,O$1,$B$1)</f>
        <v>0</v>
      </c>
      <c r="P107" s="124" cm="1">
        <f t="array" ref="P107">_xll.EQNXTDZ($A$1,$B107,P$1,$B$1)</f>
        <v>0</v>
      </c>
      <c r="Q107" s="124" cm="1">
        <f t="array" ref="Q107">_xll.EQNXTDZ($A$1,$B107,Q$1,$B$1)</f>
        <v>0</v>
      </c>
      <c r="R107" s="124" cm="1">
        <f t="array" ref="R107">_xll.EQNXTDZ($A$1,$B107,R$1,$B$1)</f>
        <v>0</v>
      </c>
      <c r="S107" s="124" cm="1">
        <f t="array" ref="S107">_xll.EQNXTDZ($A$1,$B107,S$1,$B$1)</f>
        <v>0</v>
      </c>
      <c r="T107" s="124" cm="1">
        <f t="array" ref="T107">_xll.EQNXTDZ($A$1,$B107,T$1,$B$1)</f>
        <v>0</v>
      </c>
      <c r="U107" s="124" cm="1">
        <f t="array" ref="U107">_xll.EQNXTDZ($A$1,$B107,U$1,$B$1)</f>
        <v>0</v>
      </c>
      <c r="V107" s="124" cm="1">
        <f t="array" ref="V107">_xll.EQNXTDZ($A$1,$B107,V$1,$B$1)</f>
        <v>0</v>
      </c>
      <c r="W107" s="124" cm="1">
        <f t="array" ref="W107">_xll.EQNXTDZ($A$1,$B107,W$1,$B$1)</f>
        <v>0</v>
      </c>
      <c r="X107" s="124" cm="1">
        <f t="array" ref="X107">_xll.EQNXTDZ($A$1,$B107,X$1,$B$1)</f>
        <v>0</v>
      </c>
      <c r="Y107" s="124" cm="1">
        <f t="array" ref="Y107">_xll.EQNXTDZ($A$1,$B107,Y$1,$B$1)</f>
        <v>0</v>
      </c>
      <c r="Z107" s="124" cm="1">
        <f t="array" ref="Z107">_xll.EQNXTDZ($A$1,$B107,Z$1,$B$1)</f>
        <v>0</v>
      </c>
      <c r="AA107" s="124" cm="1">
        <f t="array" ref="AA107">_xll.EQNXTDZ($A$1,$B107,AA$1,$B$1)</f>
        <v>0</v>
      </c>
      <c r="AB107" s="124" cm="1">
        <f t="array" ref="AB107">_xll.EQNXTDZ($A$1,$B107,AB$1,$B$1)</f>
        <v>0</v>
      </c>
      <c r="AC107" s="124" cm="1">
        <f t="array" ref="AC107">_xll.EQNXTDZ($A$1,$B107,AC$1,$B$1)</f>
        <v>0</v>
      </c>
      <c r="AD107" s="124" cm="1">
        <f t="array" ref="AD107">_xll.EQNXTDZ($A$1,$B107,AD$1,$B$1)</f>
        <v>0</v>
      </c>
      <c r="AE107" s="124" cm="1">
        <f t="array" ref="AE107">_xll.EQNXTDZ($A$1,$B107,AE$1,$B$1)</f>
        <v>0</v>
      </c>
      <c r="AF107" s="124" cm="1">
        <f t="array" ref="AF107">_xll.EQNXTDZ($A$1,$B107,AF$1,$B$1)</f>
        <v>0</v>
      </c>
    </row>
    <row r="108" spans="1:32" x14ac:dyDescent="0.25">
      <c r="A108" t="s">
        <v>98</v>
      </c>
      <c r="B108" t="s">
        <v>423</v>
      </c>
      <c r="C108" s="124" cm="1">
        <f t="array" ref="C108">_xll.EQNXTDZ($A$1,$B108,C$1,$B$1)</f>
        <v>0</v>
      </c>
      <c r="D108" s="124" cm="1">
        <f t="array" ref="D108">_xll.EQNXTDZ($A$1,$B108,D$1,$B$1)</f>
        <v>0</v>
      </c>
      <c r="E108" s="124" cm="1">
        <f t="array" ref="E108">_xll.EQNXTDZ($A$1,$B108,E$1,$B$1)</f>
        <v>0</v>
      </c>
      <c r="F108" s="124" cm="1">
        <f t="array" ref="F108">_xll.EQNXTDZ($A$1,$B108,F$1,$B$1)</f>
        <v>0</v>
      </c>
      <c r="G108" s="124" cm="1">
        <f t="array" ref="G108">_xll.EQNXTDZ($A$1,$B108,G$1,$B$1)</f>
        <v>0</v>
      </c>
      <c r="H108" s="124" cm="1">
        <f t="array" ref="H108">_xll.EQNXTDZ($A$1,$B108,H$1,$B$1)</f>
        <v>0</v>
      </c>
      <c r="I108" s="124" cm="1">
        <f t="array" ref="I108">_xll.EQNXTDZ($A$1,$B108,I$1,$B$1)</f>
        <v>0</v>
      </c>
      <c r="J108" s="124" cm="1">
        <f t="array" ref="J108">_xll.EQNXTDZ($A$1,$B108,J$1,$B$1)</f>
        <v>0</v>
      </c>
      <c r="K108" s="124" cm="1">
        <f t="array" ref="K108">_xll.EQNXTDZ($A$1,$B108,K$1,$B$1)</f>
        <v>0</v>
      </c>
      <c r="L108" s="124" cm="1">
        <f t="array" ref="L108">_xll.EQNXTDZ($A$1,$B108,L$1,$B$1)</f>
        <v>0</v>
      </c>
      <c r="M108" s="124" cm="1">
        <f t="array" ref="M108">_xll.EQNXTDZ($A$1,$B108,M$1,$B$1)</f>
        <v>0</v>
      </c>
      <c r="N108" s="124" cm="1">
        <f t="array" ref="N108">_xll.EQNXTDZ($A$1,$B108,N$1,$B$1)</f>
        <v>0</v>
      </c>
      <c r="O108" s="124" cm="1">
        <f t="array" ref="O108">_xll.EQNXTDZ($A$1,$B108,O$1,$B$1)</f>
        <v>0</v>
      </c>
      <c r="P108" s="124" cm="1">
        <f t="array" ref="P108">_xll.EQNXTDZ($A$1,$B108,P$1,$B$1)</f>
        <v>0</v>
      </c>
      <c r="Q108" s="124" cm="1">
        <f t="array" ref="Q108">_xll.EQNXTDZ($A$1,$B108,Q$1,$B$1)</f>
        <v>0</v>
      </c>
      <c r="R108" s="124" cm="1">
        <f t="array" ref="R108">_xll.EQNXTDZ($A$1,$B108,R$1,$B$1)</f>
        <v>0</v>
      </c>
      <c r="S108" s="124" cm="1">
        <f t="array" ref="S108">_xll.EQNXTDZ($A$1,$B108,S$1,$B$1)</f>
        <v>0</v>
      </c>
      <c r="T108" s="124" cm="1">
        <f t="array" ref="T108">_xll.EQNXTDZ($A$1,$B108,T$1,$B$1)</f>
        <v>0</v>
      </c>
      <c r="U108" s="124" cm="1">
        <f t="array" ref="U108">_xll.EQNXTDZ($A$1,$B108,U$1,$B$1)</f>
        <v>0</v>
      </c>
      <c r="V108" s="124" cm="1">
        <f t="array" ref="V108">_xll.EQNXTDZ($A$1,$B108,V$1,$B$1)</f>
        <v>0</v>
      </c>
      <c r="W108" s="124" cm="1">
        <f t="array" ref="W108">_xll.EQNXTDZ($A$1,$B108,W$1,$B$1)</f>
        <v>0</v>
      </c>
      <c r="X108" s="124" cm="1">
        <f t="array" ref="X108">_xll.EQNXTDZ($A$1,$B108,X$1,$B$1)</f>
        <v>0</v>
      </c>
      <c r="Y108" s="124" cm="1">
        <f t="array" ref="Y108">_xll.EQNXTDZ($A$1,$B108,Y$1,$B$1)</f>
        <v>0</v>
      </c>
      <c r="Z108" s="124" cm="1">
        <f t="array" ref="Z108">_xll.EQNXTDZ($A$1,$B108,Z$1,$B$1)</f>
        <v>0</v>
      </c>
      <c r="AA108" s="124" cm="1">
        <f t="array" ref="AA108">_xll.EQNXTDZ($A$1,$B108,AA$1,$B$1)</f>
        <v>0</v>
      </c>
      <c r="AB108" s="124" cm="1">
        <f t="array" ref="AB108">_xll.EQNXTDZ($A$1,$B108,AB$1,$B$1)</f>
        <v>0</v>
      </c>
      <c r="AC108" s="124" cm="1">
        <f t="array" ref="AC108">_xll.EQNXTDZ($A$1,$B108,AC$1,$B$1)</f>
        <v>0</v>
      </c>
      <c r="AD108" s="124" cm="1">
        <f t="array" ref="AD108">_xll.EQNXTDZ($A$1,$B108,AD$1,$B$1)</f>
        <v>0</v>
      </c>
      <c r="AE108" s="124" cm="1">
        <f t="array" ref="AE108">_xll.EQNXTDZ($A$1,$B108,AE$1,$B$1)</f>
        <v>0</v>
      </c>
      <c r="AF108" s="124" cm="1">
        <f t="array" ref="AF108">_xll.EQNXTDZ($A$1,$B108,AF$1,$B$1)</f>
        <v>0</v>
      </c>
    </row>
    <row r="109" spans="1:32" x14ac:dyDescent="0.25">
      <c r="A109" t="s">
        <v>99</v>
      </c>
      <c r="B109" t="s">
        <v>424</v>
      </c>
      <c r="C109" s="124" cm="1">
        <f t="array" ref="C109">_xll.EQNXTDZ($A$1,$B109,C$1,$B$1)</f>
        <v>0</v>
      </c>
      <c r="D109" s="124" cm="1">
        <f t="array" ref="D109">_xll.EQNXTDZ($A$1,$B109,D$1,$B$1)</f>
        <v>0</v>
      </c>
      <c r="E109" s="124" cm="1">
        <f t="array" ref="E109">_xll.EQNXTDZ($A$1,$B109,E$1,$B$1)</f>
        <v>0</v>
      </c>
      <c r="F109" s="124" cm="1">
        <f t="array" ref="F109">_xll.EQNXTDZ($A$1,$B109,F$1,$B$1)</f>
        <v>0</v>
      </c>
      <c r="G109" s="124" cm="1">
        <f t="array" ref="G109">_xll.EQNXTDZ($A$1,$B109,G$1,$B$1)</f>
        <v>0</v>
      </c>
      <c r="H109" s="124" cm="1">
        <f t="array" ref="H109">_xll.EQNXTDZ($A$1,$B109,H$1,$B$1)</f>
        <v>0</v>
      </c>
      <c r="I109" s="124" cm="1">
        <f t="array" ref="I109">_xll.EQNXTDZ($A$1,$B109,I$1,$B$1)</f>
        <v>0</v>
      </c>
      <c r="J109" s="124" cm="1">
        <f t="array" ref="J109">_xll.EQNXTDZ($A$1,$B109,J$1,$B$1)</f>
        <v>0</v>
      </c>
      <c r="K109" s="124" cm="1">
        <f t="array" ref="K109">_xll.EQNXTDZ($A$1,$B109,K$1,$B$1)</f>
        <v>0</v>
      </c>
      <c r="L109" s="124" cm="1">
        <f t="array" ref="L109">_xll.EQNXTDZ($A$1,$B109,L$1,$B$1)</f>
        <v>0</v>
      </c>
      <c r="M109" s="124" cm="1">
        <f t="array" ref="M109">_xll.EQNXTDZ($A$1,$B109,M$1,$B$1)</f>
        <v>0</v>
      </c>
      <c r="N109" s="124" cm="1">
        <f t="array" ref="N109">_xll.EQNXTDZ($A$1,$B109,N$1,$B$1)</f>
        <v>0</v>
      </c>
      <c r="O109" s="124" cm="1">
        <f t="array" ref="O109">_xll.EQNXTDZ($A$1,$B109,O$1,$B$1)</f>
        <v>0</v>
      </c>
      <c r="P109" s="124" cm="1">
        <f t="array" ref="P109">_xll.EQNXTDZ($A$1,$B109,P$1,$B$1)</f>
        <v>0</v>
      </c>
      <c r="Q109" s="124" cm="1">
        <f t="array" ref="Q109">_xll.EQNXTDZ($A$1,$B109,Q$1,$B$1)</f>
        <v>0</v>
      </c>
      <c r="R109" s="124" cm="1">
        <f t="array" ref="R109">_xll.EQNXTDZ($A$1,$B109,R$1,$B$1)</f>
        <v>0</v>
      </c>
      <c r="S109" s="124" cm="1">
        <f t="array" ref="S109">_xll.EQNXTDZ($A$1,$B109,S$1,$B$1)</f>
        <v>0</v>
      </c>
      <c r="T109" s="124" cm="1">
        <f t="array" ref="T109">_xll.EQNXTDZ($A$1,$B109,T$1,$B$1)</f>
        <v>0</v>
      </c>
      <c r="U109" s="124" cm="1">
        <f t="array" ref="U109">_xll.EQNXTDZ($A$1,$B109,U$1,$B$1)</f>
        <v>0</v>
      </c>
      <c r="V109" s="124" cm="1">
        <f t="array" ref="V109">_xll.EQNXTDZ($A$1,$B109,V$1,$B$1)</f>
        <v>0</v>
      </c>
      <c r="W109" s="124" cm="1">
        <f t="array" ref="W109">_xll.EQNXTDZ($A$1,$B109,W$1,$B$1)</f>
        <v>0</v>
      </c>
      <c r="X109" s="124" cm="1">
        <f t="array" ref="X109">_xll.EQNXTDZ($A$1,$B109,X$1,$B$1)</f>
        <v>0</v>
      </c>
      <c r="Y109" s="124" cm="1">
        <f t="array" ref="Y109">_xll.EQNXTDZ($A$1,$B109,Y$1,$B$1)</f>
        <v>0</v>
      </c>
      <c r="Z109" s="124" cm="1">
        <f t="array" ref="Z109">_xll.EQNXTDZ($A$1,$B109,Z$1,$B$1)</f>
        <v>0</v>
      </c>
      <c r="AA109" s="124" cm="1">
        <f t="array" ref="AA109">_xll.EQNXTDZ($A$1,$B109,AA$1,$B$1)</f>
        <v>0</v>
      </c>
      <c r="AB109" s="124" cm="1">
        <f t="array" ref="AB109">_xll.EQNXTDZ($A$1,$B109,AB$1,$B$1)</f>
        <v>0</v>
      </c>
      <c r="AC109" s="124" cm="1">
        <f t="array" ref="AC109">_xll.EQNXTDZ($A$1,$B109,AC$1,$B$1)</f>
        <v>0</v>
      </c>
      <c r="AD109" s="124" cm="1">
        <f t="array" ref="AD109">_xll.EQNXTDZ($A$1,$B109,AD$1,$B$1)</f>
        <v>0</v>
      </c>
      <c r="AE109" s="124" cm="1">
        <f t="array" ref="AE109">_xll.EQNXTDZ($A$1,$B109,AE$1,$B$1)</f>
        <v>0</v>
      </c>
      <c r="AF109" s="124" cm="1">
        <f t="array" ref="AF109">_xll.EQNXTDZ($A$1,$B109,AF$1,$B$1)</f>
        <v>0</v>
      </c>
    </row>
    <row r="110" spans="1:32" x14ac:dyDescent="0.25">
      <c r="A110" t="s">
        <v>20</v>
      </c>
      <c r="B110" t="s">
        <v>425</v>
      </c>
      <c r="C110" s="148" cm="1">
        <f t="array" ref="C110">_xll.EQNXTDZ($A$1,$B110,C$1,$B$1)</f>
        <v>0</v>
      </c>
      <c r="D110" s="148" cm="1">
        <f t="array" ref="D110">_xll.EQNXTDZ($A$1,$B110,D$1,$B$1)</f>
        <v>0</v>
      </c>
      <c r="E110" s="148" cm="1">
        <f t="array" ref="E110">_xll.EQNXTDZ($A$1,$B110,E$1,$B$1)</f>
        <v>0</v>
      </c>
      <c r="F110" s="148" cm="1">
        <f t="array" ref="F110">_xll.EQNXTDZ($A$1,$B110,F$1,$B$1)</f>
        <v>0</v>
      </c>
      <c r="G110" s="148" cm="1">
        <f t="array" ref="G110">_xll.EQNXTDZ($A$1,$B110,G$1,$B$1)</f>
        <v>0</v>
      </c>
      <c r="H110" s="148" cm="1">
        <f t="array" ref="H110">_xll.EQNXTDZ($A$1,$B110,H$1,$B$1)</f>
        <v>0</v>
      </c>
      <c r="I110" s="148" cm="1">
        <f t="array" ref="I110">_xll.EQNXTDZ($A$1,$B110,I$1,$B$1)</f>
        <v>0</v>
      </c>
      <c r="J110" s="148" cm="1">
        <f t="array" ref="J110">_xll.EQNXTDZ($A$1,$B110,J$1,$B$1)</f>
        <v>0</v>
      </c>
      <c r="K110" s="148" cm="1">
        <f t="array" ref="K110">_xll.EQNXTDZ($A$1,$B110,K$1,$B$1)</f>
        <v>0</v>
      </c>
      <c r="L110" s="148" cm="1">
        <f t="array" ref="L110">_xll.EQNXTDZ($A$1,$B110,L$1,$B$1)</f>
        <v>0</v>
      </c>
      <c r="M110" s="148" cm="1">
        <f t="array" ref="M110">_xll.EQNXTDZ($A$1,$B110,M$1,$B$1)</f>
        <v>0</v>
      </c>
      <c r="N110" s="148" cm="1">
        <f t="array" ref="N110">_xll.EQNXTDZ($A$1,$B110,N$1,$B$1)</f>
        <v>0</v>
      </c>
      <c r="O110" s="148" cm="1">
        <f t="array" ref="O110">_xll.EQNXTDZ($A$1,$B110,O$1,$B$1)</f>
        <v>0</v>
      </c>
      <c r="P110" s="148" cm="1">
        <f t="array" ref="P110">_xll.EQNXTDZ($A$1,$B110,P$1,$B$1)</f>
        <v>0</v>
      </c>
      <c r="Q110" s="148" cm="1">
        <f t="array" ref="Q110">_xll.EQNXTDZ($A$1,$B110,Q$1,$B$1)</f>
        <v>0</v>
      </c>
      <c r="R110" s="148" cm="1">
        <f t="array" ref="R110">_xll.EQNXTDZ($A$1,$B110,R$1,$B$1)</f>
        <v>0</v>
      </c>
      <c r="S110" s="148" cm="1">
        <f t="array" ref="S110">_xll.EQNXTDZ($A$1,$B110,S$1,$B$1)</f>
        <v>0</v>
      </c>
      <c r="T110" s="148" cm="1">
        <f t="array" ref="T110">_xll.EQNXTDZ($A$1,$B110,T$1,$B$1)</f>
        <v>0</v>
      </c>
      <c r="U110" s="148" cm="1">
        <f t="array" ref="U110">_xll.EQNXTDZ($A$1,$B110,U$1,$B$1)</f>
        <v>0</v>
      </c>
      <c r="V110" s="148" cm="1">
        <f t="array" ref="V110">_xll.EQNXTDZ($A$1,$B110,V$1,$B$1)</f>
        <v>0</v>
      </c>
      <c r="W110" s="148" cm="1">
        <f t="array" ref="W110">_xll.EQNXTDZ($A$1,$B110,W$1,$B$1)</f>
        <v>0</v>
      </c>
      <c r="X110" s="148" cm="1">
        <f t="array" ref="X110">_xll.EQNXTDZ($A$1,$B110,X$1,$B$1)</f>
        <v>0</v>
      </c>
      <c r="Y110" s="148" cm="1">
        <f t="array" ref="Y110">_xll.EQNXTDZ($A$1,$B110,Y$1,$B$1)</f>
        <v>0</v>
      </c>
      <c r="Z110" s="148" cm="1">
        <f t="array" ref="Z110">_xll.EQNXTDZ($A$1,$B110,Z$1,$B$1)</f>
        <v>0</v>
      </c>
      <c r="AA110" s="148" cm="1">
        <f t="array" ref="AA110">_xll.EQNXTDZ($A$1,$B110,AA$1,$B$1)</f>
        <v>0</v>
      </c>
      <c r="AB110" s="148" cm="1">
        <f t="array" ref="AB110">_xll.EQNXTDZ($A$1,$B110,AB$1,$B$1)</f>
        <v>0</v>
      </c>
      <c r="AC110" s="148" cm="1">
        <f t="array" ref="AC110">_xll.EQNXTDZ($A$1,$B110,AC$1,$B$1)</f>
        <v>0</v>
      </c>
      <c r="AD110" s="148" cm="1">
        <f t="array" ref="AD110">_xll.EQNXTDZ($A$1,$B110,AD$1,$B$1)</f>
        <v>0</v>
      </c>
      <c r="AE110" s="148" cm="1">
        <f t="array" ref="AE110">_xll.EQNXTDZ($A$1,$B110,AE$1,$B$1)</f>
        <v>0</v>
      </c>
      <c r="AF110" s="148" cm="1">
        <f t="array" ref="AF110">_xll.EQNXTDZ($A$1,$B110,AF$1,$B$1)</f>
        <v>0</v>
      </c>
    </row>
    <row r="111" spans="1:32" x14ac:dyDescent="0.25">
      <c r="A111" t="s">
        <v>265</v>
      </c>
      <c r="B111" t="s">
        <v>426</v>
      </c>
      <c r="C111" s="148" cm="1">
        <f t="array" ref="C111">_xll.EQNXTDZ($A$1,$B111,C$1,$B$1)</f>
        <v>0</v>
      </c>
      <c r="D111" s="148" cm="1">
        <f t="array" ref="D111">_xll.EQNXTDZ($A$1,$B111,D$1,$B$1)</f>
        <v>0</v>
      </c>
      <c r="E111" s="148" cm="1">
        <f t="array" ref="E111">_xll.EQNXTDZ($A$1,$B111,E$1,$B$1)</f>
        <v>0</v>
      </c>
      <c r="F111" s="148" cm="1">
        <f t="array" ref="F111">_xll.EQNXTDZ($A$1,$B111,F$1,$B$1)</f>
        <v>0</v>
      </c>
      <c r="G111" s="148" cm="1">
        <f t="array" ref="G111">_xll.EQNXTDZ($A$1,$B111,G$1,$B$1)</f>
        <v>0</v>
      </c>
      <c r="H111" s="148" cm="1">
        <f t="array" ref="H111">_xll.EQNXTDZ($A$1,$B111,H$1,$B$1)</f>
        <v>0</v>
      </c>
      <c r="I111" s="148" cm="1">
        <f t="array" ref="I111">_xll.EQNXTDZ($A$1,$B111,I$1,$B$1)</f>
        <v>0</v>
      </c>
      <c r="J111" s="148" cm="1">
        <f t="array" ref="J111">_xll.EQNXTDZ($A$1,$B111,J$1,$B$1)</f>
        <v>0</v>
      </c>
      <c r="K111" s="148" cm="1">
        <f t="array" ref="K111">_xll.EQNXTDZ($A$1,$B111,K$1,$B$1)</f>
        <v>0</v>
      </c>
      <c r="L111" s="148" cm="1">
        <f t="array" ref="L111">_xll.EQNXTDZ($A$1,$B111,L$1,$B$1)</f>
        <v>0</v>
      </c>
      <c r="M111" s="148" cm="1">
        <f t="array" ref="M111">_xll.EQNXTDZ($A$1,$B111,M$1,$B$1)</f>
        <v>0</v>
      </c>
      <c r="N111" s="148" cm="1">
        <f t="array" ref="N111">_xll.EQNXTDZ($A$1,$B111,N$1,$B$1)</f>
        <v>0</v>
      </c>
      <c r="O111" s="148" cm="1">
        <f t="array" ref="O111">_xll.EQNXTDZ($A$1,$B111,O$1,$B$1)</f>
        <v>0</v>
      </c>
      <c r="P111" s="148" cm="1">
        <f t="array" ref="P111">_xll.EQNXTDZ($A$1,$B111,P$1,$B$1)</f>
        <v>0</v>
      </c>
      <c r="Q111" s="148" cm="1">
        <f t="array" ref="Q111">_xll.EQNXTDZ($A$1,$B111,Q$1,$B$1)</f>
        <v>0</v>
      </c>
      <c r="R111" s="148" cm="1">
        <f t="array" ref="R111">_xll.EQNXTDZ($A$1,$B111,R$1,$B$1)</f>
        <v>0</v>
      </c>
      <c r="S111" s="148" cm="1">
        <f t="array" ref="S111">_xll.EQNXTDZ($A$1,$B111,S$1,$B$1)</f>
        <v>0</v>
      </c>
      <c r="T111" s="148" cm="1">
        <f t="array" ref="T111">_xll.EQNXTDZ($A$1,$B111,T$1,$B$1)</f>
        <v>0</v>
      </c>
      <c r="U111" s="148" cm="1">
        <f t="array" ref="U111">_xll.EQNXTDZ($A$1,$B111,U$1,$B$1)</f>
        <v>0</v>
      </c>
      <c r="V111" s="148" cm="1">
        <f t="array" ref="V111">_xll.EQNXTDZ($A$1,$B111,V$1,$B$1)</f>
        <v>0</v>
      </c>
      <c r="W111" s="148" cm="1">
        <f t="array" ref="W111">_xll.EQNXTDZ($A$1,$B111,W$1,$B$1)</f>
        <v>0</v>
      </c>
      <c r="X111" s="148" cm="1">
        <f t="array" ref="X111">_xll.EQNXTDZ($A$1,$B111,X$1,$B$1)</f>
        <v>0</v>
      </c>
      <c r="Y111" s="148" cm="1">
        <f t="array" ref="Y111">_xll.EQNXTDZ($A$1,$B111,Y$1,$B$1)</f>
        <v>0</v>
      </c>
      <c r="Z111" s="148" cm="1">
        <f t="array" ref="Z111">_xll.EQNXTDZ($A$1,$B111,Z$1,$B$1)</f>
        <v>0</v>
      </c>
      <c r="AA111" s="148" cm="1">
        <f t="array" ref="AA111">_xll.EQNXTDZ($A$1,$B111,AA$1,$B$1)</f>
        <v>0</v>
      </c>
      <c r="AB111" s="148" cm="1">
        <f t="array" ref="AB111">_xll.EQNXTDZ($A$1,$B111,AB$1,$B$1)</f>
        <v>0</v>
      </c>
      <c r="AC111" s="148" cm="1">
        <f t="array" ref="AC111">_xll.EQNXTDZ($A$1,$B111,AC$1,$B$1)</f>
        <v>0</v>
      </c>
      <c r="AD111" s="148" cm="1">
        <f t="array" ref="AD111">_xll.EQNXTDZ($A$1,$B111,AD$1,$B$1)</f>
        <v>0</v>
      </c>
      <c r="AE111" s="148" cm="1">
        <f t="array" ref="AE111">_xll.EQNXTDZ($A$1,$B111,AE$1,$B$1)</f>
        <v>0</v>
      </c>
      <c r="AF111" s="148" cm="1">
        <f t="array" ref="AF111">_xll.EQNXTDZ($A$1,$B111,AF$1,$B$1)</f>
        <v>0</v>
      </c>
    </row>
    <row r="112" spans="1:32" x14ac:dyDescent="0.25">
      <c r="A112" t="s">
        <v>100</v>
      </c>
      <c r="B112" t="s">
        <v>427</v>
      </c>
      <c r="C112" s="148" cm="1">
        <f t="array" ref="C112">_xll.EQNXTDZ($A$1,$B112,C$1,$B$1)</f>
        <v>0</v>
      </c>
      <c r="D112" s="148" cm="1">
        <f t="array" ref="D112">_xll.EQNXTDZ($A$1,$B112,D$1,$B$1)</f>
        <v>0</v>
      </c>
      <c r="E112" s="148" cm="1">
        <f t="array" ref="E112">_xll.EQNXTDZ($A$1,$B112,E$1,$B$1)</f>
        <v>0</v>
      </c>
      <c r="F112" s="148" cm="1">
        <f t="array" ref="F112">_xll.EQNXTDZ($A$1,$B112,F$1,$B$1)</f>
        <v>0</v>
      </c>
      <c r="G112" s="148" cm="1">
        <f t="array" ref="G112">_xll.EQNXTDZ($A$1,$B112,G$1,$B$1)</f>
        <v>0</v>
      </c>
      <c r="H112" s="148" cm="1">
        <f t="array" ref="H112">_xll.EQNXTDZ($A$1,$B112,H$1,$B$1)</f>
        <v>0</v>
      </c>
      <c r="I112" s="148" cm="1">
        <f t="array" ref="I112">_xll.EQNXTDZ($A$1,$B112,I$1,$B$1)</f>
        <v>0</v>
      </c>
      <c r="J112" s="148" cm="1">
        <f t="array" ref="J112">_xll.EQNXTDZ($A$1,$B112,J$1,$B$1)</f>
        <v>0</v>
      </c>
      <c r="K112" s="148" cm="1">
        <f t="array" ref="K112">_xll.EQNXTDZ($A$1,$B112,K$1,$B$1)</f>
        <v>0</v>
      </c>
      <c r="L112" s="148" cm="1">
        <f t="array" ref="L112">_xll.EQNXTDZ($A$1,$B112,L$1,$B$1)</f>
        <v>0</v>
      </c>
      <c r="M112" s="148" cm="1">
        <f t="array" ref="M112">_xll.EQNXTDZ($A$1,$B112,M$1,$B$1)</f>
        <v>0</v>
      </c>
      <c r="N112" s="148" cm="1">
        <f t="array" ref="N112">_xll.EQNXTDZ($A$1,$B112,N$1,$B$1)</f>
        <v>0</v>
      </c>
      <c r="O112" s="148" cm="1">
        <f t="array" ref="O112">_xll.EQNXTDZ($A$1,$B112,O$1,$B$1)</f>
        <v>0</v>
      </c>
      <c r="P112" s="148" cm="1">
        <f t="array" ref="P112">_xll.EQNXTDZ($A$1,$B112,P$1,$B$1)</f>
        <v>0</v>
      </c>
      <c r="Q112" s="148" cm="1">
        <f t="array" ref="Q112">_xll.EQNXTDZ($A$1,$B112,Q$1,$B$1)</f>
        <v>0</v>
      </c>
      <c r="R112" s="148" cm="1">
        <f t="array" ref="R112">_xll.EQNXTDZ($A$1,$B112,R$1,$B$1)</f>
        <v>0</v>
      </c>
      <c r="S112" s="148" cm="1">
        <f t="array" ref="S112">_xll.EQNXTDZ($A$1,$B112,S$1,$B$1)</f>
        <v>0</v>
      </c>
      <c r="T112" s="148" cm="1">
        <f t="array" ref="T112">_xll.EQNXTDZ($A$1,$B112,T$1,$B$1)</f>
        <v>0</v>
      </c>
      <c r="U112" s="148" cm="1">
        <f t="array" ref="U112">_xll.EQNXTDZ($A$1,$B112,U$1,$B$1)</f>
        <v>0</v>
      </c>
      <c r="V112" s="148" cm="1">
        <f t="array" ref="V112">_xll.EQNXTDZ($A$1,$B112,V$1,$B$1)</f>
        <v>0</v>
      </c>
      <c r="W112" s="148" cm="1">
        <f t="array" ref="W112">_xll.EQNXTDZ($A$1,$B112,W$1,$B$1)</f>
        <v>0</v>
      </c>
      <c r="X112" s="148" cm="1">
        <f t="array" ref="X112">_xll.EQNXTDZ($A$1,$B112,X$1,$B$1)</f>
        <v>0</v>
      </c>
      <c r="Y112" s="148" cm="1">
        <f t="array" ref="Y112">_xll.EQNXTDZ($A$1,$B112,Y$1,$B$1)</f>
        <v>0</v>
      </c>
      <c r="Z112" s="148" cm="1">
        <f t="array" ref="Z112">_xll.EQNXTDZ($A$1,$B112,Z$1,$B$1)</f>
        <v>0</v>
      </c>
      <c r="AA112" s="148" cm="1">
        <f t="array" ref="AA112">_xll.EQNXTDZ($A$1,$B112,AA$1,$B$1)</f>
        <v>0</v>
      </c>
      <c r="AB112" s="148" cm="1">
        <f t="array" ref="AB112">_xll.EQNXTDZ($A$1,$B112,AB$1,$B$1)</f>
        <v>0</v>
      </c>
      <c r="AC112" s="148" cm="1">
        <f t="array" ref="AC112">_xll.EQNXTDZ($A$1,$B112,AC$1,$B$1)</f>
        <v>0</v>
      </c>
      <c r="AD112" s="148" cm="1">
        <f t="array" ref="AD112">_xll.EQNXTDZ($A$1,$B112,AD$1,$B$1)</f>
        <v>0</v>
      </c>
      <c r="AE112" s="148" cm="1">
        <f t="array" ref="AE112">_xll.EQNXTDZ($A$1,$B112,AE$1,$B$1)</f>
        <v>0</v>
      </c>
      <c r="AF112" s="148" cm="1">
        <f t="array" ref="AF112">_xll.EQNXTDZ($A$1,$B112,AF$1,$B$1)</f>
        <v>0</v>
      </c>
    </row>
    <row r="113" spans="1:32" x14ac:dyDescent="0.25">
      <c r="A113" t="s">
        <v>266</v>
      </c>
      <c r="B113" t="s">
        <v>428</v>
      </c>
      <c r="C113" s="148" cm="1">
        <f t="array" ref="C113">_xll.EQNXTDZ($A$1,$B113,C$1,$B$1)</f>
        <v>0</v>
      </c>
      <c r="D113" s="148" cm="1">
        <f t="array" ref="D113">_xll.EQNXTDZ($A$1,$B113,D$1,$B$1)</f>
        <v>0</v>
      </c>
      <c r="E113" s="148" cm="1">
        <f t="array" ref="E113">_xll.EQNXTDZ($A$1,$B113,E$1,$B$1)</f>
        <v>0</v>
      </c>
      <c r="F113" s="148" cm="1">
        <f t="array" ref="F113">_xll.EQNXTDZ($A$1,$B113,F$1,$B$1)</f>
        <v>0</v>
      </c>
      <c r="G113" s="148" cm="1">
        <f t="array" ref="G113">_xll.EQNXTDZ($A$1,$B113,G$1,$B$1)</f>
        <v>0</v>
      </c>
      <c r="H113" s="148" cm="1">
        <f t="array" ref="H113">_xll.EQNXTDZ($A$1,$B113,H$1,$B$1)</f>
        <v>0</v>
      </c>
      <c r="I113" s="148" cm="1">
        <f t="array" ref="I113">_xll.EQNXTDZ($A$1,$B113,I$1,$B$1)</f>
        <v>0</v>
      </c>
      <c r="J113" s="148" cm="1">
        <f t="array" ref="J113">_xll.EQNXTDZ($A$1,$B113,J$1,$B$1)</f>
        <v>0</v>
      </c>
      <c r="K113" s="148" cm="1">
        <f t="array" ref="K113">_xll.EQNXTDZ($A$1,$B113,K$1,$B$1)</f>
        <v>0</v>
      </c>
      <c r="L113" s="148" cm="1">
        <f t="array" ref="L113">_xll.EQNXTDZ($A$1,$B113,L$1,$B$1)</f>
        <v>0</v>
      </c>
      <c r="M113" s="148" cm="1">
        <f t="array" ref="M113">_xll.EQNXTDZ($A$1,$B113,M$1,$B$1)</f>
        <v>0</v>
      </c>
      <c r="N113" s="148" cm="1">
        <f t="array" ref="N113">_xll.EQNXTDZ($A$1,$B113,N$1,$B$1)</f>
        <v>0</v>
      </c>
      <c r="O113" s="148" cm="1">
        <f t="array" ref="O113">_xll.EQNXTDZ($A$1,$B113,O$1,$B$1)</f>
        <v>0</v>
      </c>
      <c r="P113" s="148" cm="1">
        <f t="array" ref="P113">_xll.EQNXTDZ($A$1,$B113,P$1,$B$1)</f>
        <v>0</v>
      </c>
      <c r="Q113" s="148" cm="1">
        <f t="array" ref="Q113">_xll.EQNXTDZ($A$1,$B113,Q$1,$B$1)</f>
        <v>0</v>
      </c>
      <c r="R113" s="148" cm="1">
        <f t="array" ref="R113">_xll.EQNXTDZ($A$1,$B113,R$1,$B$1)</f>
        <v>0</v>
      </c>
      <c r="S113" s="148" cm="1">
        <f t="array" ref="S113">_xll.EQNXTDZ($A$1,$B113,S$1,$B$1)</f>
        <v>0</v>
      </c>
      <c r="T113" s="148" cm="1">
        <f t="array" ref="T113">_xll.EQNXTDZ($A$1,$B113,T$1,$B$1)</f>
        <v>0</v>
      </c>
      <c r="U113" s="148" cm="1">
        <f t="array" ref="U113">_xll.EQNXTDZ($A$1,$B113,U$1,$B$1)</f>
        <v>0</v>
      </c>
      <c r="V113" s="148" cm="1">
        <f t="array" ref="V113">_xll.EQNXTDZ($A$1,$B113,V$1,$B$1)</f>
        <v>0</v>
      </c>
      <c r="W113" s="148" cm="1">
        <f t="array" ref="W113">_xll.EQNXTDZ($A$1,$B113,W$1,$B$1)</f>
        <v>0</v>
      </c>
      <c r="X113" s="148" cm="1">
        <f t="array" ref="X113">_xll.EQNXTDZ($A$1,$B113,X$1,$B$1)</f>
        <v>0</v>
      </c>
      <c r="Y113" s="148" cm="1">
        <f t="array" ref="Y113">_xll.EQNXTDZ($A$1,$B113,Y$1,$B$1)</f>
        <v>0</v>
      </c>
      <c r="Z113" s="148" cm="1">
        <f t="array" ref="Z113">_xll.EQNXTDZ($A$1,$B113,Z$1,$B$1)</f>
        <v>0</v>
      </c>
      <c r="AA113" s="148" cm="1">
        <f t="array" ref="AA113">_xll.EQNXTDZ($A$1,$B113,AA$1,$B$1)</f>
        <v>0</v>
      </c>
      <c r="AB113" s="148" cm="1">
        <f t="array" ref="AB113">_xll.EQNXTDZ($A$1,$B113,AB$1,$B$1)</f>
        <v>0</v>
      </c>
      <c r="AC113" s="148" cm="1">
        <f t="array" ref="AC113">_xll.EQNXTDZ($A$1,$B113,AC$1,$B$1)</f>
        <v>0</v>
      </c>
      <c r="AD113" s="148" cm="1">
        <f t="array" ref="AD113">_xll.EQNXTDZ($A$1,$B113,AD$1,$B$1)</f>
        <v>0</v>
      </c>
      <c r="AE113" s="148" cm="1">
        <f t="array" ref="AE113">_xll.EQNXTDZ($A$1,$B113,AE$1,$B$1)</f>
        <v>0</v>
      </c>
      <c r="AF113" s="148" cm="1">
        <f t="array" ref="AF113">_xll.EQNXTDZ($A$1,$B113,AF$1,$B$1)</f>
        <v>0</v>
      </c>
    </row>
    <row r="114" spans="1:32" x14ac:dyDescent="0.25">
      <c r="A114" t="s">
        <v>267</v>
      </c>
      <c r="B114" t="s">
        <v>429</v>
      </c>
      <c r="C114" s="148" cm="1">
        <f t="array" ref="C114">_xll.EQNXTDZ($A$1,$B114,C$1,$B$1)</f>
        <v>0</v>
      </c>
      <c r="D114" s="148" cm="1">
        <f t="array" ref="D114">_xll.EQNXTDZ($A$1,$B114,D$1,$B$1)</f>
        <v>0</v>
      </c>
      <c r="E114" s="148" cm="1">
        <f t="array" ref="E114">_xll.EQNXTDZ($A$1,$B114,E$1,$B$1)</f>
        <v>0</v>
      </c>
      <c r="F114" s="148" cm="1">
        <f t="array" ref="F114">_xll.EQNXTDZ($A$1,$B114,F$1,$B$1)</f>
        <v>0</v>
      </c>
      <c r="G114" s="148" cm="1">
        <f t="array" ref="G114">_xll.EQNXTDZ($A$1,$B114,G$1,$B$1)</f>
        <v>0</v>
      </c>
      <c r="H114" s="148" cm="1">
        <f t="array" ref="H114">_xll.EQNXTDZ($A$1,$B114,H$1,$B$1)</f>
        <v>0</v>
      </c>
      <c r="I114" s="148" cm="1">
        <f t="array" ref="I114">_xll.EQNXTDZ($A$1,$B114,I$1,$B$1)</f>
        <v>0</v>
      </c>
      <c r="J114" s="148" cm="1">
        <f t="array" ref="J114">_xll.EQNXTDZ($A$1,$B114,J$1,$B$1)</f>
        <v>0</v>
      </c>
      <c r="K114" s="148" cm="1">
        <f t="array" ref="K114">_xll.EQNXTDZ($A$1,$B114,K$1,$B$1)</f>
        <v>0</v>
      </c>
      <c r="L114" s="148" cm="1">
        <f t="array" ref="L114">_xll.EQNXTDZ($A$1,$B114,L$1,$B$1)</f>
        <v>0</v>
      </c>
      <c r="M114" s="148" cm="1">
        <f t="array" ref="M114">_xll.EQNXTDZ($A$1,$B114,M$1,$B$1)</f>
        <v>0</v>
      </c>
      <c r="N114" s="148" cm="1">
        <f t="array" ref="N114">_xll.EQNXTDZ($A$1,$B114,N$1,$B$1)</f>
        <v>0</v>
      </c>
      <c r="O114" s="148" cm="1">
        <f t="array" ref="O114">_xll.EQNXTDZ($A$1,$B114,O$1,$B$1)</f>
        <v>0</v>
      </c>
      <c r="P114" s="148" cm="1">
        <f t="array" ref="P114">_xll.EQNXTDZ($A$1,$B114,P$1,$B$1)</f>
        <v>0</v>
      </c>
      <c r="Q114" s="148" cm="1">
        <f t="array" ref="Q114">_xll.EQNXTDZ($A$1,$B114,Q$1,$B$1)</f>
        <v>0</v>
      </c>
      <c r="R114" s="148" cm="1">
        <f t="array" ref="R114">_xll.EQNXTDZ($A$1,$B114,R$1,$B$1)</f>
        <v>0</v>
      </c>
      <c r="S114" s="148" cm="1">
        <f t="array" ref="S114">_xll.EQNXTDZ($A$1,$B114,S$1,$B$1)</f>
        <v>0</v>
      </c>
      <c r="T114" s="148" cm="1">
        <f t="array" ref="T114">_xll.EQNXTDZ($A$1,$B114,T$1,$B$1)</f>
        <v>0</v>
      </c>
      <c r="U114" s="148" cm="1">
        <f t="array" ref="U114">_xll.EQNXTDZ($A$1,$B114,U$1,$B$1)</f>
        <v>0</v>
      </c>
      <c r="V114" s="148" cm="1">
        <f t="array" ref="V114">_xll.EQNXTDZ($A$1,$B114,V$1,$B$1)</f>
        <v>0</v>
      </c>
      <c r="W114" s="148" cm="1">
        <f t="array" ref="W114">_xll.EQNXTDZ($A$1,$B114,W$1,$B$1)</f>
        <v>0</v>
      </c>
      <c r="X114" s="148" cm="1">
        <f t="array" ref="X114">_xll.EQNXTDZ($A$1,$B114,X$1,$B$1)</f>
        <v>0</v>
      </c>
      <c r="Y114" s="148" cm="1">
        <f t="array" ref="Y114">_xll.EQNXTDZ($A$1,$B114,Y$1,$B$1)</f>
        <v>0</v>
      </c>
      <c r="Z114" s="148" cm="1">
        <f t="array" ref="Z114">_xll.EQNXTDZ($A$1,$B114,Z$1,$B$1)</f>
        <v>0</v>
      </c>
      <c r="AA114" s="148" cm="1">
        <f t="array" ref="AA114">_xll.EQNXTDZ($A$1,$B114,AA$1,$B$1)</f>
        <v>0</v>
      </c>
      <c r="AB114" s="148" cm="1">
        <f t="array" ref="AB114">_xll.EQNXTDZ($A$1,$B114,AB$1,$B$1)</f>
        <v>0</v>
      </c>
      <c r="AC114" s="148" cm="1">
        <f t="array" ref="AC114">_xll.EQNXTDZ($A$1,$B114,AC$1,$B$1)</f>
        <v>0</v>
      </c>
      <c r="AD114" s="148" cm="1">
        <f t="array" ref="AD114">_xll.EQNXTDZ($A$1,$B114,AD$1,$B$1)</f>
        <v>0</v>
      </c>
      <c r="AE114" s="148" cm="1">
        <f t="array" ref="AE114">_xll.EQNXTDZ($A$1,$B114,AE$1,$B$1)</f>
        <v>0</v>
      </c>
      <c r="AF114" s="148" cm="1">
        <f t="array" ref="AF114">_xll.EQNXTDZ($A$1,$B114,AF$1,$B$1)</f>
        <v>0</v>
      </c>
    </row>
    <row r="115" spans="1:32" x14ac:dyDescent="0.25">
      <c r="A115" t="s">
        <v>268</v>
      </c>
      <c r="B115" t="s">
        <v>430</v>
      </c>
      <c r="C115" s="148" cm="1">
        <f t="array" ref="C115">_xll.EQNXTDZ($A$1,$B115,C$1,$B$1)</f>
        <v>0</v>
      </c>
      <c r="D115" s="148" cm="1">
        <f t="array" ref="D115">_xll.EQNXTDZ($A$1,$B115,D$1,$B$1)</f>
        <v>0</v>
      </c>
      <c r="E115" s="148" cm="1">
        <f t="array" ref="E115">_xll.EQNXTDZ($A$1,$B115,E$1,$B$1)</f>
        <v>0</v>
      </c>
      <c r="F115" s="148" cm="1">
        <f t="array" ref="F115">_xll.EQNXTDZ($A$1,$B115,F$1,$B$1)</f>
        <v>0</v>
      </c>
      <c r="G115" s="148" cm="1">
        <f t="array" ref="G115">_xll.EQNXTDZ($A$1,$B115,G$1,$B$1)</f>
        <v>0</v>
      </c>
      <c r="H115" s="148" cm="1">
        <f t="array" ref="H115">_xll.EQNXTDZ($A$1,$B115,H$1,$B$1)</f>
        <v>0</v>
      </c>
      <c r="I115" s="148" cm="1">
        <f t="array" ref="I115">_xll.EQNXTDZ($A$1,$B115,I$1,$B$1)</f>
        <v>0</v>
      </c>
      <c r="J115" s="148" cm="1">
        <f t="array" ref="J115">_xll.EQNXTDZ($A$1,$B115,J$1,$B$1)</f>
        <v>0</v>
      </c>
      <c r="K115" s="148" cm="1">
        <f t="array" ref="K115">_xll.EQNXTDZ($A$1,$B115,K$1,$B$1)</f>
        <v>0</v>
      </c>
      <c r="L115" s="148" cm="1">
        <f t="array" ref="L115">_xll.EQNXTDZ($A$1,$B115,L$1,$B$1)</f>
        <v>0</v>
      </c>
      <c r="M115" s="148" cm="1">
        <f t="array" ref="M115">_xll.EQNXTDZ($A$1,$B115,M$1,$B$1)</f>
        <v>0</v>
      </c>
      <c r="N115" s="148" cm="1">
        <f t="array" ref="N115">_xll.EQNXTDZ($A$1,$B115,N$1,$B$1)</f>
        <v>0</v>
      </c>
      <c r="O115" s="148" cm="1">
        <f t="array" ref="O115">_xll.EQNXTDZ($A$1,$B115,O$1,$B$1)</f>
        <v>0</v>
      </c>
      <c r="P115" s="148" cm="1">
        <f t="array" ref="P115">_xll.EQNXTDZ($A$1,$B115,P$1,$B$1)</f>
        <v>0</v>
      </c>
      <c r="Q115" s="148" cm="1">
        <f t="array" ref="Q115">_xll.EQNXTDZ($A$1,$B115,Q$1,$B$1)</f>
        <v>0</v>
      </c>
      <c r="R115" s="148" cm="1">
        <f t="array" ref="R115">_xll.EQNXTDZ($A$1,$B115,R$1,$B$1)</f>
        <v>0</v>
      </c>
      <c r="S115" s="148" cm="1">
        <f t="array" ref="S115">_xll.EQNXTDZ($A$1,$B115,S$1,$B$1)</f>
        <v>0</v>
      </c>
      <c r="T115" s="148" cm="1">
        <f t="array" ref="T115">_xll.EQNXTDZ($A$1,$B115,T$1,$B$1)</f>
        <v>0</v>
      </c>
      <c r="U115" s="148" cm="1">
        <f t="array" ref="U115">_xll.EQNXTDZ($A$1,$B115,U$1,$B$1)</f>
        <v>0</v>
      </c>
      <c r="V115" s="148" cm="1">
        <f t="array" ref="V115">_xll.EQNXTDZ($A$1,$B115,V$1,$B$1)</f>
        <v>0</v>
      </c>
      <c r="W115" s="148" cm="1">
        <f t="array" ref="W115">_xll.EQNXTDZ($A$1,$B115,W$1,$B$1)</f>
        <v>0</v>
      </c>
      <c r="X115" s="148" cm="1">
        <f t="array" ref="X115">_xll.EQNXTDZ($A$1,$B115,X$1,$B$1)</f>
        <v>0</v>
      </c>
      <c r="Y115" s="148" cm="1">
        <f t="array" ref="Y115">_xll.EQNXTDZ($A$1,$B115,Y$1,$B$1)</f>
        <v>0</v>
      </c>
      <c r="Z115" s="148" cm="1">
        <f t="array" ref="Z115">_xll.EQNXTDZ($A$1,$B115,Z$1,$B$1)</f>
        <v>0</v>
      </c>
      <c r="AA115" s="148" cm="1">
        <f t="array" ref="AA115">_xll.EQNXTDZ($A$1,$B115,AA$1,$B$1)</f>
        <v>0</v>
      </c>
      <c r="AB115" s="148" cm="1">
        <f t="array" ref="AB115">_xll.EQNXTDZ($A$1,$B115,AB$1,$B$1)</f>
        <v>0</v>
      </c>
      <c r="AC115" s="148" cm="1">
        <f t="array" ref="AC115">_xll.EQNXTDZ($A$1,$B115,AC$1,$B$1)</f>
        <v>0</v>
      </c>
      <c r="AD115" s="148" cm="1">
        <f t="array" ref="AD115">_xll.EQNXTDZ($A$1,$B115,AD$1,$B$1)</f>
        <v>0</v>
      </c>
      <c r="AE115" s="148" cm="1">
        <f t="array" ref="AE115">_xll.EQNXTDZ($A$1,$B115,AE$1,$B$1)</f>
        <v>0</v>
      </c>
      <c r="AF115" s="148" cm="1">
        <f t="array" ref="AF115">_xll.EQNXTDZ($A$1,$B115,AF$1,$B$1)</f>
        <v>0</v>
      </c>
    </row>
    <row r="116" spans="1:32" x14ac:dyDescent="0.25">
      <c r="A116" t="s">
        <v>236</v>
      </c>
      <c r="B116" t="s">
        <v>431</v>
      </c>
      <c r="C116" s="148" cm="1">
        <f t="array" ref="C116">_xll.EQNXTDZ($A$1,$B116,C$1,$B$1)</f>
        <v>0</v>
      </c>
      <c r="D116" s="148" cm="1">
        <f t="array" ref="D116">_xll.EQNXTDZ($A$1,$B116,D$1,$B$1)</f>
        <v>0</v>
      </c>
      <c r="E116" s="148" cm="1">
        <f t="array" ref="E116">_xll.EQNXTDZ($A$1,$B116,E$1,$B$1)</f>
        <v>0</v>
      </c>
      <c r="F116" s="148" cm="1">
        <f t="array" ref="F116">_xll.EQNXTDZ($A$1,$B116,F$1,$B$1)</f>
        <v>0</v>
      </c>
      <c r="G116" s="148" cm="1">
        <f t="array" ref="G116">_xll.EQNXTDZ($A$1,$B116,G$1,$B$1)</f>
        <v>0</v>
      </c>
      <c r="H116" s="148" cm="1">
        <f t="array" ref="H116">_xll.EQNXTDZ($A$1,$B116,H$1,$B$1)</f>
        <v>0</v>
      </c>
      <c r="I116" s="148" cm="1">
        <f t="array" ref="I116">_xll.EQNXTDZ($A$1,$B116,I$1,$B$1)</f>
        <v>0</v>
      </c>
      <c r="J116" s="148" cm="1">
        <f t="array" ref="J116">_xll.EQNXTDZ($A$1,$B116,J$1,$B$1)</f>
        <v>0</v>
      </c>
      <c r="K116" s="148" cm="1">
        <f t="array" ref="K116">_xll.EQNXTDZ($A$1,$B116,K$1,$B$1)</f>
        <v>0</v>
      </c>
      <c r="L116" s="148" cm="1">
        <f t="array" ref="L116">_xll.EQNXTDZ($A$1,$B116,L$1,$B$1)</f>
        <v>0</v>
      </c>
      <c r="M116" s="148" cm="1">
        <f t="array" ref="M116">_xll.EQNXTDZ($A$1,$B116,M$1,$B$1)</f>
        <v>0</v>
      </c>
      <c r="N116" s="148" cm="1">
        <f t="array" ref="N116">_xll.EQNXTDZ($A$1,$B116,N$1,$B$1)</f>
        <v>0</v>
      </c>
      <c r="O116" s="148" cm="1">
        <f t="array" ref="O116">_xll.EQNXTDZ($A$1,$B116,O$1,$B$1)</f>
        <v>0</v>
      </c>
      <c r="P116" s="148" cm="1">
        <f t="array" ref="P116">_xll.EQNXTDZ($A$1,$B116,P$1,$B$1)</f>
        <v>0</v>
      </c>
      <c r="Q116" s="148" cm="1">
        <f t="array" ref="Q116">_xll.EQNXTDZ($A$1,$B116,Q$1,$B$1)</f>
        <v>0</v>
      </c>
      <c r="R116" s="148" cm="1">
        <f t="array" ref="R116">_xll.EQNXTDZ($A$1,$B116,R$1,$B$1)</f>
        <v>0</v>
      </c>
      <c r="S116" s="148" cm="1">
        <f t="array" ref="S116">_xll.EQNXTDZ($A$1,$B116,S$1,$B$1)</f>
        <v>0</v>
      </c>
      <c r="T116" s="148" cm="1">
        <f t="array" ref="T116">_xll.EQNXTDZ($A$1,$B116,T$1,$B$1)</f>
        <v>0</v>
      </c>
      <c r="U116" s="148" cm="1">
        <f t="array" ref="U116">_xll.EQNXTDZ($A$1,$B116,U$1,$B$1)</f>
        <v>0</v>
      </c>
      <c r="V116" s="148" cm="1">
        <f t="array" ref="V116">_xll.EQNXTDZ($A$1,$B116,V$1,$B$1)</f>
        <v>0</v>
      </c>
      <c r="W116" s="148" cm="1">
        <f t="array" ref="W116">_xll.EQNXTDZ($A$1,$B116,W$1,$B$1)</f>
        <v>0</v>
      </c>
      <c r="X116" s="148" cm="1">
        <f t="array" ref="X116">_xll.EQNXTDZ($A$1,$B116,X$1,$B$1)</f>
        <v>0</v>
      </c>
      <c r="Y116" s="148" cm="1">
        <f t="array" ref="Y116">_xll.EQNXTDZ($A$1,$B116,Y$1,$B$1)</f>
        <v>0</v>
      </c>
      <c r="Z116" s="148" cm="1">
        <f t="array" ref="Z116">_xll.EQNXTDZ($A$1,$B116,Z$1,$B$1)</f>
        <v>0</v>
      </c>
      <c r="AA116" s="148" cm="1">
        <f t="array" ref="AA116">_xll.EQNXTDZ($A$1,$B116,AA$1,$B$1)</f>
        <v>0</v>
      </c>
      <c r="AB116" s="148" cm="1">
        <f t="array" ref="AB116">_xll.EQNXTDZ($A$1,$B116,AB$1,$B$1)</f>
        <v>0</v>
      </c>
      <c r="AC116" s="148" cm="1">
        <f t="array" ref="AC116">_xll.EQNXTDZ($A$1,$B116,AC$1,$B$1)</f>
        <v>0</v>
      </c>
      <c r="AD116" s="148" cm="1">
        <f t="array" ref="AD116">_xll.EQNXTDZ($A$1,$B116,AD$1,$B$1)</f>
        <v>0</v>
      </c>
      <c r="AE116" s="148" cm="1">
        <f t="array" ref="AE116">_xll.EQNXTDZ($A$1,$B116,AE$1,$B$1)</f>
        <v>0</v>
      </c>
      <c r="AF116" s="148" cm="1">
        <f t="array" ref="AF116">_xll.EQNXTDZ($A$1,$B116,AF$1,$B$1)</f>
        <v>0</v>
      </c>
    </row>
    <row r="117" spans="1:32" x14ac:dyDescent="0.25">
      <c r="A117" t="s">
        <v>215</v>
      </c>
      <c r="B117" t="s">
        <v>432</v>
      </c>
      <c r="C117" s="148" cm="1">
        <f t="array" ref="C117">_xll.EQNXTDZ($A$1,$B117,C$1,$B$1)</f>
        <v>0</v>
      </c>
      <c r="D117" s="148" cm="1">
        <f t="array" ref="D117">_xll.EQNXTDZ($A$1,$B117,D$1,$B$1)</f>
        <v>0</v>
      </c>
      <c r="E117" s="148" cm="1">
        <f t="array" ref="E117">_xll.EQNXTDZ($A$1,$B117,E$1,$B$1)</f>
        <v>0</v>
      </c>
      <c r="F117" s="148" cm="1">
        <f t="array" ref="F117">_xll.EQNXTDZ($A$1,$B117,F$1,$B$1)</f>
        <v>0</v>
      </c>
      <c r="G117" s="148" cm="1">
        <f t="array" ref="G117">_xll.EQNXTDZ($A$1,$B117,G$1,$B$1)</f>
        <v>0</v>
      </c>
      <c r="H117" s="148" cm="1">
        <f t="array" ref="H117">_xll.EQNXTDZ($A$1,$B117,H$1,$B$1)</f>
        <v>0</v>
      </c>
      <c r="I117" s="148" cm="1">
        <f t="array" ref="I117">_xll.EQNXTDZ($A$1,$B117,I$1,$B$1)</f>
        <v>0</v>
      </c>
      <c r="J117" s="148" cm="1">
        <f t="array" ref="J117">_xll.EQNXTDZ($A$1,$B117,J$1,$B$1)</f>
        <v>0</v>
      </c>
      <c r="K117" s="148" cm="1">
        <f t="array" ref="K117">_xll.EQNXTDZ($A$1,$B117,K$1,$B$1)</f>
        <v>0</v>
      </c>
      <c r="L117" s="148" cm="1">
        <f t="array" ref="L117">_xll.EQNXTDZ($A$1,$B117,L$1,$B$1)</f>
        <v>0</v>
      </c>
      <c r="M117" s="148" cm="1">
        <f t="array" ref="M117">_xll.EQNXTDZ($A$1,$B117,M$1,$B$1)</f>
        <v>0</v>
      </c>
      <c r="N117" s="148" cm="1">
        <f t="array" ref="N117">_xll.EQNXTDZ($A$1,$B117,N$1,$B$1)</f>
        <v>0</v>
      </c>
      <c r="O117" s="148" cm="1">
        <f t="array" ref="O117">_xll.EQNXTDZ($A$1,$B117,O$1,$B$1)</f>
        <v>0</v>
      </c>
      <c r="P117" s="148" cm="1">
        <f t="array" ref="P117">_xll.EQNXTDZ($A$1,$B117,P$1,$B$1)</f>
        <v>0</v>
      </c>
      <c r="Q117" s="148" cm="1">
        <f t="array" ref="Q117">_xll.EQNXTDZ($A$1,$B117,Q$1,$B$1)</f>
        <v>0</v>
      </c>
      <c r="R117" s="148" cm="1">
        <f t="array" ref="R117">_xll.EQNXTDZ($A$1,$B117,R$1,$B$1)</f>
        <v>0</v>
      </c>
      <c r="S117" s="148" cm="1">
        <f t="array" ref="S117">_xll.EQNXTDZ($A$1,$B117,S$1,$B$1)</f>
        <v>0</v>
      </c>
      <c r="T117" s="148" cm="1">
        <f t="array" ref="T117">_xll.EQNXTDZ($A$1,$B117,T$1,$B$1)</f>
        <v>0</v>
      </c>
      <c r="U117" s="148" cm="1">
        <f t="array" ref="U117">_xll.EQNXTDZ($A$1,$B117,U$1,$B$1)</f>
        <v>0</v>
      </c>
      <c r="V117" s="148" cm="1">
        <f t="array" ref="V117">_xll.EQNXTDZ($A$1,$B117,V$1,$B$1)</f>
        <v>0</v>
      </c>
      <c r="W117" s="148" cm="1">
        <f t="array" ref="W117">_xll.EQNXTDZ($A$1,$B117,W$1,$B$1)</f>
        <v>0</v>
      </c>
      <c r="X117" s="148" cm="1">
        <f t="array" ref="X117">_xll.EQNXTDZ($A$1,$B117,X$1,$B$1)</f>
        <v>0</v>
      </c>
      <c r="Y117" s="148" cm="1">
        <f t="array" ref="Y117">_xll.EQNXTDZ($A$1,$B117,Y$1,$B$1)</f>
        <v>0</v>
      </c>
      <c r="Z117" s="148" cm="1">
        <f t="array" ref="Z117">_xll.EQNXTDZ($A$1,$B117,Z$1,$B$1)</f>
        <v>0</v>
      </c>
      <c r="AA117" s="148" cm="1">
        <f t="array" ref="AA117">_xll.EQNXTDZ($A$1,$B117,AA$1,$B$1)</f>
        <v>0</v>
      </c>
      <c r="AB117" s="148" cm="1">
        <f t="array" ref="AB117">_xll.EQNXTDZ($A$1,$B117,AB$1,$B$1)</f>
        <v>0</v>
      </c>
      <c r="AC117" s="148" cm="1">
        <f t="array" ref="AC117">_xll.EQNXTDZ($A$1,$B117,AC$1,$B$1)</f>
        <v>0</v>
      </c>
      <c r="AD117" s="148" cm="1">
        <f t="array" ref="AD117">_xll.EQNXTDZ($A$1,$B117,AD$1,$B$1)</f>
        <v>0</v>
      </c>
      <c r="AE117" s="148" cm="1">
        <f t="array" ref="AE117">_xll.EQNXTDZ($A$1,$B117,AE$1,$B$1)</f>
        <v>0</v>
      </c>
      <c r="AF117" s="148" cm="1">
        <f t="array" ref="AF117">_xll.EQNXTDZ($A$1,$B117,AF$1,$B$1)</f>
        <v>0</v>
      </c>
    </row>
    <row r="118" spans="1:32" x14ac:dyDescent="0.25">
      <c r="A118" t="s">
        <v>216</v>
      </c>
      <c r="B118" t="s">
        <v>433</v>
      </c>
      <c r="C118" s="148" cm="1">
        <f t="array" ref="C118">_xll.EQNXTDZ($A$1,$B118,C$1,$B$1)</f>
        <v>0</v>
      </c>
      <c r="D118" s="148" cm="1">
        <f t="array" ref="D118">_xll.EQNXTDZ($A$1,$B118,D$1,$B$1)</f>
        <v>0</v>
      </c>
      <c r="E118" s="148" cm="1">
        <f t="array" ref="E118">_xll.EQNXTDZ($A$1,$B118,E$1,$B$1)</f>
        <v>0</v>
      </c>
      <c r="F118" s="148" cm="1">
        <f t="array" ref="F118">_xll.EQNXTDZ($A$1,$B118,F$1,$B$1)</f>
        <v>0</v>
      </c>
      <c r="G118" s="148" cm="1">
        <f t="array" ref="G118">_xll.EQNXTDZ($A$1,$B118,G$1,$B$1)</f>
        <v>0</v>
      </c>
      <c r="H118" s="148" cm="1">
        <f t="array" ref="H118">_xll.EQNXTDZ($A$1,$B118,H$1,$B$1)</f>
        <v>0</v>
      </c>
      <c r="I118" s="148" cm="1">
        <f t="array" ref="I118">_xll.EQNXTDZ($A$1,$B118,I$1,$B$1)</f>
        <v>0</v>
      </c>
      <c r="J118" s="148" cm="1">
        <f t="array" ref="J118">_xll.EQNXTDZ($A$1,$B118,J$1,$B$1)</f>
        <v>0</v>
      </c>
      <c r="K118" s="148" cm="1">
        <f t="array" ref="K118">_xll.EQNXTDZ($A$1,$B118,K$1,$B$1)</f>
        <v>0</v>
      </c>
      <c r="L118" s="148" cm="1">
        <f t="array" ref="L118">_xll.EQNXTDZ($A$1,$B118,L$1,$B$1)</f>
        <v>0</v>
      </c>
      <c r="M118" s="148" cm="1">
        <f t="array" ref="M118">_xll.EQNXTDZ($A$1,$B118,M$1,$B$1)</f>
        <v>0</v>
      </c>
      <c r="N118" s="148" cm="1">
        <f t="array" ref="N118">_xll.EQNXTDZ($A$1,$B118,N$1,$B$1)</f>
        <v>0</v>
      </c>
      <c r="O118" s="148" cm="1">
        <f t="array" ref="O118">_xll.EQNXTDZ($A$1,$B118,O$1,$B$1)</f>
        <v>0</v>
      </c>
      <c r="P118" s="148" cm="1">
        <f t="array" ref="P118">_xll.EQNXTDZ($A$1,$B118,P$1,$B$1)</f>
        <v>0</v>
      </c>
      <c r="Q118" s="148" cm="1">
        <f t="array" ref="Q118">_xll.EQNXTDZ($A$1,$B118,Q$1,$B$1)</f>
        <v>0</v>
      </c>
      <c r="R118" s="148" cm="1">
        <f t="array" ref="R118">_xll.EQNXTDZ($A$1,$B118,R$1,$B$1)</f>
        <v>0</v>
      </c>
      <c r="S118" s="148" cm="1">
        <f t="array" ref="S118">_xll.EQNXTDZ($A$1,$B118,S$1,$B$1)</f>
        <v>0</v>
      </c>
      <c r="T118" s="148" cm="1">
        <f t="array" ref="T118">_xll.EQNXTDZ($A$1,$B118,T$1,$B$1)</f>
        <v>0</v>
      </c>
      <c r="U118" s="148" cm="1">
        <f t="array" ref="U118">_xll.EQNXTDZ($A$1,$B118,U$1,$B$1)</f>
        <v>0</v>
      </c>
      <c r="V118" s="148" cm="1">
        <f t="array" ref="V118">_xll.EQNXTDZ($A$1,$B118,V$1,$B$1)</f>
        <v>0</v>
      </c>
      <c r="W118" s="148" cm="1">
        <f t="array" ref="W118">_xll.EQNXTDZ($A$1,$B118,W$1,$B$1)</f>
        <v>0</v>
      </c>
      <c r="X118" s="148" cm="1">
        <f t="array" ref="X118">_xll.EQNXTDZ($A$1,$B118,X$1,$B$1)</f>
        <v>0</v>
      </c>
      <c r="Y118" s="148" cm="1">
        <f t="array" ref="Y118">_xll.EQNXTDZ($A$1,$B118,Y$1,$B$1)</f>
        <v>0</v>
      </c>
      <c r="Z118" s="148" cm="1">
        <f t="array" ref="Z118">_xll.EQNXTDZ($A$1,$B118,Z$1,$B$1)</f>
        <v>0</v>
      </c>
      <c r="AA118" s="148" cm="1">
        <f t="array" ref="AA118">_xll.EQNXTDZ($A$1,$B118,AA$1,$B$1)</f>
        <v>0</v>
      </c>
      <c r="AB118" s="148" cm="1">
        <f t="array" ref="AB118">_xll.EQNXTDZ($A$1,$B118,AB$1,$B$1)</f>
        <v>0</v>
      </c>
      <c r="AC118" s="148" cm="1">
        <f t="array" ref="AC118">_xll.EQNXTDZ($A$1,$B118,AC$1,$B$1)</f>
        <v>0</v>
      </c>
      <c r="AD118" s="148" cm="1">
        <f t="array" ref="AD118">_xll.EQNXTDZ($A$1,$B118,AD$1,$B$1)</f>
        <v>0</v>
      </c>
      <c r="AE118" s="148" cm="1">
        <f t="array" ref="AE118">_xll.EQNXTDZ($A$1,$B118,AE$1,$B$1)</f>
        <v>0</v>
      </c>
      <c r="AF118" s="148" cm="1">
        <f t="array" ref="AF118">_xll.EQNXTDZ($A$1,$B118,AF$1,$B$1)</f>
        <v>0</v>
      </c>
    </row>
    <row r="119" spans="1:32" x14ac:dyDescent="0.25">
      <c r="A119" t="s">
        <v>269</v>
      </c>
      <c r="B119" t="s">
        <v>434</v>
      </c>
      <c r="C119" s="148" cm="1">
        <f t="array" ref="C119">_xll.EQNXTDZ($A$1,$B119,C$1,$B$1)</f>
        <v>0</v>
      </c>
      <c r="D119" s="148" cm="1">
        <f t="array" ref="D119">_xll.EQNXTDZ($A$1,$B119,D$1,$B$1)</f>
        <v>0</v>
      </c>
      <c r="E119" s="148" cm="1">
        <f t="array" ref="E119">_xll.EQNXTDZ($A$1,$B119,E$1,$B$1)</f>
        <v>0</v>
      </c>
      <c r="F119" s="148" cm="1">
        <f t="array" ref="F119">_xll.EQNXTDZ($A$1,$B119,F$1,$B$1)</f>
        <v>0</v>
      </c>
      <c r="G119" s="148" cm="1">
        <f t="array" ref="G119">_xll.EQNXTDZ($A$1,$B119,G$1,$B$1)</f>
        <v>0</v>
      </c>
      <c r="H119" s="148" cm="1">
        <f t="array" ref="H119">_xll.EQNXTDZ($A$1,$B119,H$1,$B$1)</f>
        <v>0</v>
      </c>
      <c r="I119" s="148" cm="1">
        <f t="array" ref="I119">_xll.EQNXTDZ($A$1,$B119,I$1,$B$1)</f>
        <v>0</v>
      </c>
      <c r="J119" s="148" cm="1">
        <f t="array" ref="J119">_xll.EQNXTDZ($A$1,$B119,J$1,$B$1)</f>
        <v>0</v>
      </c>
      <c r="K119" s="148" cm="1">
        <f t="array" ref="K119">_xll.EQNXTDZ($A$1,$B119,K$1,$B$1)</f>
        <v>0</v>
      </c>
      <c r="L119" s="148" cm="1">
        <f t="array" ref="L119">_xll.EQNXTDZ($A$1,$B119,L$1,$B$1)</f>
        <v>0</v>
      </c>
      <c r="M119" s="148" cm="1">
        <f t="array" ref="M119">_xll.EQNXTDZ($A$1,$B119,M$1,$B$1)</f>
        <v>0</v>
      </c>
      <c r="N119" s="148" cm="1">
        <f t="array" ref="N119">_xll.EQNXTDZ($A$1,$B119,N$1,$B$1)</f>
        <v>0</v>
      </c>
      <c r="O119" s="148" cm="1">
        <f t="array" ref="O119">_xll.EQNXTDZ($A$1,$B119,O$1,$B$1)</f>
        <v>0</v>
      </c>
      <c r="P119" s="148" cm="1">
        <f t="array" ref="P119">_xll.EQNXTDZ($A$1,$B119,P$1,$B$1)</f>
        <v>0</v>
      </c>
      <c r="Q119" s="148" cm="1">
        <f t="array" ref="Q119">_xll.EQNXTDZ($A$1,$B119,Q$1,$B$1)</f>
        <v>0</v>
      </c>
      <c r="R119" s="148" cm="1">
        <f t="array" ref="R119">_xll.EQNXTDZ($A$1,$B119,R$1,$B$1)</f>
        <v>0</v>
      </c>
      <c r="S119" s="148" cm="1">
        <f t="array" ref="S119">_xll.EQNXTDZ($A$1,$B119,S$1,$B$1)</f>
        <v>0</v>
      </c>
      <c r="T119" s="148" cm="1">
        <f t="array" ref="T119">_xll.EQNXTDZ($A$1,$B119,T$1,$B$1)</f>
        <v>0</v>
      </c>
      <c r="U119" s="148" cm="1">
        <f t="array" ref="U119">_xll.EQNXTDZ($A$1,$B119,U$1,$B$1)</f>
        <v>0</v>
      </c>
      <c r="V119" s="148" cm="1">
        <f t="array" ref="V119">_xll.EQNXTDZ($A$1,$B119,V$1,$B$1)</f>
        <v>0</v>
      </c>
      <c r="W119" s="148" cm="1">
        <f t="array" ref="W119">_xll.EQNXTDZ($A$1,$B119,W$1,$B$1)</f>
        <v>0</v>
      </c>
      <c r="X119" s="148" cm="1">
        <f t="array" ref="X119">_xll.EQNXTDZ($A$1,$B119,X$1,$B$1)</f>
        <v>0</v>
      </c>
      <c r="Y119" s="148" cm="1">
        <f t="array" ref="Y119">_xll.EQNXTDZ($A$1,$B119,Y$1,$B$1)</f>
        <v>0</v>
      </c>
      <c r="Z119" s="148" cm="1">
        <f t="array" ref="Z119">_xll.EQNXTDZ($A$1,$B119,Z$1,$B$1)</f>
        <v>0</v>
      </c>
      <c r="AA119" s="148" cm="1">
        <f t="array" ref="AA119">_xll.EQNXTDZ($A$1,$B119,AA$1,$B$1)</f>
        <v>0</v>
      </c>
      <c r="AB119" s="148" cm="1">
        <f t="array" ref="AB119">_xll.EQNXTDZ($A$1,$B119,AB$1,$B$1)</f>
        <v>0</v>
      </c>
      <c r="AC119" s="148" cm="1">
        <f t="array" ref="AC119">_xll.EQNXTDZ($A$1,$B119,AC$1,$B$1)</f>
        <v>0</v>
      </c>
      <c r="AD119" s="148" cm="1">
        <f t="array" ref="AD119">_xll.EQNXTDZ($A$1,$B119,AD$1,$B$1)</f>
        <v>0</v>
      </c>
      <c r="AE119" s="148" cm="1">
        <f t="array" ref="AE119">_xll.EQNXTDZ($A$1,$B119,AE$1,$B$1)</f>
        <v>0</v>
      </c>
      <c r="AF119" s="148" cm="1">
        <f t="array" ref="AF119">_xll.EQNXTDZ($A$1,$B119,AF$1,$B$1)</f>
        <v>0</v>
      </c>
    </row>
    <row r="120" spans="1:32" x14ac:dyDescent="0.25">
      <c r="A120" t="s">
        <v>242</v>
      </c>
      <c r="B120" t="s">
        <v>435</v>
      </c>
      <c r="C120" s="148" cm="1">
        <f t="array" ref="C120">_xll.EQNXTDZ($A$1,$B120,C$1,$B$1)</f>
        <v>0</v>
      </c>
      <c r="D120" s="148" cm="1">
        <f t="array" ref="D120">_xll.EQNXTDZ($A$1,$B120,D$1,$B$1)</f>
        <v>0</v>
      </c>
      <c r="E120" s="148" cm="1">
        <f t="array" ref="E120">_xll.EQNXTDZ($A$1,$B120,E$1,$B$1)</f>
        <v>0</v>
      </c>
      <c r="F120" s="148" cm="1">
        <f t="array" ref="F120">_xll.EQNXTDZ($A$1,$B120,F$1,$B$1)</f>
        <v>0</v>
      </c>
      <c r="G120" s="148" cm="1">
        <f t="array" ref="G120">_xll.EQNXTDZ($A$1,$B120,G$1,$B$1)</f>
        <v>0</v>
      </c>
      <c r="H120" s="148" cm="1">
        <f t="array" ref="H120">_xll.EQNXTDZ($A$1,$B120,H$1,$B$1)</f>
        <v>0</v>
      </c>
      <c r="I120" s="148" cm="1">
        <f t="array" ref="I120">_xll.EQNXTDZ($A$1,$B120,I$1,$B$1)</f>
        <v>0</v>
      </c>
      <c r="J120" s="148" cm="1">
        <f t="array" ref="J120">_xll.EQNXTDZ($A$1,$B120,J$1,$B$1)</f>
        <v>0</v>
      </c>
      <c r="K120" s="148" cm="1">
        <f t="array" ref="K120">_xll.EQNXTDZ($A$1,$B120,K$1,$B$1)</f>
        <v>0</v>
      </c>
      <c r="L120" s="148" cm="1">
        <f t="array" ref="L120">_xll.EQNXTDZ($A$1,$B120,L$1,$B$1)</f>
        <v>0</v>
      </c>
      <c r="M120" s="148" cm="1">
        <f t="array" ref="M120">_xll.EQNXTDZ($A$1,$B120,M$1,$B$1)</f>
        <v>0</v>
      </c>
      <c r="N120" s="148" cm="1">
        <f t="array" ref="N120">_xll.EQNXTDZ($A$1,$B120,N$1,$B$1)</f>
        <v>0</v>
      </c>
      <c r="O120" s="148" cm="1">
        <f t="array" ref="O120">_xll.EQNXTDZ($A$1,$B120,O$1,$B$1)</f>
        <v>0</v>
      </c>
      <c r="P120" s="148" cm="1">
        <f t="array" ref="P120">_xll.EQNXTDZ($A$1,$B120,P$1,$B$1)</f>
        <v>0</v>
      </c>
      <c r="Q120" s="148" cm="1">
        <f t="array" ref="Q120">_xll.EQNXTDZ($A$1,$B120,Q$1,$B$1)</f>
        <v>0</v>
      </c>
      <c r="R120" s="148" cm="1">
        <f t="array" ref="R120">_xll.EQNXTDZ($A$1,$B120,R$1,$B$1)</f>
        <v>0</v>
      </c>
      <c r="S120" s="148" cm="1">
        <f t="array" ref="S120">_xll.EQNXTDZ($A$1,$B120,S$1,$B$1)</f>
        <v>0</v>
      </c>
      <c r="T120" s="148" cm="1">
        <f t="array" ref="T120">_xll.EQNXTDZ($A$1,$B120,T$1,$B$1)</f>
        <v>0</v>
      </c>
      <c r="U120" s="148" cm="1">
        <f t="array" ref="U120">_xll.EQNXTDZ($A$1,$B120,U$1,$B$1)</f>
        <v>0</v>
      </c>
      <c r="V120" s="148" cm="1">
        <f t="array" ref="V120">_xll.EQNXTDZ($A$1,$B120,V$1,$B$1)</f>
        <v>0</v>
      </c>
      <c r="W120" s="148" cm="1">
        <f t="array" ref="W120">_xll.EQNXTDZ($A$1,$B120,W$1,$B$1)</f>
        <v>0</v>
      </c>
      <c r="X120" s="148" cm="1">
        <f t="array" ref="X120">_xll.EQNXTDZ($A$1,$B120,X$1,$B$1)</f>
        <v>0</v>
      </c>
      <c r="Y120" s="148" cm="1">
        <f t="array" ref="Y120">_xll.EQNXTDZ($A$1,$B120,Y$1,$B$1)</f>
        <v>0</v>
      </c>
      <c r="Z120" s="148" cm="1">
        <f t="array" ref="Z120">_xll.EQNXTDZ($A$1,$B120,Z$1,$B$1)</f>
        <v>0</v>
      </c>
      <c r="AA120" s="148" cm="1">
        <f t="array" ref="AA120">_xll.EQNXTDZ($A$1,$B120,AA$1,$B$1)</f>
        <v>0</v>
      </c>
      <c r="AB120" s="148" cm="1">
        <f t="array" ref="AB120">_xll.EQNXTDZ($A$1,$B120,AB$1,$B$1)</f>
        <v>0</v>
      </c>
      <c r="AC120" s="148" cm="1">
        <f t="array" ref="AC120">_xll.EQNXTDZ($A$1,$B120,AC$1,$B$1)</f>
        <v>0</v>
      </c>
      <c r="AD120" s="148" cm="1">
        <f t="array" ref="AD120">_xll.EQNXTDZ($A$1,$B120,AD$1,$B$1)</f>
        <v>0</v>
      </c>
      <c r="AE120" s="148" cm="1">
        <f t="array" ref="AE120">_xll.EQNXTDZ($A$1,$B120,AE$1,$B$1)</f>
        <v>0</v>
      </c>
      <c r="AF120" s="148" cm="1">
        <f t="array" ref="AF120">_xll.EQNXTDZ($A$1,$B120,AF$1,$B$1)</f>
        <v>0</v>
      </c>
    </row>
    <row r="121" spans="1:32" x14ac:dyDescent="0.25">
      <c r="A121" t="s">
        <v>218</v>
      </c>
      <c r="B121" t="s">
        <v>436</v>
      </c>
      <c r="C121" s="148" cm="1">
        <f t="array" ref="C121">_xll.EQNXTDZ($A$1,$B121,C$1,$B$1)</f>
        <v>0</v>
      </c>
      <c r="D121" s="148" cm="1">
        <f t="array" ref="D121">_xll.EQNXTDZ($A$1,$B121,D$1,$B$1)</f>
        <v>0</v>
      </c>
      <c r="E121" s="148" cm="1">
        <f t="array" ref="E121">_xll.EQNXTDZ($A$1,$B121,E$1,$B$1)</f>
        <v>0</v>
      </c>
      <c r="F121" s="148" cm="1">
        <f t="array" ref="F121">_xll.EQNXTDZ($A$1,$B121,F$1,$B$1)</f>
        <v>0</v>
      </c>
      <c r="G121" s="148" cm="1">
        <f t="array" ref="G121">_xll.EQNXTDZ($A$1,$B121,G$1,$B$1)</f>
        <v>0</v>
      </c>
      <c r="H121" s="148" cm="1">
        <f t="array" ref="H121">_xll.EQNXTDZ($A$1,$B121,H$1,$B$1)</f>
        <v>0</v>
      </c>
      <c r="I121" s="148" cm="1">
        <f t="array" ref="I121">_xll.EQNXTDZ($A$1,$B121,I$1,$B$1)</f>
        <v>0</v>
      </c>
      <c r="J121" s="148" cm="1">
        <f t="array" ref="J121">_xll.EQNXTDZ($A$1,$B121,J$1,$B$1)</f>
        <v>0</v>
      </c>
      <c r="K121" s="148" cm="1">
        <f t="array" ref="K121">_xll.EQNXTDZ($A$1,$B121,K$1,$B$1)</f>
        <v>0</v>
      </c>
      <c r="L121" s="148" cm="1">
        <f t="array" ref="L121">_xll.EQNXTDZ($A$1,$B121,L$1,$B$1)</f>
        <v>0</v>
      </c>
      <c r="M121" s="148" cm="1">
        <f t="array" ref="M121">_xll.EQNXTDZ($A$1,$B121,M$1,$B$1)</f>
        <v>0</v>
      </c>
      <c r="N121" s="148" cm="1">
        <f t="array" ref="N121">_xll.EQNXTDZ($A$1,$B121,N$1,$B$1)</f>
        <v>0</v>
      </c>
      <c r="O121" s="148" cm="1">
        <f t="array" ref="O121">_xll.EQNXTDZ($A$1,$B121,O$1,$B$1)</f>
        <v>0</v>
      </c>
      <c r="P121" s="148" cm="1">
        <f t="array" ref="P121">_xll.EQNXTDZ($A$1,$B121,P$1,$B$1)</f>
        <v>0</v>
      </c>
      <c r="Q121" s="148" cm="1">
        <f t="array" ref="Q121">_xll.EQNXTDZ($A$1,$B121,Q$1,$B$1)</f>
        <v>0</v>
      </c>
      <c r="R121" s="148" cm="1">
        <f t="array" ref="R121">_xll.EQNXTDZ($A$1,$B121,R$1,$B$1)</f>
        <v>0</v>
      </c>
      <c r="S121" s="148" cm="1">
        <f t="array" ref="S121">_xll.EQNXTDZ($A$1,$B121,S$1,$B$1)</f>
        <v>0</v>
      </c>
      <c r="T121" s="148" cm="1">
        <f t="array" ref="T121">_xll.EQNXTDZ($A$1,$B121,T$1,$B$1)</f>
        <v>0</v>
      </c>
      <c r="U121" s="148" cm="1">
        <f t="array" ref="U121">_xll.EQNXTDZ($A$1,$B121,U$1,$B$1)</f>
        <v>0</v>
      </c>
      <c r="V121" s="148" cm="1">
        <f t="array" ref="V121">_xll.EQNXTDZ($A$1,$B121,V$1,$B$1)</f>
        <v>0</v>
      </c>
      <c r="W121" s="148" cm="1">
        <f t="array" ref="W121">_xll.EQNXTDZ($A$1,$B121,W$1,$B$1)</f>
        <v>0</v>
      </c>
      <c r="X121" s="148" cm="1">
        <f t="array" ref="X121">_xll.EQNXTDZ($A$1,$B121,X$1,$B$1)</f>
        <v>0</v>
      </c>
      <c r="Y121" s="148" cm="1">
        <f t="array" ref="Y121">_xll.EQNXTDZ($A$1,$B121,Y$1,$B$1)</f>
        <v>0</v>
      </c>
      <c r="Z121" s="148" cm="1">
        <f t="array" ref="Z121">_xll.EQNXTDZ($A$1,$B121,Z$1,$B$1)</f>
        <v>0</v>
      </c>
      <c r="AA121" s="148" cm="1">
        <f t="array" ref="AA121">_xll.EQNXTDZ($A$1,$B121,AA$1,$B$1)</f>
        <v>0</v>
      </c>
      <c r="AB121" s="148" cm="1">
        <f t="array" ref="AB121">_xll.EQNXTDZ($A$1,$B121,AB$1,$B$1)</f>
        <v>0</v>
      </c>
      <c r="AC121" s="148" cm="1">
        <f t="array" ref="AC121">_xll.EQNXTDZ($A$1,$B121,AC$1,$B$1)</f>
        <v>0</v>
      </c>
      <c r="AD121" s="148" cm="1">
        <f t="array" ref="AD121">_xll.EQNXTDZ($A$1,$B121,AD$1,$B$1)</f>
        <v>0</v>
      </c>
      <c r="AE121" s="148" cm="1">
        <f t="array" ref="AE121">_xll.EQNXTDZ($A$1,$B121,AE$1,$B$1)</f>
        <v>0</v>
      </c>
      <c r="AF121" s="148" cm="1">
        <f t="array" ref="AF121">_xll.EQNXTDZ($A$1,$B121,AF$1,$B$1)</f>
        <v>0</v>
      </c>
    </row>
    <row r="122" spans="1:32" x14ac:dyDescent="0.25">
      <c r="A122" t="s">
        <v>219</v>
      </c>
      <c r="B122" t="s">
        <v>437</v>
      </c>
      <c r="C122" s="148" cm="1">
        <f t="array" ref="C122">_xll.EQNXTDZ($A$1,$B122,C$1,$B$1)</f>
        <v>0</v>
      </c>
      <c r="D122" s="148" cm="1">
        <f t="array" ref="D122">_xll.EQNXTDZ($A$1,$B122,D$1,$B$1)</f>
        <v>0</v>
      </c>
      <c r="E122" s="148" cm="1">
        <f t="array" ref="E122">_xll.EQNXTDZ($A$1,$B122,E$1,$B$1)</f>
        <v>0</v>
      </c>
      <c r="F122" s="148" cm="1">
        <f t="array" ref="F122">_xll.EQNXTDZ($A$1,$B122,F$1,$B$1)</f>
        <v>0</v>
      </c>
      <c r="G122" s="148" cm="1">
        <f t="array" ref="G122">_xll.EQNXTDZ($A$1,$B122,G$1,$B$1)</f>
        <v>0</v>
      </c>
      <c r="H122" s="148" cm="1">
        <f t="array" ref="H122">_xll.EQNXTDZ($A$1,$B122,H$1,$B$1)</f>
        <v>0</v>
      </c>
      <c r="I122" s="148" cm="1">
        <f t="array" ref="I122">_xll.EQNXTDZ($A$1,$B122,I$1,$B$1)</f>
        <v>0</v>
      </c>
      <c r="J122" s="148" cm="1">
        <f t="array" ref="J122">_xll.EQNXTDZ($A$1,$B122,J$1,$B$1)</f>
        <v>0</v>
      </c>
      <c r="K122" s="148" cm="1">
        <f t="array" ref="K122">_xll.EQNXTDZ($A$1,$B122,K$1,$B$1)</f>
        <v>0</v>
      </c>
      <c r="L122" s="148" cm="1">
        <f t="array" ref="L122">_xll.EQNXTDZ($A$1,$B122,L$1,$B$1)</f>
        <v>0</v>
      </c>
      <c r="M122" s="148" cm="1">
        <f t="array" ref="M122">_xll.EQNXTDZ($A$1,$B122,M$1,$B$1)</f>
        <v>0</v>
      </c>
      <c r="N122" s="148" cm="1">
        <f t="array" ref="N122">_xll.EQNXTDZ($A$1,$B122,N$1,$B$1)</f>
        <v>0</v>
      </c>
      <c r="O122" s="148" cm="1">
        <f t="array" ref="O122">_xll.EQNXTDZ($A$1,$B122,O$1,$B$1)</f>
        <v>0</v>
      </c>
      <c r="P122" s="148" cm="1">
        <f t="array" ref="P122">_xll.EQNXTDZ($A$1,$B122,P$1,$B$1)</f>
        <v>0</v>
      </c>
      <c r="Q122" s="148" cm="1">
        <f t="array" ref="Q122">_xll.EQNXTDZ($A$1,$B122,Q$1,$B$1)</f>
        <v>0</v>
      </c>
      <c r="R122" s="148" cm="1">
        <f t="array" ref="R122">_xll.EQNXTDZ($A$1,$B122,R$1,$B$1)</f>
        <v>0</v>
      </c>
      <c r="S122" s="148" cm="1">
        <f t="array" ref="S122">_xll.EQNXTDZ($A$1,$B122,S$1,$B$1)</f>
        <v>0</v>
      </c>
      <c r="T122" s="148" cm="1">
        <f t="array" ref="T122">_xll.EQNXTDZ($A$1,$B122,T$1,$B$1)</f>
        <v>0</v>
      </c>
      <c r="U122" s="148" cm="1">
        <f t="array" ref="U122">_xll.EQNXTDZ($A$1,$B122,U$1,$B$1)</f>
        <v>0</v>
      </c>
      <c r="V122" s="148" cm="1">
        <f t="array" ref="V122">_xll.EQNXTDZ($A$1,$B122,V$1,$B$1)</f>
        <v>0</v>
      </c>
      <c r="W122" s="148" cm="1">
        <f t="array" ref="W122">_xll.EQNXTDZ($A$1,$B122,W$1,$B$1)</f>
        <v>0</v>
      </c>
      <c r="X122" s="148" cm="1">
        <f t="array" ref="X122">_xll.EQNXTDZ($A$1,$B122,X$1,$B$1)</f>
        <v>0</v>
      </c>
      <c r="Y122" s="148" cm="1">
        <f t="array" ref="Y122">_xll.EQNXTDZ($A$1,$B122,Y$1,$B$1)</f>
        <v>0</v>
      </c>
      <c r="Z122" s="148" cm="1">
        <f t="array" ref="Z122">_xll.EQNXTDZ($A$1,$B122,Z$1,$B$1)</f>
        <v>0</v>
      </c>
      <c r="AA122" s="148" cm="1">
        <f t="array" ref="AA122">_xll.EQNXTDZ($A$1,$B122,AA$1,$B$1)</f>
        <v>0</v>
      </c>
      <c r="AB122" s="148" cm="1">
        <f t="array" ref="AB122">_xll.EQNXTDZ($A$1,$B122,AB$1,$B$1)</f>
        <v>0</v>
      </c>
      <c r="AC122" s="148" cm="1">
        <f t="array" ref="AC122">_xll.EQNXTDZ($A$1,$B122,AC$1,$B$1)</f>
        <v>0</v>
      </c>
      <c r="AD122" s="148" cm="1">
        <f t="array" ref="AD122">_xll.EQNXTDZ($A$1,$B122,AD$1,$B$1)</f>
        <v>0</v>
      </c>
      <c r="AE122" s="148" cm="1">
        <f t="array" ref="AE122">_xll.EQNXTDZ($A$1,$B122,AE$1,$B$1)</f>
        <v>0</v>
      </c>
      <c r="AF122" s="148" cm="1">
        <f t="array" ref="AF122">_xll.EQNXTDZ($A$1,$B122,AF$1,$B$1)</f>
        <v>0</v>
      </c>
    </row>
    <row r="123" spans="1:32" x14ac:dyDescent="0.25">
      <c r="A123" t="s">
        <v>220</v>
      </c>
      <c r="B123" t="s">
        <v>438</v>
      </c>
      <c r="C123" s="124" cm="1">
        <f t="array" ref="C123">_xll.EQNXTDZ($A$1,$B123,C$1,$B$1)</f>
        <v>0</v>
      </c>
      <c r="D123" s="124" cm="1">
        <f t="array" ref="D123">_xll.EQNXTDZ($A$1,$B123,D$1,$B$1)</f>
        <v>0</v>
      </c>
      <c r="E123" s="124" cm="1">
        <f t="array" ref="E123">_xll.EQNXTDZ($A$1,$B123,E$1,$B$1)</f>
        <v>0</v>
      </c>
      <c r="F123" s="124" cm="1">
        <f t="array" ref="F123">_xll.EQNXTDZ($A$1,$B123,F$1,$B$1)</f>
        <v>0</v>
      </c>
      <c r="G123" s="124" cm="1">
        <f t="array" ref="G123">_xll.EQNXTDZ($A$1,$B123,G$1,$B$1)</f>
        <v>0</v>
      </c>
      <c r="H123" s="124" cm="1">
        <f t="array" ref="H123">_xll.EQNXTDZ($A$1,$B123,H$1,$B$1)</f>
        <v>0</v>
      </c>
      <c r="I123" s="124" cm="1">
        <f t="array" ref="I123">_xll.EQNXTDZ($A$1,$B123,I$1,$B$1)</f>
        <v>0</v>
      </c>
      <c r="J123" s="124" cm="1">
        <f t="array" ref="J123">_xll.EQNXTDZ($A$1,$B123,J$1,$B$1)</f>
        <v>0</v>
      </c>
      <c r="K123" s="124" cm="1">
        <f t="array" ref="K123">_xll.EQNXTDZ($A$1,$B123,K$1,$B$1)</f>
        <v>0</v>
      </c>
      <c r="L123" s="124" cm="1">
        <f t="array" ref="L123">_xll.EQNXTDZ($A$1,$B123,L$1,$B$1)</f>
        <v>0</v>
      </c>
      <c r="M123" s="124" cm="1">
        <f t="array" ref="M123">_xll.EQNXTDZ($A$1,$B123,M$1,$B$1)</f>
        <v>0</v>
      </c>
      <c r="N123" s="124" cm="1">
        <f t="array" ref="N123">_xll.EQNXTDZ($A$1,$B123,N$1,$B$1)</f>
        <v>0</v>
      </c>
      <c r="O123" s="124" cm="1">
        <f t="array" ref="O123">_xll.EQNXTDZ($A$1,$B123,O$1,$B$1)</f>
        <v>0</v>
      </c>
      <c r="P123" s="124" cm="1">
        <f t="array" ref="P123">_xll.EQNXTDZ($A$1,$B123,P$1,$B$1)</f>
        <v>0</v>
      </c>
      <c r="Q123" s="124" cm="1">
        <f t="array" ref="Q123">_xll.EQNXTDZ($A$1,$B123,Q$1,$B$1)</f>
        <v>0</v>
      </c>
      <c r="R123" s="124" cm="1">
        <f t="array" ref="R123">_xll.EQNXTDZ($A$1,$B123,R$1,$B$1)</f>
        <v>0</v>
      </c>
      <c r="S123" s="124" cm="1">
        <f t="array" ref="S123">_xll.EQNXTDZ($A$1,$B123,S$1,$B$1)</f>
        <v>0</v>
      </c>
      <c r="T123" s="124" cm="1">
        <f t="array" ref="T123">_xll.EQNXTDZ($A$1,$B123,T$1,$B$1)</f>
        <v>0</v>
      </c>
      <c r="U123" s="124" cm="1">
        <f t="array" ref="U123">_xll.EQNXTDZ($A$1,$B123,U$1,$B$1)</f>
        <v>0</v>
      </c>
      <c r="V123" s="124" cm="1">
        <f t="array" ref="V123">_xll.EQNXTDZ($A$1,$B123,V$1,$B$1)</f>
        <v>0</v>
      </c>
      <c r="W123" s="124" cm="1">
        <f t="array" ref="W123">_xll.EQNXTDZ($A$1,$B123,W$1,$B$1)</f>
        <v>0</v>
      </c>
      <c r="X123" s="124" cm="1">
        <f t="array" ref="X123">_xll.EQNXTDZ($A$1,$B123,X$1,$B$1)</f>
        <v>0</v>
      </c>
      <c r="Y123" s="124" cm="1">
        <f t="array" ref="Y123">_xll.EQNXTDZ($A$1,$B123,Y$1,$B$1)</f>
        <v>0</v>
      </c>
      <c r="Z123" s="124" cm="1">
        <f t="array" ref="Z123">_xll.EQNXTDZ($A$1,$B123,Z$1,$B$1)</f>
        <v>0</v>
      </c>
      <c r="AA123" s="124" cm="1">
        <f t="array" ref="AA123">_xll.EQNXTDZ($A$1,$B123,AA$1,$B$1)</f>
        <v>0</v>
      </c>
      <c r="AB123" s="124" cm="1">
        <f t="array" ref="AB123">_xll.EQNXTDZ($A$1,$B123,AB$1,$B$1)</f>
        <v>0</v>
      </c>
      <c r="AC123" s="124" cm="1">
        <f t="array" ref="AC123">_xll.EQNXTDZ($A$1,$B123,AC$1,$B$1)</f>
        <v>0</v>
      </c>
      <c r="AD123" s="124" cm="1">
        <f t="array" ref="AD123">_xll.EQNXTDZ($A$1,$B123,AD$1,$B$1)</f>
        <v>0</v>
      </c>
      <c r="AE123" s="124" cm="1">
        <f t="array" ref="AE123">_xll.EQNXTDZ($A$1,$B123,AE$1,$B$1)</f>
        <v>0</v>
      </c>
      <c r="AF123" s="124" cm="1">
        <f t="array" ref="AF123">_xll.EQNXTDZ($A$1,$B123,AF$1,$B$1)</f>
        <v>0</v>
      </c>
    </row>
    <row r="124" spans="1:32" x14ac:dyDescent="0.25">
      <c r="A124" t="s">
        <v>221</v>
      </c>
      <c r="B124" t="s">
        <v>439</v>
      </c>
      <c r="C124" s="124" cm="1">
        <f t="array" ref="C124">_xll.EQNXTDZ($A$1,$B124,C$1,$B$1)</f>
        <v>0</v>
      </c>
      <c r="D124" s="124" cm="1">
        <f t="array" ref="D124">_xll.EQNXTDZ($A$1,$B124,D$1,$B$1)</f>
        <v>0</v>
      </c>
      <c r="E124" s="124" cm="1">
        <f t="array" ref="E124">_xll.EQNXTDZ($A$1,$B124,E$1,$B$1)</f>
        <v>0</v>
      </c>
      <c r="F124" s="124" cm="1">
        <f t="array" ref="F124">_xll.EQNXTDZ($A$1,$B124,F$1,$B$1)</f>
        <v>0</v>
      </c>
      <c r="G124" s="124" cm="1">
        <f t="array" ref="G124">_xll.EQNXTDZ($A$1,$B124,G$1,$B$1)</f>
        <v>0</v>
      </c>
      <c r="H124" s="124" cm="1">
        <f t="array" ref="H124">_xll.EQNXTDZ($A$1,$B124,H$1,$B$1)</f>
        <v>0</v>
      </c>
      <c r="I124" s="124" cm="1">
        <f t="array" ref="I124">_xll.EQNXTDZ($A$1,$B124,I$1,$B$1)</f>
        <v>0</v>
      </c>
      <c r="J124" s="124" cm="1">
        <f t="array" ref="J124">_xll.EQNXTDZ($A$1,$B124,J$1,$B$1)</f>
        <v>0</v>
      </c>
      <c r="K124" s="124" cm="1">
        <f t="array" ref="K124">_xll.EQNXTDZ($A$1,$B124,K$1,$B$1)</f>
        <v>0</v>
      </c>
      <c r="L124" s="124" cm="1">
        <f t="array" ref="L124">_xll.EQNXTDZ($A$1,$B124,L$1,$B$1)</f>
        <v>0</v>
      </c>
      <c r="M124" s="124" cm="1">
        <f t="array" ref="M124">_xll.EQNXTDZ($A$1,$B124,M$1,$B$1)</f>
        <v>0</v>
      </c>
      <c r="N124" s="124" cm="1">
        <f t="array" ref="N124">_xll.EQNXTDZ($A$1,$B124,N$1,$B$1)</f>
        <v>0</v>
      </c>
      <c r="O124" s="124" cm="1">
        <f t="array" ref="O124">_xll.EQNXTDZ($A$1,$B124,O$1,$B$1)</f>
        <v>0</v>
      </c>
      <c r="P124" s="124" cm="1">
        <f t="array" ref="P124">_xll.EQNXTDZ($A$1,$B124,P$1,$B$1)</f>
        <v>0</v>
      </c>
      <c r="Q124" s="124" cm="1">
        <f t="array" ref="Q124">_xll.EQNXTDZ($A$1,$B124,Q$1,$B$1)</f>
        <v>0</v>
      </c>
      <c r="R124" s="124" cm="1">
        <f t="array" ref="R124">_xll.EQNXTDZ($A$1,$B124,R$1,$B$1)</f>
        <v>0</v>
      </c>
      <c r="S124" s="124" cm="1">
        <f t="array" ref="S124">_xll.EQNXTDZ($A$1,$B124,S$1,$B$1)</f>
        <v>0</v>
      </c>
      <c r="T124" s="124" cm="1">
        <f t="array" ref="T124">_xll.EQNXTDZ($A$1,$B124,T$1,$B$1)</f>
        <v>0</v>
      </c>
      <c r="U124" s="124" cm="1">
        <f t="array" ref="U124">_xll.EQNXTDZ($A$1,$B124,U$1,$B$1)</f>
        <v>0</v>
      </c>
      <c r="V124" s="124" cm="1">
        <f t="array" ref="V124">_xll.EQNXTDZ($A$1,$B124,V$1,$B$1)</f>
        <v>0</v>
      </c>
      <c r="W124" s="124" cm="1">
        <f t="array" ref="W124">_xll.EQNXTDZ($A$1,$B124,W$1,$B$1)</f>
        <v>0</v>
      </c>
      <c r="X124" s="124" cm="1">
        <f t="array" ref="X124">_xll.EQNXTDZ($A$1,$B124,X$1,$B$1)</f>
        <v>0</v>
      </c>
      <c r="Y124" s="124" cm="1">
        <f t="array" ref="Y124">_xll.EQNXTDZ($A$1,$B124,Y$1,$B$1)</f>
        <v>0</v>
      </c>
      <c r="Z124" s="124" cm="1">
        <f t="array" ref="Z124">_xll.EQNXTDZ($A$1,$B124,Z$1,$B$1)</f>
        <v>0</v>
      </c>
      <c r="AA124" s="124" cm="1">
        <f t="array" ref="AA124">_xll.EQNXTDZ($A$1,$B124,AA$1,$B$1)</f>
        <v>0</v>
      </c>
      <c r="AB124" s="124" cm="1">
        <f t="array" ref="AB124">_xll.EQNXTDZ($A$1,$B124,AB$1,$B$1)</f>
        <v>0</v>
      </c>
      <c r="AC124" s="124" cm="1">
        <f t="array" ref="AC124">_xll.EQNXTDZ($A$1,$B124,AC$1,$B$1)</f>
        <v>0</v>
      </c>
      <c r="AD124" s="124" cm="1">
        <f t="array" ref="AD124">_xll.EQNXTDZ($A$1,$B124,AD$1,$B$1)</f>
        <v>0</v>
      </c>
      <c r="AE124" s="124" cm="1">
        <f t="array" ref="AE124">_xll.EQNXTDZ($A$1,$B124,AE$1,$B$1)</f>
        <v>0</v>
      </c>
      <c r="AF124" s="124" cm="1">
        <f t="array" ref="AF124">_xll.EQNXTDZ($A$1,$B124,AF$1,$B$1)</f>
        <v>0</v>
      </c>
    </row>
    <row r="125" spans="1:32" x14ac:dyDescent="0.25">
      <c r="A125" t="s">
        <v>237</v>
      </c>
      <c r="B125" t="s">
        <v>440</v>
      </c>
      <c r="C125" s="124" cm="1">
        <f t="array" ref="C125">_xll.EQNXTDZ($A$1,$B125,C$1,$B$1)</f>
        <v>0</v>
      </c>
      <c r="D125" s="124" cm="1">
        <f t="array" ref="D125">_xll.EQNXTDZ($A$1,$B125,D$1,$B$1)</f>
        <v>0</v>
      </c>
      <c r="E125" s="124" cm="1">
        <f t="array" ref="E125">_xll.EQNXTDZ($A$1,$B125,E$1,$B$1)</f>
        <v>0</v>
      </c>
      <c r="F125" s="124" cm="1">
        <f t="array" ref="F125">_xll.EQNXTDZ($A$1,$B125,F$1,$B$1)</f>
        <v>0</v>
      </c>
      <c r="G125" s="124" cm="1">
        <f t="array" ref="G125">_xll.EQNXTDZ($A$1,$B125,G$1,$B$1)</f>
        <v>0</v>
      </c>
      <c r="H125" s="124" cm="1">
        <f t="array" ref="H125">_xll.EQNXTDZ($A$1,$B125,H$1,$B$1)</f>
        <v>0</v>
      </c>
      <c r="I125" s="124" cm="1">
        <f t="array" ref="I125">_xll.EQNXTDZ($A$1,$B125,I$1,$B$1)</f>
        <v>0</v>
      </c>
      <c r="J125" s="124" cm="1">
        <f t="array" ref="J125">_xll.EQNXTDZ($A$1,$B125,J$1,$B$1)</f>
        <v>0</v>
      </c>
      <c r="K125" s="124" cm="1">
        <f t="array" ref="K125">_xll.EQNXTDZ($A$1,$B125,K$1,$B$1)</f>
        <v>0</v>
      </c>
      <c r="L125" s="124" cm="1">
        <f t="array" ref="L125">_xll.EQNXTDZ($A$1,$B125,L$1,$B$1)</f>
        <v>0</v>
      </c>
      <c r="M125" s="124" cm="1">
        <f t="array" ref="M125">_xll.EQNXTDZ($A$1,$B125,M$1,$B$1)</f>
        <v>0</v>
      </c>
      <c r="N125" s="124" cm="1">
        <f t="array" ref="N125">_xll.EQNXTDZ($A$1,$B125,N$1,$B$1)</f>
        <v>0</v>
      </c>
      <c r="O125" s="124" cm="1">
        <f t="array" ref="O125">_xll.EQNXTDZ($A$1,$B125,O$1,$B$1)</f>
        <v>0</v>
      </c>
      <c r="P125" s="124" cm="1">
        <f t="array" ref="P125">_xll.EQNXTDZ($A$1,$B125,P$1,$B$1)</f>
        <v>0</v>
      </c>
      <c r="Q125" s="124" cm="1">
        <f t="array" ref="Q125">_xll.EQNXTDZ($A$1,$B125,Q$1,$B$1)</f>
        <v>0</v>
      </c>
      <c r="R125" s="124" cm="1">
        <f t="array" ref="R125">_xll.EQNXTDZ($A$1,$B125,R$1,$B$1)</f>
        <v>0</v>
      </c>
      <c r="S125" s="124" cm="1">
        <f t="array" ref="S125">_xll.EQNXTDZ($A$1,$B125,S$1,$B$1)</f>
        <v>0</v>
      </c>
      <c r="T125" s="124" cm="1">
        <f t="array" ref="T125">_xll.EQNXTDZ($A$1,$B125,T$1,$B$1)</f>
        <v>0</v>
      </c>
      <c r="U125" s="124" cm="1">
        <f t="array" ref="U125">_xll.EQNXTDZ($A$1,$B125,U$1,$B$1)</f>
        <v>0</v>
      </c>
      <c r="V125" s="124" cm="1">
        <f t="array" ref="V125">_xll.EQNXTDZ($A$1,$B125,V$1,$B$1)</f>
        <v>0</v>
      </c>
      <c r="W125" s="124" cm="1">
        <f t="array" ref="W125">_xll.EQNXTDZ($A$1,$B125,W$1,$B$1)</f>
        <v>0</v>
      </c>
      <c r="X125" s="124" cm="1">
        <f t="array" ref="X125">_xll.EQNXTDZ($A$1,$B125,X$1,$B$1)</f>
        <v>0</v>
      </c>
      <c r="Y125" s="124" cm="1">
        <f t="array" ref="Y125">_xll.EQNXTDZ($A$1,$B125,Y$1,$B$1)</f>
        <v>0</v>
      </c>
      <c r="Z125" s="124" cm="1">
        <f t="array" ref="Z125">_xll.EQNXTDZ($A$1,$B125,Z$1,$B$1)</f>
        <v>0</v>
      </c>
      <c r="AA125" s="124" cm="1">
        <f t="array" ref="AA125">_xll.EQNXTDZ($A$1,$B125,AA$1,$B$1)</f>
        <v>0</v>
      </c>
      <c r="AB125" s="124" cm="1">
        <f t="array" ref="AB125">_xll.EQNXTDZ($A$1,$B125,AB$1,$B$1)</f>
        <v>0</v>
      </c>
      <c r="AC125" s="124" cm="1">
        <f t="array" ref="AC125">_xll.EQNXTDZ($A$1,$B125,AC$1,$B$1)</f>
        <v>0</v>
      </c>
      <c r="AD125" s="124" cm="1">
        <f t="array" ref="AD125">_xll.EQNXTDZ($A$1,$B125,AD$1,$B$1)</f>
        <v>0</v>
      </c>
      <c r="AE125" s="124" cm="1">
        <f t="array" ref="AE125">_xll.EQNXTDZ($A$1,$B125,AE$1,$B$1)</f>
        <v>0</v>
      </c>
      <c r="AF125" s="124" cm="1">
        <f t="array" ref="AF125">_xll.EQNXTDZ($A$1,$B125,AF$1,$B$1)</f>
        <v>0</v>
      </c>
    </row>
    <row r="126" spans="1:32" x14ac:dyDescent="0.25">
      <c r="A126" t="s">
        <v>270</v>
      </c>
      <c r="B126" t="s">
        <v>441</v>
      </c>
      <c r="C126" s="124" cm="1">
        <f t="array" ref="C126">_xll.EQNXTDZ($A$1,$B126,C$1,$B$1)</f>
        <v>0</v>
      </c>
      <c r="D126" s="124" cm="1">
        <f t="array" ref="D126">_xll.EQNXTDZ($A$1,$B126,D$1,$B$1)</f>
        <v>0</v>
      </c>
      <c r="E126" s="124" cm="1">
        <f t="array" ref="E126">_xll.EQNXTDZ($A$1,$B126,E$1,$B$1)</f>
        <v>0</v>
      </c>
      <c r="F126" s="124" cm="1">
        <f t="array" ref="F126">_xll.EQNXTDZ($A$1,$B126,F$1,$B$1)</f>
        <v>0</v>
      </c>
      <c r="G126" s="124" cm="1">
        <f t="array" ref="G126">_xll.EQNXTDZ($A$1,$B126,G$1,$B$1)</f>
        <v>0</v>
      </c>
      <c r="H126" s="124" cm="1">
        <f t="array" ref="H126">_xll.EQNXTDZ($A$1,$B126,H$1,$B$1)</f>
        <v>0</v>
      </c>
      <c r="I126" s="124" cm="1">
        <f t="array" ref="I126">_xll.EQNXTDZ($A$1,$B126,I$1,$B$1)</f>
        <v>0</v>
      </c>
      <c r="J126" s="124" cm="1">
        <f t="array" ref="J126">_xll.EQNXTDZ($A$1,$B126,J$1,$B$1)</f>
        <v>0</v>
      </c>
      <c r="K126" s="124" cm="1">
        <f t="array" ref="K126">_xll.EQNXTDZ($A$1,$B126,K$1,$B$1)</f>
        <v>0</v>
      </c>
      <c r="L126" s="124" cm="1">
        <f t="array" ref="L126">_xll.EQNXTDZ($A$1,$B126,L$1,$B$1)</f>
        <v>0</v>
      </c>
      <c r="M126" s="124" cm="1">
        <f t="array" ref="M126">_xll.EQNXTDZ($A$1,$B126,M$1,$B$1)</f>
        <v>0</v>
      </c>
      <c r="N126" s="124" cm="1">
        <f t="array" ref="N126">_xll.EQNXTDZ($A$1,$B126,N$1,$B$1)</f>
        <v>0</v>
      </c>
      <c r="O126" s="124" cm="1">
        <f t="array" ref="O126">_xll.EQNXTDZ($A$1,$B126,O$1,$B$1)</f>
        <v>0</v>
      </c>
      <c r="P126" s="124" cm="1">
        <f t="array" ref="P126">_xll.EQNXTDZ($A$1,$B126,P$1,$B$1)</f>
        <v>0</v>
      </c>
      <c r="Q126" s="124" cm="1">
        <f t="array" ref="Q126">_xll.EQNXTDZ($A$1,$B126,Q$1,$B$1)</f>
        <v>0</v>
      </c>
      <c r="R126" s="124" cm="1">
        <f t="array" ref="R126">_xll.EQNXTDZ($A$1,$B126,R$1,$B$1)</f>
        <v>0</v>
      </c>
      <c r="S126" s="124" cm="1">
        <f t="array" ref="S126">_xll.EQNXTDZ($A$1,$B126,S$1,$B$1)</f>
        <v>0</v>
      </c>
      <c r="T126" s="124" cm="1">
        <f t="array" ref="T126">_xll.EQNXTDZ($A$1,$B126,T$1,$B$1)</f>
        <v>0</v>
      </c>
      <c r="U126" s="124" cm="1">
        <f t="array" ref="U126">_xll.EQNXTDZ($A$1,$B126,U$1,$B$1)</f>
        <v>0</v>
      </c>
      <c r="V126" s="124" cm="1">
        <f t="array" ref="V126">_xll.EQNXTDZ($A$1,$B126,V$1,$B$1)</f>
        <v>0</v>
      </c>
      <c r="W126" s="124" cm="1">
        <f t="array" ref="W126">_xll.EQNXTDZ($A$1,$B126,W$1,$B$1)</f>
        <v>0</v>
      </c>
      <c r="X126" s="124" cm="1">
        <f t="array" ref="X126">_xll.EQNXTDZ($A$1,$B126,X$1,$B$1)</f>
        <v>0</v>
      </c>
      <c r="Y126" s="124" cm="1">
        <f t="array" ref="Y126">_xll.EQNXTDZ($A$1,$B126,Y$1,$B$1)</f>
        <v>0</v>
      </c>
      <c r="Z126" s="124" cm="1">
        <f t="array" ref="Z126">_xll.EQNXTDZ($A$1,$B126,Z$1,$B$1)</f>
        <v>0</v>
      </c>
      <c r="AA126" s="124" cm="1">
        <f t="array" ref="AA126">_xll.EQNXTDZ($A$1,$B126,AA$1,$B$1)</f>
        <v>0</v>
      </c>
      <c r="AB126" s="124" cm="1">
        <f t="array" ref="AB126">_xll.EQNXTDZ($A$1,$B126,AB$1,$B$1)</f>
        <v>0</v>
      </c>
      <c r="AC126" s="124" cm="1">
        <f t="array" ref="AC126">_xll.EQNXTDZ($A$1,$B126,AC$1,$B$1)</f>
        <v>0</v>
      </c>
      <c r="AD126" s="124" cm="1">
        <f t="array" ref="AD126">_xll.EQNXTDZ($A$1,$B126,AD$1,$B$1)</f>
        <v>0</v>
      </c>
      <c r="AE126" s="124" cm="1">
        <f t="array" ref="AE126">_xll.EQNXTDZ($A$1,$B126,AE$1,$B$1)</f>
        <v>0</v>
      </c>
      <c r="AF126" s="124" cm="1">
        <f t="array" ref="AF126">_xll.EQNXTDZ($A$1,$B126,AF$1,$B$1)</f>
        <v>0</v>
      </c>
    </row>
    <row r="127" spans="1:32" x14ac:dyDescent="0.25">
      <c r="A127" t="s">
        <v>223</v>
      </c>
      <c r="B127" t="s">
        <v>442</v>
      </c>
      <c r="C127" s="124" cm="1">
        <f t="array" ref="C127">_xll.EQNXTDZ($A$1,$B127,C$1,$B$1)</f>
        <v>0</v>
      </c>
      <c r="D127" s="124" cm="1">
        <f t="array" ref="D127">_xll.EQNXTDZ($A$1,$B127,D$1,$B$1)</f>
        <v>0</v>
      </c>
      <c r="E127" s="124" cm="1">
        <f t="array" ref="E127">_xll.EQNXTDZ($A$1,$B127,E$1,$B$1)</f>
        <v>0</v>
      </c>
      <c r="F127" s="124" cm="1">
        <f t="array" ref="F127">_xll.EQNXTDZ($A$1,$B127,F$1,$B$1)</f>
        <v>0</v>
      </c>
      <c r="G127" s="124" cm="1">
        <f t="array" ref="G127">_xll.EQNXTDZ($A$1,$B127,G$1,$B$1)</f>
        <v>0</v>
      </c>
      <c r="H127" s="124" cm="1">
        <f t="array" ref="H127">_xll.EQNXTDZ($A$1,$B127,H$1,$B$1)</f>
        <v>0</v>
      </c>
      <c r="I127" s="124" cm="1">
        <f t="array" ref="I127">_xll.EQNXTDZ($A$1,$B127,I$1,$B$1)</f>
        <v>0</v>
      </c>
      <c r="J127" s="124" cm="1">
        <f t="array" ref="J127">_xll.EQNXTDZ($A$1,$B127,J$1,$B$1)</f>
        <v>0</v>
      </c>
      <c r="K127" s="124" cm="1">
        <f t="array" ref="K127">_xll.EQNXTDZ($A$1,$B127,K$1,$B$1)</f>
        <v>0</v>
      </c>
      <c r="L127" s="124" cm="1">
        <f t="array" ref="L127">_xll.EQNXTDZ($A$1,$B127,L$1,$B$1)</f>
        <v>0</v>
      </c>
      <c r="M127" s="124" cm="1">
        <f t="array" ref="M127">_xll.EQNXTDZ($A$1,$B127,M$1,$B$1)</f>
        <v>0</v>
      </c>
      <c r="N127" s="124" cm="1">
        <f t="array" ref="N127">_xll.EQNXTDZ($A$1,$B127,N$1,$B$1)</f>
        <v>0</v>
      </c>
      <c r="O127" s="124" cm="1">
        <f t="array" ref="O127">_xll.EQNXTDZ($A$1,$B127,O$1,$B$1)</f>
        <v>0</v>
      </c>
      <c r="P127" s="124" cm="1">
        <f t="array" ref="P127">_xll.EQNXTDZ($A$1,$B127,P$1,$B$1)</f>
        <v>0</v>
      </c>
      <c r="Q127" s="124" cm="1">
        <f t="array" ref="Q127">_xll.EQNXTDZ($A$1,$B127,Q$1,$B$1)</f>
        <v>0</v>
      </c>
      <c r="R127" s="124" cm="1">
        <f t="array" ref="R127">_xll.EQNXTDZ($A$1,$B127,R$1,$B$1)</f>
        <v>0</v>
      </c>
      <c r="S127" s="124" cm="1">
        <f t="array" ref="S127">_xll.EQNXTDZ($A$1,$B127,S$1,$B$1)</f>
        <v>0</v>
      </c>
      <c r="T127" s="124" cm="1">
        <f t="array" ref="T127">_xll.EQNXTDZ($A$1,$B127,T$1,$B$1)</f>
        <v>0</v>
      </c>
      <c r="U127" s="124" cm="1">
        <f t="array" ref="U127">_xll.EQNXTDZ($A$1,$B127,U$1,$B$1)</f>
        <v>0</v>
      </c>
      <c r="V127" s="124" cm="1">
        <f t="array" ref="V127">_xll.EQNXTDZ($A$1,$B127,V$1,$B$1)</f>
        <v>0</v>
      </c>
      <c r="W127" s="124" cm="1">
        <f t="array" ref="W127">_xll.EQNXTDZ($A$1,$B127,W$1,$B$1)</f>
        <v>0</v>
      </c>
      <c r="X127" s="124" cm="1">
        <f t="array" ref="X127">_xll.EQNXTDZ($A$1,$B127,X$1,$B$1)</f>
        <v>0</v>
      </c>
      <c r="Y127" s="124" cm="1">
        <f t="array" ref="Y127">_xll.EQNXTDZ($A$1,$B127,Y$1,$B$1)</f>
        <v>0</v>
      </c>
      <c r="Z127" s="124" cm="1">
        <f t="array" ref="Z127">_xll.EQNXTDZ($A$1,$B127,Z$1,$B$1)</f>
        <v>0</v>
      </c>
      <c r="AA127" s="124" cm="1">
        <f t="array" ref="AA127">_xll.EQNXTDZ($A$1,$B127,AA$1,$B$1)</f>
        <v>0</v>
      </c>
      <c r="AB127" s="124" cm="1">
        <f t="array" ref="AB127">_xll.EQNXTDZ($A$1,$B127,AB$1,$B$1)</f>
        <v>0</v>
      </c>
      <c r="AC127" s="124" cm="1">
        <f t="array" ref="AC127">_xll.EQNXTDZ($A$1,$B127,AC$1,$B$1)</f>
        <v>0</v>
      </c>
      <c r="AD127" s="124" cm="1">
        <f t="array" ref="AD127">_xll.EQNXTDZ($A$1,$B127,AD$1,$B$1)</f>
        <v>0</v>
      </c>
      <c r="AE127" s="124" cm="1">
        <f t="array" ref="AE127">_xll.EQNXTDZ($A$1,$B127,AE$1,$B$1)</f>
        <v>0</v>
      </c>
      <c r="AF127" s="124" cm="1">
        <f t="array" ref="AF127">_xll.EQNXTDZ($A$1,$B127,AF$1,$B$1)</f>
        <v>0</v>
      </c>
    </row>
    <row r="128" spans="1:32" x14ac:dyDescent="0.25">
      <c r="A128" t="s">
        <v>271</v>
      </c>
      <c r="B128" t="s">
        <v>443</v>
      </c>
      <c r="C128" s="124" cm="1">
        <f t="array" ref="C128">_xll.EQNXTDZ($A$1,$B128,C$1,$B$1)</f>
        <v>0</v>
      </c>
      <c r="D128" s="124" cm="1">
        <f t="array" ref="D128">_xll.EQNXTDZ($A$1,$B128,D$1,$B$1)</f>
        <v>0</v>
      </c>
      <c r="E128" s="124" cm="1">
        <f t="array" ref="E128">_xll.EQNXTDZ($A$1,$B128,E$1,$B$1)</f>
        <v>0</v>
      </c>
      <c r="F128" s="124" cm="1">
        <f t="array" ref="F128">_xll.EQNXTDZ($A$1,$B128,F$1,$B$1)</f>
        <v>0</v>
      </c>
      <c r="G128" s="124" cm="1">
        <f t="array" ref="G128">_xll.EQNXTDZ($A$1,$B128,G$1,$B$1)</f>
        <v>0</v>
      </c>
      <c r="H128" s="124" cm="1">
        <f t="array" ref="H128">_xll.EQNXTDZ($A$1,$B128,H$1,$B$1)</f>
        <v>0</v>
      </c>
      <c r="I128" s="124" cm="1">
        <f t="array" ref="I128">_xll.EQNXTDZ($A$1,$B128,I$1,$B$1)</f>
        <v>0</v>
      </c>
      <c r="J128" s="124" cm="1">
        <f t="array" ref="J128">_xll.EQNXTDZ($A$1,$B128,J$1,$B$1)</f>
        <v>0</v>
      </c>
      <c r="K128" s="124" cm="1">
        <f t="array" ref="K128">_xll.EQNXTDZ($A$1,$B128,K$1,$B$1)</f>
        <v>0</v>
      </c>
      <c r="L128" s="124" cm="1">
        <f t="array" ref="L128">_xll.EQNXTDZ($A$1,$B128,L$1,$B$1)</f>
        <v>0</v>
      </c>
      <c r="M128" s="124" cm="1">
        <f t="array" ref="M128">_xll.EQNXTDZ($A$1,$B128,M$1,$B$1)</f>
        <v>0</v>
      </c>
      <c r="N128" s="124" cm="1">
        <f t="array" ref="N128">_xll.EQNXTDZ($A$1,$B128,N$1,$B$1)</f>
        <v>0</v>
      </c>
      <c r="O128" s="124" cm="1">
        <f t="array" ref="O128">_xll.EQNXTDZ($A$1,$B128,O$1,$B$1)</f>
        <v>0</v>
      </c>
      <c r="P128" s="124" cm="1">
        <f t="array" ref="P128">_xll.EQNXTDZ($A$1,$B128,P$1,$B$1)</f>
        <v>0</v>
      </c>
      <c r="Q128" s="124" cm="1">
        <f t="array" ref="Q128">_xll.EQNXTDZ($A$1,$B128,Q$1,$B$1)</f>
        <v>0</v>
      </c>
      <c r="R128" s="124" cm="1">
        <f t="array" ref="R128">_xll.EQNXTDZ($A$1,$B128,R$1,$B$1)</f>
        <v>0</v>
      </c>
      <c r="S128" s="124" cm="1">
        <f t="array" ref="S128">_xll.EQNXTDZ($A$1,$B128,S$1,$B$1)</f>
        <v>0</v>
      </c>
      <c r="T128" s="124" cm="1">
        <f t="array" ref="T128">_xll.EQNXTDZ($A$1,$B128,T$1,$B$1)</f>
        <v>0</v>
      </c>
      <c r="U128" s="124" cm="1">
        <f t="array" ref="U128">_xll.EQNXTDZ($A$1,$B128,U$1,$B$1)</f>
        <v>0</v>
      </c>
      <c r="V128" s="124" cm="1">
        <f t="array" ref="V128">_xll.EQNXTDZ($A$1,$B128,V$1,$B$1)</f>
        <v>0</v>
      </c>
      <c r="W128" s="124" cm="1">
        <f t="array" ref="W128">_xll.EQNXTDZ($A$1,$B128,W$1,$B$1)</f>
        <v>0</v>
      </c>
      <c r="X128" s="124" cm="1">
        <f t="array" ref="X128">_xll.EQNXTDZ($A$1,$B128,X$1,$B$1)</f>
        <v>0</v>
      </c>
      <c r="Y128" s="124" cm="1">
        <f t="array" ref="Y128">_xll.EQNXTDZ($A$1,$B128,Y$1,$B$1)</f>
        <v>0</v>
      </c>
      <c r="Z128" s="124" cm="1">
        <f t="array" ref="Z128">_xll.EQNXTDZ($A$1,$B128,Z$1,$B$1)</f>
        <v>0</v>
      </c>
      <c r="AA128" s="124" cm="1">
        <f t="array" ref="AA128">_xll.EQNXTDZ($A$1,$B128,AA$1,$B$1)</f>
        <v>0</v>
      </c>
      <c r="AB128" s="124" cm="1">
        <f t="array" ref="AB128">_xll.EQNXTDZ($A$1,$B128,AB$1,$B$1)</f>
        <v>0</v>
      </c>
      <c r="AC128" s="124" cm="1">
        <f t="array" ref="AC128">_xll.EQNXTDZ($A$1,$B128,AC$1,$B$1)</f>
        <v>0</v>
      </c>
      <c r="AD128" s="124" cm="1">
        <f t="array" ref="AD128">_xll.EQNXTDZ($A$1,$B128,AD$1,$B$1)</f>
        <v>0</v>
      </c>
      <c r="AE128" s="124" cm="1">
        <f t="array" ref="AE128">_xll.EQNXTDZ($A$1,$B128,AE$1,$B$1)</f>
        <v>0</v>
      </c>
      <c r="AF128" s="124" cm="1">
        <f t="array" ref="AF128">_xll.EQNXTDZ($A$1,$B128,AF$1,$B$1)</f>
        <v>0</v>
      </c>
    </row>
    <row r="129" spans="1:32" x14ac:dyDescent="0.25">
      <c r="A129" t="s">
        <v>272</v>
      </c>
      <c r="B129" t="s">
        <v>444</v>
      </c>
      <c r="C129" s="124" cm="1">
        <f t="array" ref="C129">_xll.EQNXTDZ($A$1,$B129,C$1,$B$1)</f>
        <v>0</v>
      </c>
      <c r="D129" s="124" cm="1">
        <f t="array" ref="D129">_xll.EQNXTDZ($A$1,$B129,D$1,$B$1)</f>
        <v>0</v>
      </c>
      <c r="E129" s="124" cm="1">
        <f t="array" ref="E129">_xll.EQNXTDZ($A$1,$B129,E$1,$B$1)</f>
        <v>0</v>
      </c>
      <c r="F129" s="124" cm="1">
        <f t="array" ref="F129">_xll.EQNXTDZ($A$1,$B129,F$1,$B$1)</f>
        <v>0</v>
      </c>
      <c r="G129" s="124" cm="1">
        <f t="array" ref="G129">_xll.EQNXTDZ($A$1,$B129,G$1,$B$1)</f>
        <v>0</v>
      </c>
      <c r="H129" s="124" cm="1">
        <f t="array" ref="H129">_xll.EQNXTDZ($A$1,$B129,H$1,$B$1)</f>
        <v>0</v>
      </c>
      <c r="I129" s="124" cm="1">
        <f t="array" ref="I129">_xll.EQNXTDZ($A$1,$B129,I$1,$B$1)</f>
        <v>0</v>
      </c>
      <c r="J129" s="124" cm="1">
        <f t="array" ref="J129">_xll.EQNXTDZ($A$1,$B129,J$1,$B$1)</f>
        <v>0</v>
      </c>
      <c r="K129" s="124" cm="1">
        <f t="array" ref="K129">_xll.EQNXTDZ($A$1,$B129,K$1,$B$1)</f>
        <v>0</v>
      </c>
      <c r="L129" s="124" cm="1">
        <f t="array" ref="L129">_xll.EQNXTDZ($A$1,$B129,L$1,$B$1)</f>
        <v>0</v>
      </c>
      <c r="M129" s="124" cm="1">
        <f t="array" ref="M129">_xll.EQNXTDZ($A$1,$B129,M$1,$B$1)</f>
        <v>0</v>
      </c>
      <c r="N129" s="124" cm="1">
        <f t="array" ref="N129">_xll.EQNXTDZ($A$1,$B129,N$1,$B$1)</f>
        <v>0</v>
      </c>
      <c r="O129" s="124" cm="1">
        <f t="array" ref="O129">_xll.EQNXTDZ($A$1,$B129,O$1,$B$1)</f>
        <v>0</v>
      </c>
      <c r="P129" s="124" cm="1">
        <f t="array" ref="P129">_xll.EQNXTDZ($A$1,$B129,P$1,$B$1)</f>
        <v>0</v>
      </c>
      <c r="Q129" s="124" cm="1">
        <f t="array" ref="Q129">_xll.EQNXTDZ($A$1,$B129,Q$1,$B$1)</f>
        <v>0</v>
      </c>
      <c r="R129" s="124" cm="1">
        <f t="array" ref="R129">_xll.EQNXTDZ($A$1,$B129,R$1,$B$1)</f>
        <v>0</v>
      </c>
      <c r="S129" s="124" cm="1">
        <f t="array" ref="S129">_xll.EQNXTDZ($A$1,$B129,S$1,$B$1)</f>
        <v>0</v>
      </c>
      <c r="T129" s="124" cm="1">
        <f t="array" ref="T129">_xll.EQNXTDZ($A$1,$B129,T$1,$B$1)</f>
        <v>0</v>
      </c>
      <c r="U129" s="124" cm="1">
        <f t="array" ref="U129">_xll.EQNXTDZ($A$1,$B129,U$1,$B$1)</f>
        <v>0</v>
      </c>
      <c r="V129" s="124" cm="1">
        <f t="array" ref="V129">_xll.EQNXTDZ($A$1,$B129,V$1,$B$1)</f>
        <v>0</v>
      </c>
      <c r="W129" s="124" cm="1">
        <f t="array" ref="W129">_xll.EQNXTDZ($A$1,$B129,W$1,$B$1)</f>
        <v>0</v>
      </c>
      <c r="X129" s="124" cm="1">
        <f t="array" ref="X129">_xll.EQNXTDZ($A$1,$B129,X$1,$B$1)</f>
        <v>0</v>
      </c>
      <c r="Y129" s="124" cm="1">
        <f t="array" ref="Y129">_xll.EQNXTDZ($A$1,$B129,Y$1,$B$1)</f>
        <v>0</v>
      </c>
      <c r="Z129" s="124" cm="1">
        <f t="array" ref="Z129">_xll.EQNXTDZ($A$1,$B129,Z$1,$B$1)</f>
        <v>0</v>
      </c>
      <c r="AA129" s="124" cm="1">
        <f t="array" ref="AA129">_xll.EQNXTDZ($A$1,$B129,AA$1,$B$1)</f>
        <v>0</v>
      </c>
      <c r="AB129" s="124" cm="1">
        <f t="array" ref="AB129">_xll.EQNXTDZ($A$1,$B129,AB$1,$B$1)</f>
        <v>0</v>
      </c>
      <c r="AC129" s="124" cm="1">
        <f t="array" ref="AC129">_xll.EQNXTDZ($A$1,$B129,AC$1,$B$1)</f>
        <v>0</v>
      </c>
      <c r="AD129" s="124" cm="1">
        <f t="array" ref="AD129">_xll.EQNXTDZ($A$1,$B129,AD$1,$B$1)</f>
        <v>0</v>
      </c>
      <c r="AE129" s="124" cm="1">
        <f t="array" ref="AE129">_xll.EQNXTDZ($A$1,$B129,AE$1,$B$1)</f>
        <v>0</v>
      </c>
      <c r="AF129" s="124" cm="1">
        <f t="array" ref="AF129">_xll.EQNXTDZ($A$1,$B129,AF$1,$B$1)</f>
        <v>0</v>
      </c>
    </row>
    <row r="130" spans="1:32" x14ac:dyDescent="0.25">
      <c r="A130" t="s">
        <v>231</v>
      </c>
      <c r="B130" t="s">
        <v>445</v>
      </c>
      <c r="C130" s="124" cm="1">
        <f t="array" ref="C130">_xll.EQNXTDZ($A$1,$B130,C$1,$B$1)</f>
        <v>0</v>
      </c>
      <c r="D130" s="124" cm="1">
        <f t="array" ref="D130">_xll.EQNXTDZ($A$1,$B130,D$1,$B$1)</f>
        <v>0</v>
      </c>
      <c r="E130" s="124" cm="1">
        <f t="array" ref="E130">_xll.EQNXTDZ($A$1,$B130,E$1,$B$1)</f>
        <v>0</v>
      </c>
      <c r="F130" s="124" cm="1">
        <f t="array" ref="F130">_xll.EQNXTDZ($A$1,$B130,F$1,$B$1)</f>
        <v>0</v>
      </c>
      <c r="G130" s="124" cm="1">
        <f t="array" ref="G130">_xll.EQNXTDZ($A$1,$B130,G$1,$B$1)</f>
        <v>0</v>
      </c>
      <c r="H130" s="124" cm="1">
        <f t="array" ref="H130">_xll.EQNXTDZ($A$1,$B130,H$1,$B$1)</f>
        <v>0</v>
      </c>
      <c r="I130" s="124" cm="1">
        <f t="array" ref="I130">_xll.EQNXTDZ($A$1,$B130,I$1,$B$1)</f>
        <v>0</v>
      </c>
      <c r="J130" s="124" cm="1">
        <f t="array" ref="J130">_xll.EQNXTDZ($A$1,$B130,J$1,$B$1)</f>
        <v>0</v>
      </c>
      <c r="K130" s="124" cm="1">
        <f t="array" ref="K130">_xll.EQNXTDZ($A$1,$B130,K$1,$B$1)</f>
        <v>0</v>
      </c>
      <c r="L130" s="124" cm="1">
        <f t="array" ref="L130">_xll.EQNXTDZ($A$1,$B130,L$1,$B$1)</f>
        <v>0</v>
      </c>
      <c r="M130" s="124" cm="1">
        <f t="array" ref="M130">_xll.EQNXTDZ($A$1,$B130,M$1,$B$1)</f>
        <v>0</v>
      </c>
      <c r="N130" s="124" cm="1">
        <f t="array" ref="N130">_xll.EQNXTDZ($A$1,$B130,N$1,$B$1)</f>
        <v>0</v>
      </c>
      <c r="O130" s="124" cm="1">
        <f t="array" ref="O130">_xll.EQNXTDZ($A$1,$B130,O$1,$B$1)</f>
        <v>0</v>
      </c>
      <c r="P130" s="124" cm="1">
        <f t="array" ref="P130">_xll.EQNXTDZ($A$1,$B130,P$1,$B$1)</f>
        <v>0</v>
      </c>
      <c r="Q130" s="124" cm="1">
        <f t="array" ref="Q130">_xll.EQNXTDZ($A$1,$B130,Q$1,$B$1)</f>
        <v>0</v>
      </c>
      <c r="R130" s="124" cm="1">
        <f t="array" ref="R130">_xll.EQNXTDZ($A$1,$B130,R$1,$B$1)</f>
        <v>0</v>
      </c>
      <c r="S130" s="124" cm="1">
        <f t="array" ref="S130">_xll.EQNXTDZ($A$1,$B130,S$1,$B$1)</f>
        <v>0</v>
      </c>
      <c r="T130" s="124" cm="1">
        <f t="array" ref="T130">_xll.EQNXTDZ($A$1,$B130,T$1,$B$1)</f>
        <v>0</v>
      </c>
      <c r="U130" s="124" cm="1">
        <f t="array" ref="U130">_xll.EQNXTDZ($A$1,$B130,U$1,$B$1)</f>
        <v>0</v>
      </c>
      <c r="V130" s="124" cm="1">
        <f t="array" ref="V130">_xll.EQNXTDZ($A$1,$B130,V$1,$B$1)</f>
        <v>0</v>
      </c>
      <c r="W130" s="124" cm="1">
        <f t="array" ref="W130">_xll.EQNXTDZ($A$1,$B130,W$1,$B$1)</f>
        <v>0</v>
      </c>
      <c r="X130" s="124" cm="1">
        <f t="array" ref="X130">_xll.EQNXTDZ($A$1,$B130,X$1,$B$1)</f>
        <v>0</v>
      </c>
      <c r="Y130" s="124" cm="1">
        <f t="array" ref="Y130">_xll.EQNXTDZ($A$1,$B130,Y$1,$B$1)</f>
        <v>0</v>
      </c>
      <c r="Z130" s="124" cm="1">
        <f t="array" ref="Z130">_xll.EQNXTDZ($A$1,$B130,Z$1,$B$1)</f>
        <v>0</v>
      </c>
      <c r="AA130" s="124" cm="1">
        <f t="array" ref="AA130">_xll.EQNXTDZ($A$1,$B130,AA$1,$B$1)</f>
        <v>0</v>
      </c>
      <c r="AB130" s="124" cm="1">
        <f t="array" ref="AB130">_xll.EQNXTDZ($A$1,$B130,AB$1,$B$1)</f>
        <v>0</v>
      </c>
      <c r="AC130" s="124" cm="1">
        <f t="array" ref="AC130">_xll.EQNXTDZ($A$1,$B130,AC$1,$B$1)</f>
        <v>0</v>
      </c>
      <c r="AD130" s="124" cm="1">
        <f t="array" ref="AD130">_xll.EQNXTDZ($A$1,$B130,AD$1,$B$1)</f>
        <v>0</v>
      </c>
      <c r="AE130" s="124" cm="1">
        <f t="array" ref="AE130">_xll.EQNXTDZ($A$1,$B130,AE$1,$B$1)</f>
        <v>0</v>
      </c>
      <c r="AF130" s="124" cm="1">
        <f t="array" ref="AF130">_xll.EQNXTDZ($A$1,$B130,AF$1,$B$1)</f>
        <v>0</v>
      </c>
    </row>
    <row r="131" spans="1:32" x14ac:dyDescent="0.25">
      <c r="A131" t="s">
        <v>95</v>
      </c>
      <c r="B131" t="s">
        <v>446</v>
      </c>
      <c r="C131" s="124" cm="1">
        <f t="array" ref="C131">_xll.EQNXTDZ($A$1,$B131,C$1,$B$1)</f>
        <v>0</v>
      </c>
      <c r="D131" s="124" cm="1">
        <f t="array" ref="D131">_xll.EQNXTDZ($A$1,$B131,D$1,$B$1)</f>
        <v>0</v>
      </c>
      <c r="E131" s="124" cm="1">
        <f t="array" ref="E131">_xll.EQNXTDZ($A$1,$B131,E$1,$B$1)</f>
        <v>0</v>
      </c>
      <c r="F131" s="124" cm="1">
        <f t="array" ref="F131">_xll.EQNXTDZ($A$1,$B131,F$1,$B$1)</f>
        <v>0</v>
      </c>
      <c r="G131" s="124" cm="1">
        <f t="array" ref="G131">_xll.EQNXTDZ($A$1,$B131,G$1,$B$1)</f>
        <v>0</v>
      </c>
      <c r="H131" s="124" cm="1">
        <f t="array" ref="H131">_xll.EQNXTDZ($A$1,$B131,H$1,$B$1)</f>
        <v>0</v>
      </c>
      <c r="I131" s="124" cm="1">
        <f t="array" ref="I131">_xll.EQNXTDZ($A$1,$B131,I$1,$B$1)</f>
        <v>0</v>
      </c>
      <c r="J131" s="124" cm="1">
        <f t="array" ref="J131">_xll.EQNXTDZ($A$1,$B131,J$1,$B$1)</f>
        <v>0</v>
      </c>
      <c r="K131" s="124" cm="1">
        <f t="array" ref="K131">_xll.EQNXTDZ($A$1,$B131,K$1,$B$1)</f>
        <v>0</v>
      </c>
      <c r="L131" s="124" cm="1">
        <f t="array" ref="L131">_xll.EQNXTDZ($A$1,$B131,L$1,$B$1)</f>
        <v>0</v>
      </c>
      <c r="M131" s="124" cm="1">
        <f t="array" ref="M131">_xll.EQNXTDZ($A$1,$B131,M$1,$B$1)</f>
        <v>0</v>
      </c>
      <c r="N131" s="124" cm="1">
        <f t="array" ref="N131">_xll.EQNXTDZ($A$1,$B131,N$1,$B$1)</f>
        <v>0</v>
      </c>
      <c r="O131" s="124" cm="1">
        <f t="array" ref="O131">_xll.EQNXTDZ($A$1,$B131,O$1,$B$1)</f>
        <v>0</v>
      </c>
      <c r="P131" s="124" cm="1">
        <f t="array" ref="P131">_xll.EQNXTDZ($A$1,$B131,P$1,$B$1)</f>
        <v>0</v>
      </c>
      <c r="Q131" s="124" cm="1">
        <f t="array" ref="Q131">_xll.EQNXTDZ($A$1,$B131,Q$1,$B$1)</f>
        <v>0</v>
      </c>
      <c r="R131" s="124" cm="1">
        <f t="array" ref="R131">_xll.EQNXTDZ($A$1,$B131,R$1,$B$1)</f>
        <v>0</v>
      </c>
      <c r="S131" s="124" cm="1">
        <f t="array" ref="S131">_xll.EQNXTDZ($A$1,$B131,S$1,$B$1)</f>
        <v>0</v>
      </c>
      <c r="T131" s="124" cm="1">
        <f t="array" ref="T131">_xll.EQNXTDZ($A$1,$B131,T$1,$B$1)</f>
        <v>0</v>
      </c>
      <c r="U131" s="124" cm="1">
        <f t="array" ref="U131">_xll.EQNXTDZ($A$1,$B131,U$1,$B$1)</f>
        <v>0</v>
      </c>
      <c r="V131" s="124" cm="1">
        <f t="array" ref="V131">_xll.EQNXTDZ($A$1,$B131,V$1,$B$1)</f>
        <v>0</v>
      </c>
      <c r="W131" s="124" cm="1">
        <f t="array" ref="W131">_xll.EQNXTDZ($A$1,$B131,W$1,$B$1)</f>
        <v>0</v>
      </c>
      <c r="X131" s="124" cm="1">
        <f t="array" ref="X131">_xll.EQNXTDZ($A$1,$B131,X$1,$B$1)</f>
        <v>0</v>
      </c>
      <c r="Y131" s="124" cm="1">
        <f t="array" ref="Y131">_xll.EQNXTDZ($A$1,$B131,Y$1,$B$1)</f>
        <v>0</v>
      </c>
      <c r="Z131" s="124" cm="1">
        <f t="array" ref="Z131">_xll.EQNXTDZ($A$1,$B131,Z$1,$B$1)</f>
        <v>0</v>
      </c>
      <c r="AA131" s="124" cm="1">
        <f t="array" ref="AA131">_xll.EQNXTDZ($A$1,$B131,AA$1,$B$1)</f>
        <v>0</v>
      </c>
      <c r="AB131" s="124" cm="1">
        <f t="array" ref="AB131">_xll.EQNXTDZ($A$1,$B131,AB$1,$B$1)</f>
        <v>0</v>
      </c>
      <c r="AC131" s="124" cm="1">
        <f t="array" ref="AC131">_xll.EQNXTDZ($A$1,$B131,AC$1,$B$1)</f>
        <v>0</v>
      </c>
      <c r="AD131" s="124" cm="1">
        <f t="array" ref="AD131">_xll.EQNXTDZ($A$1,$B131,AD$1,$B$1)</f>
        <v>0</v>
      </c>
      <c r="AE131" s="124" cm="1">
        <f t="array" ref="AE131">_xll.EQNXTDZ($A$1,$B131,AE$1,$B$1)</f>
        <v>0</v>
      </c>
      <c r="AF131" s="124" cm="1">
        <f t="array" ref="AF131">_xll.EQNXTDZ($A$1,$B131,AF$1,$B$1)</f>
        <v>0</v>
      </c>
    </row>
    <row r="132" spans="1:32" x14ac:dyDescent="0.25">
      <c r="A132" t="s">
        <v>96</v>
      </c>
      <c r="B132" t="s">
        <v>447</v>
      </c>
      <c r="C132" s="124" cm="1">
        <f t="array" ref="C132">_xll.EQNXTDZ($A$1,$B132,C$1,$B$1)</f>
        <v>0</v>
      </c>
      <c r="D132" s="124" cm="1">
        <f t="array" ref="D132">_xll.EQNXTDZ($A$1,$B132,D$1,$B$1)</f>
        <v>0</v>
      </c>
      <c r="E132" s="124" cm="1">
        <f t="array" ref="E132">_xll.EQNXTDZ($A$1,$B132,E$1,$B$1)</f>
        <v>0</v>
      </c>
      <c r="F132" s="124" cm="1">
        <f t="array" ref="F132">_xll.EQNXTDZ($A$1,$B132,F$1,$B$1)</f>
        <v>0</v>
      </c>
      <c r="G132" s="124" cm="1">
        <f t="array" ref="G132">_xll.EQNXTDZ($A$1,$B132,G$1,$B$1)</f>
        <v>0</v>
      </c>
      <c r="H132" s="124" cm="1">
        <f t="array" ref="H132">_xll.EQNXTDZ($A$1,$B132,H$1,$B$1)</f>
        <v>0</v>
      </c>
      <c r="I132" s="124" cm="1">
        <f t="array" ref="I132">_xll.EQNXTDZ($A$1,$B132,I$1,$B$1)</f>
        <v>0</v>
      </c>
      <c r="J132" s="124" cm="1">
        <f t="array" ref="J132">_xll.EQNXTDZ($A$1,$B132,J$1,$B$1)</f>
        <v>0</v>
      </c>
      <c r="K132" s="124" cm="1">
        <f t="array" ref="K132">_xll.EQNXTDZ($A$1,$B132,K$1,$B$1)</f>
        <v>0</v>
      </c>
      <c r="L132" s="124" cm="1">
        <f t="array" ref="L132">_xll.EQNXTDZ($A$1,$B132,L$1,$B$1)</f>
        <v>0</v>
      </c>
      <c r="M132" s="124" cm="1">
        <f t="array" ref="M132">_xll.EQNXTDZ($A$1,$B132,M$1,$B$1)</f>
        <v>0</v>
      </c>
      <c r="N132" s="124" cm="1">
        <f t="array" ref="N132">_xll.EQNXTDZ($A$1,$B132,N$1,$B$1)</f>
        <v>0</v>
      </c>
      <c r="O132" s="124" cm="1">
        <f t="array" ref="O132">_xll.EQNXTDZ($A$1,$B132,O$1,$B$1)</f>
        <v>0</v>
      </c>
      <c r="P132" s="124" cm="1">
        <f t="array" ref="P132">_xll.EQNXTDZ($A$1,$B132,P$1,$B$1)</f>
        <v>0</v>
      </c>
      <c r="Q132" s="124" cm="1">
        <f t="array" ref="Q132">_xll.EQNXTDZ($A$1,$B132,Q$1,$B$1)</f>
        <v>0</v>
      </c>
      <c r="R132" s="124" cm="1">
        <f t="array" ref="R132">_xll.EQNXTDZ($A$1,$B132,R$1,$B$1)</f>
        <v>0</v>
      </c>
      <c r="S132" s="124" cm="1">
        <f t="array" ref="S132">_xll.EQNXTDZ($A$1,$B132,S$1,$B$1)</f>
        <v>0</v>
      </c>
      <c r="T132" s="124" cm="1">
        <f t="array" ref="T132">_xll.EQNXTDZ($A$1,$B132,T$1,$B$1)</f>
        <v>0</v>
      </c>
      <c r="U132" s="124" cm="1">
        <f t="array" ref="U132">_xll.EQNXTDZ($A$1,$B132,U$1,$B$1)</f>
        <v>0</v>
      </c>
      <c r="V132" s="124" cm="1">
        <f t="array" ref="V132">_xll.EQNXTDZ($A$1,$B132,V$1,$B$1)</f>
        <v>0</v>
      </c>
      <c r="W132" s="124" cm="1">
        <f t="array" ref="W132">_xll.EQNXTDZ($A$1,$B132,W$1,$B$1)</f>
        <v>0</v>
      </c>
      <c r="X132" s="124" cm="1">
        <f t="array" ref="X132">_xll.EQNXTDZ($A$1,$B132,X$1,$B$1)</f>
        <v>0</v>
      </c>
      <c r="Y132" s="124" cm="1">
        <f t="array" ref="Y132">_xll.EQNXTDZ($A$1,$B132,Y$1,$B$1)</f>
        <v>0</v>
      </c>
      <c r="Z132" s="124" cm="1">
        <f t="array" ref="Z132">_xll.EQNXTDZ($A$1,$B132,Z$1,$B$1)</f>
        <v>0</v>
      </c>
      <c r="AA132" s="124" cm="1">
        <f t="array" ref="AA132">_xll.EQNXTDZ($A$1,$B132,AA$1,$B$1)</f>
        <v>0</v>
      </c>
      <c r="AB132" s="124" cm="1">
        <f t="array" ref="AB132">_xll.EQNXTDZ($A$1,$B132,AB$1,$B$1)</f>
        <v>0</v>
      </c>
      <c r="AC132" s="124" cm="1">
        <f t="array" ref="AC132">_xll.EQNXTDZ($A$1,$B132,AC$1,$B$1)</f>
        <v>0</v>
      </c>
      <c r="AD132" s="124" cm="1">
        <f t="array" ref="AD132">_xll.EQNXTDZ($A$1,$B132,AD$1,$B$1)</f>
        <v>0</v>
      </c>
      <c r="AE132" s="124" cm="1">
        <f t="array" ref="AE132">_xll.EQNXTDZ($A$1,$B132,AE$1,$B$1)</f>
        <v>0</v>
      </c>
      <c r="AF132" s="124" cm="1">
        <f t="array" ref="AF132">_xll.EQNXTDZ($A$1,$B132,AF$1,$B$1)</f>
        <v>0</v>
      </c>
    </row>
    <row r="133" spans="1:32" x14ac:dyDescent="0.25">
      <c r="A133" t="s">
        <v>97</v>
      </c>
      <c r="B133" t="s">
        <v>448</v>
      </c>
      <c r="C133" s="124" cm="1">
        <f t="array" ref="C133">_xll.EQNXTDZ($A$1,$B133,C$1,$B$1)</f>
        <v>0</v>
      </c>
      <c r="D133" s="124" cm="1">
        <f t="array" ref="D133">_xll.EQNXTDZ($A$1,$B133,D$1,$B$1)</f>
        <v>0</v>
      </c>
      <c r="E133" s="124" cm="1">
        <f t="array" ref="E133">_xll.EQNXTDZ($A$1,$B133,E$1,$B$1)</f>
        <v>0</v>
      </c>
      <c r="F133" s="124" cm="1">
        <f t="array" ref="F133">_xll.EQNXTDZ($A$1,$B133,F$1,$B$1)</f>
        <v>0</v>
      </c>
      <c r="G133" s="124" cm="1">
        <f t="array" ref="G133">_xll.EQNXTDZ($A$1,$B133,G$1,$B$1)</f>
        <v>0</v>
      </c>
      <c r="H133" s="124" cm="1">
        <f t="array" ref="H133">_xll.EQNXTDZ($A$1,$B133,H$1,$B$1)</f>
        <v>0</v>
      </c>
      <c r="I133" s="124" cm="1">
        <f t="array" ref="I133">_xll.EQNXTDZ($A$1,$B133,I$1,$B$1)</f>
        <v>0</v>
      </c>
      <c r="J133" s="124" cm="1">
        <f t="array" ref="J133">_xll.EQNXTDZ($A$1,$B133,J$1,$B$1)</f>
        <v>0</v>
      </c>
      <c r="K133" s="124" cm="1">
        <f t="array" ref="K133">_xll.EQNXTDZ($A$1,$B133,K$1,$B$1)</f>
        <v>0</v>
      </c>
      <c r="L133" s="124" cm="1">
        <f t="array" ref="L133">_xll.EQNXTDZ($A$1,$B133,L$1,$B$1)</f>
        <v>0</v>
      </c>
      <c r="M133" s="124" cm="1">
        <f t="array" ref="M133">_xll.EQNXTDZ($A$1,$B133,M$1,$B$1)</f>
        <v>0</v>
      </c>
      <c r="N133" s="124" cm="1">
        <f t="array" ref="N133">_xll.EQNXTDZ($A$1,$B133,N$1,$B$1)</f>
        <v>0</v>
      </c>
      <c r="O133" s="124" cm="1">
        <f t="array" ref="O133">_xll.EQNXTDZ($A$1,$B133,O$1,$B$1)</f>
        <v>0</v>
      </c>
      <c r="P133" s="124" cm="1">
        <f t="array" ref="P133">_xll.EQNXTDZ($A$1,$B133,P$1,$B$1)</f>
        <v>0</v>
      </c>
      <c r="Q133" s="124" cm="1">
        <f t="array" ref="Q133">_xll.EQNXTDZ($A$1,$B133,Q$1,$B$1)</f>
        <v>0</v>
      </c>
      <c r="R133" s="124" cm="1">
        <f t="array" ref="R133">_xll.EQNXTDZ($A$1,$B133,R$1,$B$1)</f>
        <v>0</v>
      </c>
      <c r="S133" s="124" cm="1">
        <f t="array" ref="S133">_xll.EQNXTDZ($A$1,$B133,S$1,$B$1)</f>
        <v>0</v>
      </c>
      <c r="T133" s="124" cm="1">
        <f t="array" ref="T133">_xll.EQNXTDZ($A$1,$B133,T$1,$B$1)</f>
        <v>0</v>
      </c>
      <c r="U133" s="124" cm="1">
        <f t="array" ref="U133">_xll.EQNXTDZ($A$1,$B133,U$1,$B$1)</f>
        <v>0</v>
      </c>
      <c r="V133" s="124" cm="1">
        <f t="array" ref="V133">_xll.EQNXTDZ($A$1,$B133,V$1,$B$1)</f>
        <v>0</v>
      </c>
      <c r="W133" s="124" cm="1">
        <f t="array" ref="W133">_xll.EQNXTDZ($A$1,$B133,W$1,$B$1)</f>
        <v>0</v>
      </c>
      <c r="X133" s="124" cm="1">
        <f t="array" ref="X133">_xll.EQNXTDZ($A$1,$B133,X$1,$B$1)</f>
        <v>0</v>
      </c>
      <c r="Y133" s="124" cm="1">
        <f t="array" ref="Y133">_xll.EQNXTDZ($A$1,$B133,Y$1,$B$1)</f>
        <v>0</v>
      </c>
      <c r="Z133" s="124" cm="1">
        <f t="array" ref="Z133">_xll.EQNXTDZ($A$1,$B133,Z$1,$B$1)</f>
        <v>0</v>
      </c>
      <c r="AA133" s="124" cm="1">
        <f t="array" ref="AA133">_xll.EQNXTDZ($A$1,$B133,AA$1,$B$1)</f>
        <v>0</v>
      </c>
      <c r="AB133" s="124" cm="1">
        <f t="array" ref="AB133">_xll.EQNXTDZ($A$1,$B133,AB$1,$B$1)</f>
        <v>0</v>
      </c>
      <c r="AC133" s="124" cm="1">
        <f t="array" ref="AC133">_xll.EQNXTDZ($A$1,$B133,AC$1,$B$1)</f>
        <v>0</v>
      </c>
      <c r="AD133" s="124" cm="1">
        <f t="array" ref="AD133">_xll.EQNXTDZ($A$1,$B133,AD$1,$B$1)</f>
        <v>0</v>
      </c>
      <c r="AE133" s="124" cm="1">
        <f t="array" ref="AE133">_xll.EQNXTDZ($A$1,$B133,AE$1,$B$1)</f>
        <v>0</v>
      </c>
      <c r="AF133" s="124" cm="1">
        <f t="array" ref="AF133">_xll.EQNXTDZ($A$1,$B133,AF$1,$B$1)</f>
        <v>0</v>
      </c>
    </row>
    <row r="134" spans="1:32" x14ac:dyDescent="0.25">
      <c r="A134" t="s">
        <v>48</v>
      </c>
      <c r="B134" t="s">
        <v>449</v>
      </c>
      <c r="C134" s="124" cm="1">
        <f t="array" ref="C134">_xll.EQNXTDZ($A$1,$B134,C$1,$B$1)</f>
        <v>0</v>
      </c>
      <c r="D134" s="124" cm="1">
        <f t="array" ref="D134">_xll.EQNXTDZ($A$1,$B134,D$1,$B$1)</f>
        <v>0</v>
      </c>
      <c r="E134" s="124" cm="1">
        <f t="array" ref="E134">_xll.EQNXTDZ($A$1,$B134,E$1,$B$1)</f>
        <v>0</v>
      </c>
      <c r="F134" s="124" cm="1">
        <f t="array" ref="F134">_xll.EQNXTDZ($A$1,$B134,F$1,$B$1)</f>
        <v>0</v>
      </c>
      <c r="G134" s="124" cm="1">
        <f t="array" ref="G134">_xll.EQNXTDZ($A$1,$B134,G$1,$B$1)</f>
        <v>0</v>
      </c>
      <c r="H134" s="124" cm="1">
        <f t="array" ref="H134">_xll.EQNXTDZ($A$1,$B134,H$1,$B$1)</f>
        <v>0</v>
      </c>
      <c r="I134" s="124" cm="1">
        <f t="array" ref="I134">_xll.EQNXTDZ($A$1,$B134,I$1,$B$1)</f>
        <v>0</v>
      </c>
      <c r="J134" s="124" cm="1">
        <f t="array" ref="J134">_xll.EQNXTDZ($A$1,$B134,J$1,$B$1)</f>
        <v>0</v>
      </c>
      <c r="K134" s="124" cm="1">
        <f t="array" ref="K134">_xll.EQNXTDZ($A$1,$B134,K$1,$B$1)</f>
        <v>0</v>
      </c>
      <c r="L134" s="124" cm="1">
        <f t="array" ref="L134">_xll.EQNXTDZ($A$1,$B134,L$1,$B$1)</f>
        <v>0</v>
      </c>
      <c r="M134" s="124" cm="1">
        <f t="array" ref="M134">_xll.EQNXTDZ($A$1,$B134,M$1,$B$1)</f>
        <v>0</v>
      </c>
      <c r="N134" s="124" cm="1">
        <f t="array" ref="N134">_xll.EQNXTDZ($A$1,$B134,N$1,$B$1)</f>
        <v>0</v>
      </c>
      <c r="O134" s="124" cm="1">
        <f t="array" ref="O134">_xll.EQNXTDZ($A$1,$B134,O$1,$B$1)</f>
        <v>0</v>
      </c>
      <c r="P134" s="124" cm="1">
        <f t="array" ref="P134">_xll.EQNXTDZ($A$1,$B134,P$1,$B$1)</f>
        <v>0</v>
      </c>
      <c r="Q134" s="124" cm="1">
        <f t="array" ref="Q134">_xll.EQNXTDZ($A$1,$B134,Q$1,$B$1)</f>
        <v>0</v>
      </c>
      <c r="R134" s="124" cm="1">
        <f t="array" ref="R134">_xll.EQNXTDZ($A$1,$B134,R$1,$B$1)</f>
        <v>0</v>
      </c>
      <c r="S134" s="124" cm="1">
        <f t="array" ref="S134">_xll.EQNXTDZ($A$1,$B134,S$1,$B$1)</f>
        <v>0</v>
      </c>
      <c r="T134" s="124" cm="1">
        <f t="array" ref="T134">_xll.EQNXTDZ($A$1,$B134,T$1,$B$1)</f>
        <v>0</v>
      </c>
      <c r="U134" s="124" cm="1">
        <f t="array" ref="U134">_xll.EQNXTDZ($A$1,$B134,U$1,$B$1)</f>
        <v>0</v>
      </c>
      <c r="V134" s="124" cm="1">
        <f t="array" ref="V134">_xll.EQNXTDZ($A$1,$B134,V$1,$B$1)</f>
        <v>0</v>
      </c>
      <c r="W134" s="124" cm="1">
        <f t="array" ref="W134">_xll.EQNXTDZ($A$1,$B134,W$1,$B$1)</f>
        <v>0</v>
      </c>
      <c r="X134" s="124" cm="1">
        <f t="array" ref="X134">_xll.EQNXTDZ($A$1,$B134,X$1,$B$1)</f>
        <v>0</v>
      </c>
      <c r="Y134" s="124" cm="1">
        <f t="array" ref="Y134">_xll.EQNXTDZ($A$1,$B134,Y$1,$B$1)</f>
        <v>0</v>
      </c>
      <c r="Z134" s="124" cm="1">
        <f t="array" ref="Z134">_xll.EQNXTDZ($A$1,$B134,Z$1,$B$1)</f>
        <v>0</v>
      </c>
      <c r="AA134" s="124" cm="1">
        <f t="array" ref="AA134">_xll.EQNXTDZ($A$1,$B134,AA$1,$B$1)</f>
        <v>0</v>
      </c>
      <c r="AB134" s="124" cm="1">
        <f t="array" ref="AB134">_xll.EQNXTDZ($A$1,$B134,AB$1,$B$1)</f>
        <v>0</v>
      </c>
      <c r="AC134" s="124" cm="1">
        <f t="array" ref="AC134">_xll.EQNXTDZ($A$1,$B134,AC$1,$B$1)</f>
        <v>0</v>
      </c>
      <c r="AD134" s="124" cm="1">
        <f t="array" ref="AD134">_xll.EQNXTDZ($A$1,$B134,AD$1,$B$1)</f>
        <v>0</v>
      </c>
      <c r="AE134" s="124" cm="1">
        <f t="array" ref="AE134">_xll.EQNXTDZ($A$1,$B134,AE$1,$B$1)</f>
        <v>0</v>
      </c>
      <c r="AF134" s="124" cm="1">
        <f t="array" ref="AF134">_xll.EQNXTDZ($A$1,$B134,AF$1,$B$1)</f>
        <v>0</v>
      </c>
    </row>
    <row r="135" spans="1:32" x14ac:dyDescent="0.25">
      <c r="A135" t="s">
        <v>101</v>
      </c>
      <c r="B135" t="s">
        <v>450</v>
      </c>
      <c r="C135" s="124" cm="1">
        <f t="array" ref="C135">_xll.EQNXTDZ($A$1,$B135,C$1,$B$1)</f>
        <v>0</v>
      </c>
      <c r="D135" s="124" cm="1">
        <f t="array" ref="D135">_xll.EQNXTDZ($A$1,$B135,D$1,$B$1)</f>
        <v>0</v>
      </c>
      <c r="E135" s="124" cm="1">
        <f t="array" ref="E135">_xll.EQNXTDZ($A$1,$B135,E$1,$B$1)</f>
        <v>0</v>
      </c>
      <c r="F135" s="124" cm="1">
        <f t="array" ref="F135">_xll.EQNXTDZ($A$1,$B135,F$1,$B$1)</f>
        <v>0</v>
      </c>
      <c r="G135" s="124" cm="1">
        <f t="array" ref="G135">_xll.EQNXTDZ($A$1,$B135,G$1,$B$1)</f>
        <v>0</v>
      </c>
      <c r="H135" s="124" cm="1">
        <f t="array" ref="H135">_xll.EQNXTDZ($A$1,$B135,H$1,$B$1)</f>
        <v>0</v>
      </c>
      <c r="I135" s="124" cm="1">
        <f t="array" ref="I135">_xll.EQNXTDZ($A$1,$B135,I$1,$B$1)</f>
        <v>0</v>
      </c>
      <c r="J135" s="124" cm="1">
        <f t="array" ref="J135">_xll.EQNXTDZ($A$1,$B135,J$1,$B$1)</f>
        <v>0</v>
      </c>
      <c r="K135" s="124" cm="1">
        <f t="array" ref="K135">_xll.EQNXTDZ($A$1,$B135,K$1,$B$1)</f>
        <v>0</v>
      </c>
      <c r="L135" s="124" cm="1">
        <f t="array" ref="L135">_xll.EQNXTDZ($A$1,$B135,L$1,$B$1)</f>
        <v>0</v>
      </c>
      <c r="M135" s="124" cm="1">
        <f t="array" ref="M135">_xll.EQNXTDZ($A$1,$B135,M$1,$B$1)</f>
        <v>0</v>
      </c>
      <c r="N135" s="124" cm="1">
        <f t="array" ref="N135">_xll.EQNXTDZ($A$1,$B135,N$1,$B$1)</f>
        <v>0</v>
      </c>
      <c r="O135" s="124" cm="1">
        <f t="array" ref="O135">_xll.EQNXTDZ($A$1,$B135,O$1,$B$1)</f>
        <v>0</v>
      </c>
      <c r="P135" s="124" cm="1">
        <f t="array" ref="P135">_xll.EQNXTDZ($A$1,$B135,P$1,$B$1)</f>
        <v>0</v>
      </c>
      <c r="Q135" s="124" cm="1">
        <f t="array" ref="Q135">_xll.EQNXTDZ($A$1,$B135,Q$1,$B$1)</f>
        <v>0</v>
      </c>
      <c r="R135" s="124" cm="1">
        <f t="array" ref="R135">_xll.EQNXTDZ($A$1,$B135,R$1,$B$1)</f>
        <v>0</v>
      </c>
      <c r="S135" s="124" cm="1">
        <f t="array" ref="S135">_xll.EQNXTDZ($A$1,$B135,S$1,$B$1)</f>
        <v>0</v>
      </c>
      <c r="T135" s="124" cm="1">
        <f t="array" ref="T135">_xll.EQNXTDZ($A$1,$B135,T$1,$B$1)</f>
        <v>0</v>
      </c>
      <c r="U135" s="124" cm="1">
        <f t="array" ref="U135">_xll.EQNXTDZ($A$1,$B135,U$1,$B$1)</f>
        <v>0</v>
      </c>
      <c r="V135" s="124" cm="1">
        <f t="array" ref="V135">_xll.EQNXTDZ($A$1,$B135,V$1,$B$1)</f>
        <v>0</v>
      </c>
      <c r="W135" s="124" cm="1">
        <f t="array" ref="W135">_xll.EQNXTDZ($A$1,$B135,W$1,$B$1)</f>
        <v>0</v>
      </c>
      <c r="X135" s="124" cm="1">
        <f t="array" ref="X135">_xll.EQNXTDZ($A$1,$B135,X$1,$B$1)</f>
        <v>0</v>
      </c>
      <c r="Y135" s="124" cm="1">
        <f t="array" ref="Y135">_xll.EQNXTDZ($A$1,$B135,Y$1,$B$1)</f>
        <v>0</v>
      </c>
      <c r="Z135" s="124" cm="1">
        <f t="array" ref="Z135">_xll.EQNXTDZ($A$1,$B135,Z$1,$B$1)</f>
        <v>0</v>
      </c>
      <c r="AA135" s="124" cm="1">
        <f t="array" ref="AA135">_xll.EQNXTDZ($A$1,$B135,AA$1,$B$1)</f>
        <v>0</v>
      </c>
      <c r="AB135" s="124" cm="1">
        <f t="array" ref="AB135">_xll.EQNXTDZ($A$1,$B135,AB$1,$B$1)</f>
        <v>0</v>
      </c>
      <c r="AC135" s="124" cm="1">
        <f t="array" ref="AC135">_xll.EQNXTDZ($A$1,$B135,AC$1,$B$1)</f>
        <v>0</v>
      </c>
      <c r="AD135" s="124" cm="1">
        <f t="array" ref="AD135">_xll.EQNXTDZ($A$1,$B135,AD$1,$B$1)</f>
        <v>0</v>
      </c>
      <c r="AE135" s="124" cm="1">
        <f t="array" ref="AE135">_xll.EQNXTDZ($A$1,$B135,AE$1,$B$1)</f>
        <v>0</v>
      </c>
      <c r="AF135" s="124" cm="1">
        <f t="array" ref="AF135">_xll.EQNXTDZ($A$1,$B135,AF$1,$B$1)</f>
        <v>0</v>
      </c>
    </row>
    <row r="136" spans="1:32" x14ac:dyDescent="0.25">
      <c r="A136" t="s">
        <v>102</v>
      </c>
      <c r="B136" t="s">
        <v>451</v>
      </c>
      <c r="C136" s="124" cm="1">
        <f t="array" ref="C136">_xll.EQNXTDZ($A$1,$B136,C$1,$B$1)</f>
        <v>0</v>
      </c>
      <c r="D136" s="124" cm="1">
        <f t="array" ref="D136">_xll.EQNXTDZ($A$1,$B136,D$1,$B$1)</f>
        <v>0</v>
      </c>
      <c r="E136" s="124" cm="1">
        <f t="array" ref="E136">_xll.EQNXTDZ($A$1,$B136,E$1,$B$1)</f>
        <v>0</v>
      </c>
      <c r="F136" s="124" cm="1">
        <f t="array" ref="F136">_xll.EQNXTDZ($A$1,$B136,F$1,$B$1)</f>
        <v>0</v>
      </c>
      <c r="G136" s="124" cm="1">
        <f t="array" ref="G136">_xll.EQNXTDZ($A$1,$B136,G$1,$B$1)</f>
        <v>0</v>
      </c>
      <c r="H136" s="124" cm="1">
        <f t="array" ref="H136">_xll.EQNXTDZ($A$1,$B136,H$1,$B$1)</f>
        <v>0</v>
      </c>
      <c r="I136" s="124" cm="1">
        <f t="array" ref="I136">_xll.EQNXTDZ($A$1,$B136,I$1,$B$1)</f>
        <v>0</v>
      </c>
      <c r="J136" s="124" cm="1">
        <f t="array" ref="J136">_xll.EQNXTDZ($A$1,$B136,J$1,$B$1)</f>
        <v>0</v>
      </c>
      <c r="K136" s="124" cm="1">
        <f t="array" ref="K136">_xll.EQNXTDZ($A$1,$B136,K$1,$B$1)</f>
        <v>0</v>
      </c>
      <c r="L136" s="124" cm="1">
        <f t="array" ref="L136">_xll.EQNXTDZ($A$1,$B136,L$1,$B$1)</f>
        <v>0</v>
      </c>
      <c r="M136" s="124" cm="1">
        <f t="array" ref="M136">_xll.EQNXTDZ($A$1,$B136,M$1,$B$1)</f>
        <v>0</v>
      </c>
      <c r="N136" s="124" cm="1">
        <f t="array" ref="N136">_xll.EQNXTDZ($A$1,$B136,N$1,$B$1)</f>
        <v>0</v>
      </c>
      <c r="O136" s="124" cm="1">
        <f t="array" ref="O136">_xll.EQNXTDZ($A$1,$B136,O$1,$B$1)</f>
        <v>0</v>
      </c>
      <c r="P136" s="124" cm="1">
        <f t="array" ref="P136">_xll.EQNXTDZ($A$1,$B136,P$1,$B$1)</f>
        <v>0</v>
      </c>
      <c r="Q136" s="124" cm="1">
        <f t="array" ref="Q136">_xll.EQNXTDZ($A$1,$B136,Q$1,$B$1)</f>
        <v>0</v>
      </c>
      <c r="R136" s="124" cm="1">
        <f t="array" ref="R136">_xll.EQNXTDZ($A$1,$B136,R$1,$B$1)</f>
        <v>0</v>
      </c>
      <c r="S136" s="124" cm="1">
        <f t="array" ref="S136">_xll.EQNXTDZ($A$1,$B136,S$1,$B$1)</f>
        <v>0</v>
      </c>
      <c r="T136" s="124" cm="1">
        <f t="array" ref="T136">_xll.EQNXTDZ($A$1,$B136,T$1,$B$1)</f>
        <v>0</v>
      </c>
      <c r="U136" s="124" cm="1">
        <f t="array" ref="U136">_xll.EQNXTDZ($A$1,$B136,U$1,$B$1)</f>
        <v>0</v>
      </c>
      <c r="V136" s="124" cm="1">
        <f t="array" ref="V136">_xll.EQNXTDZ($A$1,$B136,V$1,$B$1)</f>
        <v>0</v>
      </c>
      <c r="W136" s="124" cm="1">
        <f t="array" ref="W136">_xll.EQNXTDZ($A$1,$B136,W$1,$B$1)</f>
        <v>0</v>
      </c>
      <c r="X136" s="124" cm="1">
        <f t="array" ref="X136">_xll.EQNXTDZ($A$1,$B136,X$1,$B$1)</f>
        <v>0</v>
      </c>
      <c r="Y136" s="124" cm="1">
        <f t="array" ref="Y136">_xll.EQNXTDZ($A$1,$B136,Y$1,$B$1)</f>
        <v>0</v>
      </c>
      <c r="Z136" s="124" cm="1">
        <f t="array" ref="Z136">_xll.EQNXTDZ($A$1,$B136,Z$1,$B$1)</f>
        <v>0</v>
      </c>
      <c r="AA136" s="124" cm="1">
        <f t="array" ref="AA136">_xll.EQNXTDZ($A$1,$B136,AA$1,$B$1)</f>
        <v>0</v>
      </c>
      <c r="AB136" s="124" cm="1">
        <f t="array" ref="AB136">_xll.EQNXTDZ($A$1,$B136,AB$1,$B$1)</f>
        <v>0</v>
      </c>
      <c r="AC136" s="124" cm="1">
        <f t="array" ref="AC136">_xll.EQNXTDZ($A$1,$B136,AC$1,$B$1)</f>
        <v>0</v>
      </c>
      <c r="AD136" s="124" cm="1">
        <f t="array" ref="AD136">_xll.EQNXTDZ($A$1,$B136,AD$1,$B$1)</f>
        <v>0</v>
      </c>
      <c r="AE136" s="124" cm="1">
        <f t="array" ref="AE136">_xll.EQNXTDZ($A$1,$B136,AE$1,$B$1)</f>
        <v>0</v>
      </c>
      <c r="AF136" s="124" cm="1">
        <f t="array" ref="AF136">_xll.EQNXTDZ($A$1,$B136,AF$1,$B$1)</f>
        <v>0</v>
      </c>
    </row>
    <row r="137" spans="1:32" x14ac:dyDescent="0.25">
      <c r="A137" t="s">
        <v>103</v>
      </c>
      <c r="B137" t="s">
        <v>452</v>
      </c>
      <c r="C137" s="124" cm="1">
        <f t="array" ref="C137">_xll.EQNXTDZ($A$1,$B137,C$1,$B$1)</f>
        <v>0</v>
      </c>
      <c r="D137" s="124" cm="1">
        <f t="array" ref="D137">_xll.EQNXTDZ($A$1,$B137,D$1,$B$1)</f>
        <v>0</v>
      </c>
      <c r="E137" s="124" cm="1">
        <f t="array" ref="E137">_xll.EQNXTDZ($A$1,$B137,E$1,$B$1)</f>
        <v>0</v>
      </c>
      <c r="F137" s="124" cm="1">
        <f t="array" ref="F137">_xll.EQNXTDZ($A$1,$B137,F$1,$B$1)</f>
        <v>0</v>
      </c>
      <c r="G137" s="124" cm="1">
        <f t="array" ref="G137">_xll.EQNXTDZ($A$1,$B137,G$1,$B$1)</f>
        <v>0</v>
      </c>
      <c r="H137" s="124" cm="1">
        <f t="array" ref="H137">_xll.EQNXTDZ($A$1,$B137,H$1,$B$1)</f>
        <v>0</v>
      </c>
      <c r="I137" s="124" cm="1">
        <f t="array" ref="I137">_xll.EQNXTDZ($A$1,$B137,I$1,$B$1)</f>
        <v>0</v>
      </c>
      <c r="J137" s="124" cm="1">
        <f t="array" ref="J137">_xll.EQNXTDZ($A$1,$B137,J$1,$B$1)</f>
        <v>0</v>
      </c>
      <c r="K137" s="124" cm="1">
        <f t="array" ref="K137">_xll.EQNXTDZ($A$1,$B137,K$1,$B$1)</f>
        <v>0</v>
      </c>
      <c r="L137" s="124" cm="1">
        <f t="array" ref="L137">_xll.EQNXTDZ($A$1,$B137,L$1,$B$1)</f>
        <v>0</v>
      </c>
      <c r="M137" s="124" cm="1">
        <f t="array" ref="M137">_xll.EQNXTDZ($A$1,$B137,M$1,$B$1)</f>
        <v>0</v>
      </c>
      <c r="N137" s="124" cm="1">
        <f t="array" ref="N137">_xll.EQNXTDZ($A$1,$B137,N$1,$B$1)</f>
        <v>0</v>
      </c>
      <c r="O137" s="124" cm="1">
        <f t="array" ref="O137">_xll.EQNXTDZ($A$1,$B137,O$1,$B$1)</f>
        <v>0</v>
      </c>
      <c r="P137" s="124" cm="1">
        <f t="array" ref="P137">_xll.EQNXTDZ($A$1,$B137,P$1,$B$1)</f>
        <v>0</v>
      </c>
      <c r="Q137" s="124" cm="1">
        <f t="array" ref="Q137">_xll.EQNXTDZ($A$1,$B137,Q$1,$B$1)</f>
        <v>0</v>
      </c>
      <c r="R137" s="124" cm="1">
        <f t="array" ref="R137">_xll.EQNXTDZ($A$1,$B137,R$1,$B$1)</f>
        <v>0</v>
      </c>
      <c r="S137" s="124" cm="1">
        <f t="array" ref="S137">_xll.EQNXTDZ($A$1,$B137,S$1,$B$1)</f>
        <v>0</v>
      </c>
      <c r="T137" s="124" cm="1">
        <f t="array" ref="T137">_xll.EQNXTDZ($A$1,$B137,T$1,$B$1)</f>
        <v>0</v>
      </c>
      <c r="U137" s="124" cm="1">
        <f t="array" ref="U137">_xll.EQNXTDZ($A$1,$B137,U$1,$B$1)</f>
        <v>0</v>
      </c>
      <c r="V137" s="124" cm="1">
        <f t="array" ref="V137">_xll.EQNXTDZ($A$1,$B137,V$1,$B$1)</f>
        <v>0</v>
      </c>
      <c r="W137" s="124" cm="1">
        <f t="array" ref="W137">_xll.EQNXTDZ($A$1,$B137,W$1,$B$1)</f>
        <v>0</v>
      </c>
      <c r="X137" s="124" cm="1">
        <f t="array" ref="X137">_xll.EQNXTDZ($A$1,$B137,X$1,$B$1)</f>
        <v>0</v>
      </c>
      <c r="Y137" s="124" cm="1">
        <f t="array" ref="Y137">_xll.EQNXTDZ($A$1,$B137,Y$1,$B$1)</f>
        <v>0</v>
      </c>
      <c r="Z137" s="124" cm="1">
        <f t="array" ref="Z137">_xll.EQNXTDZ($A$1,$B137,Z$1,$B$1)</f>
        <v>0</v>
      </c>
      <c r="AA137" s="124" cm="1">
        <f t="array" ref="AA137">_xll.EQNXTDZ($A$1,$B137,AA$1,$B$1)</f>
        <v>0</v>
      </c>
      <c r="AB137" s="124" cm="1">
        <f t="array" ref="AB137">_xll.EQNXTDZ($A$1,$B137,AB$1,$B$1)</f>
        <v>0</v>
      </c>
      <c r="AC137" s="124" cm="1">
        <f t="array" ref="AC137">_xll.EQNXTDZ($A$1,$B137,AC$1,$B$1)</f>
        <v>0</v>
      </c>
      <c r="AD137" s="124" cm="1">
        <f t="array" ref="AD137">_xll.EQNXTDZ($A$1,$B137,AD$1,$B$1)</f>
        <v>0</v>
      </c>
      <c r="AE137" s="124" cm="1">
        <f t="array" ref="AE137">_xll.EQNXTDZ($A$1,$B137,AE$1,$B$1)</f>
        <v>0</v>
      </c>
      <c r="AF137" s="124" cm="1">
        <f t="array" ref="AF137">_xll.EQNXTDZ($A$1,$B137,AF$1,$B$1)</f>
        <v>0</v>
      </c>
    </row>
    <row r="138" spans="1:32" x14ac:dyDescent="0.25">
      <c r="A138" t="s">
        <v>104</v>
      </c>
      <c r="B138" t="s">
        <v>453</v>
      </c>
      <c r="C138" s="124" cm="1">
        <f t="array" ref="C138">_xll.EQNXTDZ($A$1,$B138,C$1,$B$1)</f>
        <v>0</v>
      </c>
      <c r="D138" s="124" cm="1">
        <f t="array" ref="D138">_xll.EQNXTDZ($A$1,$B138,D$1,$B$1)</f>
        <v>0</v>
      </c>
      <c r="E138" s="124" cm="1">
        <f t="array" ref="E138">_xll.EQNXTDZ($A$1,$B138,E$1,$B$1)</f>
        <v>0</v>
      </c>
      <c r="F138" s="124" cm="1">
        <f t="array" ref="F138">_xll.EQNXTDZ($A$1,$B138,F$1,$B$1)</f>
        <v>0</v>
      </c>
      <c r="G138" s="124" cm="1">
        <f t="array" ref="G138">_xll.EQNXTDZ($A$1,$B138,G$1,$B$1)</f>
        <v>0</v>
      </c>
      <c r="H138" s="124" cm="1">
        <f t="array" ref="H138">_xll.EQNXTDZ($A$1,$B138,H$1,$B$1)</f>
        <v>0</v>
      </c>
      <c r="I138" s="124" cm="1">
        <f t="array" ref="I138">_xll.EQNXTDZ($A$1,$B138,I$1,$B$1)</f>
        <v>0</v>
      </c>
      <c r="J138" s="124" cm="1">
        <f t="array" ref="J138">_xll.EQNXTDZ($A$1,$B138,J$1,$B$1)</f>
        <v>0</v>
      </c>
      <c r="K138" s="124" cm="1">
        <f t="array" ref="K138">_xll.EQNXTDZ($A$1,$B138,K$1,$B$1)</f>
        <v>0</v>
      </c>
      <c r="L138" s="124" cm="1">
        <f t="array" ref="L138">_xll.EQNXTDZ($A$1,$B138,L$1,$B$1)</f>
        <v>0</v>
      </c>
      <c r="M138" s="124" cm="1">
        <f t="array" ref="M138">_xll.EQNXTDZ($A$1,$B138,M$1,$B$1)</f>
        <v>0</v>
      </c>
      <c r="N138" s="124" cm="1">
        <f t="array" ref="N138">_xll.EQNXTDZ($A$1,$B138,N$1,$B$1)</f>
        <v>0</v>
      </c>
      <c r="O138" s="124" cm="1">
        <f t="array" ref="O138">_xll.EQNXTDZ($A$1,$B138,O$1,$B$1)</f>
        <v>0</v>
      </c>
      <c r="P138" s="124" cm="1">
        <f t="array" ref="P138">_xll.EQNXTDZ($A$1,$B138,P$1,$B$1)</f>
        <v>0</v>
      </c>
      <c r="Q138" s="124" cm="1">
        <f t="array" ref="Q138">_xll.EQNXTDZ($A$1,$B138,Q$1,$B$1)</f>
        <v>0</v>
      </c>
      <c r="R138" s="124" cm="1">
        <f t="array" ref="R138">_xll.EQNXTDZ($A$1,$B138,R$1,$B$1)</f>
        <v>0</v>
      </c>
      <c r="S138" s="124" cm="1">
        <f t="array" ref="S138">_xll.EQNXTDZ($A$1,$B138,S$1,$B$1)</f>
        <v>0</v>
      </c>
      <c r="T138" s="124" cm="1">
        <f t="array" ref="T138">_xll.EQNXTDZ($A$1,$B138,T$1,$B$1)</f>
        <v>0</v>
      </c>
      <c r="U138" s="124" cm="1">
        <f t="array" ref="U138">_xll.EQNXTDZ($A$1,$B138,U$1,$B$1)</f>
        <v>0</v>
      </c>
      <c r="V138" s="124" cm="1">
        <f t="array" ref="V138">_xll.EQNXTDZ($A$1,$B138,V$1,$B$1)</f>
        <v>0</v>
      </c>
      <c r="W138" s="124" cm="1">
        <f t="array" ref="W138">_xll.EQNXTDZ($A$1,$B138,W$1,$B$1)</f>
        <v>0</v>
      </c>
      <c r="X138" s="124" cm="1">
        <f t="array" ref="X138">_xll.EQNXTDZ($A$1,$B138,X$1,$B$1)</f>
        <v>0</v>
      </c>
      <c r="Y138" s="124" cm="1">
        <f t="array" ref="Y138">_xll.EQNXTDZ($A$1,$B138,Y$1,$B$1)</f>
        <v>0</v>
      </c>
      <c r="Z138" s="124" cm="1">
        <f t="array" ref="Z138">_xll.EQNXTDZ($A$1,$B138,Z$1,$B$1)</f>
        <v>0</v>
      </c>
      <c r="AA138" s="124" cm="1">
        <f t="array" ref="AA138">_xll.EQNXTDZ($A$1,$B138,AA$1,$B$1)</f>
        <v>0</v>
      </c>
      <c r="AB138" s="124" cm="1">
        <f t="array" ref="AB138">_xll.EQNXTDZ($A$1,$B138,AB$1,$B$1)</f>
        <v>0</v>
      </c>
      <c r="AC138" s="124" cm="1">
        <f t="array" ref="AC138">_xll.EQNXTDZ($A$1,$B138,AC$1,$B$1)</f>
        <v>0</v>
      </c>
      <c r="AD138" s="124" cm="1">
        <f t="array" ref="AD138">_xll.EQNXTDZ($A$1,$B138,AD$1,$B$1)</f>
        <v>0</v>
      </c>
      <c r="AE138" s="124" cm="1">
        <f t="array" ref="AE138">_xll.EQNXTDZ($A$1,$B138,AE$1,$B$1)</f>
        <v>0</v>
      </c>
      <c r="AF138" s="124" cm="1">
        <f t="array" ref="AF138">_xll.EQNXTDZ($A$1,$B138,AF$1,$B$1)</f>
        <v>0</v>
      </c>
    </row>
    <row r="139" spans="1:32" x14ac:dyDescent="0.25">
      <c r="A139" t="s">
        <v>105</v>
      </c>
      <c r="B139" t="s">
        <v>454</v>
      </c>
      <c r="C139" s="124" cm="1">
        <f t="array" ref="C139">_xll.EQNXTDZ($A$1,$B139,C$1,$B$1)</f>
        <v>0</v>
      </c>
      <c r="D139" s="124" cm="1">
        <f t="array" ref="D139">_xll.EQNXTDZ($A$1,$B139,D$1,$B$1)</f>
        <v>0</v>
      </c>
      <c r="E139" s="124" cm="1">
        <f t="array" ref="E139">_xll.EQNXTDZ($A$1,$B139,E$1,$B$1)</f>
        <v>0</v>
      </c>
      <c r="F139" s="124" cm="1">
        <f t="array" ref="F139">_xll.EQNXTDZ($A$1,$B139,F$1,$B$1)</f>
        <v>0</v>
      </c>
      <c r="G139" s="124" cm="1">
        <f t="array" ref="G139">_xll.EQNXTDZ($A$1,$B139,G$1,$B$1)</f>
        <v>0</v>
      </c>
      <c r="H139" s="124" cm="1">
        <f t="array" ref="H139">_xll.EQNXTDZ($A$1,$B139,H$1,$B$1)</f>
        <v>0</v>
      </c>
      <c r="I139" s="124" cm="1">
        <f t="array" ref="I139">_xll.EQNXTDZ($A$1,$B139,I$1,$B$1)</f>
        <v>0</v>
      </c>
      <c r="J139" s="124" cm="1">
        <f t="array" ref="J139">_xll.EQNXTDZ($A$1,$B139,J$1,$B$1)</f>
        <v>0</v>
      </c>
      <c r="K139" s="124" cm="1">
        <f t="array" ref="K139">_xll.EQNXTDZ($A$1,$B139,K$1,$B$1)</f>
        <v>0</v>
      </c>
      <c r="L139" s="124" cm="1">
        <f t="array" ref="L139">_xll.EQNXTDZ($A$1,$B139,L$1,$B$1)</f>
        <v>0</v>
      </c>
      <c r="M139" s="124" cm="1">
        <f t="array" ref="M139">_xll.EQNXTDZ($A$1,$B139,M$1,$B$1)</f>
        <v>0</v>
      </c>
      <c r="N139" s="124" cm="1">
        <f t="array" ref="N139">_xll.EQNXTDZ($A$1,$B139,N$1,$B$1)</f>
        <v>0</v>
      </c>
      <c r="O139" s="124" cm="1">
        <f t="array" ref="O139">_xll.EQNXTDZ($A$1,$B139,O$1,$B$1)</f>
        <v>0</v>
      </c>
      <c r="P139" s="124" cm="1">
        <f t="array" ref="P139">_xll.EQNXTDZ($A$1,$B139,P$1,$B$1)</f>
        <v>0</v>
      </c>
      <c r="Q139" s="124" cm="1">
        <f t="array" ref="Q139">_xll.EQNXTDZ($A$1,$B139,Q$1,$B$1)</f>
        <v>0</v>
      </c>
      <c r="R139" s="124" cm="1">
        <f t="array" ref="R139">_xll.EQNXTDZ($A$1,$B139,R$1,$B$1)</f>
        <v>0</v>
      </c>
      <c r="S139" s="124" cm="1">
        <f t="array" ref="S139">_xll.EQNXTDZ($A$1,$B139,S$1,$B$1)</f>
        <v>0</v>
      </c>
      <c r="T139" s="124" cm="1">
        <f t="array" ref="T139">_xll.EQNXTDZ($A$1,$B139,T$1,$B$1)</f>
        <v>0</v>
      </c>
      <c r="U139" s="124" cm="1">
        <f t="array" ref="U139">_xll.EQNXTDZ($A$1,$B139,U$1,$B$1)</f>
        <v>0</v>
      </c>
      <c r="V139" s="124" cm="1">
        <f t="array" ref="V139">_xll.EQNXTDZ($A$1,$B139,V$1,$B$1)</f>
        <v>0</v>
      </c>
      <c r="W139" s="124" cm="1">
        <f t="array" ref="W139">_xll.EQNXTDZ($A$1,$B139,W$1,$B$1)</f>
        <v>0</v>
      </c>
      <c r="X139" s="124" cm="1">
        <f t="array" ref="X139">_xll.EQNXTDZ($A$1,$B139,X$1,$B$1)</f>
        <v>0</v>
      </c>
      <c r="Y139" s="124" cm="1">
        <f t="array" ref="Y139">_xll.EQNXTDZ($A$1,$B139,Y$1,$B$1)</f>
        <v>0</v>
      </c>
      <c r="Z139" s="124" cm="1">
        <f t="array" ref="Z139">_xll.EQNXTDZ($A$1,$B139,Z$1,$B$1)</f>
        <v>0</v>
      </c>
      <c r="AA139" s="124" cm="1">
        <f t="array" ref="AA139">_xll.EQNXTDZ($A$1,$B139,AA$1,$B$1)</f>
        <v>0</v>
      </c>
      <c r="AB139" s="124" cm="1">
        <f t="array" ref="AB139">_xll.EQNXTDZ($A$1,$B139,AB$1,$B$1)</f>
        <v>0</v>
      </c>
      <c r="AC139" s="124" cm="1">
        <f t="array" ref="AC139">_xll.EQNXTDZ($A$1,$B139,AC$1,$B$1)</f>
        <v>0</v>
      </c>
      <c r="AD139" s="124" cm="1">
        <f t="array" ref="AD139">_xll.EQNXTDZ($A$1,$B139,AD$1,$B$1)</f>
        <v>0</v>
      </c>
      <c r="AE139" s="124" cm="1">
        <f t="array" ref="AE139">_xll.EQNXTDZ($A$1,$B139,AE$1,$B$1)</f>
        <v>0</v>
      </c>
      <c r="AF139" s="124" cm="1">
        <f t="array" ref="AF139">_xll.EQNXTDZ($A$1,$B139,AF$1,$B$1)</f>
        <v>0</v>
      </c>
    </row>
    <row r="140" spans="1:32" x14ac:dyDescent="0.25">
      <c r="A140" t="s">
        <v>113</v>
      </c>
      <c r="B140" t="s">
        <v>455</v>
      </c>
      <c r="C140" s="124" cm="1">
        <f t="array" ref="C140">_xll.EQNXTDZ($A$1,$B140,C$1,$B$1)</f>
        <v>0</v>
      </c>
      <c r="D140" s="124" cm="1">
        <f t="array" ref="D140">_xll.EQNXTDZ($A$1,$B140,D$1,$B$1)</f>
        <v>0</v>
      </c>
      <c r="E140" s="124" cm="1">
        <f t="array" ref="E140">_xll.EQNXTDZ($A$1,$B140,E$1,$B$1)</f>
        <v>0</v>
      </c>
      <c r="F140" s="124" cm="1">
        <f t="array" ref="F140">_xll.EQNXTDZ($A$1,$B140,F$1,$B$1)</f>
        <v>0</v>
      </c>
      <c r="G140" s="124" cm="1">
        <f t="array" ref="G140">_xll.EQNXTDZ($A$1,$B140,G$1,$B$1)</f>
        <v>0</v>
      </c>
      <c r="H140" s="124" cm="1">
        <f t="array" ref="H140">_xll.EQNXTDZ($A$1,$B140,H$1,$B$1)</f>
        <v>0</v>
      </c>
      <c r="I140" s="124" cm="1">
        <f t="array" ref="I140">_xll.EQNXTDZ($A$1,$B140,I$1,$B$1)</f>
        <v>0</v>
      </c>
      <c r="J140" s="124" cm="1">
        <f t="array" ref="J140">_xll.EQNXTDZ($A$1,$B140,J$1,$B$1)</f>
        <v>0</v>
      </c>
      <c r="K140" s="124" cm="1">
        <f t="array" ref="K140">_xll.EQNXTDZ($A$1,$B140,K$1,$B$1)</f>
        <v>0</v>
      </c>
      <c r="L140" s="124" cm="1">
        <f t="array" ref="L140">_xll.EQNXTDZ($A$1,$B140,L$1,$B$1)</f>
        <v>0</v>
      </c>
      <c r="M140" s="124" cm="1">
        <f t="array" ref="M140">_xll.EQNXTDZ($A$1,$B140,M$1,$B$1)</f>
        <v>0</v>
      </c>
      <c r="N140" s="124" cm="1">
        <f t="array" ref="N140">_xll.EQNXTDZ($A$1,$B140,N$1,$B$1)</f>
        <v>0</v>
      </c>
      <c r="O140" s="124" cm="1">
        <f t="array" ref="O140">_xll.EQNXTDZ($A$1,$B140,O$1,$B$1)</f>
        <v>0</v>
      </c>
      <c r="P140" s="124" cm="1">
        <f t="array" ref="P140">_xll.EQNXTDZ($A$1,$B140,P$1,$B$1)</f>
        <v>0</v>
      </c>
      <c r="Q140" s="124" cm="1">
        <f t="array" ref="Q140">_xll.EQNXTDZ($A$1,$B140,Q$1,$B$1)</f>
        <v>0</v>
      </c>
      <c r="R140" s="124" cm="1">
        <f t="array" ref="R140">_xll.EQNXTDZ($A$1,$B140,R$1,$B$1)</f>
        <v>0</v>
      </c>
      <c r="S140" s="124" cm="1">
        <f t="array" ref="S140">_xll.EQNXTDZ($A$1,$B140,S$1,$B$1)</f>
        <v>0</v>
      </c>
      <c r="T140" s="124" cm="1">
        <f t="array" ref="T140">_xll.EQNXTDZ($A$1,$B140,T$1,$B$1)</f>
        <v>0</v>
      </c>
      <c r="U140" s="124" cm="1">
        <f t="array" ref="U140">_xll.EQNXTDZ($A$1,$B140,U$1,$B$1)</f>
        <v>0</v>
      </c>
      <c r="V140" s="124" cm="1">
        <f t="array" ref="V140">_xll.EQNXTDZ($A$1,$B140,V$1,$B$1)</f>
        <v>0</v>
      </c>
      <c r="W140" s="124" cm="1">
        <f t="array" ref="W140">_xll.EQNXTDZ($A$1,$B140,W$1,$B$1)</f>
        <v>0</v>
      </c>
      <c r="X140" s="124" cm="1">
        <f t="array" ref="X140">_xll.EQNXTDZ($A$1,$B140,X$1,$B$1)</f>
        <v>0</v>
      </c>
      <c r="Y140" s="124" cm="1">
        <f t="array" ref="Y140">_xll.EQNXTDZ($A$1,$B140,Y$1,$B$1)</f>
        <v>0</v>
      </c>
      <c r="Z140" s="124" cm="1">
        <f t="array" ref="Z140">_xll.EQNXTDZ($A$1,$B140,Z$1,$B$1)</f>
        <v>0</v>
      </c>
      <c r="AA140" s="124" cm="1">
        <f t="array" ref="AA140">_xll.EQNXTDZ($A$1,$B140,AA$1,$B$1)</f>
        <v>0</v>
      </c>
      <c r="AB140" s="124" cm="1">
        <f t="array" ref="AB140">_xll.EQNXTDZ($A$1,$B140,AB$1,$B$1)</f>
        <v>0</v>
      </c>
      <c r="AC140" s="124" cm="1">
        <f t="array" ref="AC140">_xll.EQNXTDZ($A$1,$B140,AC$1,$B$1)</f>
        <v>0</v>
      </c>
      <c r="AD140" s="124" cm="1">
        <f t="array" ref="AD140">_xll.EQNXTDZ($A$1,$B140,AD$1,$B$1)</f>
        <v>0</v>
      </c>
      <c r="AE140" s="124" cm="1">
        <f t="array" ref="AE140">_xll.EQNXTDZ($A$1,$B140,AE$1,$B$1)</f>
        <v>0</v>
      </c>
      <c r="AF140" s="124" cm="1">
        <f t="array" ref="AF140">_xll.EQNXTDZ($A$1,$B140,AF$1,$B$1)</f>
        <v>0</v>
      </c>
    </row>
    <row r="141" spans="1:32" x14ac:dyDescent="0.25"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</row>
    <row r="142" spans="1:32" x14ac:dyDescent="0.25"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</row>
    <row r="143" spans="1:32" x14ac:dyDescent="0.25">
      <c r="A143" t="s">
        <v>110</v>
      </c>
      <c r="B143" t="s">
        <v>114</v>
      </c>
      <c r="C143" s="124" cm="1">
        <f t="array" ref="C143">_xll.EQNXTDZ($A$1,$B143,C$1,$B$1)</f>
        <v>0</v>
      </c>
      <c r="D143" s="124" cm="1">
        <f t="array" ref="D143">_xll.EQNXTDZ($A$1,$B143,D$1,$B$1)</f>
        <v>0</v>
      </c>
      <c r="E143" s="124" cm="1">
        <f t="array" ref="E143">_xll.EQNXTDZ($A$1,$B143,E$1,$B$1)</f>
        <v>0</v>
      </c>
      <c r="F143" s="124" cm="1">
        <f t="array" ref="F143">_xll.EQNXTDZ($A$1,$B143,F$1,$B$1)</f>
        <v>0</v>
      </c>
      <c r="G143" s="124" cm="1">
        <f t="array" ref="G143">_xll.EQNXTDZ($A$1,$B143,G$1,$B$1)</f>
        <v>0</v>
      </c>
      <c r="H143" s="124" cm="1">
        <f t="array" ref="H143">_xll.EQNXTDZ($A$1,$B143,H$1,$B$1)</f>
        <v>0</v>
      </c>
      <c r="I143" s="124" cm="1">
        <f t="array" ref="I143">_xll.EQNXTDZ($A$1,$B143,I$1,$B$1)</f>
        <v>0</v>
      </c>
      <c r="J143" s="124" cm="1">
        <f t="array" ref="J143">_xll.EQNXTDZ($A$1,$B143,J$1,$B$1)</f>
        <v>0</v>
      </c>
      <c r="K143" s="124" cm="1">
        <f t="array" ref="K143">_xll.EQNXTDZ($A$1,$B143,K$1,$B$1)</f>
        <v>0</v>
      </c>
      <c r="L143" s="124" cm="1">
        <f t="array" ref="L143">_xll.EQNXTDZ($A$1,$B143,L$1,$B$1)</f>
        <v>0</v>
      </c>
      <c r="M143" s="124" cm="1">
        <f t="array" ref="M143">_xll.EQNXTDZ($A$1,$B143,M$1,$B$1)</f>
        <v>0</v>
      </c>
      <c r="N143" s="124" cm="1">
        <f t="array" ref="N143">_xll.EQNXTDZ($A$1,$B143,N$1,$B$1)</f>
        <v>0</v>
      </c>
      <c r="O143" s="124" cm="1">
        <f t="array" ref="O143">_xll.EQNXTDZ($A$1,$B143,O$1,$B$1)</f>
        <v>0</v>
      </c>
      <c r="P143" s="124" cm="1">
        <f t="array" ref="P143">_xll.EQNXTDZ($A$1,$B143,P$1,$B$1)</f>
        <v>0</v>
      </c>
      <c r="Q143" s="124" cm="1">
        <f t="array" ref="Q143">_xll.EQNXTDZ($A$1,$B143,Q$1,$B$1)</f>
        <v>0</v>
      </c>
      <c r="R143" s="124" cm="1">
        <f t="array" ref="R143">_xll.EQNXTDZ($A$1,$B143,R$1,$B$1)</f>
        <v>0</v>
      </c>
      <c r="S143" s="124" cm="1">
        <f t="array" ref="S143">_xll.EQNXTDZ($A$1,$B143,S$1,$B$1)</f>
        <v>0</v>
      </c>
      <c r="T143" s="124" cm="1">
        <f t="array" ref="T143">_xll.EQNXTDZ($A$1,$B143,T$1,$B$1)</f>
        <v>0</v>
      </c>
      <c r="U143" s="124" cm="1">
        <f t="array" ref="U143">_xll.EQNXTDZ($A$1,$B143,U$1,$B$1)</f>
        <v>0</v>
      </c>
      <c r="V143" s="124" cm="1">
        <f t="array" ref="V143">_xll.EQNXTDZ($A$1,$B143,V$1,$B$1)</f>
        <v>0</v>
      </c>
      <c r="W143" s="124" cm="1">
        <f t="array" ref="W143">_xll.EQNXTDZ($A$1,$B143,W$1,$B$1)</f>
        <v>0</v>
      </c>
      <c r="X143" s="124" cm="1">
        <f t="array" ref="X143">_xll.EQNXTDZ($A$1,$B143,X$1,$B$1)</f>
        <v>0</v>
      </c>
      <c r="Y143" s="124" cm="1">
        <f t="array" ref="Y143">_xll.EQNXTDZ($A$1,$B143,Y$1,$B$1)</f>
        <v>0</v>
      </c>
      <c r="Z143" s="124" cm="1">
        <f t="array" ref="Z143">_xll.EQNXTDZ($A$1,$B143,Z$1,$B$1)</f>
        <v>0</v>
      </c>
      <c r="AA143" s="124" cm="1">
        <f t="array" ref="AA143">_xll.EQNXTDZ($A$1,$B143,AA$1,$B$1)</f>
        <v>0</v>
      </c>
      <c r="AB143" s="124" cm="1">
        <f t="array" ref="AB143">_xll.EQNXTDZ($A$1,$B143,AB$1,$B$1)</f>
        <v>0</v>
      </c>
      <c r="AC143" s="124" cm="1">
        <f t="array" ref="AC143">_xll.EQNXTDZ($A$1,$B143,AC$1,$B$1)</f>
        <v>0</v>
      </c>
      <c r="AD143" s="124" cm="1">
        <f t="array" ref="AD143">_xll.EQNXTDZ($A$1,$B143,AD$1,$B$1)</f>
        <v>0</v>
      </c>
      <c r="AE143" s="124" cm="1">
        <f t="array" ref="AE143">_xll.EQNXTDZ($A$1,$B143,AE$1,$B$1)</f>
        <v>0</v>
      </c>
      <c r="AF143" s="124" cm="1">
        <f t="array" ref="AF143">_xll.EQNXTDZ($A$1,$B143,AF$1,$B$1)</f>
        <v>0</v>
      </c>
    </row>
    <row r="144" spans="1:32" x14ac:dyDescent="0.25">
      <c r="A144" t="s">
        <v>274</v>
      </c>
      <c r="B144" t="s">
        <v>275</v>
      </c>
      <c r="C144" s="124" cm="1">
        <f t="array" ref="C144">_xll.EQNXTDZ($A$1,$B144,C$1,$B$1)</f>
        <v>0</v>
      </c>
      <c r="D144" s="124" cm="1">
        <f t="array" ref="D144">_xll.EQNXTDZ($A$1,$B144,D$1,$B$1)</f>
        <v>0</v>
      </c>
      <c r="E144" s="124" cm="1">
        <f t="array" ref="E144">_xll.EQNXTDZ($A$1,$B144,E$1,$B$1)</f>
        <v>0</v>
      </c>
      <c r="F144" s="124" cm="1">
        <f t="array" ref="F144">_xll.EQNXTDZ($A$1,$B144,F$1,$B$1)</f>
        <v>0</v>
      </c>
      <c r="G144" s="124" cm="1">
        <f t="array" ref="G144">_xll.EQNXTDZ($A$1,$B144,G$1,$B$1)</f>
        <v>0</v>
      </c>
      <c r="H144" s="124" cm="1">
        <f t="array" ref="H144">_xll.EQNXTDZ($A$1,$B144,H$1,$B$1)</f>
        <v>0</v>
      </c>
      <c r="I144" s="124" cm="1">
        <f t="array" ref="I144">_xll.EQNXTDZ($A$1,$B144,I$1,$B$1)</f>
        <v>0</v>
      </c>
      <c r="J144" s="124" cm="1">
        <f t="array" ref="J144">_xll.EQNXTDZ($A$1,$B144,J$1,$B$1)</f>
        <v>0</v>
      </c>
      <c r="K144" s="124" cm="1">
        <f t="array" ref="K144">_xll.EQNXTDZ($A$1,$B144,K$1,$B$1)</f>
        <v>0</v>
      </c>
      <c r="L144" s="124" cm="1">
        <f t="array" ref="L144">_xll.EQNXTDZ($A$1,$B144,L$1,$B$1)</f>
        <v>0</v>
      </c>
      <c r="M144" s="124" cm="1">
        <f t="array" ref="M144">_xll.EQNXTDZ($A$1,$B144,M$1,$B$1)</f>
        <v>0</v>
      </c>
      <c r="N144" s="124" cm="1">
        <f t="array" ref="N144">_xll.EQNXTDZ($A$1,$B144,N$1,$B$1)</f>
        <v>0</v>
      </c>
      <c r="O144" s="124" cm="1">
        <f t="array" ref="O144">_xll.EQNXTDZ($A$1,$B144,O$1,$B$1)</f>
        <v>0</v>
      </c>
      <c r="P144" s="124" cm="1">
        <f t="array" ref="P144">_xll.EQNXTDZ($A$1,$B144,P$1,$B$1)</f>
        <v>0</v>
      </c>
      <c r="Q144" s="124" cm="1">
        <f t="array" ref="Q144">_xll.EQNXTDZ($A$1,$B144,Q$1,$B$1)</f>
        <v>0</v>
      </c>
      <c r="R144" s="124" cm="1">
        <f t="array" ref="R144">_xll.EQNXTDZ($A$1,$B144,R$1,$B$1)</f>
        <v>0</v>
      </c>
      <c r="S144" s="124" cm="1">
        <f t="array" ref="S144">_xll.EQNXTDZ($A$1,$B144,S$1,$B$1)</f>
        <v>0</v>
      </c>
      <c r="T144" s="124" cm="1">
        <f t="array" ref="T144">_xll.EQNXTDZ($A$1,$B144,T$1,$B$1)</f>
        <v>0</v>
      </c>
      <c r="U144" s="124" cm="1">
        <f t="array" ref="U144">_xll.EQNXTDZ($A$1,$B144,U$1,$B$1)</f>
        <v>0</v>
      </c>
      <c r="V144" s="124" cm="1">
        <f t="array" ref="V144">_xll.EQNXTDZ($A$1,$B144,V$1,$B$1)</f>
        <v>0</v>
      </c>
      <c r="W144" s="124" cm="1">
        <f t="array" ref="W144">_xll.EQNXTDZ($A$1,$B144,W$1,$B$1)</f>
        <v>0</v>
      </c>
      <c r="X144" s="124" cm="1">
        <f t="array" ref="X144">_xll.EQNXTDZ($A$1,$B144,X$1,$B$1)</f>
        <v>0</v>
      </c>
      <c r="Y144" s="124" cm="1">
        <f t="array" ref="Y144">_xll.EQNXTDZ($A$1,$B144,Y$1,$B$1)</f>
        <v>0</v>
      </c>
      <c r="Z144" s="124" cm="1">
        <f t="array" ref="Z144">_xll.EQNXTDZ($A$1,$B144,Z$1,$B$1)</f>
        <v>0</v>
      </c>
      <c r="AA144" s="124" cm="1">
        <f t="array" ref="AA144">_xll.EQNXTDZ($A$1,$B144,AA$1,$B$1)</f>
        <v>0</v>
      </c>
      <c r="AB144" s="124" cm="1">
        <f t="array" ref="AB144">_xll.EQNXTDZ($A$1,$B144,AB$1,$B$1)</f>
        <v>0</v>
      </c>
      <c r="AC144" s="124" cm="1">
        <f t="array" ref="AC144">_xll.EQNXTDZ($A$1,$B144,AC$1,$B$1)</f>
        <v>0</v>
      </c>
      <c r="AD144" s="124" cm="1">
        <f t="array" ref="AD144">_xll.EQNXTDZ($A$1,$B144,AD$1,$B$1)</f>
        <v>0</v>
      </c>
      <c r="AE144" s="124" cm="1">
        <f t="array" ref="AE144">_xll.EQNXTDZ($A$1,$B144,AE$1,$B$1)</f>
        <v>0</v>
      </c>
      <c r="AF144" s="124" cm="1">
        <f t="array" ref="AF144">_xll.EQNXTDZ($A$1,$B144,AF$1,$B$1)</f>
        <v>0</v>
      </c>
    </row>
    <row r="145" spans="1:32" x14ac:dyDescent="0.25">
      <c r="A145" t="s">
        <v>111</v>
      </c>
      <c r="B145" t="s">
        <v>115</v>
      </c>
      <c r="C145" s="124" cm="1">
        <f t="array" ref="C145">_xll.EQNXTDZ($A$1,$B145,C$1,$B$1)</f>
        <v>0</v>
      </c>
      <c r="D145" s="124" cm="1">
        <f t="array" ref="D145">_xll.EQNXTDZ($A$1,$B145,D$1,$B$1)</f>
        <v>0</v>
      </c>
      <c r="E145" s="124" cm="1">
        <f t="array" ref="E145">_xll.EQNXTDZ($A$1,$B145,E$1,$B$1)</f>
        <v>0</v>
      </c>
      <c r="F145" s="124" cm="1">
        <f t="array" ref="F145">_xll.EQNXTDZ($A$1,$B145,F$1,$B$1)</f>
        <v>0</v>
      </c>
      <c r="G145" s="124" cm="1">
        <f t="array" ref="G145">_xll.EQNXTDZ($A$1,$B145,G$1,$B$1)</f>
        <v>0</v>
      </c>
      <c r="H145" s="124" cm="1">
        <f t="array" ref="H145">_xll.EQNXTDZ($A$1,$B145,H$1,$B$1)</f>
        <v>0</v>
      </c>
      <c r="I145" s="124" cm="1">
        <f t="array" ref="I145">_xll.EQNXTDZ($A$1,$B145,I$1,$B$1)</f>
        <v>0</v>
      </c>
      <c r="J145" s="124" cm="1">
        <f t="array" ref="J145">_xll.EQNXTDZ($A$1,$B145,J$1,$B$1)</f>
        <v>0</v>
      </c>
      <c r="K145" s="124" cm="1">
        <f t="array" ref="K145">_xll.EQNXTDZ($A$1,$B145,K$1,$B$1)</f>
        <v>0</v>
      </c>
      <c r="L145" s="124" cm="1">
        <f t="array" ref="L145">_xll.EQNXTDZ($A$1,$B145,L$1,$B$1)</f>
        <v>0</v>
      </c>
      <c r="M145" s="124" cm="1">
        <f t="array" ref="M145">_xll.EQNXTDZ($A$1,$B145,M$1,$B$1)</f>
        <v>0</v>
      </c>
      <c r="N145" s="124" cm="1">
        <f t="array" ref="N145">_xll.EQNXTDZ($A$1,$B145,N$1,$B$1)</f>
        <v>0</v>
      </c>
      <c r="O145" s="124" cm="1">
        <f t="array" ref="O145">_xll.EQNXTDZ($A$1,$B145,O$1,$B$1)</f>
        <v>0</v>
      </c>
      <c r="P145" s="124" cm="1">
        <f t="array" ref="P145">_xll.EQNXTDZ($A$1,$B145,P$1,$B$1)</f>
        <v>0</v>
      </c>
      <c r="Q145" s="124" cm="1">
        <f t="array" ref="Q145">_xll.EQNXTDZ($A$1,$B145,Q$1,$B$1)</f>
        <v>0</v>
      </c>
      <c r="R145" s="124" cm="1">
        <f t="array" ref="R145">_xll.EQNXTDZ($A$1,$B145,R$1,$B$1)</f>
        <v>0</v>
      </c>
      <c r="S145" s="124" cm="1">
        <f t="array" ref="S145">_xll.EQNXTDZ($A$1,$B145,S$1,$B$1)</f>
        <v>0</v>
      </c>
      <c r="T145" s="124" cm="1">
        <f t="array" ref="T145">_xll.EQNXTDZ($A$1,$B145,T$1,$B$1)</f>
        <v>0</v>
      </c>
      <c r="U145" s="124" cm="1">
        <f t="array" ref="U145">_xll.EQNXTDZ($A$1,$B145,U$1,$B$1)</f>
        <v>0</v>
      </c>
      <c r="V145" s="124" cm="1">
        <f t="array" ref="V145">_xll.EQNXTDZ($A$1,$B145,V$1,$B$1)</f>
        <v>0</v>
      </c>
      <c r="W145" s="124" cm="1">
        <f t="array" ref="W145">_xll.EQNXTDZ($A$1,$B145,W$1,$B$1)</f>
        <v>0</v>
      </c>
      <c r="X145" s="124" cm="1">
        <f t="array" ref="X145">_xll.EQNXTDZ($A$1,$B145,X$1,$B$1)</f>
        <v>0</v>
      </c>
      <c r="Y145" s="124" cm="1">
        <f t="array" ref="Y145">_xll.EQNXTDZ($A$1,$B145,Y$1,$B$1)</f>
        <v>0</v>
      </c>
      <c r="Z145" s="124" cm="1">
        <f t="array" ref="Z145">_xll.EQNXTDZ($A$1,$B145,Z$1,$B$1)</f>
        <v>0</v>
      </c>
      <c r="AA145" s="124" cm="1">
        <f t="array" ref="AA145">_xll.EQNXTDZ($A$1,$B145,AA$1,$B$1)</f>
        <v>0</v>
      </c>
      <c r="AB145" s="124" cm="1">
        <f t="array" ref="AB145">_xll.EQNXTDZ($A$1,$B145,AB$1,$B$1)</f>
        <v>0</v>
      </c>
      <c r="AC145" s="124" cm="1">
        <f t="array" ref="AC145">_xll.EQNXTDZ($A$1,$B145,AC$1,$B$1)</f>
        <v>0</v>
      </c>
      <c r="AD145" s="124" cm="1">
        <f t="array" ref="AD145">_xll.EQNXTDZ($A$1,$B145,AD$1,$B$1)</f>
        <v>0</v>
      </c>
      <c r="AE145" s="124" cm="1">
        <f t="array" ref="AE145">_xll.EQNXTDZ($A$1,$B145,AE$1,$B$1)</f>
        <v>0</v>
      </c>
      <c r="AF145" s="124" cm="1">
        <f t="array" ref="AF145">_xll.EQNXTDZ($A$1,$B145,AF$1,$B$1)</f>
        <v>0</v>
      </c>
    </row>
    <row r="146" spans="1:32" x14ac:dyDescent="0.25">
      <c r="A146" t="s">
        <v>126</v>
      </c>
      <c r="B146" t="s">
        <v>130</v>
      </c>
      <c r="C146" s="124" cm="1">
        <f t="array" ref="C146">_xll.EQNXTDZ($A$1,$B146,C$1,$B$1)</f>
        <v>0</v>
      </c>
      <c r="D146" s="124" cm="1">
        <f t="array" ref="D146">_xll.EQNXTDZ($A$1,$B146,D$1,$B$1)</f>
        <v>0</v>
      </c>
      <c r="E146" s="124" cm="1">
        <f t="array" ref="E146">_xll.EQNXTDZ($A$1,$B146,E$1,$B$1)</f>
        <v>0</v>
      </c>
      <c r="F146" s="124" cm="1">
        <f t="array" ref="F146">_xll.EQNXTDZ($A$1,$B146,F$1,$B$1)</f>
        <v>0</v>
      </c>
      <c r="G146" s="124" cm="1">
        <f t="array" ref="G146">_xll.EQNXTDZ($A$1,$B146,G$1,$B$1)</f>
        <v>0</v>
      </c>
      <c r="H146" s="124" cm="1">
        <f t="array" ref="H146">_xll.EQNXTDZ($A$1,$B146,H$1,$B$1)</f>
        <v>0</v>
      </c>
      <c r="I146" s="124" cm="1">
        <f t="array" ref="I146">_xll.EQNXTDZ($A$1,$B146,I$1,$B$1)</f>
        <v>0</v>
      </c>
      <c r="J146" s="124" cm="1">
        <f t="array" ref="J146">_xll.EQNXTDZ($A$1,$B146,J$1,$B$1)</f>
        <v>0</v>
      </c>
      <c r="K146" s="124" cm="1">
        <f t="array" ref="K146">_xll.EQNXTDZ($A$1,$B146,K$1,$B$1)</f>
        <v>0</v>
      </c>
      <c r="L146" s="124" cm="1">
        <f t="array" ref="L146">_xll.EQNXTDZ($A$1,$B146,L$1,$B$1)</f>
        <v>0</v>
      </c>
      <c r="M146" s="124" cm="1">
        <f t="array" ref="M146">_xll.EQNXTDZ($A$1,$B146,M$1,$B$1)</f>
        <v>0</v>
      </c>
      <c r="N146" s="124" cm="1">
        <f t="array" ref="N146">_xll.EQNXTDZ($A$1,$B146,N$1,$B$1)</f>
        <v>0</v>
      </c>
      <c r="O146" s="124" cm="1">
        <f t="array" ref="O146">_xll.EQNXTDZ($A$1,$B146,O$1,$B$1)</f>
        <v>0</v>
      </c>
      <c r="P146" s="124" cm="1">
        <f t="array" ref="P146">_xll.EQNXTDZ($A$1,$B146,P$1,$B$1)</f>
        <v>0</v>
      </c>
      <c r="Q146" s="124" cm="1">
        <f t="array" ref="Q146">_xll.EQNXTDZ($A$1,$B146,Q$1,$B$1)</f>
        <v>0</v>
      </c>
      <c r="R146" s="124" cm="1">
        <f t="array" ref="R146">_xll.EQNXTDZ($A$1,$B146,R$1,$B$1)</f>
        <v>0</v>
      </c>
      <c r="S146" s="124" cm="1">
        <f t="array" ref="S146">_xll.EQNXTDZ($A$1,$B146,S$1,$B$1)</f>
        <v>0</v>
      </c>
      <c r="T146" s="124" cm="1">
        <f t="array" ref="T146">_xll.EQNXTDZ($A$1,$B146,T$1,$B$1)</f>
        <v>0</v>
      </c>
      <c r="U146" s="124" cm="1">
        <f t="array" ref="U146">_xll.EQNXTDZ($A$1,$B146,U$1,$B$1)</f>
        <v>0</v>
      </c>
      <c r="V146" s="124" cm="1">
        <f t="array" ref="V146">_xll.EQNXTDZ($A$1,$B146,V$1,$B$1)</f>
        <v>0</v>
      </c>
      <c r="W146" s="124" cm="1">
        <f t="array" ref="W146">_xll.EQNXTDZ($A$1,$B146,W$1,$B$1)</f>
        <v>0</v>
      </c>
      <c r="X146" s="124" cm="1">
        <f t="array" ref="X146">_xll.EQNXTDZ($A$1,$B146,X$1,$B$1)</f>
        <v>0</v>
      </c>
      <c r="Y146" s="124" cm="1">
        <f t="array" ref="Y146">_xll.EQNXTDZ($A$1,$B146,Y$1,$B$1)</f>
        <v>0</v>
      </c>
      <c r="Z146" s="124" cm="1">
        <f t="array" ref="Z146">_xll.EQNXTDZ($A$1,$B146,Z$1,$B$1)</f>
        <v>0</v>
      </c>
      <c r="AA146" s="124" cm="1">
        <f t="array" ref="AA146">_xll.EQNXTDZ($A$1,$B146,AA$1,$B$1)</f>
        <v>0</v>
      </c>
      <c r="AB146" s="124" cm="1">
        <f t="array" ref="AB146">_xll.EQNXTDZ($A$1,$B146,AB$1,$B$1)</f>
        <v>0</v>
      </c>
      <c r="AC146" s="124" cm="1">
        <f t="array" ref="AC146">_xll.EQNXTDZ($A$1,$B146,AC$1,$B$1)</f>
        <v>0</v>
      </c>
      <c r="AD146" s="124" cm="1">
        <f t="array" ref="AD146">_xll.EQNXTDZ($A$1,$B146,AD$1,$B$1)</f>
        <v>0</v>
      </c>
      <c r="AE146" s="124" cm="1">
        <f t="array" ref="AE146">_xll.EQNXTDZ($A$1,$B146,AE$1,$B$1)</f>
        <v>0</v>
      </c>
      <c r="AF146" s="124" cm="1">
        <f t="array" ref="AF146">_xll.EQNXTDZ($A$1,$B146,AF$1,$B$1)</f>
        <v>0</v>
      </c>
    </row>
    <row r="147" spans="1:32" x14ac:dyDescent="0.25">
      <c r="A147" t="s">
        <v>127</v>
      </c>
      <c r="B147" t="s">
        <v>131</v>
      </c>
      <c r="C147" s="124" cm="1">
        <f t="array" ref="C147">_xll.EQNXTDZ($A$1,$B147,C$1,$B$1)</f>
        <v>0</v>
      </c>
      <c r="D147" s="124" cm="1">
        <f t="array" ref="D147">_xll.EQNXTDZ($A$1,$B147,D$1,$B$1)</f>
        <v>0</v>
      </c>
      <c r="E147" s="124" cm="1">
        <f t="array" ref="E147">_xll.EQNXTDZ($A$1,$B147,E$1,$B$1)</f>
        <v>0</v>
      </c>
      <c r="F147" s="124" cm="1">
        <f t="array" ref="F147">_xll.EQNXTDZ($A$1,$B147,F$1,$B$1)</f>
        <v>0</v>
      </c>
      <c r="G147" s="124" cm="1">
        <f t="array" ref="G147">_xll.EQNXTDZ($A$1,$B147,G$1,$B$1)</f>
        <v>0</v>
      </c>
      <c r="H147" s="124" cm="1">
        <f t="array" ref="H147">_xll.EQNXTDZ($A$1,$B147,H$1,$B$1)</f>
        <v>0</v>
      </c>
      <c r="I147" s="124" cm="1">
        <f t="array" ref="I147">_xll.EQNXTDZ($A$1,$B147,I$1,$B$1)</f>
        <v>0</v>
      </c>
      <c r="J147" s="124" cm="1">
        <f t="array" ref="J147">_xll.EQNXTDZ($A$1,$B147,J$1,$B$1)</f>
        <v>0</v>
      </c>
      <c r="K147" s="124" cm="1">
        <f t="array" ref="K147">_xll.EQNXTDZ($A$1,$B147,K$1,$B$1)</f>
        <v>0</v>
      </c>
      <c r="L147" s="124" cm="1">
        <f t="array" ref="L147">_xll.EQNXTDZ($A$1,$B147,L$1,$B$1)</f>
        <v>0</v>
      </c>
      <c r="M147" s="124" cm="1">
        <f t="array" ref="M147">_xll.EQNXTDZ($A$1,$B147,M$1,$B$1)</f>
        <v>0</v>
      </c>
      <c r="N147" s="124" cm="1">
        <f t="array" ref="N147">_xll.EQNXTDZ($A$1,$B147,N$1,$B$1)</f>
        <v>0</v>
      </c>
      <c r="O147" s="124" cm="1">
        <f t="array" ref="O147">_xll.EQNXTDZ($A$1,$B147,O$1,$B$1)</f>
        <v>0</v>
      </c>
      <c r="P147" s="124" cm="1">
        <f t="array" ref="P147">_xll.EQNXTDZ($A$1,$B147,P$1,$B$1)</f>
        <v>0</v>
      </c>
      <c r="Q147" s="124" cm="1">
        <f t="array" ref="Q147">_xll.EQNXTDZ($A$1,$B147,Q$1,$B$1)</f>
        <v>0</v>
      </c>
      <c r="R147" s="124" cm="1">
        <f t="array" ref="R147">_xll.EQNXTDZ($A$1,$B147,R$1,$B$1)</f>
        <v>0</v>
      </c>
      <c r="S147" s="124" cm="1">
        <f t="array" ref="S147">_xll.EQNXTDZ($A$1,$B147,S$1,$B$1)</f>
        <v>0</v>
      </c>
      <c r="T147" s="124" cm="1">
        <f t="array" ref="T147">_xll.EQNXTDZ($A$1,$B147,T$1,$B$1)</f>
        <v>0</v>
      </c>
      <c r="U147" s="124" cm="1">
        <f t="array" ref="U147">_xll.EQNXTDZ($A$1,$B147,U$1,$B$1)</f>
        <v>0</v>
      </c>
      <c r="V147" s="124" cm="1">
        <f t="array" ref="V147">_xll.EQNXTDZ($A$1,$B147,V$1,$B$1)</f>
        <v>0</v>
      </c>
      <c r="W147" s="124" cm="1">
        <f t="array" ref="W147">_xll.EQNXTDZ($A$1,$B147,W$1,$B$1)</f>
        <v>0</v>
      </c>
      <c r="X147" s="124" cm="1">
        <f t="array" ref="X147">_xll.EQNXTDZ($A$1,$B147,X$1,$B$1)</f>
        <v>0</v>
      </c>
      <c r="Y147" s="124" cm="1">
        <f t="array" ref="Y147">_xll.EQNXTDZ($A$1,$B147,Y$1,$B$1)</f>
        <v>0</v>
      </c>
      <c r="Z147" s="124" cm="1">
        <f t="array" ref="Z147">_xll.EQNXTDZ($A$1,$B147,Z$1,$B$1)</f>
        <v>0</v>
      </c>
      <c r="AA147" s="124" cm="1">
        <f t="array" ref="AA147">_xll.EQNXTDZ($A$1,$B147,AA$1,$B$1)</f>
        <v>0</v>
      </c>
      <c r="AB147" s="124" cm="1">
        <f t="array" ref="AB147">_xll.EQNXTDZ($A$1,$B147,AB$1,$B$1)</f>
        <v>0</v>
      </c>
      <c r="AC147" s="124" cm="1">
        <f t="array" ref="AC147">_xll.EQNXTDZ($A$1,$B147,AC$1,$B$1)</f>
        <v>0</v>
      </c>
      <c r="AD147" s="124" cm="1">
        <f t="array" ref="AD147">_xll.EQNXTDZ($A$1,$B147,AD$1,$B$1)</f>
        <v>0</v>
      </c>
      <c r="AE147" s="124" cm="1">
        <f t="array" ref="AE147">_xll.EQNXTDZ($A$1,$B147,AE$1,$B$1)</f>
        <v>0</v>
      </c>
      <c r="AF147" s="124" cm="1">
        <f t="array" ref="AF147">_xll.EQNXTDZ($A$1,$B147,AF$1,$B$1)</f>
        <v>0</v>
      </c>
    </row>
    <row r="148" spans="1:32" x14ac:dyDescent="0.25">
      <c r="A148" t="s">
        <v>128</v>
      </c>
      <c r="B148" t="s">
        <v>132</v>
      </c>
      <c r="C148" s="124" cm="1">
        <f t="array" ref="C148">_xll.EQNXTDZ($A$1,$B148,C$1,$B$1)</f>
        <v>0</v>
      </c>
      <c r="D148" s="124" cm="1">
        <f t="array" ref="D148">_xll.EQNXTDZ($A$1,$B148,D$1,$B$1)</f>
        <v>0</v>
      </c>
      <c r="E148" s="124" cm="1">
        <f t="array" ref="E148">_xll.EQNXTDZ($A$1,$B148,E$1,$B$1)</f>
        <v>0</v>
      </c>
      <c r="F148" s="124" cm="1">
        <f t="array" ref="F148">_xll.EQNXTDZ($A$1,$B148,F$1,$B$1)</f>
        <v>0</v>
      </c>
      <c r="G148" s="124" cm="1">
        <f t="array" ref="G148">_xll.EQNXTDZ($A$1,$B148,G$1,$B$1)</f>
        <v>0</v>
      </c>
      <c r="H148" s="124" cm="1">
        <f t="array" ref="H148">_xll.EQNXTDZ($A$1,$B148,H$1,$B$1)</f>
        <v>0</v>
      </c>
      <c r="I148" s="124" cm="1">
        <f t="array" ref="I148">_xll.EQNXTDZ($A$1,$B148,I$1,$B$1)</f>
        <v>0</v>
      </c>
      <c r="J148" s="124" cm="1">
        <f t="array" ref="J148">_xll.EQNXTDZ($A$1,$B148,J$1,$B$1)</f>
        <v>0</v>
      </c>
      <c r="K148" s="124" cm="1">
        <f t="array" ref="K148">_xll.EQNXTDZ($A$1,$B148,K$1,$B$1)</f>
        <v>0</v>
      </c>
      <c r="L148" s="124" cm="1">
        <f t="array" ref="L148">_xll.EQNXTDZ($A$1,$B148,L$1,$B$1)</f>
        <v>0</v>
      </c>
      <c r="M148" s="124" cm="1">
        <f t="array" ref="M148">_xll.EQNXTDZ($A$1,$B148,M$1,$B$1)</f>
        <v>0</v>
      </c>
      <c r="N148" s="124" cm="1">
        <f t="array" ref="N148">_xll.EQNXTDZ($A$1,$B148,N$1,$B$1)</f>
        <v>0</v>
      </c>
      <c r="O148" s="124" cm="1">
        <f t="array" ref="O148">_xll.EQNXTDZ($A$1,$B148,O$1,$B$1)</f>
        <v>0</v>
      </c>
      <c r="P148" s="124" cm="1">
        <f t="array" ref="P148">_xll.EQNXTDZ($A$1,$B148,P$1,$B$1)</f>
        <v>0</v>
      </c>
      <c r="Q148" s="124" cm="1">
        <f t="array" ref="Q148">_xll.EQNXTDZ($A$1,$B148,Q$1,$B$1)</f>
        <v>0</v>
      </c>
      <c r="R148" s="124" cm="1">
        <f t="array" ref="R148">_xll.EQNXTDZ($A$1,$B148,R$1,$B$1)</f>
        <v>0</v>
      </c>
      <c r="S148" s="124" cm="1">
        <f t="array" ref="S148">_xll.EQNXTDZ($A$1,$B148,S$1,$B$1)</f>
        <v>0</v>
      </c>
      <c r="T148" s="124" cm="1">
        <f t="array" ref="T148">_xll.EQNXTDZ($A$1,$B148,T$1,$B$1)</f>
        <v>0</v>
      </c>
      <c r="U148" s="124" cm="1">
        <f t="array" ref="U148">_xll.EQNXTDZ($A$1,$B148,U$1,$B$1)</f>
        <v>0</v>
      </c>
      <c r="V148" s="124" cm="1">
        <f t="array" ref="V148">_xll.EQNXTDZ($A$1,$B148,V$1,$B$1)</f>
        <v>0</v>
      </c>
      <c r="W148" s="124" cm="1">
        <f t="array" ref="W148">_xll.EQNXTDZ($A$1,$B148,W$1,$B$1)</f>
        <v>0</v>
      </c>
      <c r="X148" s="124" cm="1">
        <f t="array" ref="X148">_xll.EQNXTDZ($A$1,$B148,X$1,$B$1)</f>
        <v>0</v>
      </c>
      <c r="Y148" s="124" cm="1">
        <f t="array" ref="Y148">_xll.EQNXTDZ($A$1,$B148,Y$1,$B$1)</f>
        <v>0</v>
      </c>
      <c r="Z148" s="124" cm="1">
        <f t="array" ref="Z148">_xll.EQNXTDZ($A$1,$B148,Z$1,$B$1)</f>
        <v>0</v>
      </c>
      <c r="AA148" s="124" cm="1">
        <f t="array" ref="AA148">_xll.EQNXTDZ($A$1,$B148,AA$1,$B$1)</f>
        <v>0</v>
      </c>
      <c r="AB148" s="124" cm="1">
        <f t="array" ref="AB148">_xll.EQNXTDZ($A$1,$B148,AB$1,$B$1)</f>
        <v>0</v>
      </c>
      <c r="AC148" s="124" cm="1">
        <f t="array" ref="AC148">_xll.EQNXTDZ($A$1,$B148,AC$1,$B$1)</f>
        <v>0</v>
      </c>
      <c r="AD148" s="124" cm="1">
        <f t="array" ref="AD148">_xll.EQNXTDZ($A$1,$B148,AD$1,$B$1)</f>
        <v>0</v>
      </c>
      <c r="AE148" s="124" cm="1">
        <f t="array" ref="AE148">_xll.EQNXTDZ($A$1,$B148,AE$1,$B$1)</f>
        <v>0</v>
      </c>
      <c r="AF148" s="124" cm="1">
        <f t="array" ref="AF148">_xll.EQNXTDZ($A$1,$B148,AF$1,$B$1)</f>
        <v>0</v>
      </c>
    </row>
    <row r="149" spans="1:32" x14ac:dyDescent="0.25">
      <c r="A149" t="s">
        <v>129</v>
      </c>
      <c r="B149" t="s">
        <v>133</v>
      </c>
      <c r="C149" s="124" cm="1">
        <f t="array" ref="C149">_xll.EQNXTDZ($A$1,$B149,C$1,$B$1)</f>
        <v>0</v>
      </c>
      <c r="D149" s="124" cm="1">
        <f t="array" ref="D149">_xll.EQNXTDZ($A$1,$B149,D$1,$B$1)</f>
        <v>0</v>
      </c>
      <c r="E149" s="124" cm="1">
        <f t="array" ref="E149">_xll.EQNXTDZ($A$1,$B149,E$1,$B$1)</f>
        <v>0</v>
      </c>
      <c r="F149" s="124" cm="1">
        <f t="array" ref="F149">_xll.EQNXTDZ($A$1,$B149,F$1,$B$1)</f>
        <v>0</v>
      </c>
      <c r="G149" s="124" cm="1">
        <f t="array" ref="G149">_xll.EQNXTDZ($A$1,$B149,G$1,$B$1)</f>
        <v>0</v>
      </c>
      <c r="H149" s="124" cm="1">
        <f t="array" ref="H149">_xll.EQNXTDZ($A$1,$B149,H$1,$B$1)</f>
        <v>0</v>
      </c>
      <c r="I149" s="124" cm="1">
        <f t="array" ref="I149">_xll.EQNXTDZ($A$1,$B149,I$1,$B$1)</f>
        <v>0</v>
      </c>
      <c r="J149" s="124" cm="1">
        <f t="array" ref="J149">_xll.EQNXTDZ($A$1,$B149,J$1,$B$1)</f>
        <v>0</v>
      </c>
      <c r="K149" s="124" cm="1">
        <f t="array" ref="K149">_xll.EQNXTDZ($A$1,$B149,K$1,$B$1)</f>
        <v>0</v>
      </c>
      <c r="L149" s="124" cm="1">
        <f t="array" ref="L149">_xll.EQNXTDZ($A$1,$B149,L$1,$B$1)</f>
        <v>0</v>
      </c>
      <c r="M149" s="124" cm="1">
        <f t="array" ref="M149">_xll.EQNXTDZ($A$1,$B149,M$1,$B$1)</f>
        <v>0</v>
      </c>
      <c r="N149" s="124" cm="1">
        <f t="array" ref="N149">_xll.EQNXTDZ($A$1,$B149,N$1,$B$1)</f>
        <v>0</v>
      </c>
      <c r="O149" s="124" cm="1">
        <f t="array" ref="O149">_xll.EQNXTDZ($A$1,$B149,O$1,$B$1)</f>
        <v>0</v>
      </c>
      <c r="P149" s="124" cm="1">
        <f t="array" ref="P149">_xll.EQNXTDZ($A$1,$B149,P$1,$B$1)</f>
        <v>0</v>
      </c>
      <c r="Q149" s="124" cm="1">
        <f t="array" ref="Q149">_xll.EQNXTDZ($A$1,$B149,Q$1,$B$1)</f>
        <v>0</v>
      </c>
      <c r="R149" s="124" cm="1">
        <f t="array" ref="R149">_xll.EQNXTDZ($A$1,$B149,R$1,$B$1)</f>
        <v>0</v>
      </c>
      <c r="S149" s="124" cm="1">
        <f t="array" ref="S149">_xll.EQNXTDZ($A$1,$B149,S$1,$B$1)</f>
        <v>0</v>
      </c>
      <c r="T149" s="124" cm="1">
        <f t="array" ref="T149">_xll.EQNXTDZ($A$1,$B149,T$1,$B$1)</f>
        <v>0</v>
      </c>
      <c r="U149" s="124" cm="1">
        <f t="array" ref="U149">_xll.EQNXTDZ($A$1,$B149,U$1,$B$1)</f>
        <v>0</v>
      </c>
      <c r="V149" s="124" cm="1">
        <f t="array" ref="V149">_xll.EQNXTDZ($A$1,$B149,V$1,$B$1)</f>
        <v>0</v>
      </c>
      <c r="W149" s="124" cm="1">
        <f t="array" ref="W149">_xll.EQNXTDZ($A$1,$B149,W$1,$B$1)</f>
        <v>0</v>
      </c>
      <c r="X149" s="124" cm="1">
        <f t="array" ref="X149">_xll.EQNXTDZ($A$1,$B149,X$1,$B$1)</f>
        <v>0</v>
      </c>
      <c r="Y149" s="124" cm="1">
        <f t="array" ref="Y149">_xll.EQNXTDZ($A$1,$B149,Y$1,$B$1)</f>
        <v>0</v>
      </c>
      <c r="Z149" s="124" cm="1">
        <f t="array" ref="Z149">_xll.EQNXTDZ($A$1,$B149,Z$1,$B$1)</f>
        <v>0</v>
      </c>
      <c r="AA149" s="124" cm="1">
        <f t="array" ref="AA149">_xll.EQNXTDZ($A$1,$B149,AA$1,$B$1)</f>
        <v>0</v>
      </c>
      <c r="AB149" s="124" cm="1">
        <f t="array" ref="AB149">_xll.EQNXTDZ($A$1,$B149,AB$1,$B$1)</f>
        <v>0</v>
      </c>
      <c r="AC149" s="124" cm="1">
        <f t="array" ref="AC149">_xll.EQNXTDZ($A$1,$B149,AC$1,$B$1)</f>
        <v>0</v>
      </c>
      <c r="AD149" s="124" cm="1">
        <f t="array" ref="AD149">_xll.EQNXTDZ($A$1,$B149,AD$1,$B$1)</f>
        <v>0</v>
      </c>
      <c r="AE149" s="124" cm="1">
        <f t="array" ref="AE149">_xll.EQNXTDZ($A$1,$B149,AE$1,$B$1)</f>
        <v>0</v>
      </c>
      <c r="AF149" s="124" cm="1">
        <f t="array" ref="AF149">_xll.EQNXTDZ($A$1,$B149,AF$1,$B$1)</f>
        <v>0</v>
      </c>
    </row>
    <row r="150" spans="1:32" x14ac:dyDescent="0.25">
      <c r="A150" t="s">
        <v>73</v>
      </c>
      <c r="B150" t="s">
        <v>457</v>
      </c>
      <c r="C150" s="124" cm="1">
        <f t="array" ref="C150">_xll.EQNXTDZ($A$1,$B150,C$1,$B$1)</f>
        <v>0</v>
      </c>
      <c r="D150" s="124" cm="1">
        <f t="array" ref="D150">_xll.EQNXTDZ($A$1,$B150,D$1,$B$1)</f>
        <v>0</v>
      </c>
      <c r="E150" s="124" cm="1">
        <f t="array" ref="E150">_xll.EQNXTDZ($A$1,$B150,E$1,$B$1)</f>
        <v>0</v>
      </c>
      <c r="F150" s="124" cm="1">
        <f t="array" ref="F150">_xll.EQNXTDZ($A$1,$B150,F$1,$B$1)</f>
        <v>0</v>
      </c>
      <c r="G150" s="124" cm="1">
        <f t="array" ref="G150">_xll.EQNXTDZ($A$1,$B150,G$1,$B$1)</f>
        <v>0</v>
      </c>
      <c r="H150" s="124" cm="1">
        <f t="array" ref="H150">_xll.EQNXTDZ($A$1,$B150,H$1,$B$1)</f>
        <v>0</v>
      </c>
      <c r="I150" s="124" cm="1">
        <f t="array" ref="I150">_xll.EQNXTDZ($A$1,$B150,I$1,$B$1)</f>
        <v>0</v>
      </c>
      <c r="J150" s="124" cm="1">
        <f t="array" ref="J150">_xll.EQNXTDZ($A$1,$B150,J$1,$B$1)</f>
        <v>0</v>
      </c>
      <c r="K150" s="124" cm="1">
        <f t="array" ref="K150">_xll.EQNXTDZ($A$1,$B150,K$1,$B$1)</f>
        <v>0</v>
      </c>
      <c r="L150" s="124" cm="1">
        <f t="array" ref="L150">_xll.EQNXTDZ($A$1,$B150,L$1,$B$1)</f>
        <v>0</v>
      </c>
      <c r="M150" s="124" cm="1">
        <f t="array" ref="M150">_xll.EQNXTDZ($A$1,$B150,M$1,$B$1)</f>
        <v>0</v>
      </c>
      <c r="N150" s="124" cm="1">
        <f t="array" ref="N150">_xll.EQNXTDZ($A$1,$B150,N$1,$B$1)</f>
        <v>0</v>
      </c>
      <c r="O150" s="124" cm="1">
        <f t="array" ref="O150">_xll.EQNXTDZ($A$1,$B150,O$1,$B$1)</f>
        <v>0</v>
      </c>
      <c r="P150" s="124" cm="1">
        <f t="array" ref="P150">_xll.EQNXTDZ($A$1,$B150,P$1,$B$1)</f>
        <v>0</v>
      </c>
      <c r="Q150" s="124" cm="1">
        <f t="array" ref="Q150">_xll.EQNXTDZ($A$1,$B150,Q$1,$B$1)</f>
        <v>0</v>
      </c>
      <c r="R150" s="124" cm="1">
        <f t="array" ref="R150">_xll.EQNXTDZ($A$1,$B150,R$1,$B$1)</f>
        <v>0</v>
      </c>
      <c r="S150" s="124" cm="1">
        <f t="array" ref="S150">_xll.EQNXTDZ($A$1,$B150,S$1,$B$1)</f>
        <v>0</v>
      </c>
      <c r="T150" s="124" cm="1">
        <f t="array" ref="T150">_xll.EQNXTDZ($A$1,$B150,T$1,$B$1)</f>
        <v>0</v>
      </c>
      <c r="U150" s="124" cm="1">
        <f t="array" ref="U150">_xll.EQNXTDZ($A$1,$B150,U$1,$B$1)</f>
        <v>0</v>
      </c>
      <c r="V150" s="124" cm="1">
        <f t="array" ref="V150">_xll.EQNXTDZ($A$1,$B150,V$1,$B$1)</f>
        <v>0</v>
      </c>
      <c r="W150" s="124" cm="1">
        <f t="array" ref="W150">_xll.EQNXTDZ($A$1,$B150,W$1,$B$1)</f>
        <v>0</v>
      </c>
      <c r="X150" s="124" cm="1">
        <f t="array" ref="X150">_xll.EQNXTDZ($A$1,$B150,X$1,$B$1)</f>
        <v>0</v>
      </c>
      <c r="Y150" s="124" cm="1">
        <f t="array" ref="Y150">_xll.EQNXTDZ($A$1,$B150,Y$1,$B$1)</f>
        <v>0</v>
      </c>
      <c r="Z150" s="124" cm="1">
        <f t="array" ref="Z150">_xll.EQNXTDZ($A$1,$B150,Z$1,$B$1)</f>
        <v>0</v>
      </c>
      <c r="AA150" s="124" cm="1">
        <f t="array" ref="AA150">_xll.EQNXTDZ($A$1,$B150,AA$1,$B$1)</f>
        <v>0</v>
      </c>
      <c r="AB150" s="124" cm="1">
        <f t="array" ref="AB150">_xll.EQNXTDZ($A$1,$B150,AB$1,$B$1)</f>
        <v>0</v>
      </c>
      <c r="AC150" s="124" cm="1">
        <f t="array" ref="AC150">_xll.EQNXTDZ($A$1,$B150,AC$1,$B$1)</f>
        <v>0</v>
      </c>
      <c r="AD150" s="124" cm="1">
        <f t="array" ref="AD150">_xll.EQNXTDZ($A$1,$B150,AD$1,$B$1)</f>
        <v>0</v>
      </c>
      <c r="AE150" s="124" cm="1">
        <f t="array" ref="AE150">_xll.EQNXTDZ($A$1,$B150,AE$1,$B$1)</f>
        <v>0</v>
      </c>
      <c r="AF150" s="124" cm="1">
        <f t="array" ref="AF150">_xll.EQNXTDZ($A$1,$B150,AF$1,$B$1)</f>
        <v>0</v>
      </c>
    </row>
    <row r="151" spans="1:32" x14ac:dyDescent="0.25">
      <c r="A151" t="s">
        <v>273</v>
      </c>
      <c r="B151" t="s">
        <v>137</v>
      </c>
      <c r="C151" s="124" cm="1">
        <f t="array" ref="C151">_xll.EQNXTDZ($A$1,$B151,C$1,$B$1)</f>
        <v>0</v>
      </c>
      <c r="D151" s="124" cm="1">
        <f t="array" ref="D151">_xll.EQNXTDZ($A$1,$B151,D$1,$B$1)</f>
        <v>0</v>
      </c>
      <c r="E151" s="124" cm="1">
        <f t="array" ref="E151">_xll.EQNXTDZ($A$1,$B151,E$1,$B$1)</f>
        <v>0</v>
      </c>
      <c r="F151" s="124" cm="1">
        <f t="array" ref="F151">_xll.EQNXTDZ($A$1,$B151,F$1,$B$1)</f>
        <v>0</v>
      </c>
      <c r="G151" s="124" cm="1">
        <f t="array" ref="G151">_xll.EQNXTDZ($A$1,$B151,G$1,$B$1)</f>
        <v>0</v>
      </c>
      <c r="H151" s="124" cm="1">
        <f t="array" ref="H151">_xll.EQNXTDZ($A$1,$B151,H$1,$B$1)</f>
        <v>0</v>
      </c>
      <c r="I151" s="124" cm="1">
        <f t="array" ref="I151">_xll.EQNXTDZ($A$1,$B151,I$1,$B$1)</f>
        <v>0</v>
      </c>
      <c r="J151" s="124" cm="1">
        <f t="array" ref="J151">_xll.EQNXTDZ($A$1,$B151,J$1,$B$1)</f>
        <v>0</v>
      </c>
      <c r="K151" s="124" cm="1">
        <f t="array" ref="K151">_xll.EQNXTDZ($A$1,$B151,K$1,$B$1)</f>
        <v>0</v>
      </c>
      <c r="L151" s="124" cm="1">
        <f t="array" ref="L151">_xll.EQNXTDZ($A$1,$B151,L$1,$B$1)</f>
        <v>0</v>
      </c>
      <c r="M151" s="124" cm="1">
        <f t="array" ref="M151">_xll.EQNXTDZ($A$1,$B151,M$1,$B$1)</f>
        <v>0</v>
      </c>
      <c r="N151" s="124" cm="1">
        <f t="array" ref="N151">_xll.EQNXTDZ($A$1,$B151,N$1,$B$1)</f>
        <v>0</v>
      </c>
      <c r="O151" s="124" cm="1">
        <f t="array" ref="O151">_xll.EQNXTDZ($A$1,$B151,O$1,$B$1)</f>
        <v>0</v>
      </c>
      <c r="P151" s="124" cm="1">
        <f t="array" ref="P151">_xll.EQNXTDZ($A$1,$B151,P$1,$B$1)</f>
        <v>0</v>
      </c>
      <c r="Q151" s="124" cm="1">
        <f t="array" ref="Q151">_xll.EQNXTDZ($A$1,$B151,Q$1,$B$1)</f>
        <v>0</v>
      </c>
      <c r="R151" s="124" cm="1">
        <f t="array" ref="R151">_xll.EQNXTDZ($A$1,$B151,R$1,$B$1)</f>
        <v>0</v>
      </c>
      <c r="S151" s="124" cm="1">
        <f t="array" ref="S151">_xll.EQNXTDZ($A$1,$B151,S$1,$B$1)</f>
        <v>0</v>
      </c>
      <c r="T151" s="124" cm="1">
        <f t="array" ref="T151">_xll.EQNXTDZ($A$1,$B151,T$1,$B$1)</f>
        <v>0</v>
      </c>
      <c r="U151" s="124" cm="1">
        <f t="array" ref="U151">_xll.EQNXTDZ($A$1,$B151,U$1,$B$1)</f>
        <v>0</v>
      </c>
      <c r="V151" s="124" cm="1">
        <f t="array" ref="V151">_xll.EQNXTDZ($A$1,$B151,V$1,$B$1)</f>
        <v>0</v>
      </c>
      <c r="W151" s="124" cm="1">
        <f t="array" ref="W151">_xll.EQNXTDZ($A$1,$B151,W$1,$B$1)</f>
        <v>0</v>
      </c>
      <c r="X151" s="124" cm="1">
        <f t="array" ref="X151">_xll.EQNXTDZ($A$1,$B151,X$1,$B$1)</f>
        <v>0</v>
      </c>
      <c r="Y151" s="124" cm="1">
        <f t="array" ref="Y151">_xll.EQNXTDZ($A$1,$B151,Y$1,$B$1)</f>
        <v>0</v>
      </c>
      <c r="Z151" s="124" cm="1">
        <f t="array" ref="Z151">_xll.EQNXTDZ($A$1,$B151,Z$1,$B$1)</f>
        <v>0</v>
      </c>
      <c r="AA151" s="124" cm="1">
        <f t="array" ref="AA151">_xll.EQNXTDZ($A$1,$B151,AA$1,$B$1)</f>
        <v>0</v>
      </c>
      <c r="AB151" s="124" cm="1">
        <f t="array" ref="AB151">_xll.EQNXTDZ($A$1,$B151,AB$1,$B$1)</f>
        <v>0</v>
      </c>
      <c r="AC151" s="124" cm="1">
        <f t="array" ref="AC151">_xll.EQNXTDZ($A$1,$B151,AC$1,$B$1)</f>
        <v>0</v>
      </c>
      <c r="AD151" s="124" cm="1">
        <f t="array" ref="AD151">_xll.EQNXTDZ($A$1,$B151,AD$1,$B$1)</f>
        <v>0</v>
      </c>
      <c r="AE151" s="124" cm="1">
        <f t="array" ref="AE151">_xll.EQNXTDZ($A$1,$B151,AE$1,$B$1)</f>
        <v>0</v>
      </c>
      <c r="AF151" s="124" cm="1">
        <f t="array" ref="AF151">_xll.EQNXTDZ($A$1,$B151,AF$1,$B$1)</f>
        <v>0</v>
      </c>
    </row>
    <row r="152" spans="1:32" x14ac:dyDescent="0.25">
      <c r="A152" t="s">
        <v>273</v>
      </c>
      <c r="B152" t="s">
        <v>138</v>
      </c>
      <c r="C152" s="124" cm="1">
        <f t="array" ref="C152">_xll.EQNXTDZ($A$1,$B152,C$1,$B$1)</f>
        <v>0</v>
      </c>
      <c r="D152" s="124" cm="1">
        <f t="array" ref="D152">_xll.EQNXTDZ($A$1,$B152,D$1,$B$1)</f>
        <v>0</v>
      </c>
      <c r="E152" s="124" cm="1">
        <f t="array" ref="E152">_xll.EQNXTDZ($A$1,$B152,E$1,$B$1)</f>
        <v>0</v>
      </c>
      <c r="F152" s="124" cm="1">
        <f t="array" ref="F152">_xll.EQNXTDZ($A$1,$B152,F$1,$B$1)</f>
        <v>0</v>
      </c>
      <c r="G152" s="124" cm="1">
        <f t="array" ref="G152">_xll.EQNXTDZ($A$1,$B152,G$1,$B$1)</f>
        <v>0</v>
      </c>
      <c r="H152" s="124" cm="1">
        <f t="array" ref="H152">_xll.EQNXTDZ($A$1,$B152,H$1,$B$1)</f>
        <v>0</v>
      </c>
      <c r="I152" s="124" cm="1">
        <f t="array" ref="I152">_xll.EQNXTDZ($A$1,$B152,I$1,$B$1)</f>
        <v>0</v>
      </c>
      <c r="J152" s="124" cm="1">
        <f t="array" ref="J152">_xll.EQNXTDZ($A$1,$B152,J$1,$B$1)</f>
        <v>0</v>
      </c>
      <c r="K152" s="124" cm="1">
        <f t="array" ref="K152">_xll.EQNXTDZ($A$1,$B152,K$1,$B$1)</f>
        <v>0</v>
      </c>
      <c r="L152" s="124" cm="1">
        <f t="array" ref="L152">_xll.EQNXTDZ($A$1,$B152,L$1,$B$1)</f>
        <v>0</v>
      </c>
      <c r="M152" s="124" cm="1">
        <f t="array" ref="M152">_xll.EQNXTDZ($A$1,$B152,M$1,$B$1)</f>
        <v>0</v>
      </c>
      <c r="N152" s="124" cm="1">
        <f t="array" ref="N152">_xll.EQNXTDZ($A$1,$B152,N$1,$B$1)</f>
        <v>0</v>
      </c>
      <c r="O152" s="124" cm="1">
        <f t="array" ref="O152">_xll.EQNXTDZ($A$1,$B152,O$1,$B$1)</f>
        <v>0</v>
      </c>
      <c r="P152" s="124" cm="1">
        <f t="array" ref="P152">_xll.EQNXTDZ($A$1,$B152,P$1,$B$1)</f>
        <v>0</v>
      </c>
      <c r="Q152" s="124" cm="1">
        <f t="array" ref="Q152">_xll.EQNXTDZ($A$1,$B152,Q$1,$B$1)</f>
        <v>0</v>
      </c>
      <c r="R152" s="124" cm="1">
        <f t="array" ref="R152">_xll.EQNXTDZ($A$1,$B152,R$1,$B$1)</f>
        <v>0</v>
      </c>
      <c r="S152" s="124" cm="1">
        <f t="array" ref="S152">_xll.EQNXTDZ($A$1,$B152,S$1,$B$1)</f>
        <v>0</v>
      </c>
      <c r="T152" s="124" cm="1">
        <f t="array" ref="T152">_xll.EQNXTDZ($A$1,$B152,T$1,$B$1)</f>
        <v>0</v>
      </c>
      <c r="U152" s="124" cm="1">
        <f t="array" ref="U152">_xll.EQNXTDZ($A$1,$B152,U$1,$B$1)</f>
        <v>0</v>
      </c>
      <c r="V152" s="124" cm="1">
        <f t="array" ref="V152">_xll.EQNXTDZ($A$1,$B152,V$1,$B$1)</f>
        <v>0</v>
      </c>
      <c r="W152" s="124" cm="1">
        <f t="array" ref="W152">_xll.EQNXTDZ($A$1,$B152,W$1,$B$1)</f>
        <v>0</v>
      </c>
      <c r="X152" s="124" cm="1">
        <f t="array" ref="X152">_xll.EQNXTDZ($A$1,$B152,X$1,$B$1)</f>
        <v>0</v>
      </c>
      <c r="Y152" s="124" cm="1">
        <f t="array" ref="Y152">_xll.EQNXTDZ($A$1,$B152,Y$1,$B$1)</f>
        <v>0</v>
      </c>
      <c r="Z152" s="124" cm="1">
        <f t="array" ref="Z152">_xll.EQNXTDZ($A$1,$B152,Z$1,$B$1)</f>
        <v>0</v>
      </c>
      <c r="AA152" s="124" cm="1">
        <f t="array" ref="AA152">_xll.EQNXTDZ($A$1,$B152,AA$1,$B$1)</f>
        <v>0</v>
      </c>
      <c r="AB152" s="124" cm="1">
        <f t="array" ref="AB152">_xll.EQNXTDZ($A$1,$B152,AB$1,$B$1)</f>
        <v>0</v>
      </c>
      <c r="AC152" s="124" cm="1">
        <f t="array" ref="AC152">_xll.EQNXTDZ($A$1,$B152,AC$1,$B$1)</f>
        <v>0</v>
      </c>
      <c r="AD152" s="124" cm="1">
        <f t="array" ref="AD152">_xll.EQNXTDZ($A$1,$B152,AD$1,$B$1)</f>
        <v>0</v>
      </c>
      <c r="AE152" s="124" cm="1">
        <f t="array" ref="AE152">_xll.EQNXTDZ($A$1,$B152,AE$1,$B$1)</f>
        <v>0</v>
      </c>
      <c r="AF152" s="124" cm="1">
        <f t="array" ref="AF152">_xll.EQNXTDZ($A$1,$B152,AF$1,$B$1)</f>
        <v>0</v>
      </c>
    </row>
    <row r="153" spans="1:32" x14ac:dyDescent="0.25">
      <c r="A153" t="s">
        <v>276</v>
      </c>
      <c r="B153" t="s">
        <v>277</v>
      </c>
      <c r="C153" s="124" cm="1">
        <f t="array" ref="C153">_xll.EQNXTDZ($A$1,$B153,C$1,$B$1)</f>
        <v>0</v>
      </c>
      <c r="D153" s="124" cm="1">
        <f t="array" ref="D153">_xll.EQNXTDZ($A$1,$B153,D$1,$B$1)</f>
        <v>0</v>
      </c>
      <c r="E153" s="124" cm="1">
        <f t="array" ref="E153">_xll.EQNXTDZ($A$1,$B153,E$1,$B$1)</f>
        <v>0</v>
      </c>
      <c r="F153" s="124" cm="1">
        <f t="array" ref="F153">_xll.EQNXTDZ($A$1,$B153,F$1,$B$1)</f>
        <v>0</v>
      </c>
      <c r="G153" s="124" cm="1">
        <f t="array" ref="G153">_xll.EQNXTDZ($A$1,$B153,G$1,$B$1)</f>
        <v>0</v>
      </c>
      <c r="H153" s="124" cm="1">
        <f t="array" ref="H153">_xll.EQNXTDZ($A$1,$B153,H$1,$B$1)</f>
        <v>0</v>
      </c>
      <c r="I153" s="124" cm="1">
        <f t="array" ref="I153">_xll.EQNXTDZ($A$1,$B153,I$1,$B$1)</f>
        <v>0</v>
      </c>
      <c r="J153" s="124" cm="1">
        <f t="array" ref="J153">_xll.EQNXTDZ($A$1,$B153,J$1,$B$1)</f>
        <v>0</v>
      </c>
      <c r="K153" s="124" cm="1">
        <f t="array" ref="K153">_xll.EQNXTDZ($A$1,$B153,K$1,$B$1)</f>
        <v>0</v>
      </c>
      <c r="L153" s="124" cm="1">
        <f t="array" ref="L153">_xll.EQNXTDZ($A$1,$B153,L$1,$B$1)</f>
        <v>0</v>
      </c>
      <c r="M153" s="124" cm="1">
        <f t="array" ref="M153">_xll.EQNXTDZ($A$1,$B153,M$1,$B$1)</f>
        <v>0</v>
      </c>
      <c r="N153" s="124" cm="1">
        <f t="array" ref="N153">_xll.EQNXTDZ($A$1,$B153,N$1,$B$1)</f>
        <v>0</v>
      </c>
      <c r="O153" s="124" cm="1">
        <f t="array" ref="O153">_xll.EQNXTDZ($A$1,$B153,O$1,$B$1)</f>
        <v>0</v>
      </c>
      <c r="P153" s="124" cm="1">
        <f t="array" ref="P153">_xll.EQNXTDZ($A$1,$B153,P$1,$B$1)</f>
        <v>0</v>
      </c>
      <c r="Q153" s="124" cm="1">
        <f t="array" ref="Q153">_xll.EQNXTDZ($A$1,$B153,Q$1,$B$1)</f>
        <v>0</v>
      </c>
      <c r="R153" s="124" cm="1">
        <f t="array" ref="R153">_xll.EQNXTDZ($A$1,$B153,R$1,$B$1)</f>
        <v>0</v>
      </c>
      <c r="S153" s="124" cm="1">
        <f t="array" ref="S153">_xll.EQNXTDZ($A$1,$B153,S$1,$B$1)</f>
        <v>0</v>
      </c>
      <c r="T153" s="124" cm="1">
        <f t="array" ref="T153">_xll.EQNXTDZ($A$1,$B153,T$1,$B$1)</f>
        <v>0</v>
      </c>
      <c r="U153" s="124" cm="1">
        <f t="array" ref="U153">_xll.EQNXTDZ($A$1,$B153,U$1,$B$1)</f>
        <v>0</v>
      </c>
      <c r="V153" s="124" cm="1">
        <f t="array" ref="V153">_xll.EQNXTDZ($A$1,$B153,V$1,$B$1)</f>
        <v>0</v>
      </c>
      <c r="W153" s="124" cm="1">
        <f t="array" ref="W153">_xll.EQNXTDZ($A$1,$B153,W$1,$B$1)</f>
        <v>0</v>
      </c>
      <c r="X153" s="124" cm="1">
        <f t="array" ref="X153">_xll.EQNXTDZ($A$1,$B153,X$1,$B$1)</f>
        <v>0</v>
      </c>
      <c r="Y153" s="124" cm="1">
        <f t="array" ref="Y153">_xll.EQNXTDZ($A$1,$B153,Y$1,$B$1)</f>
        <v>0</v>
      </c>
      <c r="Z153" s="124" cm="1">
        <f t="array" ref="Z153">_xll.EQNXTDZ($A$1,$B153,Z$1,$B$1)</f>
        <v>0</v>
      </c>
      <c r="AA153" s="124" cm="1">
        <f t="array" ref="AA153">_xll.EQNXTDZ($A$1,$B153,AA$1,$B$1)</f>
        <v>0</v>
      </c>
      <c r="AB153" s="124" cm="1">
        <f t="array" ref="AB153">_xll.EQNXTDZ($A$1,$B153,AB$1,$B$1)</f>
        <v>0</v>
      </c>
      <c r="AC153" s="124" cm="1">
        <f t="array" ref="AC153">_xll.EQNXTDZ($A$1,$B153,AC$1,$B$1)</f>
        <v>0</v>
      </c>
      <c r="AD153" s="124" cm="1">
        <f t="array" ref="AD153">_xll.EQNXTDZ($A$1,$B153,AD$1,$B$1)</f>
        <v>0</v>
      </c>
      <c r="AE153" s="124" cm="1">
        <f t="array" ref="AE153">_xll.EQNXTDZ($A$1,$B153,AE$1,$B$1)</f>
        <v>0</v>
      </c>
      <c r="AF153" s="124" cm="1">
        <f t="array" ref="AF153">_xll.EQNXTDZ($A$1,$B153,AF$1,$B$1)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106"/>
  <sheetViews>
    <sheetView workbookViewId="0">
      <pane xSplit="2" ySplit="5" topLeftCell="AO44" activePane="bottomRight" state="frozen"/>
      <selection pane="topRight" activeCell="C1" sqref="C1"/>
      <selection pane="bottomLeft" activeCell="A6" sqref="A6"/>
      <selection pane="bottomRight" activeCell="AU91" sqref="A91:XFD91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0</v>
      </c>
      <c r="B1" t="s">
        <v>456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145</v>
      </c>
      <c r="B5" t="s">
        <v>148</v>
      </c>
      <c r="C5" s="124" cm="1">
        <f t="array" ref="C5">+_xll.EQNXTDZ($A$1,$B5,C$1,$B$1)</f>
        <v>0</v>
      </c>
      <c r="D5" s="124" cm="1">
        <f t="array" ref="D5">+_xll.EQNXTDZ($A$1,$B5,D$1,$B$1)</f>
        <v>0</v>
      </c>
      <c r="E5" s="124" cm="1">
        <f t="array" ref="E5">+_xll.EQNXTDZ($A$1,$B5,E$1,$B$1)</f>
        <v>0</v>
      </c>
      <c r="F5" s="124" cm="1">
        <f t="array" ref="F5">+_xll.EQNXTDZ($A$1,$B5,F$1,$B$1)</f>
        <v>0</v>
      </c>
      <c r="G5" s="124" cm="1">
        <f t="array" ref="G5">+_xll.EQNXTDZ($A$1,$B5,G$1,$B$1)</f>
        <v>0</v>
      </c>
      <c r="H5" s="124" cm="1">
        <f t="array" ref="H5">+_xll.EQNXTDZ($A$1,$B5,H$1,$B$1)</f>
        <v>0</v>
      </c>
      <c r="I5" s="124" cm="1">
        <f t="array" ref="I5">+_xll.EQNXTDZ($A$1,$B5,I$1,$B$1)</f>
        <v>0</v>
      </c>
      <c r="J5" s="124" cm="1">
        <f t="array" ref="J5">+_xll.EQNXTDZ($A$1,$B5,J$1,$B$1)</f>
        <v>0</v>
      </c>
      <c r="K5" s="124" cm="1">
        <f t="array" ref="K5">+_xll.EQNXTDZ($A$1,$B5,K$1,$B$1)</f>
        <v>0</v>
      </c>
      <c r="L5" s="124" cm="1">
        <f t="array" ref="L5">+_xll.EQNXTDZ($A$1,$B5,L$1,$B$1)</f>
        <v>0</v>
      </c>
      <c r="M5" s="124" cm="1">
        <f t="array" ref="M5">+_xll.EQNXTDZ($A$1,$B5,M$1,$B$1)</f>
        <v>0</v>
      </c>
      <c r="N5" s="124" cm="1">
        <f t="array" ref="N5">+_xll.EQNXTDZ($A$1,$B5,N$1,$B$1)</f>
        <v>0</v>
      </c>
      <c r="O5" s="124" cm="1">
        <f t="array" ref="O5">+_xll.EQNXTDZ($A$1,$B5,O$1,$B$1)</f>
        <v>0</v>
      </c>
      <c r="P5" s="124" cm="1">
        <f t="array" ref="P5">+_xll.EQNXTDZ($A$1,$B5,P$1,$B$1)</f>
        <v>0</v>
      </c>
      <c r="Q5" s="124" cm="1">
        <f t="array" ref="Q5">+_xll.EQNXTDZ($A$1,$B5,Q$1,$B$1)</f>
        <v>0</v>
      </c>
      <c r="R5" s="124" cm="1">
        <f t="array" ref="R5">+_xll.EQNXTDZ($A$1,$B5,R$1,$B$1)</f>
        <v>0</v>
      </c>
      <c r="S5" s="124" cm="1">
        <f t="array" ref="S5">+_xll.EQNXTDZ($A$1,$B5,S$1,$B$1)</f>
        <v>0</v>
      </c>
      <c r="T5" s="124" cm="1">
        <f t="array" ref="T5">+_xll.EQNXTDZ($A$1,$B5,T$1,$B$1)</f>
        <v>0</v>
      </c>
      <c r="U5" s="124" cm="1">
        <f t="array" ref="U5">+_xll.EQNXTDZ($A$1,$B5,U$1,$B$1)</f>
        <v>0</v>
      </c>
      <c r="V5" s="124" cm="1">
        <f t="array" ref="V5">+_xll.EQNXTDZ($A$1,$B5,V$1,$B$1)</f>
        <v>0</v>
      </c>
      <c r="W5" s="124" cm="1">
        <f t="array" ref="W5">+_xll.EQNXTDZ($A$1,$B5,W$1,$B$1)</f>
        <v>0</v>
      </c>
      <c r="X5" s="124" cm="1">
        <f t="array" ref="X5">+_xll.EQNXTDZ($A$1,$B5,X$1,$B$1)</f>
        <v>0</v>
      </c>
      <c r="Y5" s="124" cm="1">
        <f t="array" ref="Y5">+_xll.EQNXTDZ($A$1,$B5,Y$1,$B$1)</f>
        <v>0</v>
      </c>
      <c r="Z5" s="124" cm="1">
        <f t="array" ref="Z5">+_xll.EQNXTDZ($A$1,$B5,Z$1,$B$1)</f>
        <v>0</v>
      </c>
      <c r="AA5" s="124" cm="1">
        <f t="array" ref="AA5">+_xll.EQNXTDZ($A$1,$B5,AA$1,$B$1)</f>
        <v>0</v>
      </c>
      <c r="AB5" s="124" cm="1">
        <f t="array" ref="AB5">+_xll.EQNXTDZ($A$1,$B5,AB$1,$B$1)</f>
        <v>0</v>
      </c>
      <c r="AC5" s="124" cm="1">
        <f t="array" ref="AC5">+_xll.EQNXTDZ($A$1,$B5,AC$1,$B$1)</f>
        <v>0</v>
      </c>
      <c r="AD5" s="124" cm="1">
        <f t="array" ref="AD5">+_xll.EQNXTDZ($A$1,$B5,AD$1,$B$1)</f>
        <v>0</v>
      </c>
      <c r="AE5" s="124" cm="1">
        <f t="array" ref="AE5">+_xll.EQNXTDZ($A$1,$B5,AE$1,$B$1)</f>
        <v>0</v>
      </c>
      <c r="AF5" s="124" cm="1">
        <f t="array" ref="AF5">+_xll.EQNXTDZ($A$1,$B5,AF$1,$B$1)</f>
        <v>0</v>
      </c>
      <c r="AG5" s="124" cm="1">
        <f t="array" ref="AG5">+_xll.EQNXTDZ($A$1,$B5,AG$1,$B$1)</f>
        <v>0</v>
      </c>
      <c r="AH5" s="124" cm="1">
        <f t="array" ref="AH5">+_xll.EQNXTDZ($A$1,$B5,AH$1,$B$1)</f>
        <v>0</v>
      </c>
      <c r="AI5" s="124" cm="1">
        <f t="array" ref="AI5">+_xll.EQNXTDZ($A$1,$B5,AI$1,$B$1)</f>
        <v>0</v>
      </c>
      <c r="AJ5" s="124" cm="1">
        <f t="array" ref="AJ5">+_xll.EQNXTDZ($A$1,$B5,AJ$1,$B$1)</f>
        <v>0</v>
      </c>
      <c r="AK5" s="124" cm="1">
        <f t="array" ref="AK5">+_xll.EQNXTDZ($A$1,$B5,AK$1,$B$1)</f>
        <v>0</v>
      </c>
      <c r="AL5" s="124" cm="1">
        <f t="array" ref="AL5">+_xll.EQNXTDZ($A$1,$B5,AL$1,$B$1)</f>
        <v>0</v>
      </c>
      <c r="AM5" s="124" cm="1">
        <f t="array" ref="AM5">+_xll.EQNXTDZ($A$1,$B5,AM$1,$B$1)</f>
        <v>0</v>
      </c>
      <c r="AN5" s="124" cm="1">
        <f t="array" ref="AN5">+_xll.EQNXTDZ($A$1,$B5,AN$1,$B$1)</f>
        <v>0</v>
      </c>
      <c r="AO5" s="124" cm="1">
        <f t="array" ref="AO5">+_xll.EQNXTDZ($A$1,$B5,AO$1,$B$1)</f>
        <v>0</v>
      </c>
      <c r="AP5" s="124" cm="1">
        <f t="array" ref="AP5">+_xll.EQNXTDZ($A$1,$B5,AP$1,$B$1)</f>
        <v>0</v>
      </c>
      <c r="AQ5" s="124" cm="1">
        <f t="array" ref="AQ5">+_xll.EQNXTDZ($A$1,$B5,AQ$1,$B$1)</f>
        <v>0</v>
      </c>
      <c r="AR5" s="124" cm="1">
        <f t="array" ref="AR5">+_xll.EQNXTDZ($A$1,$B5,AR$1,$B$1)</f>
        <v>0</v>
      </c>
      <c r="AS5" s="124" cm="1">
        <f t="array" ref="AS5">+_xll.EQNXTDZ($A$1,$B5,AS$1,$B$1)</f>
        <v>0</v>
      </c>
      <c r="AT5" s="124" cm="1">
        <f t="array" ref="AT5">+_xll.EQNXTDZ($A$1,$B5,AT$1,$B$1)</f>
        <v>0</v>
      </c>
      <c r="AU5" s="124" cm="1">
        <f t="array" ref="AU5">+_xll.EQNXTDZ($A$1,$B5,AU$1,$B$1)</f>
        <v>0</v>
      </c>
      <c r="AV5" s="124" cm="1">
        <f t="array" ref="AV5">+_xll.EQNXTDZ($A$1,$B5,AV$1,$B$1)</f>
        <v>0</v>
      </c>
      <c r="AW5" s="124" cm="1">
        <f t="array" ref="AW5">+_xll.EQNXTDZ($A$1,$B5,AW$1,$B$1)</f>
        <v>0</v>
      </c>
      <c r="AX5" s="124" cm="1">
        <f t="array" ref="AX5">+_xll.EQNXTDZ($A$1,$B5,AX$1,$B$1)</f>
        <v>0</v>
      </c>
      <c r="AY5" s="124" cm="1">
        <f t="array" ref="AY5">+_xll.EQNXTDZ($A$1,$B5,AY$1,$B$1)</f>
        <v>0</v>
      </c>
      <c r="AZ5" s="124" cm="1">
        <f t="array" ref="AZ5">+_xll.EQNXTDZ($A$1,$B5,AZ$1,$B$1)</f>
        <v>0</v>
      </c>
      <c r="BA5" s="124" cm="1">
        <f t="array" ref="BA5">+_xll.EQNXTDZ($A$1,$B5,BA$1,$B$1)</f>
        <v>0</v>
      </c>
      <c r="BB5" s="124" cm="1">
        <f t="array" ref="BB5">+_xll.EQNXTDZ($A$1,$B5,BB$1,$B$1)</f>
        <v>0</v>
      </c>
      <c r="BC5" s="124" cm="1">
        <f t="array" ref="BC5">+_xll.EQNXTDZ($A$1,$B5,BC$1,$B$1)</f>
        <v>0</v>
      </c>
      <c r="BD5" s="124" cm="1">
        <f t="array" ref="BD5">+_xll.EQNXTDZ($A$1,$B5,BD$1,$B$1)</f>
        <v>0</v>
      </c>
      <c r="BE5" s="124" cm="1">
        <f t="array" ref="BE5">+_xll.EQNXTDZ($A$1,$B5,BE$1,$B$1)</f>
        <v>0</v>
      </c>
      <c r="BF5" s="124" cm="1">
        <f t="array" ref="BF5">+_xll.EQNXTDZ($A$1,$B5,BF$1,$B$1)</f>
        <v>0</v>
      </c>
      <c r="BG5" s="124" cm="1">
        <f t="array" ref="BG5">+_xll.EQNXTDZ($A$1,$B5,BG$1,$B$1)</f>
        <v>0</v>
      </c>
      <c r="BH5" s="124" cm="1">
        <f t="array" ref="BH5">+_xll.EQNXTDZ($A$1,$B5,BH$1,$B$1)</f>
        <v>0</v>
      </c>
      <c r="BI5" s="124" cm="1">
        <f t="array" ref="BI5">+_xll.EQNXTDZ($A$1,$B5,BI$1,$B$1)</f>
        <v>0</v>
      </c>
      <c r="BJ5" s="124" cm="1">
        <f t="array" ref="BJ5">+_xll.EQNXTDZ($A$1,$B5,BJ$1,$B$1)</f>
        <v>0</v>
      </c>
      <c r="BK5" s="124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145</v>
      </c>
      <c r="B7" t="s">
        <v>284</v>
      </c>
      <c r="C7" s="124" cm="1">
        <f t="array" ref="C7">+_xll.EQNXTDZ($A$1,$B7,C$1,$B$1)</f>
        <v>0</v>
      </c>
      <c r="D7" s="124" cm="1">
        <f t="array" ref="D7">+_xll.EQNXTDZ($A$1,$B7,D$1,$B$1)</f>
        <v>0</v>
      </c>
      <c r="E7" s="124" cm="1">
        <f t="array" ref="E7">+_xll.EQNXTDZ($A$1,$B7,E$1,$B$1)</f>
        <v>0</v>
      </c>
      <c r="F7" s="124" cm="1">
        <f t="array" ref="F7">+_xll.EQNXTDZ($A$1,$B7,F$1,$B$1)</f>
        <v>0</v>
      </c>
      <c r="G7" s="124" cm="1">
        <f t="array" ref="G7">+_xll.EQNXTDZ($A$1,$B7,G$1,$B$1)</f>
        <v>0</v>
      </c>
      <c r="H7" s="124" cm="1">
        <f t="array" ref="H7">+_xll.EQNXTDZ($A$1,$B7,H$1,$B$1)</f>
        <v>0</v>
      </c>
      <c r="I7" s="124" cm="1">
        <f t="array" ref="I7">+_xll.EQNXTDZ($A$1,$B7,I$1,$B$1)</f>
        <v>0</v>
      </c>
      <c r="J7" s="124" cm="1">
        <f t="array" ref="J7">+_xll.EQNXTDZ($A$1,$B7,J$1,$B$1)</f>
        <v>0</v>
      </c>
      <c r="K7" s="124" cm="1">
        <f t="array" ref="K7">+_xll.EQNXTDZ($A$1,$B7,K$1,$B$1)</f>
        <v>0</v>
      </c>
      <c r="L7" s="124" cm="1">
        <f t="array" ref="L7">+_xll.EQNXTDZ($A$1,$B7,L$1,$B$1)</f>
        <v>0</v>
      </c>
      <c r="M7" s="124" cm="1">
        <f t="array" ref="M7">+_xll.EQNXTDZ($A$1,$B7,M$1,$B$1)</f>
        <v>0</v>
      </c>
      <c r="N7" s="124" cm="1">
        <f t="array" ref="N7">+_xll.EQNXTDZ($A$1,$B7,N$1,$B$1)</f>
        <v>0</v>
      </c>
      <c r="O7" s="124" cm="1">
        <f t="array" ref="O7">+_xll.EQNXTDZ($A$1,$B7,O$1,$B$1)</f>
        <v>0</v>
      </c>
      <c r="P7" s="124" cm="1">
        <f t="array" ref="P7">+_xll.EQNXTDZ($A$1,$B7,P$1,$B$1)</f>
        <v>0</v>
      </c>
      <c r="Q7" s="124" cm="1">
        <f t="array" ref="Q7">+_xll.EQNXTDZ($A$1,$B7,Q$1,$B$1)</f>
        <v>0</v>
      </c>
      <c r="R7" s="124" cm="1">
        <f t="array" ref="R7">+_xll.EQNXTDZ($A$1,$B7,R$1,$B$1)</f>
        <v>0</v>
      </c>
      <c r="S7" s="124" cm="1">
        <f t="array" ref="S7">+_xll.EQNXTDZ($A$1,$B7,S$1,$B$1)</f>
        <v>0</v>
      </c>
      <c r="T7" s="124" cm="1">
        <f t="array" ref="T7">+_xll.EQNXTDZ($A$1,$B7,T$1,$B$1)</f>
        <v>0</v>
      </c>
      <c r="U7" s="124" cm="1">
        <f t="array" ref="U7">+_xll.EQNXTDZ($A$1,$B7,U$1,$B$1)</f>
        <v>0</v>
      </c>
      <c r="V7" s="124" cm="1">
        <f t="array" ref="V7">+_xll.EQNXTDZ($A$1,$B7,V$1,$B$1)</f>
        <v>0</v>
      </c>
      <c r="W7" s="124" cm="1">
        <f t="array" ref="W7">+_xll.EQNXTDZ($A$1,$B7,W$1,$B$1)</f>
        <v>0</v>
      </c>
      <c r="X7" s="124" cm="1">
        <f t="array" ref="X7">+_xll.EQNXTDZ($A$1,$B7,X$1,$B$1)</f>
        <v>0</v>
      </c>
      <c r="Y7" s="124" cm="1">
        <f t="array" ref="Y7">+_xll.EQNXTDZ($A$1,$B7,Y$1,$B$1)</f>
        <v>0</v>
      </c>
      <c r="Z7" s="124" cm="1">
        <f t="array" ref="Z7">+_xll.EQNXTDZ($A$1,$B7,Z$1,$B$1)</f>
        <v>0</v>
      </c>
      <c r="AA7" s="124" cm="1">
        <f t="array" ref="AA7">+_xll.EQNXTDZ($A$1,$B7,AA$1,$B$1)</f>
        <v>0</v>
      </c>
      <c r="AB7" s="124" cm="1">
        <f t="array" ref="AB7">+_xll.EQNXTDZ($A$1,$B7,AB$1,$B$1)</f>
        <v>0</v>
      </c>
      <c r="AC7" s="124" cm="1">
        <f t="array" ref="AC7">+_xll.EQNXTDZ($A$1,$B7,AC$1,$B$1)</f>
        <v>0</v>
      </c>
      <c r="AD7" s="124" cm="1">
        <f t="array" ref="AD7">+_xll.EQNXTDZ($A$1,$B7,AD$1,$B$1)</f>
        <v>0</v>
      </c>
      <c r="AE7" s="124" cm="1">
        <f t="array" ref="AE7">+_xll.EQNXTDZ($A$1,$B7,AE$1,$B$1)</f>
        <v>0</v>
      </c>
      <c r="AF7" s="124" cm="1">
        <f t="array" ref="AF7">+_xll.EQNXTDZ($A$1,$B7,AF$1,$B$1)</f>
        <v>0</v>
      </c>
      <c r="AG7" s="124" cm="1">
        <f t="array" ref="AG7">+_xll.EQNXTDZ($A$1,$B7,AG$1,$B$1)</f>
        <v>0</v>
      </c>
      <c r="AH7" s="124" cm="1">
        <f t="array" ref="AH7">+_xll.EQNXTDZ($A$1,$B7,AH$1,$B$1)</f>
        <v>0</v>
      </c>
      <c r="AI7" s="124" cm="1">
        <f t="array" ref="AI7">+_xll.EQNXTDZ($A$1,$B7,AI$1,$B$1)</f>
        <v>0</v>
      </c>
      <c r="AJ7" s="124" cm="1">
        <f t="array" ref="AJ7">+_xll.EQNXTDZ($A$1,$B7,AJ$1,$B$1)</f>
        <v>0</v>
      </c>
      <c r="AK7" s="124" cm="1">
        <f t="array" ref="AK7">+_xll.EQNXTDZ($A$1,$B7,AK$1,$B$1)</f>
        <v>0</v>
      </c>
      <c r="AL7" s="124" cm="1">
        <f t="array" ref="AL7">+_xll.EQNXTDZ($A$1,$B7,AL$1,$B$1)</f>
        <v>0</v>
      </c>
      <c r="AM7" s="124" cm="1">
        <f t="array" ref="AM7">+_xll.EQNXTDZ($A$1,$B7,AM$1,$B$1)</f>
        <v>0</v>
      </c>
      <c r="AN7" s="124" cm="1">
        <f t="array" ref="AN7">+_xll.EQNXTDZ($A$1,$B7,AN$1,$B$1)</f>
        <v>0</v>
      </c>
      <c r="AO7" s="124" cm="1">
        <f t="array" ref="AO7">+_xll.EQNXTDZ($A$1,$B7,AO$1,$B$1)</f>
        <v>0</v>
      </c>
      <c r="AP7" s="124" cm="1">
        <f t="array" ref="AP7">+_xll.EQNXTDZ($A$1,$B7,AP$1,$B$1)</f>
        <v>0</v>
      </c>
      <c r="AQ7" s="124" cm="1">
        <f t="array" ref="AQ7">+_xll.EQNXTDZ($A$1,$B7,AQ$1,$B$1)</f>
        <v>0</v>
      </c>
      <c r="AR7" s="124" cm="1">
        <f t="array" ref="AR7">+_xll.EQNXTDZ($A$1,$B7,AR$1,$B$1)</f>
        <v>0</v>
      </c>
      <c r="AS7" s="124" cm="1">
        <f t="array" ref="AS7">+_xll.EQNXTDZ($A$1,$B7,AS$1,$B$1)</f>
        <v>0</v>
      </c>
      <c r="AT7" s="124" cm="1">
        <f t="array" ref="AT7">+_xll.EQNXTDZ($A$1,$B7,AT$1,$B$1)</f>
        <v>0</v>
      </c>
      <c r="AU7" s="124" cm="1">
        <f t="array" ref="AU7">+_xll.EQNXTDZ($A$1,$B7,AU$1,$B$1)</f>
        <v>0</v>
      </c>
      <c r="AV7" s="124" cm="1">
        <f t="array" ref="AV7">+_xll.EQNXTDZ($A$1,$B7,AV$1,$B$1)</f>
        <v>0</v>
      </c>
      <c r="AW7" s="124" cm="1">
        <f t="array" ref="AW7">+_xll.EQNXTDZ($A$1,$B7,AW$1,$B$1)</f>
        <v>0</v>
      </c>
      <c r="AX7" s="124" cm="1">
        <f t="array" ref="AX7">+_xll.EQNXTDZ($A$1,$B7,AX$1,$B$1)</f>
        <v>0</v>
      </c>
      <c r="AY7" s="124" cm="1">
        <f t="array" ref="AY7">+_xll.EQNXTDZ($A$1,$B7,AY$1,$B$1)</f>
        <v>0</v>
      </c>
      <c r="AZ7" s="124" cm="1">
        <f t="array" ref="AZ7">+_xll.EQNXTDZ($A$1,$B7,AZ$1,$B$1)</f>
        <v>0</v>
      </c>
      <c r="BA7" s="124" cm="1">
        <f t="array" ref="BA7">+_xll.EQNXTDZ($A$1,$B7,BA$1,$B$1)</f>
        <v>0</v>
      </c>
      <c r="BB7" s="124" cm="1">
        <f t="array" ref="BB7">+_xll.EQNXTDZ($A$1,$B7,BB$1,$B$1)</f>
        <v>0</v>
      </c>
      <c r="BC7" s="124" cm="1">
        <f t="array" ref="BC7">+_xll.EQNXTDZ($A$1,$B7,BC$1,$B$1)</f>
        <v>0</v>
      </c>
      <c r="BD7" s="124" cm="1">
        <f t="array" ref="BD7">+_xll.EQNXTDZ($A$1,$B7,BD$1,$B$1)</f>
        <v>0</v>
      </c>
      <c r="BE7" s="124" cm="1">
        <f t="array" ref="BE7">+_xll.EQNXTDZ($A$1,$B7,BE$1,$B$1)</f>
        <v>0</v>
      </c>
      <c r="BF7" s="124" cm="1">
        <f t="array" ref="BF7">+_xll.EQNXTDZ($A$1,$B7,BF$1,$B$1)</f>
        <v>0</v>
      </c>
      <c r="BG7" s="124" cm="1">
        <f t="array" ref="BG7">+_xll.EQNXTDZ($A$1,$B7,BG$1,$B$1)</f>
        <v>0</v>
      </c>
      <c r="BH7" s="124" cm="1">
        <f t="array" ref="BH7">+_xll.EQNXTDZ($A$1,$B7,BH$1,$B$1)</f>
        <v>0</v>
      </c>
      <c r="BI7" s="124" cm="1">
        <f t="array" ref="BI7">+_xll.EQNXTDZ($A$1,$B7,BI$1,$B$1)</f>
        <v>0</v>
      </c>
      <c r="BJ7" s="124" cm="1">
        <f t="array" ref="BJ7">+_xll.EQNXTDZ($A$1,$B7,BJ$1,$B$1)</f>
        <v>0</v>
      </c>
      <c r="BK7" s="124" cm="1">
        <f t="array" ref="BK7">+_xll.EQNXTDZ($A$1,$B7,BK$1,$B$1)</f>
        <v>0</v>
      </c>
    </row>
    <row r="8" spans="1:63" x14ac:dyDescent="0.25">
      <c r="A8" t="s">
        <v>80</v>
      </c>
      <c r="B8" t="s">
        <v>283</v>
      </c>
      <c r="C8" s="124" cm="1">
        <f t="array" ref="C8">+_xll.EQNXTDZ($A$1,$B8,C$1,$B$1)</f>
        <v>0</v>
      </c>
      <c r="D8" s="124" cm="1">
        <f t="array" ref="D8">+_xll.EQNXTDZ($A$1,$B8,D$1,$B$1)</f>
        <v>0</v>
      </c>
      <c r="E8" s="124" cm="1">
        <f t="array" ref="E8">+_xll.EQNXTDZ($A$1,$B8,E$1,$B$1)</f>
        <v>0</v>
      </c>
      <c r="F8" s="124" cm="1">
        <f t="array" ref="F8">+_xll.EQNXTDZ($A$1,$B8,F$1,$B$1)</f>
        <v>0</v>
      </c>
      <c r="G8" s="124" cm="1">
        <f t="array" ref="G8">+_xll.EQNXTDZ($A$1,$B8,G$1,$B$1)</f>
        <v>0</v>
      </c>
      <c r="H8" s="124" cm="1">
        <f t="array" ref="H8">+_xll.EQNXTDZ($A$1,$B8,H$1,$B$1)</f>
        <v>0</v>
      </c>
      <c r="I8" s="124" cm="1">
        <f t="array" ref="I8">+_xll.EQNXTDZ($A$1,$B8,I$1,$B$1)</f>
        <v>0</v>
      </c>
      <c r="J8" s="124" cm="1">
        <f t="array" ref="J8">+_xll.EQNXTDZ($A$1,$B8,J$1,$B$1)</f>
        <v>0</v>
      </c>
      <c r="K8" s="124" cm="1">
        <f t="array" ref="K8">+_xll.EQNXTDZ($A$1,$B8,K$1,$B$1)</f>
        <v>0</v>
      </c>
      <c r="L8" s="124" cm="1">
        <f t="array" ref="L8">+_xll.EQNXTDZ($A$1,$B8,L$1,$B$1)</f>
        <v>0</v>
      </c>
      <c r="M8" s="124" cm="1">
        <f t="array" ref="M8">+_xll.EQNXTDZ($A$1,$B8,M$1,$B$1)</f>
        <v>0</v>
      </c>
      <c r="N8" s="124" cm="1">
        <f t="array" ref="N8">+_xll.EQNXTDZ($A$1,$B8,N$1,$B$1)</f>
        <v>0</v>
      </c>
      <c r="O8" s="124" cm="1">
        <f t="array" ref="O8">+_xll.EQNXTDZ($A$1,$B8,O$1,$B$1)</f>
        <v>0</v>
      </c>
      <c r="P8" s="124" cm="1">
        <f t="array" ref="P8">+_xll.EQNXTDZ($A$1,$B8,P$1,$B$1)</f>
        <v>0</v>
      </c>
      <c r="Q8" s="124" cm="1">
        <f t="array" ref="Q8">+_xll.EQNXTDZ($A$1,$B8,Q$1,$B$1)</f>
        <v>0</v>
      </c>
      <c r="R8" s="124" cm="1">
        <f t="array" ref="R8">+_xll.EQNXTDZ($A$1,$B8,R$1,$B$1)</f>
        <v>0</v>
      </c>
      <c r="S8" s="124" cm="1">
        <f t="array" ref="S8">+_xll.EQNXTDZ($A$1,$B8,S$1,$B$1)</f>
        <v>0</v>
      </c>
      <c r="T8" s="124" cm="1">
        <f t="array" ref="T8">+_xll.EQNXTDZ($A$1,$B8,T$1,$B$1)</f>
        <v>0</v>
      </c>
      <c r="U8" s="124" cm="1">
        <f t="array" ref="U8">+_xll.EQNXTDZ($A$1,$B8,U$1,$B$1)</f>
        <v>0</v>
      </c>
      <c r="V8" s="124" cm="1">
        <f t="array" ref="V8">+_xll.EQNXTDZ($A$1,$B8,V$1,$B$1)</f>
        <v>0</v>
      </c>
      <c r="W8" s="124" cm="1">
        <f t="array" ref="W8">+_xll.EQNXTDZ($A$1,$B8,W$1,$B$1)</f>
        <v>0</v>
      </c>
      <c r="X8" s="124" cm="1">
        <f t="array" ref="X8">+_xll.EQNXTDZ($A$1,$B8,X$1,$B$1)</f>
        <v>0</v>
      </c>
      <c r="Y8" s="124" cm="1">
        <f t="array" ref="Y8">+_xll.EQNXTDZ($A$1,$B8,Y$1,$B$1)</f>
        <v>0</v>
      </c>
      <c r="Z8" s="124" cm="1">
        <f t="array" ref="Z8">+_xll.EQNXTDZ($A$1,$B8,Z$1,$B$1)</f>
        <v>0</v>
      </c>
      <c r="AA8" s="124" cm="1">
        <f t="array" ref="AA8">+_xll.EQNXTDZ($A$1,$B8,AA$1,$B$1)</f>
        <v>0</v>
      </c>
      <c r="AB8" s="124" cm="1">
        <f t="array" ref="AB8">+_xll.EQNXTDZ($A$1,$B8,AB$1,$B$1)</f>
        <v>0</v>
      </c>
      <c r="AC8" s="124" cm="1">
        <f t="array" ref="AC8">+_xll.EQNXTDZ($A$1,$B8,AC$1,$B$1)</f>
        <v>0</v>
      </c>
      <c r="AD8" s="124" cm="1">
        <f t="array" ref="AD8">+_xll.EQNXTDZ($A$1,$B8,AD$1,$B$1)</f>
        <v>0</v>
      </c>
      <c r="AE8" s="124" cm="1">
        <f t="array" ref="AE8">+_xll.EQNXTDZ($A$1,$B8,AE$1,$B$1)</f>
        <v>0</v>
      </c>
      <c r="AF8" s="124" cm="1">
        <f t="array" ref="AF8">+_xll.EQNXTDZ($A$1,$B8,AF$1,$B$1)</f>
        <v>0</v>
      </c>
      <c r="AG8" s="124" cm="1">
        <f t="array" ref="AG8">+_xll.EQNXTDZ($A$1,$B8,AG$1,$B$1)</f>
        <v>0</v>
      </c>
      <c r="AH8" s="124" cm="1">
        <f t="array" ref="AH8">+_xll.EQNXTDZ($A$1,$B8,AH$1,$B$1)</f>
        <v>0</v>
      </c>
      <c r="AI8" s="124" cm="1">
        <f t="array" ref="AI8">+_xll.EQNXTDZ($A$1,$B8,AI$1,$B$1)</f>
        <v>0</v>
      </c>
      <c r="AJ8" s="124" cm="1">
        <f t="array" ref="AJ8">+_xll.EQNXTDZ($A$1,$B8,AJ$1,$B$1)</f>
        <v>0</v>
      </c>
      <c r="AK8" s="124" cm="1">
        <f t="array" ref="AK8">+_xll.EQNXTDZ($A$1,$B8,AK$1,$B$1)</f>
        <v>0</v>
      </c>
      <c r="AL8" s="124" cm="1">
        <f t="array" ref="AL8">+_xll.EQNXTDZ($A$1,$B8,AL$1,$B$1)</f>
        <v>0</v>
      </c>
      <c r="AM8" s="124" cm="1">
        <f t="array" ref="AM8">+_xll.EQNXTDZ($A$1,$B8,AM$1,$B$1)</f>
        <v>0</v>
      </c>
      <c r="AN8" s="124" cm="1">
        <f t="array" ref="AN8">+_xll.EQNXTDZ($A$1,$B8,AN$1,$B$1)</f>
        <v>0</v>
      </c>
      <c r="AO8" s="124" cm="1">
        <f t="array" ref="AO8">+_xll.EQNXTDZ($A$1,$B8,AO$1,$B$1)</f>
        <v>0</v>
      </c>
      <c r="AP8" s="124" cm="1">
        <f t="array" ref="AP8">+_xll.EQNXTDZ($A$1,$B8,AP$1,$B$1)</f>
        <v>0</v>
      </c>
      <c r="AQ8" s="124" cm="1">
        <f t="array" ref="AQ8">+_xll.EQNXTDZ($A$1,$B8,AQ$1,$B$1)</f>
        <v>0</v>
      </c>
      <c r="AR8" s="124" cm="1">
        <f t="array" ref="AR8">+_xll.EQNXTDZ($A$1,$B8,AR$1,$B$1)</f>
        <v>0</v>
      </c>
      <c r="AS8" s="124" cm="1">
        <f t="array" ref="AS8">+_xll.EQNXTDZ($A$1,$B8,AS$1,$B$1)</f>
        <v>0</v>
      </c>
      <c r="AT8" s="124" cm="1">
        <f t="array" ref="AT8">+_xll.EQNXTDZ($A$1,$B8,AT$1,$B$1)</f>
        <v>0</v>
      </c>
      <c r="AU8" s="124" cm="1">
        <f t="array" ref="AU8">+_xll.EQNXTDZ($A$1,$B8,AU$1,$B$1)</f>
        <v>0</v>
      </c>
      <c r="AV8" s="124" cm="1">
        <f t="array" ref="AV8">+_xll.EQNXTDZ($A$1,$B8,AV$1,$B$1)</f>
        <v>0</v>
      </c>
      <c r="AW8" s="124" cm="1">
        <f t="array" ref="AW8">+_xll.EQNXTDZ($A$1,$B8,AW$1,$B$1)</f>
        <v>0</v>
      </c>
      <c r="AX8" s="124" cm="1">
        <f t="array" ref="AX8">+_xll.EQNXTDZ($A$1,$B8,AX$1,$B$1)</f>
        <v>0</v>
      </c>
      <c r="AY8" s="124" cm="1">
        <f t="array" ref="AY8">+_xll.EQNXTDZ($A$1,$B8,AY$1,$B$1)</f>
        <v>0</v>
      </c>
      <c r="AZ8" s="124" cm="1">
        <f t="array" ref="AZ8">+_xll.EQNXTDZ($A$1,$B8,AZ$1,$B$1)</f>
        <v>0</v>
      </c>
      <c r="BA8" s="124" cm="1">
        <f t="array" ref="BA8">+_xll.EQNXTDZ($A$1,$B8,BA$1,$B$1)</f>
        <v>0</v>
      </c>
      <c r="BB8" s="124" cm="1">
        <f t="array" ref="BB8">+_xll.EQNXTDZ($A$1,$B8,BB$1,$B$1)</f>
        <v>0</v>
      </c>
      <c r="BC8" s="124" cm="1">
        <f t="array" ref="BC8">+_xll.EQNXTDZ($A$1,$B8,BC$1,$B$1)</f>
        <v>0</v>
      </c>
      <c r="BD8" s="124" cm="1">
        <f t="array" ref="BD8">+_xll.EQNXTDZ($A$1,$B8,BD$1,$B$1)</f>
        <v>0</v>
      </c>
      <c r="BE8" s="124" cm="1">
        <f t="array" ref="BE8">+_xll.EQNXTDZ($A$1,$B8,BE$1,$B$1)</f>
        <v>0</v>
      </c>
      <c r="BF8" s="124" cm="1">
        <f t="array" ref="BF8">+_xll.EQNXTDZ($A$1,$B8,BF$1,$B$1)</f>
        <v>0</v>
      </c>
      <c r="BG8" s="124" cm="1">
        <f t="array" ref="BG8">+_xll.EQNXTDZ($A$1,$B8,BG$1,$B$1)</f>
        <v>0</v>
      </c>
      <c r="BH8" s="124" cm="1">
        <f t="array" ref="BH8">+_xll.EQNXTDZ($A$1,$B8,BH$1,$B$1)</f>
        <v>0</v>
      </c>
      <c r="BI8" s="124" cm="1">
        <f t="array" ref="BI8">+_xll.EQNXTDZ($A$1,$B8,BI$1,$B$1)</f>
        <v>0</v>
      </c>
      <c r="BJ8" s="124" cm="1">
        <f t="array" ref="BJ8">+_xll.EQNXTDZ($A$1,$B8,BJ$1,$B$1)</f>
        <v>0</v>
      </c>
      <c r="BK8" s="124" cm="1">
        <f t="array" ref="BK8">+_xll.EQNXTDZ($A$1,$B8,BK$1,$B$1)</f>
        <v>0</v>
      </c>
    </row>
    <row r="9" spans="1:63" x14ac:dyDescent="0.25">
      <c r="A9" t="s">
        <v>182</v>
      </c>
      <c r="B9" t="s">
        <v>285</v>
      </c>
      <c r="C9" s="124" cm="1">
        <f t="array" ref="C9">+_xll.EQNXTDZ($A$1,$B9,C$1,$B$1)</f>
        <v>0</v>
      </c>
      <c r="D9" s="124" cm="1">
        <f t="array" ref="D9">+_xll.EQNXTDZ($A$1,$B9,D$1,$B$1)</f>
        <v>0</v>
      </c>
      <c r="E9" s="124" cm="1">
        <f t="array" ref="E9">+_xll.EQNXTDZ($A$1,$B9,E$1,$B$1)</f>
        <v>0</v>
      </c>
      <c r="F9" s="124" cm="1">
        <f t="array" ref="F9">+_xll.EQNXTDZ($A$1,$B9,F$1,$B$1)</f>
        <v>0</v>
      </c>
      <c r="G9" s="124" cm="1">
        <f t="array" ref="G9">+_xll.EQNXTDZ($A$1,$B9,G$1,$B$1)</f>
        <v>0</v>
      </c>
      <c r="H9" s="124" cm="1">
        <f t="array" ref="H9">+_xll.EQNXTDZ($A$1,$B9,H$1,$B$1)</f>
        <v>0</v>
      </c>
      <c r="I9" s="124" cm="1">
        <f t="array" ref="I9">+_xll.EQNXTDZ($A$1,$B9,I$1,$B$1)</f>
        <v>0</v>
      </c>
      <c r="J9" s="124" cm="1">
        <f t="array" ref="J9">+_xll.EQNXTDZ($A$1,$B9,J$1,$B$1)</f>
        <v>0</v>
      </c>
      <c r="K9" s="124" cm="1">
        <f t="array" ref="K9">+_xll.EQNXTDZ($A$1,$B9,K$1,$B$1)</f>
        <v>0</v>
      </c>
      <c r="L9" s="124" cm="1">
        <f t="array" ref="L9">+_xll.EQNXTDZ($A$1,$B9,L$1,$B$1)</f>
        <v>0</v>
      </c>
      <c r="M9" s="124" cm="1">
        <f t="array" ref="M9">+_xll.EQNXTDZ($A$1,$B9,M$1,$B$1)</f>
        <v>0</v>
      </c>
      <c r="N9" s="124" cm="1">
        <f t="array" ref="N9">+_xll.EQNXTDZ($A$1,$B9,N$1,$B$1)</f>
        <v>0</v>
      </c>
      <c r="O9" s="124" cm="1">
        <f t="array" ref="O9">+_xll.EQNXTDZ($A$1,$B9,O$1,$B$1)</f>
        <v>0</v>
      </c>
      <c r="P9" s="124" cm="1">
        <f t="array" ref="P9">+_xll.EQNXTDZ($A$1,$B9,P$1,$B$1)</f>
        <v>0</v>
      </c>
      <c r="Q9" s="124" cm="1">
        <f t="array" ref="Q9">+_xll.EQNXTDZ($A$1,$B9,Q$1,$B$1)</f>
        <v>0</v>
      </c>
      <c r="R9" s="124" cm="1">
        <f t="array" ref="R9">+_xll.EQNXTDZ($A$1,$B9,R$1,$B$1)</f>
        <v>0</v>
      </c>
      <c r="S9" s="124" cm="1">
        <f t="array" ref="S9">+_xll.EQNXTDZ($A$1,$B9,S$1,$B$1)</f>
        <v>0</v>
      </c>
      <c r="T9" s="124" cm="1">
        <f t="array" ref="T9">+_xll.EQNXTDZ($A$1,$B9,T$1,$B$1)</f>
        <v>0</v>
      </c>
      <c r="U9" s="124" cm="1">
        <f t="array" ref="U9">+_xll.EQNXTDZ($A$1,$B9,U$1,$B$1)</f>
        <v>0</v>
      </c>
      <c r="V9" s="124" cm="1">
        <f t="array" ref="V9">+_xll.EQNXTDZ($A$1,$B9,V$1,$B$1)</f>
        <v>0</v>
      </c>
      <c r="W9" s="124" cm="1">
        <f t="array" ref="W9">+_xll.EQNXTDZ($A$1,$B9,W$1,$B$1)</f>
        <v>0</v>
      </c>
      <c r="X9" s="124" cm="1">
        <f t="array" ref="X9">+_xll.EQNXTDZ($A$1,$B9,X$1,$B$1)</f>
        <v>0</v>
      </c>
      <c r="Y9" s="124" cm="1">
        <f t="array" ref="Y9">+_xll.EQNXTDZ($A$1,$B9,Y$1,$B$1)</f>
        <v>0</v>
      </c>
      <c r="Z9" s="124" cm="1">
        <f t="array" ref="Z9">+_xll.EQNXTDZ($A$1,$B9,Z$1,$B$1)</f>
        <v>0</v>
      </c>
      <c r="AA9" s="124" cm="1">
        <f t="array" ref="AA9">+_xll.EQNXTDZ($A$1,$B9,AA$1,$B$1)</f>
        <v>0</v>
      </c>
      <c r="AB9" s="124" cm="1">
        <f t="array" ref="AB9">+_xll.EQNXTDZ($A$1,$B9,AB$1,$B$1)</f>
        <v>0</v>
      </c>
      <c r="AC9" s="124" cm="1">
        <f t="array" ref="AC9">+_xll.EQNXTDZ($A$1,$B9,AC$1,$B$1)</f>
        <v>0</v>
      </c>
      <c r="AD9" s="124" cm="1">
        <f t="array" ref="AD9">+_xll.EQNXTDZ($A$1,$B9,AD$1,$B$1)</f>
        <v>0</v>
      </c>
      <c r="AE9" s="124" cm="1">
        <f t="array" ref="AE9">+_xll.EQNXTDZ($A$1,$B9,AE$1,$B$1)</f>
        <v>0</v>
      </c>
      <c r="AF9" s="124" cm="1">
        <f t="array" ref="AF9">+_xll.EQNXTDZ($A$1,$B9,AF$1,$B$1)</f>
        <v>0</v>
      </c>
      <c r="AG9" s="124" cm="1">
        <f t="array" ref="AG9">+_xll.EQNXTDZ($A$1,$B9,AG$1,$B$1)</f>
        <v>0</v>
      </c>
      <c r="AH9" s="124" cm="1">
        <f t="array" ref="AH9">+_xll.EQNXTDZ($A$1,$B9,AH$1,$B$1)</f>
        <v>0</v>
      </c>
      <c r="AI9" s="124" cm="1">
        <f t="array" ref="AI9">+_xll.EQNXTDZ($A$1,$B9,AI$1,$B$1)</f>
        <v>0</v>
      </c>
      <c r="AJ9" s="124" cm="1">
        <f t="array" ref="AJ9">+_xll.EQNXTDZ($A$1,$B9,AJ$1,$B$1)</f>
        <v>0</v>
      </c>
      <c r="AK9" s="124" cm="1">
        <f t="array" ref="AK9">+_xll.EQNXTDZ($A$1,$B9,AK$1,$B$1)</f>
        <v>0</v>
      </c>
      <c r="AL9" s="124" cm="1">
        <f t="array" ref="AL9">+_xll.EQNXTDZ($A$1,$B9,AL$1,$B$1)</f>
        <v>0</v>
      </c>
      <c r="AM9" s="124" cm="1">
        <f t="array" ref="AM9">+_xll.EQNXTDZ($A$1,$B9,AM$1,$B$1)</f>
        <v>0</v>
      </c>
      <c r="AN9" s="124" cm="1">
        <f t="array" ref="AN9">+_xll.EQNXTDZ($A$1,$B9,AN$1,$B$1)</f>
        <v>0</v>
      </c>
      <c r="AO9" s="124" cm="1">
        <f t="array" ref="AO9">+_xll.EQNXTDZ($A$1,$B9,AO$1,$B$1)</f>
        <v>0</v>
      </c>
      <c r="AP9" s="124" cm="1">
        <f t="array" ref="AP9">+_xll.EQNXTDZ($A$1,$B9,AP$1,$B$1)</f>
        <v>0</v>
      </c>
      <c r="AQ9" s="124" cm="1">
        <f t="array" ref="AQ9">+_xll.EQNXTDZ($A$1,$B9,AQ$1,$B$1)</f>
        <v>0</v>
      </c>
      <c r="AR9" s="124" cm="1">
        <f t="array" ref="AR9">+_xll.EQNXTDZ($A$1,$B9,AR$1,$B$1)</f>
        <v>0</v>
      </c>
      <c r="AS9" s="124" cm="1">
        <f t="array" ref="AS9">+_xll.EQNXTDZ($A$1,$B9,AS$1,$B$1)</f>
        <v>0</v>
      </c>
      <c r="AT9" s="124" cm="1">
        <f t="array" ref="AT9">+_xll.EQNXTDZ($A$1,$B9,AT$1,$B$1)</f>
        <v>0</v>
      </c>
      <c r="AU9" s="124" cm="1">
        <f t="array" ref="AU9">+_xll.EQNXTDZ($A$1,$B9,AU$1,$B$1)</f>
        <v>0</v>
      </c>
      <c r="AV9" s="124" cm="1">
        <f t="array" ref="AV9">+_xll.EQNXTDZ($A$1,$B9,AV$1,$B$1)</f>
        <v>0</v>
      </c>
      <c r="AW9" s="124" cm="1">
        <f t="array" ref="AW9">+_xll.EQNXTDZ($A$1,$B9,AW$1,$B$1)</f>
        <v>0</v>
      </c>
      <c r="AX9" s="124" cm="1">
        <f t="array" ref="AX9">+_xll.EQNXTDZ($A$1,$B9,AX$1,$B$1)</f>
        <v>0</v>
      </c>
      <c r="AY9" s="124" cm="1">
        <f t="array" ref="AY9">+_xll.EQNXTDZ($A$1,$B9,AY$1,$B$1)</f>
        <v>0</v>
      </c>
      <c r="AZ9" s="124" cm="1">
        <f t="array" ref="AZ9">+_xll.EQNXTDZ($A$1,$B9,AZ$1,$B$1)</f>
        <v>0</v>
      </c>
      <c r="BA9" s="124" cm="1">
        <f t="array" ref="BA9">+_xll.EQNXTDZ($A$1,$B9,BA$1,$B$1)</f>
        <v>0</v>
      </c>
      <c r="BB9" s="124" cm="1">
        <f t="array" ref="BB9">+_xll.EQNXTDZ($A$1,$B9,BB$1,$B$1)</f>
        <v>0</v>
      </c>
      <c r="BC9" s="124" cm="1">
        <f t="array" ref="BC9">+_xll.EQNXTDZ($A$1,$B9,BC$1,$B$1)</f>
        <v>0</v>
      </c>
      <c r="BD9" s="124" cm="1">
        <f t="array" ref="BD9">+_xll.EQNXTDZ($A$1,$B9,BD$1,$B$1)</f>
        <v>0</v>
      </c>
      <c r="BE9" s="124" cm="1">
        <f t="array" ref="BE9">+_xll.EQNXTDZ($A$1,$B9,BE$1,$B$1)</f>
        <v>0</v>
      </c>
      <c r="BF9" s="124" cm="1">
        <f t="array" ref="BF9">+_xll.EQNXTDZ($A$1,$B9,BF$1,$B$1)</f>
        <v>0</v>
      </c>
      <c r="BG9" s="124" cm="1">
        <f t="array" ref="BG9">+_xll.EQNXTDZ($A$1,$B9,BG$1,$B$1)</f>
        <v>0</v>
      </c>
      <c r="BH9" s="124" cm="1">
        <f t="array" ref="BH9">+_xll.EQNXTDZ($A$1,$B9,BH$1,$B$1)</f>
        <v>0</v>
      </c>
      <c r="BI9" s="124" cm="1">
        <f t="array" ref="BI9">+_xll.EQNXTDZ($A$1,$B9,BI$1,$B$1)</f>
        <v>0</v>
      </c>
      <c r="BJ9" s="124" cm="1">
        <f t="array" ref="BJ9">+_xll.EQNXTDZ($A$1,$B9,BJ$1,$B$1)</f>
        <v>0</v>
      </c>
      <c r="BK9" s="124" cm="1">
        <f t="array" ref="BK9">+_xll.EQNXTDZ($A$1,$B9,BK$1,$B$1)</f>
        <v>0</v>
      </c>
    </row>
    <row r="10" spans="1:63" x14ac:dyDescent="0.25">
      <c r="A10" t="s">
        <v>44</v>
      </c>
      <c r="B10" t="s">
        <v>286</v>
      </c>
      <c r="C10" s="124" cm="1">
        <f t="array" ref="C10">+_xll.EQNXTDZ($A$1,$B10,C$1,$B$1)</f>
        <v>0</v>
      </c>
      <c r="D10" s="124" cm="1">
        <f t="array" ref="D10">+_xll.EQNXTDZ($A$1,$B10,D$1,$B$1)</f>
        <v>0</v>
      </c>
      <c r="E10" s="124" cm="1">
        <f t="array" ref="E10">+_xll.EQNXTDZ($A$1,$B10,E$1,$B$1)</f>
        <v>0</v>
      </c>
      <c r="F10" s="124" cm="1">
        <f t="array" ref="F10">+_xll.EQNXTDZ($A$1,$B10,F$1,$B$1)</f>
        <v>0</v>
      </c>
      <c r="G10" s="124" cm="1">
        <f t="array" ref="G10">+_xll.EQNXTDZ($A$1,$B10,G$1,$B$1)</f>
        <v>0</v>
      </c>
      <c r="H10" s="124" cm="1">
        <f t="array" ref="H10">+_xll.EQNXTDZ($A$1,$B10,H$1,$B$1)</f>
        <v>0</v>
      </c>
      <c r="I10" s="124" cm="1">
        <f t="array" ref="I10">+_xll.EQNXTDZ($A$1,$B10,I$1,$B$1)</f>
        <v>0</v>
      </c>
      <c r="J10" s="124" cm="1">
        <f t="array" ref="J10">+_xll.EQNXTDZ($A$1,$B10,J$1,$B$1)</f>
        <v>0</v>
      </c>
      <c r="K10" s="124" cm="1">
        <f t="array" ref="K10">+_xll.EQNXTDZ($A$1,$B10,K$1,$B$1)</f>
        <v>0</v>
      </c>
      <c r="L10" s="124" cm="1">
        <f t="array" ref="L10">+_xll.EQNXTDZ($A$1,$B10,L$1,$B$1)</f>
        <v>0</v>
      </c>
      <c r="M10" s="124" cm="1">
        <f t="array" ref="M10">+_xll.EQNXTDZ($A$1,$B10,M$1,$B$1)</f>
        <v>0</v>
      </c>
      <c r="N10" s="124" cm="1">
        <f t="array" ref="N10">+_xll.EQNXTDZ($A$1,$B10,N$1,$B$1)</f>
        <v>0</v>
      </c>
      <c r="O10" s="124" cm="1">
        <f t="array" ref="O10">+_xll.EQNXTDZ($A$1,$B10,O$1,$B$1)</f>
        <v>0</v>
      </c>
      <c r="P10" s="124" cm="1">
        <f t="array" ref="P10">+_xll.EQNXTDZ($A$1,$B10,P$1,$B$1)</f>
        <v>0</v>
      </c>
      <c r="Q10" s="124" cm="1">
        <f t="array" ref="Q10">+_xll.EQNXTDZ($A$1,$B10,Q$1,$B$1)</f>
        <v>0</v>
      </c>
      <c r="R10" s="124" cm="1">
        <f t="array" ref="R10">+_xll.EQNXTDZ($A$1,$B10,R$1,$B$1)</f>
        <v>0</v>
      </c>
      <c r="S10" s="124" cm="1">
        <f t="array" ref="S10">+_xll.EQNXTDZ($A$1,$B10,S$1,$B$1)</f>
        <v>0</v>
      </c>
      <c r="T10" s="124" cm="1">
        <f t="array" ref="T10">+_xll.EQNXTDZ($A$1,$B10,T$1,$B$1)</f>
        <v>0</v>
      </c>
      <c r="U10" s="124" cm="1">
        <f t="array" ref="U10">+_xll.EQNXTDZ($A$1,$B10,U$1,$B$1)</f>
        <v>0</v>
      </c>
      <c r="V10" s="124" cm="1">
        <f t="array" ref="V10">+_xll.EQNXTDZ($A$1,$B10,V$1,$B$1)</f>
        <v>0</v>
      </c>
      <c r="W10" s="124" cm="1">
        <f t="array" ref="W10">+_xll.EQNXTDZ($A$1,$B10,W$1,$B$1)</f>
        <v>0</v>
      </c>
      <c r="X10" s="124" cm="1">
        <f t="array" ref="X10">+_xll.EQNXTDZ($A$1,$B10,X$1,$B$1)</f>
        <v>0</v>
      </c>
      <c r="Y10" s="124" cm="1">
        <f t="array" ref="Y10">+_xll.EQNXTDZ($A$1,$B10,Y$1,$B$1)</f>
        <v>0</v>
      </c>
      <c r="Z10" s="124" cm="1">
        <f t="array" ref="Z10">+_xll.EQNXTDZ($A$1,$B10,Z$1,$B$1)</f>
        <v>0</v>
      </c>
      <c r="AA10" s="124" cm="1">
        <f t="array" ref="AA10">+_xll.EQNXTDZ($A$1,$B10,AA$1,$B$1)</f>
        <v>0</v>
      </c>
      <c r="AB10" s="124" cm="1">
        <f t="array" ref="AB10">+_xll.EQNXTDZ($A$1,$B10,AB$1,$B$1)</f>
        <v>0</v>
      </c>
      <c r="AC10" s="124" cm="1">
        <f t="array" ref="AC10">+_xll.EQNXTDZ($A$1,$B10,AC$1,$B$1)</f>
        <v>0</v>
      </c>
      <c r="AD10" s="124" cm="1">
        <f t="array" ref="AD10">+_xll.EQNXTDZ($A$1,$B10,AD$1,$B$1)</f>
        <v>0</v>
      </c>
      <c r="AE10" s="124" cm="1">
        <f t="array" ref="AE10">+_xll.EQNXTDZ($A$1,$B10,AE$1,$B$1)</f>
        <v>0</v>
      </c>
      <c r="AF10" s="124" cm="1">
        <f t="array" ref="AF10">+_xll.EQNXTDZ($A$1,$B10,AF$1,$B$1)</f>
        <v>0</v>
      </c>
      <c r="AG10" s="124" cm="1">
        <f t="array" ref="AG10">+_xll.EQNXTDZ($A$1,$B10,AG$1,$B$1)</f>
        <v>0</v>
      </c>
      <c r="AH10" s="124" cm="1">
        <f t="array" ref="AH10">+_xll.EQNXTDZ($A$1,$B10,AH$1,$B$1)</f>
        <v>0</v>
      </c>
      <c r="AI10" s="124" cm="1">
        <f t="array" ref="AI10">+_xll.EQNXTDZ($A$1,$B10,AI$1,$B$1)</f>
        <v>0</v>
      </c>
      <c r="AJ10" s="124" cm="1">
        <f t="array" ref="AJ10">+_xll.EQNXTDZ($A$1,$B10,AJ$1,$B$1)</f>
        <v>0</v>
      </c>
      <c r="AK10" s="124" cm="1">
        <f t="array" ref="AK10">+_xll.EQNXTDZ($A$1,$B10,AK$1,$B$1)</f>
        <v>0</v>
      </c>
      <c r="AL10" s="124" cm="1">
        <f t="array" ref="AL10">+_xll.EQNXTDZ($A$1,$B10,AL$1,$B$1)</f>
        <v>0</v>
      </c>
      <c r="AM10" s="124" cm="1">
        <f t="array" ref="AM10">+_xll.EQNXTDZ($A$1,$B10,AM$1,$B$1)</f>
        <v>0</v>
      </c>
      <c r="AN10" s="124" cm="1">
        <f t="array" ref="AN10">+_xll.EQNXTDZ($A$1,$B10,AN$1,$B$1)</f>
        <v>0</v>
      </c>
      <c r="AO10" s="124" cm="1">
        <f t="array" ref="AO10">+_xll.EQNXTDZ($A$1,$B10,AO$1,$B$1)</f>
        <v>0</v>
      </c>
      <c r="AP10" s="124" cm="1">
        <f t="array" ref="AP10">+_xll.EQNXTDZ($A$1,$B10,AP$1,$B$1)</f>
        <v>0</v>
      </c>
      <c r="AQ10" s="124" cm="1">
        <f t="array" ref="AQ10">+_xll.EQNXTDZ($A$1,$B10,AQ$1,$B$1)</f>
        <v>0</v>
      </c>
      <c r="AR10" s="124" cm="1">
        <f t="array" ref="AR10">+_xll.EQNXTDZ($A$1,$B10,AR$1,$B$1)</f>
        <v>0</v>
      </c>
      <c r="AS10" s="124" cm="1">
        <f t="array" ref="AS10">+_xll.EQNXTDZ($A$1,$B10,AS$1,$B$1)</f>
        <v>0</v>
      </c>
      <c r="AT10" s="124" cm="1">
        <f t="array" ref="AT10">+_xll.EQNXTDZ($A$1,$B10,AT$1,$B$1)</f>
        <v>0</v>
      </c>
      <c r="AU10" s="124" cm="1">
        <f t="array" ref="AU10">+_xll.EQNXTDZ($A$1,$B10,AU$1,$B$1)</f>
        <v>0</v>
      </c>
      <c r="AV10" s="124" cm="1">
        <f t="array" ref="AV10">+_xll.EQNXTDZ($A$1,$B10,AV$1,$B$1)</f>
        <v>0</v>
      </c>
      <c r="AW10" s="124" cm="1">
        <f t="array" ref="AW10">+_xll.EQNXTDZ($A$1,$B10,AW$1,$B$1)</f>
        <v>0</v>
      </c>
      <c r="AX10" s="124" cm="1">
        <f t="array" ref="AX10">+_xll.EQNXTDZ($A$1,$B10,AX$1,$B$1)</f>
        <v>0</v>
      </c>
      <c r="AY10" s="124" cm="1">
        <f t="array" ref="AY10">+_xll.EQNXTDZ($A$1,$B10,AY$1,$B$1)</f>
        <v>0</v>
      </c>
      <c r="AZ10" s="124" cm="1">
        <f t="array" ref="AZ10">+_xll.EQNXTDZ($A$1,$B10,AZ$1,$B$1)</f>
        <v>0</v>
      </c>
      <c r="BA10" s="124" cm="1">
        <f t="array" ref="BA10">+_xll.EQNXTDZ($A$1,$B10,BA$1,$B$1)</f>
        <v>0</v>
      </c>
      <c r="BB10" s="124" cm="1">
        <f t="array" ref="BB10">+_xll.EQNXTDZ($A$1,$B10,BB$1,$B$1)</f>
        <v>0</v>
      </c>
      <c r="BC10" s="124" cm="1">
        <f t="array" ref="BC10">+_xll.EQNXTDZ($A$1,$B10,BC$1,$B$1)</f>
        <v>0</v>
      </c>
      <c r="BD10" s="124" cm="1">
        <f t="array" ref="BD10">+_xll.EQNXTDZ($A$1,$B10,BD$1,$B$1)</f>
        <v>0</v>
      </c>
      <c r="BE10" s="124" cm="1">
        <f t="array" ref="BE10">+_xll.EQNXTDZ($A$1,$B10,BE$1,$B$1)</f>
        <v>0</v>
      </c>
      <c r="BF10" s="124" cm="1">
        <f t="array" ref="BF10">+_xll.EQNXTDZ($A$1,$B10,BF$1,$B$1)</f>
        <v>0</v>
      </c>
      <c r="BG10" s="124" cm="1">
        <f t="array" ref="BG10">+_xll.EQNXTDZ($A$1,$B10,BG$1,$B$1)</f>
        <v>0</v>
      </c>
      <c r="BH10" s="124" cm="1">
        <f t="array" ref="BH10">+_xll.EQNXTDZ($A$1,$B10,BH$1,$B$1)</f>
        <v>0</v>
      </c>
      <c r="BI10" s="124" cm="1">
        <f t="array" ref="BI10">+_xll.EQNXTDZ($A$1,$B10,BI$1,$B$1)</f>
        <v>0</v>
      </c>
      <c r="BJ10" s="124" cm="1">
        <f t="array" ref="BJ10">+_xll.EQNXTDZ($A$1,$B10,BJ$1,$B$1)</f>
        <v>0</v>
      </c>
      <c r="BK10" s="124" cm="1">
        <f t="array" ref="BK10">+_xll.EQNXTDZ($A$1,$B10,BK$1,$B$1)</f>
        <v>0</v>
      </c>
    </row>
    <row r="11" spans="1:63" x14ac:dyDescent="0.25">
      <c r="A11" t="s">
        <v>183</v>
      </c>
      <c r="B11" t="s">
        <v>287</v>
      </c>
      <c r="C11" s="124" cm="1">
        <f t="array" ref="C11">+_xll.EQNXTDZ($A$1,$B11,C$1,$B$1)</f>
        <v>0</v>
      </c>
      <c r="D11" s="124" cm="1">
        <f t="array" ref="D11">+_xll.EQNXTDZ($A$1,$B11,D$1,$B$1)</f>
        <v>0</v>
      </c>
      <c r="E11" s="124" cm="1">
        <f t="array" ref="E11">+_xll.EQNXTDZ($A$1,$B11,E$1,$B$1)</f>
        <v>0</v>
      </c>
      <c r="F11" s="124" cm="1">
        <f t="array" ref="F11">+_xll.EQNXTDZ($A$1,$B11,F$1,$B$1)</f>
        <v>0</v>
      </c>
      <c r="G11" s="124" cm="1">
        <f t="array" ref="G11">+_xll.EQNXTDZ($A$1,$B11,G$1,$B$1)</f>
        <v>0</v>
      </c>
      <c r="H11" s="124" cm="1">
        <f t="array" ref="H11">+_xll.EQNXTDZ($A$1,$B11,H$1,$B$1)</f>
        <v>0</v>
      </c>
      <c r="I11" s="124" cm="1">
        <f t="array" ref="I11">+_xll.EQNXTDZ($A$1,$B11,I$1,$B$1)</f>
        <v>0</v>
      </c>
      <c r="J11" s="124" cm="1">
        <f t="array" ref="J11">+_xll.EQNXTDZ($A$1,$B11,J$1,$B$1)</f>
        <v>0</v>
      </c>
      <c r="K11" s="124" cm="1">
        <f t="array" ref="K11">+_xll.EQNXTDZ($A$1,$B11,K$1,$B$1)</f>
        <v>0</v>
      </c>
      <c r="L11" s="124" cm="1">
        <f t="array" ref="L11">+_xll.EQNXTDZ($A$1,$B11,L$1,$B$1)</f>
        <v>0</v>
      </c>
      <c r="M11" s="124" cm="1">
        <f t="array" ref="M11">+_xll.EQNXTDZ($A$1,$B11,M$1,$B$1)</f>
        <v>0</v>
      </c>
      <c r="N11" s="124" cm="1">
        <f t="array" ref="N11">+_xll.EQNXTDZ($A$1,$B11,N$1,$B$1)</f>
        <v>0</v>
      </c>
      <c r="O11" s="124" cm="1">
        <f t="array" ref="O11">+_xll.EQNXTDZ($A$1,$B11,O$1,$B$1)</f>
        <v>0</v>
      </c>
      <c r="P11" s="124" cm="1">
        <f t="array" ref="P11">+_xll.EQNXTDZ($A$1,$B11,P$1,$B$1)</f>
        <v>0</v>
      </c>
      <c r="Q11" s="124" cm="1">
        <f t="array" ref="Q11">+_xll.EQNXTDZ($A$1,$B11,Q$1,$B$1)</f>
        <v>0</v>
      </c>
      <c r="R11" s="124" cm="1">
        <f t="array" ref="R11">+_xll.EQNXTDZ($A$1,$B11,R$1,$B$1)</f>
        <v>0</v>
      </c>
      <c r="S11" s="124" cm="1">
        <f t="array" ref="S11">+_xll.EQNXTDZ($A$1,$B11,S$1,$B$1)</f>
        <v>0</v>
      </c>
      <c r="T11" s="124" cm="1">
        <f t="array" ref="T11">+_xll.EQNXTDZ($A$1,$B11,T$1,$B$1)</f>
        <v>0</v>
      </c>
      <c r="U11" s="124" cm="1">
        <f t="array" ref="U11">+_xll.EQNXTDZ($A$1,$B11,U$1,$B$1)</f>
        <v>0</v>
      </c>
      <c r="V11" s="124" cm="1">
        <f t="array" ref="V11">+_xll.EQNXTDZ($A$1,$B11,V$1,$B$1)</f>
        <v>0</v>
      </c>
      <c r="W11" s="124" cm="1">
        <f t="array" ref="W11">+_xll.EQNXTDZ($A$1,$B11,W$1,$B$1)</f>
        <v>0</v>
      </c>
      <c r="X11" s="124" cm="1">
        <f t="array" ref="X11">+_xll.EQNXTDZ($A$1,$B11,X$1,$B$1)</f>
        <v>0</v>
      </c>
      <c r="Y11" s="124" cm="1">
        <f t="array" ref="Y11">+_xll.EQNXTDZ($A$1,$B11,Y$1,$B$1)</f>
        <v>0</v>
      </c>
      <c r="Z11" s="124" cm="1">
        <f t="array" ref="Z11">+_xll.EQNXTDZ($A$1,$B11,Z$1,$B$1)</f>
        <v>0</v>
      </c>
      <c r="AA11" s="124" cm="1">
        <f t="array" ref="AA11">+_xll.EQNXTDZ($A$1,$B11,AA$1,$B$1)</f>
        <v>0</v>
      </c>
      <c r="AB11" s="124" cm="1">
        <f t="array" ref="AB11">+_xll.EQNXTDZ($A$1,$B11,AB$1,$B$1)</f>
        <v>0</v>
      </c>
      <c r="AC11" s="124" cm="1">
        <f t="array" ref="AC11">+_xll.EQNXTDZ($A$1,$B11,AC$1,$B$1)</f>
        <v>0</v>
      </c>
      <c r="AD11" s="124" cm="1">
        <f t="array" ref="AD11">+_xll.EQNXTDZ($A$1,$B11,AD$1,$B$1)</f>
        <v>0</v>
      </c>
      <c r="AE11" s="124" cm="1">
        <f t="array" ref="AE11">+_xll.EQNXTDZ($A$1,$B11,AE$1,$B$1)</f>
        <v>0</v>
      </c>
      <c r="AF11" s="124" cm="1">
        <f t="array" ref="AF11">+_xll.EQNXTDZ($A$1,$B11,AF$1,$B$1)</f>
        <v>0</v>
      </c>
      <c r="AG11" s="124" cm="1">
        <f t="array" ref="AG11">+_xll.EQNXTDZ($A$1,$B11,AG$1,$B$1)</f>
        <v>0</v>
      </c>
      <c r="AH11" s="124" cm="1">
        <f t="array" ref="AH11">+_xll.EQNXTDZ($A$1,$B11,AH$1,$B$1)</f>
        <v>0</v>
      </c>
      <c r="AI11" s="124" cm="1">
        <f t="array" ref="AI11">+_xll.EQNXTDZ($A$1,$B11,AI$1,$B$1)</f>
        <v>0</v>
      </c>
      <c r="AJ11" s="124" cm="1">
        <f t="array" ref="AJ11">+_xll.EQNXTDZ($A$1,$B11,AJ$1,$B$1)</f>
        <v>0</v>
      </c>
      <c r="AK11" s="124" cm="1">
        <f t="array" ref="AK11">+_xll.EQNXTDZ($A$1,$B11,AK$1,$B$1)</f>
        <v>0</v>
      </c>
      <c r="AL11" s="124" cm="1">
        <f t="array" ref="AL11">+_xll.EQNXTDZ($A$1,$B11,AL$1,$B$1)</f>
        <v>0</v>
      </c>
      <c r="AM11" s="124" cm="1">
        <f t="array" ref="AM11">+_xll.EQNXTDZ($A$1,$B11,AM$1,$B$1)</f>
        <v>0</v>
      </c>
      <c r="AN11" s="124" cm="1">
        <f t="array" ref="AN11">+_xll.EQNXTDZ($A$1,$B11,AN$1,$B$1)</f>
        <v>0</v>
      </c>
      <c r="AO11" s="124" cm="1">
        <f t="array" ref="AO11">+_xll.EQNXTDZ($A$1,$B11,AO$1,$B$1)</f>
        <v>0</v>
      </c>
      <c r="AP11" s="124" cm="1">
        <f t="array" ref="AP11">+_xll.EQNXTDZ($A$1,$B11,AP$1,$B$1)</f>
        <v>0</v>
      </c>
      <c r="AQ11" s="124" cm="1">
        <f t="array" ref="AQ11">+_xll.EQNXTDZ($A$1,$B11,AQ$1,$B$1)</f>
        <v>0</v>
      </c>
      <c r="AR11" s="124" cm="1">
        <f t="array" ref="AR11">+_xll.EQNXTDZ($A$1,$B11,AR$1,$B$1)</f>
        <v>0</v>
      </c>
      <c r="AS11" s="124" cm="1">
        <f t="array" ref="AS11">+_xll.EQNXTDZ($A$1,$B11,AS$1,$B$1)</f>
        <v>0</v>
      </c>
      <c r="AT11" s="124" cm="1">
        <f t="array" ref="AT11">+_xll.EQNXTDZ($A$1,$B11,AT$1,$B$1)</f>
        <v>0</v>
      </c>
      <c r="AU11" s="124" cm="1">
        <f t="array" ref="AU11">+_xll.EQNXTDZ($A$1,$B11,AU$1,$B$1)</f>
        <v>0</v>
      </c>
      <c r="AV11" s="124" cm="1">
        <f t="array" ref="AV11">+_xll.EQNXTDZ($A$1,$B11,AV$1,$B$1)</f>
        <v>0</v>
      </c>
      <c r="AW11" s="124" cm="1">
        <f t="array" ref="AW11">+_xll.EQNXTDZ($A$1,$B11,AW$1,$B$1)</f>
        <v>0</v>
      </c>
      <c r="AX11" s="124" cm="1">
        <f t="array" ref="AX11">+_xll.EQNXTDZ($A$1,$B11,AX$1,$B$1)</f>
        <v>0</v>
      </c>
      <c r="AY11" s="124" cm="1">
        <f t="array" ref="AY11">+_xll.EQNXTDZ($A$1,$B11,AY$1,$B$1)</f>
        <v>0</v>
      </c>
      <c r="AZ11" s="124" cm="1">
        <f t="array" ref="AZ11">+_xll.EQNXTDZ($A$1,$B11,AZ$1,$B$1)</f>
        <v>0</v>
      </c>
      <c r="BA11" s="124" cm="1">
        <f t="array" ref="BA11">+_xll.EQNXTDZ($A$1,$B11,BA$1,$B$1)</f>
        <v>0</v>
      </c>
      <c r="BB11" s="124" cm="1">
        <f t="array" ref="BB11">+_xll.EQNXTDZ($A$1,$B11,BB$1,$B$1)</f>
        <v>0</v>
      </c>
      <c r="BC11" s="124" cm="1">
        <f t="array" ref="BC11">+_xll.EQNXTDZ($A$1,$B11,BC$1,$B$1)</f>
        <v>0</v>
      </c>
      <c r="BD11" s="124" cm="1">
        <f t="array" ref="BD11">+_xll.EQNXTDZ($A$1,$B11,BD$1,$B$1)</f>
        <v>0</v>
      </c>
      <c r="BE11" s="124" cm="1">
        <f t="array" ref="BE11">+_xll.EQNXTDZ($A$1,$B11,BE$1,$B$1)</f>
        <v>0</v>
      </c>
      <c r="BF11" s="124" cm="1">
        <f t="array" ref="BF11">+_xll.EQNXTDZ($A$1,$B11,BF$1,$B$1)</f>
        <v>0</v>
      </c>
      <c r="BG11" s="124" cm="1">
        <f t="array" ref="BG11">+_xll.EQNXTDZ($A$1,$B11,BG$1,$B$1)</f>
        <v>0</v>
      </c>
      <c r="BH11" s="124" cm="1">
        <f t="array" ref="BH11">+_xll.EQNXTDZ($A$1,$B11,BH$1,$B$1)</f>
        <v>0</v>
      </c>
      <c r="BI11" s="124" cm="1">
        <f t="array" ref="BI11">+_xll.EQNXTDZ($A$1,$B11,BI$1,$B$1)</f>
        <v>0</v>
      </c>
      <c r="BJ11" s="124" cm="1">
        <f t="array" ref="BJ11">+_xll.EQNXTDZ($A$1,$B11,BJ$1,$B$1)</f>
        <v>0</v>
      </c>
      <c r="BK11" s="124" cm="1">
        <f t="array" ref="BK11">+_xll.EQNXTDZ($A$1,$B11,BK$1,$B$1)</f>
        <v>0</v>
      </c>
    </row>
    <row r="12" spans="1:63" x14ac:dyDescent="0.25">
      <c r="A12" t="s">
        <v>184</v>
      </c>
      <c r="B12" t="s">
        <v>288</v>
      </c>
      <c r="C12" s="124" cm="1">
        <f t="array" ref="C12">+_xll.EQNXTDZ($A$1,$B12,C$1,$B$1)</f>
        <v>0</v>
      </c>
      <c r="D12" s="124" cm="1">
        <f t="array" ref="D12">+_xll.EQNXTDZ($A$1,$B12,D$1,$B$1)</f>
        <v>0</v>
      </c>
      <c r="E12" s="124" cm="1">
        <f t="array" ref="E12">+_xll.EQNXTDZ($A$1,$B12,E$1,$B$1)</f>
        <v>0</v>
      </c>
      <c r="F12" s="124" cm="1">
        <f t="array" ref="F12">+_xll.EQNXTDZ($A$1,$B12,F$1,$B$1)</f>
        <v>0</v>
      </c>
      <c r="G12" s="124" cm="1">
        <f t="array" ref="G12">+_xll.EQNXTDZ($A$1,$B12,G$1,$B$1)</f>
        <v>0</v>
      </c>
      <c r="H12" s="124" cm="1">
        <f t="array" ref="H12">+_xll.EQNXTDZ($A$1,$B12,H$1,$B$1)</f>
        <v>0</v>
      </c>
      <c r="I12" s="124" cm="1">
        <f t="array" ref="I12">+_xll.EQNXTDZ($A$1,$B12,I$1,$B$1)</f>
        <v>0</v>
      </c>
      <c r="J12" s="124" cm="1">
        <f t="array" ref="J12">+_xll.EQNXTDZ($A$1,$B12,J$1,$B$1)</f>
        <v>0</v>
      </c>
      <c r="K12" s="124" cm="1">
        <f t="array" ref="K12">+_xll.EQNXTDZ($A$1,$B12,K$1,$B$1)</f>
        <v>0</v>
      </c>
      <c r="L12" s="124" cm="1">
        <f t="array" ref="L12">+_xll.EQNXTDZ($A$1,$B12,L$1,$B$1)</f>
        <v>0</v>
      </c>
      <c r="M12" s="124" cm="1">
        <f t="array" ref="M12">+_xll.EQNXTDZ($A$1,$B12,M$1,$B$1)</f>
        <v>0</v>
      </c>
      <c r="N12" s="124" cm="1">
        <f t="array" ref="N12">+_xll.EQNXTDZ($A$1,$B12,N$1,$B$1)</f>
        <v>0</v>
      </c>
      <c r="O12" s="124" cm="1">
        <f t="array" ref="O12">+_xll.EQNXTDZ($A$1,$B12,O$1,$B$1)</f>
        <v>0</v>
      </c>
      <c r="P12" s="124" cm="1">
        <f t="array" ref="P12">+_xll.EQNXTDZ($A$1,$B12,P$1,$B$1)</f>
        <v>0</v>
      </c>
      <c r="Q12" s="124" cm="1">
        <f t="array" ref="Q12">+_xll.EQNXTDZ($A$1,$B12,Q$1,$B$1)</f>
        <v>0</v>
      </c>
      <c r="R12" s="124" cm="1">
        <f t="array" ref="R12">+_xll.EQNXTDZ($A$1,$B12,R$1,$B$1)</f>
        <v>0</v>
      </c>
      <c r="S12" s="124" cm="1">
        <f t="array" ref="S12">+_xll.EQNXTDZ($A$1,$B12,S$1,$B$1)</f>
        <v>0</v>
      </c>
      <c r="T12" s="124" cm="1">
        <f t="array" ref="T12">+_xll.EQNXTDZ($A$1,$B12,T$1,$B$1)</f>
        <v>0</v>
      </c>
      <c r="U12" s="124" cm="1">
        <f t="array" ref="U12">+_xll.EQNXTDZ($A$1,$B12,U$1,$B$1)</f>
        <v>0</v>
      </c>
      <c r="V12" s="124" cm="1">
        <f t="array" ref="V12">+_xll.EQNXTDZ($A$1,$B12,V$1,$B$1)</f>
        <v>0</v>
      </c>
      <c r="W12" s="124" cm="1">
        <f t="array" ref="W12">+_xll.EQNXTDZ($A$1,$B12,W$1,$B$1)</f>
        <v>0</v>
      </c>
      <c r="X12" s="124" cm="1">
        <f t="array" ref="X12">+_xll.EQNXTDZ($A$1,$B12,X$1,$B$1)</f>
        <v>0</v>
      </c>
      <c r="Y12" s="124" cm="1">
        <f t="array" ref="Y12">+_xll.EQNXTDZ($A$1,$B12,Y$1,$B$1)</f>
        <v>0</v>
      </c>
      <c r="Z12" s="124" cm="1">
        <f t="array" ref="Z12">+_xll.EQNXTDZ($A$1,$B12,Z$1,$B$1)</f>
        <v>0</v>
      </c>
      <c r="AA12" s="124" cm="1">
        <f t="array" ref="AA12">+_xll.EQNXTDZ($A$1,$B12,AA$1,$B$1)</f>
        <v>0</v>
      </c>
      <c r="AB12" s="124" cm="1">
        <f t="array" ref="AB12">+_xll.EQNXTDZ($A$1,$B12,AB$1,$B$1)</f>
        <v>0</v>
      </c>
      <c r="AC12" s="124" cm="1">
        <f t="array" ref="AC12">+_xll.EQNXTDZ($A$1,$B12,AC$1,$B$1)</f>
        <v>0</v>
      </c>
      <c r="AD12" s="124" cm="1">
        <f t="array" ref="AD12">+_xll.EQNXTDZ($A$1,$B12,AD$1,$B$1)</f>
        <v>0</v>
      </c>
      <c r="AE12" s="124" cm="1">
        <f t="array" ref="AE12">+_xll.EQNXTDZ($A$1,$B12,AE$1,$B$1)</f>
        <v>0</v>
      </c>
      <c r="AF12" s="124" cm="1">
        <f t="array" ref="AF12">+_xll.EQNXTDZ($A$1,$B12,AF$1,$B$1)</f>
        <v>0</v>
      </c>
      <c r="AG12" s="124" cm="1">
        <f t="array" ref="AG12">+_xll.EQNXTDZ($A$1,$B12,AG$1,$B$1)</f>
        <v>0</v>
      </c>
      <c r="AH12" s="124" cm="1">
        <f t="array" ref="AH12">+_xll.EQNXTDZ($A$1,$B12,AH$1,$B$1)</f>
        <v>0</v>
      </c>
      <c r="AI12" s="124" cm="1">
        <f t="array" ref="AI12">+_xll.EQNXTDZ($A$1,$B12,AI$1,$B$1)</f>
        <v>0</v>
      </c>
      <c r="AJ12" s="124" cm="1">
        <f t="array" ref="AJ12">+_xll.EQNXTDZ($A$1,$B12,AJ$1,$B$1)</f>
        <v>0</v>
      </c>
      <c r="AK12" s="124" cm="1">
        <f t="array" ref="AK12">+_xll.EQNXTDZ($A$1,$B12,AK$1,$B$1)</f>
        <v>0</v>
      </c>
      <c r="AL12" s="124" cm="1">
        <f t="array" ref="AL12">+_xll.EQNXTDZ($A$1,$B12,AL$1,$B$1)</f>
        <v>0</v>
      </c>
      <c r="AM12" s="124" cm="1">
        <f t="array" ref="AM12">+_xll.EQNXTDZ($A$1,$B12,AM$1,$B$1)</f>
        <v>0</v>
      </c>
      <c r="AN12" s="124" cm="1">
        <f t="array" ref="AN12">+_xll.EQNXTDZ($A$1,$B12,AN$1,$B$1)</f>
        <v>0</v>
      </c>
      <c r="AO12" s="124" cm="1">
        <f t="array" ref="AO12">+_xll.EQNXTDZ($A$1,$B12,AO$1,$B$1)</f>
        <v>0</v>
      </c>
      <c r="AP12" s="124" cm="1">
        <f t="array" ref="AP12">+_xll.EQNXTDZ($A$1,$B12,AP$1,$B$1)</f>
        <v>0</v>
      </c>
      <c r="AQ12" s="124" cm="1">
        <f t="array" ref="AQ12">+_xll.EQNXTDZ($A$1,$B12,AQ$1,$B$1)</f>
        <v>0</v>
      </c>
      <c r="AR12" s="124" cm="1">
        <f t="array" ref="AR12">+_xll.EQNXTDZ($A$1,$B12,AR$1,$B$1)</f>
        <v>0</v>
      </c>
      <c r="AS12" s="124" cm="1">
        <f t="array" ref="AS12">+_xll.EQNXTDZ($A$1,$B12,AS$1,$B$1)</f>
        <v>0</v>
      </c>
      <c r="AT12" s="124" cm="1">
        <f t="array" ref="AT12">+_xll.EQNXTDZ($A$1,$B12,AT$1,$B$1)</f>
        <v>0</v>
      </c>
      <c r="AU12" s="124" cm="1">
        <f t="array" ref="AU12">+_xll.EQNXTDZ($A$1,$B12,AU$1,$B$1)</f>
        <v>0</v>
      </c>
      <c r="AV12" s="124" cm="1">
        <f t="array" ref="AV12">+_xll.EQNXTDZ($A$1,$B12,AV$1,$B$1)</f>
        <v>0</v>
      </c>
      <c r="AW12" s="124" cm="1">
        <f t="array" ref="AW12">+_xll.EQNXTDZ($A$1,$B12,AW$1,$B$1)</f>
        <v>0</v>
      </c>
      <c r="AX12" s="124" cm="1">
        <f t="array" ref="AX12">+_xll.EQNXTDZ($A$1,$B12,AX$1,$B$1)</f>
        <v>0</v>
      </c>
      <c r="AY12" s="124" cm="1">
        <f t="array" ref="AY12">+_xll.EQNXTDZ($A$1,$B12,AY$1,$B$1)</f>
        <v>0</v>
      </c>
      <c r="AZ12" s="124" cm="1">
        <f t="array" ref="AZ12">+_xll.EQNXTDZ($A$1,$B12,AZ$1,$B$1)</f>
        <v>0</v>
      </c>
      <c r="BA12" s="124" cm="1">
        <f t="array" ref="BA12">+_xll.EQNXTDZ($A$1,$B12,BA$1,$B$1)</f>
        <v>0</v>
      </c>
      <c r="BB12" s="124" cm="1">
        <f t="array" ref="BB12">+_xll.EQNXTDZ($A$1,$B12,BB$1,$B$1)</f>
        <v>0</v>
      </c>
      <c r="BC12" s="124" cm="1">
        <f t="array" ref="BC12">+_xll.EQNXTDZ($A$1,$B12,BC$1,$B$1)</f>
        <v>0</v>
      </c>
      <c r="BD12" s="124" cm="1">
        <f t="array" ref="BD12">+_xll.EQNXTDZ($A$1,$B12,BD$1,$B$1)</f>
        <v>0</v>
      </c>
      <c r="BE12" s="124" cm="1">
        <f t="array" ref="BE12">+_xll.EQNXTDZ($A$1,$B12,BE$1,$B$1)</f>
        <v>0</v>
      </c>
      <c r="BF12" s="124" cm="1">
        <f t="array" ref="BF12">+_xll.EQNXTDZ($A$1,$B12,BF$1,$B$1)</f>
        <v>0</v>
      </c>
      <c r="BG12" s="124" cm="1">
        <f t="array" ref="BG12">+_xll.EQNXTDZ($A$1,$B12,BG$1,$B$1)</f>
        <v>0</v>
      </c>
      <c r="BH12" s="124" cm="1">
        <f t="array" ref="BH12">+_xll.EQNXTDZ($A$1,$B12,BH$1,$B$1)</f>
        <v>0</v>
      </c>
      <c r="BI12" s="124" cm="1">
        <f t="array" ref="BI12">+_xll.EQNXTDZ($A$1,$B12,BI$1,$B$1)</f>
        <v>0</v>
      </c>
      <c r="BJ12" s="124" cm="1">
        <f t="array" ref="BJ12">+_xll.EQNXTDZ($A$1,$B12,BJ$1,$B$1)</f>
        <v>0</v>
      </c>
      <c r="BK12" s="124" cm="1">
        <f t="array" ref="BK12">+_xll.EQNXTDZ($A$1,$B12,BK$1,$B$1)</f>
        <v>0</v>
      </c>
    </row>
    <row r="13" spans="1:63" x14ac:dyDescent="0.25">
      <c r="A13" t="s">
        <v>185</v>
      </c>
      <c r="B13" t="s">
        <v>289</v>
      </c>
      <c r="C13" s="124" cm="1">
        <f t="array" ref="C13">+_xll.EQNXTDZ($A$1,$B13,C$1,$B$1)</f>
        <v>0</v>
      </c>
      <c r="D13" s="124" cm="1">
        <f t="array" ref="D13">+_xll.EQNXTDZ($A$1,$B13,D$1,$B$1)</f>
        <v>0</v>
      </c>
      <c r="E13" s="124" cm="1">
        <f t="array" ref="E13">+_xll.EQNXTDZ($A$1,$B13,E$1,$B$1)</f>
        <v>0</v>
      </c>
      <c r="F13" s="124" cm="1">
        <f t="array" ref="F13">+_xll.EQNXTDZ($A$1,$B13,F$1,$B$1)</f>
        <v>0</v>
      </c>
      <c r="G13" s="124" cm="1">
        <f t="array" ref="G13">+_xll.EQNXTDZ($A$1,$B13,G$1,$B$1)</f>
        <v>0</v>
      </c>
      <c r="H13" s="124" cm="1">
        <f t="array" ref="H13">+_xll.EQNXTDZ($A$1,$B13,H$1,$B$1)</f>
        <v>0</v>
      </c>
      <c r="I13" s="124" cm="1">
        <f t="array" ref="I13">+_xll.EQNXTDZ($A$1,$B13,I$1,$B$1)</f>
        <v>0</v>
      </c>
      <c r="J13" s="124" cm="1">
        <f t="array" ref="J13">+_xll.EQNXTDZ($A$1,$B13,J$1,$B$1)</f>
        <v>0</v>
      </c>
      <c r="K13" s="124" cm="1">
        <f t="array" ref="K13">+_xll.EQNXTDZ($A$1,$B13,K$1,$B$1)</f>
        <v>0</v>
      </c>
      <c r="L13" s="124" cm="1">
        <f t="array" ref="L13">+_xll.EQNXTDZ($A$1,$B13,L$1,$B$1)</f>
        <v>0</v>
      </c>
      <c r="M13" s="124" cm="1">
        <f t="array" ref="M13">+_xll.EQNXTDZ($A$1,$B13,M$1,$B$1)</f>
        <v>0</v>
      </c>
      <c r="N13" s="124" cm="1">
        <f t="array" ref="N13">+_xll.EQNXTDZ($A$1,$B13,N$1,$B$1)</f>
        <v>0</v>
      </c>
      <c r="O13" s="124" cm="1">
        <f t="array" ref="O13">+_xll.EQNXTDZ($A$1,$B13,O$1,$B$1)</f>
        <v>0</v>
      </c>
      <c r="P13" s="124" cm="1">
        <f t="array" ref="P13">+_xll.EQNXTDZ($A$1,$B13,P$1,$B$1)</f>
        <v>0</v>
      </c>
      <c r="Q13" s="124" cm="1">
        <f t="array" ref="Q13">+_xll.EQNXTDZ($A$1,$B13,Q$1,$B$1)</f>
        <v>0</v>
      </c>
      <c r="R13" s="124" cm="1">
        <f t="array" ref="R13">+_xll.EQNXTDZ($A$1,$B13,R$1,$B$1)</f>
        <v>0</v>
      </c>
      <c r="S13" s="124" cm="1">
        <f t="array" ref="S13">+_xll.EQNXTDZ($A$1,$B13,S$1,$B$1)</f>
        <v>0</v>
      </c>
      <c r="T13" s="124" cm="1">
        <f t="array" ref="T13">+_xll.EQNXTDZ($A$1,$B13,T$1,$B$1)</f>
        <v>0</v>
      </c>
      <c r="U13" s="124" cm="1">
        <f t="array" ref="U13">+_xll.EQNXTDZ($A$1,$B13,U$1,$B$1)</f>
        <v>0</v>
      </c>
      <c r="V13" s="124" cm="1">
        <f t="array" ref="V13">+_xll.EQNXTDZ($A$1,$B13,V$1,$B$1)</f>
        <v>0</v>
      </c>
      <c r="W13" s="124" cm="1">
        <f t="array" ref="W13">+_xll.EQNXTDZ($A$1,$B13,W$1,$B$1)</f>
        <v>0</v>
      </c>
      <c r="X13" s="124" cm="1">
        <f t="array" ref="X13">+_xll.EQNXTDZ($A$1,$B13,X$1,$B$1)</f>
        <v>0</v>
      </c>
      <c r="Y13" s="124" cm="1">
        <f t="array" ref="Y13">+_xll.EQNXTDZ($A$1,$B13,Y$1,$B$1)</f>
        <v>0</v>
      </c>
      <c r="Z13" s="124" cm="1">
        <f t="array" ref="Z13">+_xll.EQNXTDZ($A$1,$B13,Z$1,$B$1)</f>
        <v>0</v>
      </c>
      <c r="AA13" s="124" cm="1">
        <f t="array" ref="AA13">+_xll.EQNXTDZ($A$1,$B13,AA$1,$B$1)</f>
        <v>0</v>
      </c>
      <c r="AB13" s="124" cm="1">
        <f t="array" ref="AB13">+_xll.EQNXTDZ($A$1,$B13,AB$1,$B$1)</f>
        <v>0</v>
      </c>
      <c r="AC13" s="124" cm="1">
        <f t="array" ref="AC13">+_xll.EQNXTDZ($A$1,$B13,AC$1,$B$1)</f>
        <v>0</v>
      </c>
      <c r="AD13" s="124" cm="1">
        <f t="array" ref="AD13">+_xll.EQNXTDZ($A$1,$B13,AD$1,$B$1)</f>
        <v>0</v>
      </c>
      <c r="AE13" s="124" cm="1">
        <f t="array" ref="AE13">+_xll.EQNXTDZ($A$1,$B13,AE$1,$B$1)</f>
        <v>0</v>
      </c>
      <c r="AF13" s="124" cm="1">
        <f t="array" ref="AF13">+_xll.EQNXTDZ($A$1,$B13,AF$1,$B$1)</f>
        <v>0</v>
      </c>
      <c r="AG13" s="124" cm="1">
        <f t="array" ref="AG13">+_xll.EQNXTDZ($A$1,$B13,AG$1,$B$1)</f>
        <v>0</v>
      </c>
      <c r="AH13" s="124" cm="1">
        <f t="array" ref="AH13">+_xll.EQNXTDZ($A$1,$B13,AH$1,$B$1)</f>
        <v>0</v>
      </c>
      <c r="AI13" s="124" cm="1">
        <f t="array" ref="AI13">+_xll.EQNXTDZ($A$1,$B13,AI$1,$B$1)</f>
        <v>0</v>
      </c>
      <c r="AJ13" s="124" cm="1">
        <f t="array" ref="AJ13">+_xll.EQNXTDZ($A$1,$B13,AJ$1,$B$1)</f>
        <v>0</v>
      </c>
      <c r="AK13" s="124" cm="1">
        <f t="array" ref="AK13">+_xll.EQNXTDZ($A$1,$B13,AK$1,$B$1)</f>
        <v>0</v>
      </c>
      <c r="AL13" s="124" cm="1">
        <f t="array" ref="AL13">+_xll.EQNXTDZ($A$1,$B13,AL$1,$B$1)</f>
        <v>0</v>
      </c>
      <c r="AM13" s="124" cm="1">
        <f t="array" ref="AM13">+_xll.EQNXTDZ($A$1,$B13,AM$1,$B$1)</f>
        <v>0</v>
      </c>
      <c r="AN13" s="124" cm="1">
        <f t="array" ref="AN13">+_xll.EQNXTDZ($A$1,$B13,AN$1,$B$1)</f>
        <v>0</v>
      </c>
      <c r="AO13" s="124" cm="1">
        <f t="array" ref="AO13">+_xll.EQNXTDZ($A$1,$B13,AO$1,$B$1)</f>
        <v>0</v>
      </c>
      <c r="AP13" s="124" cm="1">
        <f t="array" ref="AP13">+_xll.EQNXTDZ($A$1,$B13,AP$1,$B$1)</f>
        <v>0</v>
      </c>
      <c r="AQ13" s="124" cm="1">
        <f t="array" ref="AQ13">+_xll.EQNXTDZ($A$1,$B13,AQ$1,$B$1)</f>
        <v>0</v>
      </c>
      <c r="AR13" s="124" cm="1">
        <f t="array" ref="AR13">+_xll.EQNXTDZ($A$1,$B13,AR$1,$B$1)</f>
        <v>0</v>
      </c>
      <c r="AS13" s="124" cm="1">
        <f t="array" ref="AS13">+_xll.EQNXTDZ($A$1,$B13,AS$1,$B$1)</f>
        <v>0</v>
      </c>
      <c r="AT13" s="124" cm="1">
        <f t="array" ref="AT13">+_xll.EQNXTDZ($A$1,$B13,AT$1,$B$1)</f>
        <v>0</v>
      </c>
      <c r="AU13" s="124" cm="1">
        <f t="array" ref="AU13">+_xll.EQNXTDZ($A$1,$B13,AU$1,$B$1)</f>
        <v>0</v>
      </c>
      <c r="AV13" s="124" cm="1">
        <f t="array" ref="AV13">+_xll.EQNXTDZ($A$1,$B13,AV$1,$B$1)</f>
        <v>0</v>
      </c>
      <c r="AW13" s="124" cm="1">
        <f t="array" ref="AW13">+_xll.EQNXTDZ($A$1,$B13,AW$1,$B$1)</f>
        <v>0</v>
      </c>
      <c r="AX13" s="124" cm="1">
        <f t="array" ref="AX13">+_xll.EQNXTDZ($A$1,$B13,AX$1,$B$1)</f>
        <v>0</v>
      </c>
      <c r="AY13" s="124" cm="1">
        <f t="array" ref="AY13">+_xll.EQNXTDZ($A$1,$B13,AY$1,$B$1)</f>
        <v>0</v>
      </c>
      <c r="AZ13" s="124" cm="1">
        <f t="array" ref="AZ13">+_xll.EQNXTDZ($A$1,$B13,AZ$1,$B$1)</f>
        <v>0</v>
      </c>
      <c r="BA13" s="124" cm="1">
        <f t="array" ref="BA13">+_xll.EQNXTDZ($A$1,$B13,BA$1,$B$1)</f>
        <v>0</v>
      </c>
      <c r="BB13" s="124" cm="1">
        <f t="array" ref="BB13">+_xll.EQNXTDZ($A$1,$B13,BB$1,$B$1)</f>
        <v>0</v>
      </c>
      <c r="BC13" s="124" cm="1">
        <f t="array" ref="BC13">+_xll.EQNXTDZ($A$1,$B13,BC$1,$B$1)</f>
        <v>0</v>
      </c>
      <c r="BD13" s="124" cm="1">
        <f t="array" ref="BD13">+_xll.EQNXTDZ($A$1,$B13,BD$1,$B$1)</f>
        <v>0</v>
      </c>
      <c r="BE13" s="124" cm="1">
        <f t="array" ref="BE13">+_xll.EQNXTDZ($A$1,$B13,BE$1,$B$1)</f>
        <v>0</v>
      </c>
      <c r="BF13" s="124" cm="1">
        <f t="array" ref="BF13">+_xll.EQNXTDZ($A$1,$B13,BF$1,$B$1)</f>
        <v>0</v>
      </c>
      <c r="BG13" s="124" cm="1">
        <f t="array" ref="BG13">+_xll.EQNXTDZ($A$1,$B13,BG$1,$B$1)</f>
        <v>0</v>
      </c>
      <c r="BH13" s="124" cm="1">
        <f t="array" ref="BH13">+_xll.EQNXTDZ($A$1,$B13,BH$1,$B$1)</f>
        <v>0</v>
      </c>
      <c r="BI13" s="124" cm="1">
        <f t="array" ref="BI13">+_xll.EQNXTDZ($A$1,$B13,BI$1,$B$1)</f>
        <v>0</v>
      </c>
      <c r="BJ13" s="124" cm="1">
        <f t="array" ref="BJ13">+_xll.EQNXTDZ($A$1,$B13,BJ$1,$B$1)</f>
        <v>0</v>
      </c>
      <c r="BK13" s="124" cm="1">
        <f t="array" ref="BK13">+_xll.EQNXTDZ($A$1,$B13,BK$1,$B$1)</f>
        <v>0</v>
      </c>
    </row>
    <row r="14" spans="1:63" x14ac:dyDescent="0.25">
      <c r="A14" t="s">
        <v>59</v>
      </c>
      <c r="B14" t="s">
        <v>290</v>
      </c>
      <c r="C14" s="124" cm="1">
        <f t="array" ref="C14">+_xll.EQNXTDZ($A$1,$B14,C$1,$B$1)</f>
        <v>0</v>
      </c>
      <c r="D14" s="124" cm="1">
        <f t="array" ref="D14">+_xll.EQNXTDZ($A$1,$B14,D$1,$B$1)</f>
        <v>0</v>
      </c>
      <c r="E14" s="124" cm="1">
        <f t="array" ref="E14">+_xll.EQNXTDZ($A$1,$B14,E$1,$B$1)</f>
        <v>0</v>
      </c>
      <c r="F14" s="124" cm="1">
        <f t="array" ref="F14">+_xll.EQNXTDZ($A$1,$B14,F$1,$B$1)</f>
        <v>0</v>
      </c>
      <c r="G14" s="124" cm="1">
        <f t="array" ref="G14">+_xll.EQNXTDZ($A$1,$B14,G$1,$B$1)</f>
        <v>0</v>
      </c>
      <c r="H14" s="124" cm="1">
        <f t="array" ref="H14">+_xll.EQNXTDZ($A$1,$B14,H$1,$B$1)</f>
        <v>0</v>
      </c>
      <c r="I14" s="124" cm="1">
        <f t="array" ref="I14">+_xll.EQNXTDZ($A$1,$B14,I$1,$B$1)</f>
        <v>0</v>
      </c>
      <c r="J14" s="124" cm="1">
        <f t="array" ref="J14">+_xll.EQNXTDZ($A$1,$B14,J$1,$B$1)</f>
        <v>0</v>
      </c>
      <c r="K14" s="124" cm="1">
        <f t="array" ref="K14">+_xll.EQNXTDZ($A$1,$B14,K$1,$B$1)</f>
        <v>0</v>
      </c>
      <c r="L14" s="124" cm="1">
        <f t="array" ref="L14">+_xll.EQNXTDZ($A$1,$B14,L$1,$B$1)</f>
        <v>0</v>
      </c>
      <c r="M14" s="124" cm="1">
        <f t="array" ref="M14">+_xll.EQNXTDZ($A$1,$B14,M$1,$B$1)</f>
        <v>0</v>
      </c>
      <c r="N14" s="124" cm="1">
        <f t="array" ref="N14">+_xll.EQNXTDZ($A$1,$B14,N$1,$B$1)</f>
        <v>0</v>
      </c>
      <c r="O14" s="124" cm="1">
        <f t="array" ref="O14">+_xll.EQNXTDZ($A$1,$B14,O$1,$B$1)</f>
        <v>0</v>
      </c>
      <c r="P14" s="124" cm="1">
        <f t="array" ref="P14">+_xll.EQNXTDZ($A$1,$B14,P$1,$B$1)</f>
        <v>0</v>
      </c>
      <c r="Q14" s="124" cm="1">
        <f t="array" ref="Q14">+_xll.EQNXTDZ($A$1,$B14,Q$1,$B$1)</f>
        <v>0</v>
      </c>
      <c r="R14" s="124" cm="1">
        <f t="array" ref="R14">+_xll.EQNXTDZ($A$1,$B14,R$1,$B$1)</f>
        <v>0</v>
      </c>
      <c r="S14" s="124" cm="1">
        <f t="array" ref="S14">+_xll.EQNXTDZ($A$1,$B14,S$1,$B$1)</f>
        <v>0</v>
      </c>
      <c r="T14" s="124" cm="1">
        <f t="array" ref="T14">+_xll.EQNXTDZ($A$1,$B14,T$1,$B$1)</f>
        <v>0</v>
      </c>
      <c r="U14" s="124" cm="1">
        <f t="array" ref="U14">+_xll.EQNXTDZ($A$1,$B14,U$1,$B$1)</f>
        <v>0</v>
      </c>
      <c r="V14" s="124" cm="1">
        <f t="array" ref="V14">+_xll.EQNXTDZ($A$1,$B14,V$1,$B$1)</f>
        <v>0</v>
      </c>
      <c r="W14" s="124" cm="1">
        <f t="array" ref="W14">+_xll.EQNXTDZ($A$1,$B14,W$1,$B$1)</f>
        <v>0</v>
      </c>
      <c r="X14" s="124" cm="1">
        <f t="array" ref="X14">+_xll.EQNXTDZ($A$1,$B14,X$1,$B$1)</f>
        <v>0</v>
      </c>
      <c r="Y14" s="124" cm="1">
        <f t="array" ref="Y14">+_xll.EQNXTDZ($A$1,$B14,Y$1,$B$1)</f>
        <v>0</v>
      </c>
      <c r="Z14" s="124" cm="1">
        <f t="array" ref="Z14">+_xll.EQNXTDZ($A$1,$B14,Z$1,$B$1)</f>
        <v>0</v>
      </c>
      <c r="AA14" s="124" cm="1">
        <f t="array" ref="AA14">+_xll.EQNXTDZ($A$1,$B14,AA$1,$B$1)</f>
        <v>0</v>
      </c>
      <c r="AB14" s="124" cm="1">
        <f t="array" ref="AB14">+_xll.EQNXTDZ($A$1,$B14,AB$1,$B$1)</f>
        <v>0</v>
      </c>
      <c r="AC14" s="124" cm="1">
        <f t="array" ref="AC14">+_xll.EQNXTDZ($A$1,$B14,AC$1,$B$1)</f>
        <v>0</v>
      </c>
      <c r="AD14" s="124" cm="1">
        <f t="array" ref="AD14">+_xll.EQNXTDZ($A$1,$B14,AD$1,$B$1)</f>
        <v>0</v>
      </c>
      <c r="AE14" s="124" cm="1">
        <f t="array" ref="AE14">+_xll.EQNXTDZ($A$1,$B14,AE$1,$B$1)</f>
        <v>0</v>
      </c>
      <c r="AF14" s="124" cm="1">
        <f t="array" ref="AF14">+_xll.EQNXTDZ($A$1,$B14,AF$1,$B$1)</f>
        <v>0</v>
      </c>
      <c r="AG14" s="124" cm="1">
        <f t="array" ref="AG14">+_xll.EQNXTDZ($A$1,$B14,AG$1,$B$1)</f>
        <v>0</v>
      </c>
      <c r="AH14" s="124" cm="1">
        <f t="array" ref="AH14">+_xll.EQNXTDZ($A$1,$B14,AH$1,$B$1)</f>
        <v>0</v>
      </c>
      <c r="AI14" s="124" cm="1">
        <f t="array" ref="AI14">+_xll.EQNXTDZ($A$1,$B14,AI$1,$B$1)</f>
        <v>0</v>
      </c>
      <c r="AJ14" s="124" cm="1">
        <f t="array" ref="AJ14">+_xll.EQNXTDZ($A$1,$B14,AJ$1,$B$1)</f>
        <v>0</v>
      </c>
      <c r="AK14" s="124" cm="1">
        <f t="array" ref="AK14">+_xll.EQNXTDZ($A$1,$B14,AK$1,$B$1)</f>
        <v>0</v>
      </c>
      <c r="AL14" s="124" cm="1">
        <f t="array" ref="AL14">+_xll.EQNXTDZ($A$1,$B14,AL$1,$B$1)</f>
        <v>0</v>
      </c>
      <c r="AM14" s="124" cm="1">
        <f t="array" ref="AM14">+_xll.EQNXTDZ($A$1,$B14,AM$1,$B$1)</f>
        <v>0</v>
      </c>
      <c r="AN14" s="124" cm="1">
        <f t="array" ref="AN14">+_xll.EQNXTDZ($A$1,$B14,AN$1,$B$1)</f>
        <v>0</v>
      </c>
      <c r="AO14" s="124" cm="1">
        <f t="array" ref="AO14">+_xll.EQNXTDZ($A$1,$B14,AO$1,$B$1)</f>
        <v>0</v>
      </c>
      <c r="AP14" s="124" cm="1">
        <f t="array" ref="AP14">+_xll.EQNXTDZ($A$1,$B14,AP$1,$B$1)</f>
        <v>0</v>
      </c>
      <c r="AQ14" s="124" cm="1">
        <f t="array" ref="AQ14">+_xll.EQNXTDZ($A$1,$B14,AQ$1,$B$1)</f>
        <v>0</v>
      </c>
      <c r="AR14" s="124" cm="1">
        <f t="array" ref="AR14">+_xll.EQNXTDZ($A$1,$B14,AR$1,$B$1)</f>
        <v>0</v>
      </c>
      <c r="AS14" s="124" cm="1">
        <f t="array" ref="AS14">+_xll.EQNXTDZ($A$1,$B14,AS$1,$B$1)</f>
        <v>0</v>
      </c>
      <c r="AT14" s="124" cm="1">
        <f t="array" ref="AT14">+_xll.EQNXTDZ($A$1,$B14,AT$1,$B$1)</f>
        <v>0</v>
      </c>
      <c r="AU14" s="124" cm="1">
        <f t="array" ref="AU14">+_xll.EQNXTDZ($A$1,$B14,AU$1,$B$1)</f>
        <v>0</v>
      </c>
      <c r="AV14" s="124" cm="1">
        <f t="array" ref="AV14">+_xll.EQNXTDZ($A$1,$B14,AV$1,$B$1)</f>
        <v>0</v>
      </c>
      <c r="AW14" s="124" cm="1">
        <f t="array" ref="AW14">+_xll.EQNXTDZ($A$1,$B14,AW$1,$B$1)</f>
        <v>0</v>
      </c>
      <c r="AX14" s="124" cm="1">
        <f t="array" ref="AX14">+_xll.EQNXTDZ($A$1,$B14,AX$1,$B$1)</f>
        <v>0</v>
      </c>
      <c r="AY14" s="124" cm="1">
        <f t="array" ref="AY14">+_xll.EQNXTDZ($A$1,$B14,AY$1,$B$1)</f>
        <v>0</v>
      </c>
      <c r="AZ14" s="124" cm="1">
        <f t="array" ref="AZ14">+_xll.EQNXTDZ($A$1,$B14,AZ$1,$B$1)</f>
        <v>0</v>
      </c>
      <c r="BA14" s="124" cm="1">
        <f t="array" ref="BA14">+_xll.EQNXTDZ($A$1,$B14,BA$1,$B$1)</f>
        <v>0</v>
      </c>
      <c r="BB14" s="124" cm="1">
        <f t="array" ref="BB14">+_xll.EQNXTDZ($A$1,$B14,BB$1,$B$1)</f>
        <v>0</v>
      </c>
      <c r="BC14" s="124" cm="1">
        <f t="array" ref="BC14">+_xll.EQNXTDZ($A$1,$B14,BC$1,$B$1)</f>
        <v>0</v>
      </c>
      <c r="BD14" s="124" cm="1">
        <f t="array" ref="BD14">+_xll.EQNXTDZ($A$1,$B14,BD$1,$B$1)</f>
        <v>0</v>
      </c>
      <c r="BE14" s="124" cm="1">
        <f t="array" ref="BE14">+_xll.EQNXTDZ($A$1,$B14,BE$1,$B$1)</f>
        <v>0</v>
      </c>
      <c r="BF14" s="124" cm="1">
        <f t="array" ref="BF14">+_xll.EQNXTDZ($A$1,$B14,BF$1,$B$1)</f>
        <v>0</v>
      </c>
      <c r="BG14" s="124" cm="1">
        <f t="array" ref="BG14">+_xll.EQNXTDZ($A$1,$B14,BG$1,$B$1)</f>
        <v>0</v>
      </c>
      <c r="BH14" s="124" cm="1">
        <f t="array" ref="BH14">+_xll.EQNXTDZ($A$1,$B14,BH$1,$B$1)</f>
        <v>0</v>
      </c>
      <c r="BI14" s="124" cm="1">
        <f t="array" ref="BI14">+_xll.EQNXTDZ($A$1,$B14,BI$1,$B$1)</f>
        <v>0</v>
      </c>
      <c r="BJ14" s="124" cm="1">
        <f t="array" ref="BJ14">+_xll.EQNXTDZ($A$1,$B14,BJ$1,$B$1)</f>
        <v>0</v>
      </c>
      <c r="BK14" s="124" cm="1">
        <f t="array" ref="BK14">+_xll.EQNXTDZ($A$1,$B14,BK$1,$B$1)</f>
        <v>0</v>
      </c>
    </row>
    <row r="15" spans="1:63" x14ac:dyDescent="0.25">
      <c r="A15" t="s">
        <v>186</v>
      </c>
      <c r="B15" t="s">
        <v>291</v>
      </c>
      <c r="C15" s="124" cm="1">
        <f t="array" ref="C15">+_xll.EQNXTDZ($A$1,$B15,C$1,$B$1)</f>
        <v>0</v>
      </c>
      <c r="D15" s="124" cm="1">
        <f t="array" ref="D15">+_xll.EQNXTDZ($A$1,$B15,D$1,$B$1)</f>
        <v>0</v>
      </c>
      <c r="E15" s="124" cm="1">
        <f t="array" ref="E15">+_xll.EQNXTDZ($A$1,$B15,E$1,$B$1)</f>
        <v>0</v>
      </c>
      <c r="F15" s="124" cm="1">
        <f t="array" ref="F15">+_xll.EQNXTDZ($A$1,$B15,F$1,$B$1)</f>
        <v>0</v>
      </c>
      <c r="G15" s="124" cm="1">
        <f t="array" ref="G15">+_xll.EQNXTDZ($A$1,$B15,G$1,$B$1)</f>
        <v>0</v>
      </c>
      <c r="H15" s="124" cm="1">
        <f t="array" ref="H15">+_xll.EQNXTDZ($A$1,$B15,H$1,$B$1)</f>
        <v>0</v>
      </c>
      <c r="I15" s="124" cm="1">
        <f t="array" ref="I15">+_xll.EQNXTDZ($A$1,$B15,I$1,$B$1)</f>
        <v>0</v>
      </c>
      <c r="J15" s="124" cm="1">
        <f t="array" ref="J15">+_xll.EQNXTDZ($A$1,$B15,J$1,$B$1)</f>
        <v>0</v>
      </c>
      <c r="K15" s="124" cm="1">
        <f t="array" ref="K15">+_xll.EQNXTDZ($A$1,$B15,K$1,$B$1)</f>
        <v>0</v>
      </c>
      <c r="L15" s="124" cm="1">
        <f t="array" ref="L15">+_xll.EQNXTDZ($A$1,$B15,L$1,$B$1)</f>
        <v>0</v>
      </c>
      <c r="M15" s="124" cm="1">
        <f t="array" ref="M15">+_xll.EQNXTDZ($A$1,$B15,M$1,$B$1)</f>
        <v>0</v>
      </c>
      <c r="N15" s="124" cm="1">
        <f t="array" ref="N15">+_xll.EQNXTDZ($A$1,$B15,N$1,$B$1)</f>
        <v>0</v>
      </c>
      <c r="O15" s="124" cm="1">
        <f t="array" ref="O15">+_xll.EQNXTDZ($A$1,$B15,O$1,$B$1)</f>
        <v>0</v>
      </c>
      <c r="P15" s="124" cm="1">
        <f t="array" ref="P15">+_xll.EQNXTDZ($A$1,$B15,P$1,$B$1)</f>
        <v>0</v>
      </c>
      <c r="Q15" s="124" cm="1">
        <f t="array" ref="Q15">+_xll.EQNXTDZ($A$1,$B15,Q$1,$B$1)</f>
        <v>0</v>
      </c>
      <c r="R15" s="124" cm="1">
        <f t="array" ref="R15">+_xll.EQNXTDZ($A$1,$B15,R$1,$B$1)</f>
        <v>0</v>
      </c>
      <c r="S15" s="124" cm="1">
        <f t="array" ref="S15">+_xll.EQNXTDZ($A$1,$B15,S$1,$B$1)</f>
        <v>0</v>
      </c>
      <c r="T15" s="124" cm="1">
        <f t="array" ref="T15">+_xll.EQNXTDZ($A$1,$B15,T$1,$B$1)</f>
        <v>0</v>
      </c>
      <c r="U15" s="124" cm="1">
        <f t="array" ref="U15">+_xll.EQNXTDZ($A$1,$B15,U$1,$B$1)</f>
        <v>0</v>
      </c>
      <c r="V15" s="124" cm="1">
        <f t="array" ref="V15">+_xll.EQNXTDZ($A$1,$B15,V$1,$B$1)</f>
        <v>0</v>
      </c>
      <c r="W15" s="124" cm="1">
        <f t="array" ref="W15">+_xll.EQNXTDZ($A$1,$B15,W$1,$B$1)</f>
        <v>0</v>
      </c>
      <c r="X15" s="124" cm="1">
        <f t="array" ref="X15">+_xll.EQNXTDZ($A$1,$B15,X$1,$B$1)</f>
        <v>0</v>
      </c>
      <c r="Y15" s="124" cm="1">
        <f t="array" ref="Y15">+_xll.EQNXTDZ($A$1,$B15,Y$1,$B$1)</f>
        <v>0</v>
      </c>
      <c r="Z15" s="124" cm="1">
        <f t="array" ref="Z15">+_xll.EQNXTDZ($A$1,$B15,Z$1,$B$1)</f>
        <v>0</v>
      </c>
      <c r="AA15" s="124" cm="1">
        <f t="array" ref="AA15">+_xll.EQNXTDZ($A$1,$B15,AA$1,$B$1)</f>
        <v>0</v>
      </c>
      <c r="AB15" s="124" cm="1">
        <f t="array" ref="AB15">+_xll.EQNXTDZ($A$1,$B15,AB$1,$B$1)</f>
        <v>0</v>
      </c>
      <c r="AC15" s="124" cm="1">
        <f t="array" ref="AC15">+_xll.EQNXTDZ($A$1,$B15,AC$1,$B$1)</f>
        <v>0</v>
      </c>
      <c r="AD15" s="124" cm="1">
        <f t="array" ref="AD15">+_xll.EQNXTDZ($A$1,$B15,AD$1,$B$1)</f>
        <v>0</v>
      </c>
      <c r="AE15" s="124" cm="1">
        <f t="array" ref="AE15">+_xll.EQNXTDZ($A$1,$B15,AE$1,$B$1)</f>
        <v>0</v>
      </c>
      <c r="AF15" s="124" cm="1">
        <f t="array" ref="AF15">+_xll.EQNXTDZ($A$1,$B15,AF$1,$B$1)</f>
        <v>0</v>
      </c>
      <c r="AG15" s="124" cm="1">
        <f t="array" ref="AG15">+_xll.EQNXTDZ($A$1,$B15,AG$1,$B$1)</f>
        <v>0</v>
      </c>
      <c r="AH15" s="124" cm="1">
        <f t="array" ref="AH15">+_xll.EQNXTDZ($A$1,$B15,AH$1,$B$1)</f>
        <v>0</v>
      </c>
      <c r="AI15" s="124" cm="1">
        <f t="array" ref="AI15">+_xll.EQNXTDZ($A$1,$B15,AI$1,$B$1)</f>
        <v>0</v>
      </c>
      <c r="AJ15" s="124" cm="1">
        <f t="array" ref="AJ15">+_xll.EQNXTDZ($A$1,$B15,AJ$1,$B$1)</f>
        <v>0</v>
      </c>
      <c r="AK15" s="124" cm="1">
        <f t="array" ref="AK15">+_xll.EQNXTDZ($A$1,$B15,AK$1,$B$1)</f>
        <v>0</v>
      </c>
      <c r="AL15" s="124" cm="1">
        <f t="array" ref="AL15">+_xll.EQNXTDZ($A$1,$B15,AL$1,$B$1)</f>
        <v>0</v>
      </c>
      <c r="AM15" s="124" cm="1">
        <f t="array" ref="AM15">+_xll.EQNXTDZ($A$1,$B15,AM$1,$B$1)</f>
        <v>0</v>
      </c>
      <c r="AN15" s="124" cm="1">
        <f t="array" ref="AN15">+_xll.EQNXTDZ($A$1,$B15,AN$1,$B$1)</f>
        <v>0</v>
      </c>
      <c r="AO15" s="124" cm="1">
        <f t="array" ref="AO15">+_xll.EQNXTDZ($A$1,$B15,AO$1,$B$1)</f>
        <v>0</v>
      </c>
      <c r="AP15" s="124" cm="1">
        <f t="array" ref="AP15">+_xll.EQNXTDZ($A$1,$B15,AP$1,$B$1)</f>
        <v>0</v>
      </c>
      <c r="AQ15" s="124" cm="1">
        <f t="array" ref="AQ15">+_xll.EQNXTDZ($A$1,$B15,AQ$1,$B$1)</f>
        <v>0</v>
      </c>
      <c r="AR15" s="124" cm="1">
        <f t="array" ref="AR15">+_xll.EQNXTDZ($A$1,$B15,AR$1,$B$1)</f>
        <v>0</v>
      </c>
      <c r="AS15" s="124" cm="1">
        <f t="array" ref="AS15">+_xll.EQNXTDZ($A$1,$B15,AS$1,$B$1)</f>
        <v>0</v>
      </c>
      <c r="AT15" s="124" cm="1">
        <f t="array" ref="AT15">+_xll.EQNXTDZ($A$1,$B15,AT$1,$B$1)</f>
        <v>0</v>
      </c>
      <c r="AU15" s="124" cm="1">
        <f t="array" ref="AU15">+_xll.EQNXTDZ($A$1,$B15,AU$1,$B$1)</f>
        <v>0</v>
      </c>
      <c r="AV15" s="124" cm="1">
        <f t="array" ref="AV15">+_xll.EQNXTDZ($A$1,$B15,AV$1,$B$1)</f>
        <v>0</v>
      </c>
      <c r="AW15" s="124" cm="1">
        <f t="array" ref="AW15">+_xll.EQNXTDZ($A$1,$B15,AW$1,$B$1)</f>
        <v>0</v>
      </c>
      <c r="AX15" s="124" cm="1">
        <f t="array" ref="AX15">+_xll.EQNXTDZ($A$1,$B15,AX$1,$B$1)</f>
        <v>0</v>
      </c>
      <c r="AY15" s="124" cm="1">
        <f t="array" ref="AY15">+_xll.EQNXTDZ($A$1,$B15,AY$1,$B$1)</f>
        <v>0</v>
      </c>
      <c r="AZ15" s="124" cm="1">
        <f t="array" ref="AZ15">+_xll.EQNXTDZ($A$1,$B15,AZ$1,$B$1)</f>
        <v>0</v>
      </c>
      <c r="BA15" s="124" cm="1">
        <f t="array" ref="BA15">+_xll.EQNXTDZ($A$1,$B15,BA$1,$B$1)</f>
        <v>0</v>
      </c>
      <c r="BB15" s="124" cm="1">
        <f t="array" ref="BB15">+_xll.EQNXTDZ($A$1,$B15,BB$1,$B$1)</f>
        <v>0</v>
      </c>
      <c r="BC15" s="124" cm="1">
        <f t="array" ref="BC15">+_xll.EQNXTDZ($A$1,$B15,BC$1,$B$1)</f>
        <v>0</v>
      </c>
      <c r="BD15" s="124" cm="1">
        <f t="array" ref="BD15">+_xll.EQNXTDZ($A$1,$B15,BD$1,$B$1)</f>
        <v>0</v>
      </c>
      <c r="BE15" s="124" cm="1">
        <f t="array" ref="BE15">+_xll.EQNXTDZ($A$1,$B15,BE$1,$B$1)</f>
        <v>0</v>
      </c>
      <c r="BF15" s="124" cm="1">
        <f t="array" ref="BF15">+_xll.EQNXTDZ($A$1,$B15,BF$1,$B$1)</f>
        <v>0</v>
      </c>
      <c r="BG15" s="124" cm="1">
        <f t="array" ref="BG15">+_xll.EQNXTDZ($A$1,$B15,BG$1,$B$1)</f>
        <v>0</v>
      </c>
      <c r="BH15" s="124" cm="1">
        <f t="array" ref="BH15">+_xll.EQNXTDZ($A$1,$B15,BH$1,$B$1)</f>
        <v>0</v>
      </c>
      <c r="BI15" s="124" cm="1">
        <f t="array" ref="BI15">+_xll.EQNXTDZ($A$1,$B15,BI$1,$B$1)</f>
        <v>0</v>
      </c>
      <c r="BJ15" s="124" cm="1">
        <f t="array" ref="BJ15">+_xll.EQNXTDZ($A$1,$B15,BJ$1,$B$1)</f>
        <v>0</v>
      </c>
      <c r="BK15" s="124" cm="1">
        <f t="array" ref="BK15">+_xll.EQNXTDZ($A$1,$B15,BK$1,$B$1)</f>
        <v>0</v>
      </c>
    </row>
    <row r="16" spans="1:63" x14ac:dyDescent="0.25">
      <c r="A16" t="s">
        <v>187</v>
      </c>
      <c r="B16" t="s">
        <v>292</v>
      </c>
      <c r="C16" s="124" cm="1">
        <f t="array" ref="C16">+_xll.EQNXTDZ($A$1,$B16,C$1,$B$1)</f>
        <v>0</v>
      </c>
      <c r="D16" s="124" cm="1">
        <f t="array" ref="D16">+_xll.EQNXTDZ($A$1,$B16,D$1,$B$1)</f>
        <v>0</v>
      </c>
      <c r="E16" s="124" cm="1">
        <f t="array" ref="E16">+_xll.EQNXTDZ($A$1,$B16,E$1,$B$1)</f>
        <v>0</v>
      </c>
      <c r="F16" s="124" cm="1">
        <f t="array" ref="F16">+_xll.EQNXTDZ($A$1,$B16,F$1,$B$1)</f>
        <v>0</v>
      </c>
      <c r="G16" s="124" cm="1">
        <f t="array" ref="G16">+_xll.EQNXTDZ($A$1,$B16,G$1,$B$1)</f>
        <v>0</v>
      </c>
      <c r="H16" s="124" cm="1">
        <f t="array" ref="H16">+_xll.EQNXTDZ($A$1,$B16,H$1,$B$1)</f>
        <v>0</v>
      </c>
      <c r="I16" s="124" cm="1">
        <f t="array" ref="I16">+_xll.EQNXTDZ($A$1,$B16,I$1,$B$1)</f>
        <v>0</v>
      </c>
      <c r="J16" s="124" cm="1">
        <f t="array" ref="J16">+_xll.EQNXTDZ($A$1,$B16,J$1,$B$1)</f>
        <v>0</v>
      </c>
      <c r="K16" s="124" cm="1">
        <f t="array" ref="K16">+_xll.EQNXTDZ($A$1,$B16,K$1,$B$1)</f>
        <v>0</v>
      </c>
      <c r="L16" s="124" cm="1">
        <f t="array" ref="L16">+_xll.EQNXTDZ($A$1,$B16,L$1,$B$1)</f>
        <v>0</v>
      </c>
      <c r="M16" s="124" cm="1">
        <f t="array" ref="M16">+_xll.EQNXTDZ($A$1,$B16,M$1,$B$1)</f>
        <v>0</v>
      </c>
      <c r="N16" s="124" cm="1">
        <f t="array" ref="N16">+_xll.EQNXTDZ($A$1,$B16,N$1,$B$1)</f>
        <v>0</v>
      </c>
      <c r="O16" s="124" cm="1">
        <f t="array" ref="O16">+_xll.EQNXTDZ($A$1,$B16,O$1,$B$1)</f>
        <v>0</v>
      </c>
      <c r="P16" s="124" cm="1">
        <f t="array" ref="P16">+_xll.EQNXTDZ($A$1,$B16,P$1,$B$1)</f>
        <v>0</v>
      </c>
      <c r="Q16" s="124" cm="1">
        <f t="array" ref="Q16">+_xll.EQNXTDZ($A$1,$B16,Q$1,$B$1)</f>
        <v>0</v>
      </c>
      <c r="R16" s="124" cm="1">
        <f t="array" ref="R16">+_xll.EQNXTDZ($A$1,$B16,R$1,$B$1)</f>
        <v>0</v>
      </c>
      <c r="S16" s="124" cm="1">
        <f t="array" ref="S16">+_xll.EQNXTDZ($A$1,$B16,S$1,$B$1)</f>
        <v>0</v>
      </c>
      <c r="T16" s="124" cm="1">
        <f t="array" ref="T16">+_xll.EQNXTDZ($A$1,$B16,T$1,$B$1)</f>
        <v>0</v>
      </c>
      <c r="U16" s="124" cm="1">
        <f t="array" ref="U16">+_xll.EQNXTDZ($A$1,$B16,U$1,$B$1)</f>
        <v>0</v>
      </c>
      <c r="V16" s="124" cm="1">
        <f t="array" ref="V16">+_xll.EQNXTDZ($A$1,$B16,V$1,$B$1)</f>
        <v>0</v>
      </c>
      <c r="W16" s="124" cm="1">
        <f t="array" ref="W16">+_xll.EQNXTDZ($A$1,$B16,W$1,$B$1)</f>
        <v>0</v>
      </c>
      <c r="X16" s="124" cm="1">
        <f t="array" ref="X16">+_xll.EQNXTDZ($A$1,$B16,X$1,$B$1)</f>
        <v>0</v>
      </c>
      <c r="Y16" s="124" cm="1">
        <f t="array" ref="Y16">+_xll.EQNXTDZ($A$1,$B16,Y$1,$B$1)</f>
        <v>0</v>
      </c>
      <c r="Z16" s="124" cm="1">
        <f t="array" ref="Z16">+_xll.EQNXTDZ($A$1,$B16,Z$1,$B$1)</f>
        <v>0</v>
      </c>
      <c r="AA16" s="124" cm="1">
        <f t="array" ref="AA16">+_xll.EQNXTDZ($A$1,$B16,AA$1,$B$1)</f>
        <v>0</v>
      </c>
      <c r="AB16" s="124" cm="1">
        <f t="array" ref="AB16">+_xll.EQNXTDZ($A$1,$B16,AB$1,$B$1)</f>
        <v>0</v>
      </c>
      <c r="AC16" s="124" cm="1">
        <f t="array" ref="AC16">+_xll.EQNXTDZ($A$1,$B16,AC$1,$B$1)</f>
        <v>0</v>
      </c>
      <c r="AD16" s="124" cm="1">
        <f t="array" ref="AD16">+_xll.EQNXTDZ($A$1,$B16,AD$1,$B$1)</f>
        <v>0</v>
      </c>
      <c r="AE16" s="124" cm="1">
        <f t="array" ref="AE16">+_xll.EQNXTDZ($A$1,$B16,AE$1,$B$1)</f>
        <v>0</v>
      </c>
      <c r="AF16" s="124" cm="1">
        <f t="array" ref="AF16">+_xll.EQNXTDZ($A$1,$B16,AF$1,$B$1)</f>
        <v>0</v>
      </c>
      <c r="AG16" s="124" cm="1">
        <f t="array" ref="AG16">+_xll.EQNXTDZ($A$1,$B16,AG$1,$B$1)</f>
        <v>0</v>
      </c>
      <c r="AH16" s="124" cm="1">
        <f t="array" ref="AH16">+_xll.EQNXTDZ($A$1,$B16,AH$1,$B$1)</f>
        <v>0</v>
      </c>
      <c r="AI16" s="124" cm="1">
        <f t="array" ref="AI16">+_xll.EQNXTDZ($A$1,$B16,AI$1,$B$1)</f>
        <v>0</v>
      </c>
      <c r="AJ16" s="124" cm="1">
        <f t="array" ref="AJ16">+_xll.EQNXTDZ($A$1,$B16,AJ$1,$B$1)</f>
        <v>0</v>
      </c>
      <c r="AK16" s="124" cm="1">
        <f t="array" ref="AK16">+_xll.EQNXTDZ($A$1,$B16,AK$1,$B$1)</f>
        <v>0</v>
      </c>
      <c r="AL16" s="124" cm="1">
        <f t="array" ref="AL16">+_xll.EQNXTDZ($A$1,$B16,AL$1,$B$1)</f>
        <v>0</v>
      </c>
      <c r="AM16" s="124" cm="1">
        <f t="array" ref="AM16">+_xll.EQNXTDZ($A$1,$B16,AM$1,$B$1)</f>
        <v>0</v>
      </c>
      <c r="AN16" s="124" cm="1">
        <f t="array" ref="AN16">+_xll.EQNXTDZ($A$1,$B16,AN$1,$B$1)</f>
        <v>0</v>
      </c>
      <c r="AO16" s="124" cm="1">
        <f t="array" ref="AO16">+_xll.EQNXTDZ($A$1,$B16,AO$1,$B$1)</f>
        <v>0</v>
      </c>
      <c r="AP16" s="124" cm="1">
        <f t="array" ref="AP16">+_xll.EQNXTDZ($A$1,$B16,AP$1,$B$1)</f>
        <v>0</v>
      </c>
      <c r="AQ16" s="124" cm="1">
        <f t="array" ref="AQ16">+_xll.EQNXTDZ($A$1,$B16,AQ$1,$B$1)</f>
        <v>0</v>
      </c>
      <c r="AR16" s="124" cm="1">
        <f t="array" ref="AR16">+_xll.EQNXTDZ($A$1,$B16,AR$1,$B$1)</f>
        <v>0</v>
      </c>
      <c r="AS16" s="124" cm="1">
        <f t="array" ref="AS16">+_xll.EQNXTDZ($A$1,$B16,AS$1,$B$1)</f>
        <v>0</v>
      </c>
      <c r="AT16" s="124" cm="1">
        <f t="array" ref="AT16">+_xll.EQNXTDZ($A$1,$B16,AT$1,$B$1)</f>
        <v>0</v>
      </c>
      <c r="AU16" s="124" cm="1">
        <f t="array" ref="AU16">+_xll.EQNXTDZ($A$1,$B16,AU$1,$B$1)</f>
        <v>0</v>
      </c>
      <c r="AV16" s="124" cm="1">
        <f t="array" ref="AV16">+_xll.EQNXTDZ($A$1,$B16,AV$1,$B$1)</f>
        <v>0</v>
      </c>
      <c r="AW16" s="124" cm="1">
        <f t="array" ref="AW16">+_xll.EQNXTDZ($A$1,$B16,AW$1,$B$1)</f>
        <v>0</v>
      </c>
      <c r="AX16" s="124" cm="1">
        <f t="array" ref="AX16">+_xll.EQNXTDZ($A$1,$B16,AX$1,$B$1)</f>
        <v>0</v>
      </c>
      <c r="AY16" s="124" cm="1">
        <f t="array" ref="AY16">+_xll.EQNXTDZ($A$1,$B16,AY$1,$B$1)</f>
        <v>0</v>
      </c>
      <c r="AZ16" s="124" cm="1">
        <f t="array" ref="AZ16">+_xll.EQNXTDZ($A$1,$B16,AZ$1,$B$1)</f>
        <v>0</v>
      </c>
      <c r="BA16" s="124" cm="1">
        <f t="array" ref="BA16">+_xll.EQNXTDZ($A$1,$B16,BA$1,$B$1)</f>
        <v>0</v>
      </c>
      <c r="BB16" s="124" cm="1">
        <f t="array" ref="BB16">+_xll.EQNXTDZ($A$1,$B16,BB$1,$B$1)</f>
        <v>0</v>
      </c>
      <c r="BC16" s="124" cm="1">
        <f t="array" ref="BC16">+_xll.EQNXTDZ($A$1,$B16,BC$1,$B$1)</f>
        <v>0</v>
      </c>
      <c r="BD16" s="124" cm="1">
        <f t="array" ref="BD16">+_xll.EQNXTDZ($A$1,$B16,BD$1,$B$1)</f>
        <v>0</v>
      </c>
      <c r="BE16" s="124" cm="1">
        <f t="array" ref="BE16">+_xll.EQNXTDZ($A$1,$B16,BE$1,$B$1)</f>
        <v>0</v>
      </c>
      <c r="BF16" s="124" cm="1">
        <f t="array" ref="BF16">+_xll.EQNXTDZ($A$1,$B16,BF$1,$B$1)</f>
        <v>0</v>
      </c>
      <c r="BG16" s="124" cm="1">
        <f t="array" ref="BG16">+_xll.EQNXTDZ($A$1,$B16,BG$1,$B$1)</f>
        <v>0</v>
      </c>
      <c r="BH16" s="124" cm="1">
        <f t="array" ref="BH16">+_xll.EQNXTDZ($A$1,$B16,BH$1,$B$1)</f>
        <v>0</v>
      </c>
      <c r="BI16" s="124" cm="1">
        <f t="array" ref="BI16">+_xll.EQNXTDZ($A$1,$B16,BI$1,$B$1)</f>
        <v>0</v>
      </c>
      <c r="BJ16" s="124" cm="1">
        <f t="array" ref="BJ16">+_xll.EQNXTDZ($A$1,$B16,BJ$1,$B$1)</f>
        <v>0</v>
      </c>
      <c r="BK16" s="124" cm="1">
        <f t="array" ref="BK16">+_xll.EQNXTDZ($A$1,$B16,BK$1,$B$1)</f>
        <v>0</v>
      </c>
    </row>
    <row r="17" spans="1:63" x14ac:dyDescent="0.25">
      <c r="A17" t="s">
        <v>188</v>
      </c>
      <c r="B17" t="s">
        <v>293</v>
      </c>
      <c r="C17" s="124" cm="1">
        <f t="array" ref="C17">+_xll.EQNXTDZ($A$1,$B17,C$1,$B$1)</f>
        <v>0</v>
      </c>
      <c r="D17" s="124" cm="1">
        <f t="array" ref="D17">+_xll.EQNXTDZ($A$1,$B17,D$1,$B$1)</f>
        <v>0</v>
      </c>
      <c r="E17" s="124" cm="1">
        <f t="array" ref="E17">+_xll.EQNXTDZ($A$1,$B17,E$1,$B$1)</f>
        <v>0</v>
      </c>
      <c r="F17" s="124" cm="1">
        <f t="array" ref="F17">+_xll.EQNXTDZ($A$1,$B17,F$1,$B$1)</f>
        <v>0</v>
      </c>
      <c r="G17" s="124" cm="1">
        <f t="array" ref="G17">+_xll.EQNXTDZ($A$1,$B17,G$1,$B$1)</f>
        <v>0</v>
      </c>
      <c r="H17" s="124" cm="1">
        <f t="array" ref="H17">+_xll.EQNXTDZ($A$1,$B17,H$1,$B$1)</f>
        <v>0</v>
      </c>
      <c r="I17" s="124" cm="1">
        <f t="array" ref="I17">+_xll.EQNXTDZ($A$1,$B17,I$1,$B$1)</f>
        <v>0</v>
      </c>
      <c r="J17" s="124" cm="1">
        <f t="array" ref="J17">+_xll.EQNXTDZ($A$1,$B17,J$1,$B$1)</f>
        <v>0</v>
      </c>
      <c r="K17" s="124" cm="1">
        <f t="array" ref="K17">+_xll.EQNXTDZ($A$1,$B17,K$1,$B$1)</f>
        <v>0</v>
      </c>
      <c r="L17" s="124" cm="1">
        <f t="array" ref="L17">+_xll.EQNXTDZ($A$1,$B17,L$1,$B$1)</f>
        <v>0</v>
      </c>
      <c r="M17" s="124" cm="1">
        <f t="array" ref="M17">+_xll.EQNXTDZ($A$1,$B17,M$1,$B$1)</f>
        <v>0</v>
      </c>
      <c r="N17" s="124" cm="1">
        <f t="array" ref="N17">+_xll.EQNXTDZ($A$1,$B17,N$1,$B$1)</f>
        <v>0</v>
      </c>
      <c r="O17" s="124" cm="1">
        <f t="array" ref="O17">+_xll.EQNXTDZ($A$1,$B17,O$1,$B$1)</f>
        <v>0</v>
      </c>
      <c r="P17" s="124" cm="1">
        <f t="array" ref="P17">+_xll.EQNXTDZ($A$1,$B17,P$1,$B$1)</f>
        <v>0</v>
      </c>
      <c r="Q17" s="124" cm="1">
        <f t="array" ref="Q17">+_xll.EQNXTDZ($A$1,$B17,Q$1,$B$1)</f>
        <v>0</v>
      </c>
      <c r="R17" s="124" cm="1">
        <f t="array" ref="R17">+_xll.EQNXTDZ($A$1,$B17,R$1,$B$1)</f>
        <v>0</v>
      </c>
      <c r="S17" s="124" cm="1">
        <f t="array" ref="S17">+_xll.EQNXTDZ($A$1,$B17,S$1,$B$1)</f>
        <v>0</v>
      </c>
      <c r="T17" s="124" cm="1">
        <f t="array" ref="T17">+_xll.EQNXTDZ($A$1,$B17,T$1,$B$1)</f>
        <v>0</v>
      </c>
      <c r="U17" s="124" cm="1">
        <f t="array" ref="U17">+_xll.EQNXTDZ($A$1,$B17,U$1,$B$1)</f>
        <v>0</v>
      </c>
      <c r="V17" s="124" cm="1">
        <f t="array" ref="V17">+_xll.EQNXTDZ($A$1,$B17,V$1,$B$1)</f>
        <v>0</v>
      </c>
      <c r="W17" s="124" cm="1">
        <f t="array" ref="W17">+_xll.EQNXTDZ($A$1,$B17,W$1,$B$1)</f>
        <v>0</v>
      </c>
      <c r="X17" s="124" cm="1">
        <f t="array" ref="X17">+_xll.EQNXTDZ($A$1,$B17,X$1,$B$1)</f>
        <v>0</v>
      </c>
      <c r="Y17" s="124" cm="1">
        <f t="array" ref="Y17">+_xll.EQNXTDZ($A$1,$B17,Y$1,$B$1)</f>
        <v>0</v>
      </c>
      <c r="Z17" s="124" cm="1">
        <f t="array" ref="Z17">+_xll.EQNXTDZ($A$1,$B17,Z$1,$B$1)</f>
        <v>0</v>
      </c>
      <c r="AA17" s="124" cm="1">
        <f t="array" ref="AA17">+_xll.EQNXTDZ($A$1,$B17,AA$1,$B$1)</f>
        <v>0</v>
      </c>
      <c r="AB17" s="124" cm="1">
        <f t="array" ref="AB17">+_xll.EQNXTDZ($A$1,$B17,AB$1,$B$1)</f>
        <v>0</v>
      </c>
      <c r="AC17" s="124" cm="1">
        <f t="array" ref="AC17">+_xll.EQNXTDZ($A$1,$B17,AC$1,$B$1)</f>
        <v>0</v>
      </c>
      <c r="AD17" s="124" cm="1">
        <f t="array" ref="AD17">+_xll.EQNXTDZ($A$1,$B17,AD$1,$B$1)</f>
        <v>0</v>
      </c>
      <c r="AE17" s="124" cm="1">
        <f t="array" ref="AE17">+_xll.EQNXTDZ($A$1,$B17,AE$1,$B$1)</f>
        <v>0</v>
      </c>
      <c r="AF17" s="124" cm="1">
        <f t="array" ref="AF17">+_xll.EQNXTDZ($A$1,$B17,AF$1,$B$1)</f>
        <v>0</v>
      </c>
      <c r="AG17" s="124" cm="1">
        <f t="array" ref="AG17">+_xll.EQNXTDZ($A$1,$B17,AG$1,$B$1)</f>
        <v>0</v>
      </c>
      <c r="AH17" s="124" cm="1">
        <f t="array" ref="AH17">+_xll.EQNXTDZ($A$1,$B17,AH$1,$B$1)</f>
        <v>0</v>
      </c>
      <c r="AI17" s="124" cm="1">
        <f t="array" ref="AI17">+_xll.EQNXTDZ($A$1,$B17,AI$1,$B$1)</f>
        <v>0</v>
      </c>
      <c r="AJ17" s="124" cm="1">
        <f t="array" ref="AJ17">+_xll.EQNXTDZ($A$1,$B17,AJ$1,$B$1)</f>
        <v>0</v>
      </c>
      <c r="AK17" s="124" cm="1">
        <f t="array" ref="AK17">+_xll.EQNXTDZ($A$1,$B17,AK$1,$B$1)</f>
        <v>0</v>
      </c>
      <c r="AL17" s="124" cm="1">
        <f t="array" ref="AL17">+_xll.EQNXTDZ($A$1,$B17,AL$1,$B$1)</f>
        <v>0</v>
      </c>
      <c r="AM17" s="124" cm="1">
        <f t="array" ref="AM17">+_xll.EQNXTDZ($A$1,$B17,AM$1,$B$1)</f>
        <v>0</v>
      </c>
      <c r="AN17" s="124" cm="1">
        <f t="array" ref="AN17">+_xll.EQNXTDZ($A$1,$B17,AN$1,$B$1)</f>
        <v>0</v>
      </c>
      <c r="AO17" s="124" cm="1">
        <f t="array" ref="AO17">+_xll.EQNXTDZ($A$1,$B17,AO$1,$B$1)</f>
        <v>0</v>
      </c>
      <c r="AP17" s="124" cm="1">
        <f t="array" ref="AP17">+_xll.EQNXTDZ($A$1,$B17,AP$1,$B$1)</f>
        <v>0</v>
      </c>
      <c r="AQ17" s="124" cm="1">
        <f t="array" ref="AQ17">+_xll.EQNXTDZ($A$1,$B17,AQ$1,$B$1)</f>
        <v>0</v>
      </c>
      <c r="AR17" s="124" cm="1">
        <f t="array" ref="AR17">+_xll.EQNXTDZ($A$1,$B17,AR$1,$B$1)</f>
        <v>0</v>
      </c>
      <c r="AS17" s="124" cm="1">
        <f t="array" ref="AS17">+_xll.EQNXTDZ($A$1,$B17,AS$1,$B$1)</f>
        <v>0</v>
      </c>
      <c r="AT17" s="124" cm="1">
        <f t="array" ref="AT17">+_xll.EQNXTDZ($A$1,$B17,AT$1,$B$1)</f>
        <v>0</v>
      </c>
      <c r="AU17" s="124" cm="1">
        <f t="array" ref="AU17">+_xll.EQNXTDZ($A$1,$B17,AU$1,$B$1)</f>
        <v>0</v>
      </c>
      <c r="AV17" s="124" cm="1">
        <f t="array" ref="AV17">+_xll.EQNXTDZ($A$1,$B17,AV$1,$B$1)</f>
        <v>0</v>
      </c>
      <c r="AW17" s="124" cm="1">
        <f t="array" ref="AW17">+_xll.EQNXTDZ($A$1,$B17,AW$1,$B$1)</f>
        <v>0</v>
      </c>
      <c r="AX17" s="124" cm="1">
        <f t="array" ref="AX17">+_xll.EQNXTDZ($A$1,$B17,AX$1,$B$1)</f>
        <v>0</v>
      </c>
      <c r="AY17" s="124" cm="1">
        <f t="array" ref="AY17">+_xll.EQNXTDZ($A$1,$B17,AY$1,$B$1)</f>
        <v>0</v>
      </c>
      <c r="AZ17" s="124" cm="1">
        <f t="array" ref="AZ17">+_xll.EQNXTDZ($A$1,$B17,AZ$1,$B$1)</f>
        <v>0</v>
      </c>
      <c r="BA17" s="124" cm="1">
        <f t="array" ref="BA17">+_xll.EQNXTDZ($A$1,$B17,BA$1,$B$1)</f>
        <v>0</v>
      </c>
      <c r="BB17" s="124" cm="1">
        <f t="array" ref="BB17">+_xll.EQNXTDZ($A$1,$B17,BB$1,$B$1)</f>
        <v>0</v>
      </c>
      <c r="BC17" s="124" cm="1">
        <f t="array" ref="BC17">+_xll.EQNXTDZ($A$1,$B17,BC$1,$B$1)</f>
        <v>0</v>
      </c>
      <c r="BD17" s="124" cm="1">
        <f t="array" ref="BD17">+_xll.EQNXTDZ($A$1,$B17,BD$1,$B$1)</f>
        <v>0</v>
      </c>
      <c r="BE17" s="124" cm="1">
        <f t="array" ref="BE17">+_xll.EQNXTDZ($A$1,$B17,BE$1,$B$1)</f>
        <v>0</v>
      </c>
      <c r="BF17" s="124" cm="1">
        <f t="array" ref="BF17">+_xll.EQNXTDZ($A$1,$B17,BF$1,$B$1)</f>
        <v>0</v>
      </c>
      <c r="BG17" s="124" cm="1">
        <f t="array" ref="BG17">+_xll.EQNXTDZ($A$1,$B17,BG$1,$B$1)</f>
        <v>0</v>
      </c>
      <c r="BH17" s="124" cm="1">
        <f t="array" ref="BH17">+_xll.EQNXTDZ($A$1,$B17,BH$1,$B$1)</f>
        <v>0</v>
      </c>
      <c r="BI17" s="124" cm="1">
        <f t="array" ref="BI17">+_xll.EQNXTDZ($A$1,$B17,BI$1,$B$1)</f>
        <v>0</v>
      </c>
      <c r="BJ17" s="124" cm="1">
        <f t="array" ref="BJ17">+_xll.EQNXTDZ($A$1,$B17,BJ$1,$B$1)</f>
        <v>0</v>
      </c>
      <c r="BK17" s="124" cm="1">
        <f t="array" ref="BK17">+_xll.EQNXTDZ($A$1,$B17,BK$1,$B$1)</f>
        <v>0</v>
      </c>
    </row>
    <row r="18" spans="1:63" x14ac:dyDescent="0.25">
      <c r="A18" t="s">
        <v>189</v>
      </c>
      <c r="B18" t="s">
        <v>294</v>
      </c>
      <c r="C18" s="124" cm="1">
        <f t="array" ref="C18">+_xll.EQNXTDZ($A$1,$B18,C$1,$B$1)</f>
        <v>0</v>
      </c>
      <c r="D18" s="124" cm="1">
        <f t="array" ref="D18">+_xll.EQNXTDZ($A$1,$B18,D$1,$B$1)</f>
        <v>0</v>
      </c>
      <c r="E18" s="124" cm="1">
        <f t="array" ref="E18">+_xll.EQNXTDZ($A$1,$B18,E$1,$B$1)</f>
        <v>0</v>
      </c>
      <c r="F18" s="124" cm="1">
        <f t="array" ref="F18">+_xll.EQNXTDZ($A$1,$B18,F$1,$B$1)</f>
        <v>0</v>
      </c>
      <c r="G18" s="124" cm="1">
        <f t="array" ref="G18">+_xll.EQNXTDZ($A$1,$B18,G$1,$B$1)</f>
        <v>0</v>
      </c>
      <c r="H18" s="124" cm="1">
        <f t="array" ref="H18">+_xll.EQNXTDZ($A$1,$B18,H$1,$B$1)</f>
        <v>0</v>
      </c>
      <c r="I18" s="124" cm="1">
        <f t="array" ref="I18">+_xll.EQNXTDZ($A$1,$B18,I$1,$B$1)</f>
        <v>0</v>
      </c>
      <c r="J18" s="124" cm="1">
        <f t="array" ref="J18">+_xll.EQNXTDZ($A$1,$B18,J$1,$B$1)</f>
        <v>0</v>
      </c>
      <c r="K18" s="124" cm="1">
        <f t="array" ref="K18">+_xll.EQNXTDZ($A$1,$B18,K$1,$B$1)</f>
        <v>0</v>
      </c>
      <c r="L18" s="124" cm="1">
        <f t="array" ref="L18">+_xll.EQNXTDZ($A$1,$B18,L$1,$B$1)</f>
        <v>0</v>
      </c>
      <c r="M18" s="124" cm="1">
        <f t="array" ref="M18">+_xll.EQNXTDZ($A$1,$B18,M$1,$B$1)</f>
        <v>0</v>
      </c>
      <c r="N18" s="124" cm="1">
        <f t="array" ref="N18">+_xll.EQNXTDZ($A$1,$B18,N$1,$B$1)</f>
        <v>0</v>
      </c>
      <c r="O18" s="124" cm="1">
        <f t="array" ref="O18">+_xll.EQNXTDZ($A$1,$B18,O$1,$B$1)</f>
        <v>0</v>
      </c>
      <c r="P18" s="124" cm="1">
        <f t="array" ref="P18">+_xll.EQNXTDZ($A$1,$B18,P$1,$B$1)</f>
        <v>0</v>
      </c>
      <c r="Q18" s="124" cm="1">
        <f t="array" ref="Q18">+_xll.EQNXTDZ($A$1,$B18,Q$1,$B$1)</f>
        <v>0</v>
      </c>
      <c r="R18" s="124" cm="1">
        <f t="array" ref="R18">+_xll.EQNXTDZ($A$1,$B18,R$1,$B$1)</f>
        <v>0</v>
      </c>
      <c r="S18" s="124" cm="1">
        <f t="array" ref="S18">+_xll.EQNXTDZ($A$1,$B18,S$1,$B$1)</f>
        <v>0</v>
      </c>
      <c r="T18" s="124" cm="1">
        <f t="array" ref="T18">+_xll.EQNXTDZ($A$1,$B18,T$1,$B$1)</f>
        <v>0</v>
      </c>
      <c r="U18" s="124" cm="1">
        <f t="array" ref="U18">+_xll.EQNXTDZ($A$1,$B18,U$1,$B$1)</f>
        <v>0</v>
      </c>
      <c r="V18" s="124" cm="1">
        <f t="array" ref="V18">+_xll.EQNXTDZ($A$1,$B18,V$1,$B$1)</f>
        <v>0</v>
      </c>
      <c r="W18" s="124" cm="1">
        <f t="array" ref="W18">+_xll.EQNXTDZ($A$1,$B18,W$1,$B$1)</f>
        <v>0</v>
      </c>
      <c r="X18" s="124" cm="1">
        <f t="array" ref="X18">+_xll.EQNXTDZ($A$1,$B18,X$1,$B$1)</f>
        <v>0</v>
      </c>
      <c r="Y18" s="124" cm="1">
        <f t="array" ref="Y18">+_xll.EQNXTDZ($A$1,$B18,Y$1,$B$1)</f>
        <v>0</v>
      </c>
      <c r="Z18" s="124" cm="1">
        <f t="array" ref="Z18">+_xll.EQNXTDZ($A$1,$B18,Z$1,$B$1)</f>
        <v>0</v>
      </c>
      <c r="AA18" s="124" cm="1">
        <f t="array" ref="AA18">+_xll.EQNXTDZ($A$1,$B18,AA$1,$B$1)</f>
        <v>0</v>
      </c>
      <c r="AB18" s="124" cm="1">
        <f t="array" ref="AB18">+_xll.EQNXTDZ($A$1,$B18,AB$1,$B$1)</f>
        <v>0</v>
      </c>
      <c r="AC18" s="124" cm="1">
        <f t="array" ref="AC18">+_xll.EQNXTDZ($A$1,$B18,AC$1,$B$1)</f>
        <v>0</v>
      </c>
      <c r="AD18" s="124" cm="1">
        <f t="array" ref="AD18">+_xll.EQNXTDZ($A$1,$B18,AD$1,$B$1)</f>
        <v>0</v>
      </c>
      <c r="AE18" s="124" cm="1">
        <f t="array" ref="AE18">+_xll.EQNXTDZ($A$1,$B18,AE$1,$B$1)</f>
        <v>0</v>
      </c>
      <c r="AF18" s="124" cm="1">
        <f t="array" ref="AF18">+_xll.EQNXTDZ($A$1,$B18,AF$1,$B$1)</f>
        <v>0</v>
      </c>
      <c r="AG18" s="124" cm="1">
        <f t="array" ref="AG18">+_xll.EQNXTDZ($A$1,$B18,AG$1,$B$1)</f>
        <v>0</v>
      </c>
      <c r="AH18" s="124" cm="1">
        <f t="array" ref="AH18">+_xll.EQNXTDZ($A$1,$B18,AH$1,$B$1)</f>
        <v>0</v>
      </c>
      <c r="AI18" s="124" cm="1">
        <f t="array" ref="AI18">+_xll.EQNXTDZ($A$1,$B18,AI$1,$B$1)</f>
        <v>0</v>
      </c>
      <c r="AJ18" s="124" cm="1">
        <f t="array" ref="AJ18">+_xll.EQNXTDZ($A$1,$B18,AJ$1,$B$1)</f>
        <v>0</v>
      </c>
      <c r="AK18" s="124" cm="1">
        <f t="array" ref="AK18">+_xll.EQNXTDZ($A$1,$B18,AK$1,$B$1)</f>
        <v>0</v>
      </c>
      <c r="AL18" s="124" cm="1">
        <f t="array" ref="AL18">+_xll.EQNXTDZ($A$1,$B18,AL$1,$B$1)</f>
        <v>0</v>
      </c>
      <c r="AM18" s="124" cm="1">
        <f t="array" ref="AM18">+_xll.EQNXTDZ($A$1,$B18,AM$1,$B$1)</f>
        <v>0</v>
      </c>
      <c r="AN18" s="124" cm="1">
        <f t="array" ref="AN18">+_xll.EQNXTDZ($A$1,$B18,AN$1,$B$1)</f>
        <v>0</v>
      </c>
      <c r="AO18" s="124" cm="1">
        <f t="array" ref="AO18">+_xll.EQNXTDZ($A$1,$B18,AO$1,$B$1)</f>
        <v>0</v>
      </c>
      <c r="AP18" s="124" cm="1">
        <f t="array" ref="AP18">+_xll.EQNXTDZ($A$1,$B18,AP$1,$B$1)</f>
        <v>0</v>
      </c>
      <c r="AQ18" s="124" cm="1">
        <f t="array" ref="AQ18">+_xll.EQNXTDZ($A$1,$B18,AQ$1,$B$1)</f>
        <v>0</v>
      </c>
      <c r="AR18" s="124" cm="1">
        <f t="array" ref="AR18">+_xll.EQNXTDZ($A$1,$B18,AR$1,$B$1)</f>
        <v>0</v>
      </c>
      <c r="AS18" s="124" cm="1">
        <f t="array" ref="AS18">+_xll.EQNXTDZ($A$1,$B18,AS$1,$B$1)</f>
        <v>0</v>
      </c>
      <c r="AT18" s="124" cm="1">
        <f t="array" ref="AT18">+_xll.EQNXTDZ($A$1,$B18,AT$1,$B$1)</f>
        <v>0</v>
      </c>
      <c r="AU18" s="124" cm="1">
        <f t="array" ref="AU18">+_xll.EQNXTDZ($A$1,$B18,AU$1,$B$1)</f>
        <v>0</v>
      </c>
      <c r="AV18" s="124" cm="1">
        <f t="array" ref="AV18">+_xll.EQNXTDZ($A$1,$B18,AV$1,$B$1)</f>
        <v>0</v>
      </c>
      <c r="AW18" s="124" cm="1">
        <f t="array" ref="AW18">+_xll.EQNXTDZ($A$1,$B18,AW$1,$B$1)</f>
        <v>0</v>
      </c>
      <c r="AX18" s="124" cm="1">
        <f t="array" ref="AX18">+_xll.EQNXTDZ($A$1,$B18,AX$1,$B$1)</f>
        <v>0</v>
      </c>
      <c r="AY18" s="124" cm="1">
        <f t="array" ref="AY18">+_xll.EQNXTDZ($A$1,$B18,AY$1,$B$1)</f>
        <v>0</v>
      </c>
      <c r="AZ18" s="124" cm="1">
        <f t="array" ref="AZ18">+_xll.EQNXTDZ($A$1,$B18,AZ$1,$B$1)</f>
        <v>0</v>
      </c>
      <c r="BA18" s="124" cm="1">
        <f t="array" ref="BA18">+_xll.EQNXTDZ($A$1,$B18,BA$1,$B$1)</f>
        <v>0</v>
      </c>
      <c r="BB18" s="124" cm="1">
        <f t="array" ref="BB18">+_xll.EQNXTDZ($A$1,$B18,BB$1,$B$1)</f>
        <v>0</v>
      </c>
      <c r="BC18" s="124" cm="1">
        <f t="array" ref="BC18">+_xll.EQNXTDZ($A$1,$B18,BC$1,$B$1)</f>
        <v>0</v>
      </c>
      <c r="BD18" s="124" cm="1">
        <f t="array" ref="BD18">+_xll.EQNXTDZ($A$1,$B18,BD$1,$B$1)</f>
        <v>0</v>
      </c>
      <c r="BE18" s="124" cm="1">
        <f t="array" ref="BE18">+_xll.EQNXTDZ($A$1,$B18,BE$1,$B$1)</f>
        <v>0</v>
      </c>
      <c r="BF18" s="124" cm="1">
        <f t="array" ref="BF18">+_xll.EQNXTDZ($A$1,$B18,BF$1,$B$1)</f>
        <v>0</v>
      </c>
      <c r="BG18" s="124" cm="1">
        <f t="array" ref="BG18">+_xll.EQNXTDZ($A$1,$B18,BG$1,$B$1)</f>
        <v>0</v>
      </c>
      <c r="BH18" s="124" cm="1">
        <f t="array" ref="BH18">+_xll.EQNXTDZ($A$1,$B18,BH$1,$B$1)</f>
        <v>0</v>
      </c>
      <c r="BI18" s="124" cm="1">
        <f t="array" ref="BI18">+_xll.EQNXTDZ($A$1,$B18,BI$1,$B$1)</f>
        <v>0</v>
      </c>
      <c r="BJ18" s="124" cm="1">
        <f t="array" ref="BJ18">+_xll.EQNXTDZ($A$1,$B18,BJ$1,$B$1)</f>
        <v>0</v>
      </c>
      <c r="BK18" s="124" cm="1">
        <f t="array" ref="BK18">+_xll.EQNXTDZ($A$1,$B18,BK$1,$B$1)</f>
        <v>0</v>
      </c>
    </row>
    <row r="19" spans="1:63" x14ac:dyDescent="0.25">
      <c r="A19" t="s">
        <v>190</v>
      </c>
      <c r="B19" t="s">
        <v>295</v>
      </c>
      <c r="C19" s="124" cm="1">
        <f t="array" ref="C19">+_xll.EQNXTDZ($A$1,$B19,C$1,$B$1)</f>
        <v>0</v>
      </c>
      <c r="D19" s="124" cm="1">
        <f t="array" ref="D19">+_xll.EQNXTDZ($A$1,$B19,D$1,$B$1)</f>
        <v>0</v>
      </c>
      <c r="E19" s="124" cm="1">
        <f t="array" ref="E19">+_xll.EQNXTDZ($A$1,$B19,E$1,$B$1)</f>
        <v>0</v>
      </c>
      <c r="F19" s="124" cm="1">
        <f t="array" ref="F19">+_xll.EQNXTDZ($A$1,$B19,F$1,$B$1)</f>
        <v>0</v>
      </c>
      <c r="G19" s="124" cm="1">
        <f t="array" ref="G19">+_xll.EQNXTDZ($A$1,$B19,G$1,$B$1)</f>
        <v>0</v>
      </c>
      <c r="H19" s="124" cm="1">
        <f t="array" ref="H19">+_xll.EQNXTDZ($A$1,$B19,H$1,$B$1)</f>
        <v>0</v>
      </c>
      <c r="I19" s="124" cm="1">
        <f t="array" ref="I19">+_xll.EQNXTDZ($A$1,$B19,I$1,$B$1)</f>
        <v>0</v>
      </c>
      <c r="J19" s="124" cm="1">
        <f t="array" ref="J19">+_xll.EQNXTDZ($A$1,$B19,J$1,$B$1)</f>
        <v>0</v>
      </c>
      <c r="K19" s="124" cm="1">
        <f t="array" ref="K19">+_xll.EQNXTDZ($A$1,$B19,K$1,$B$1)</f>
        <v>0</v>
      </c>
      <c r="L19" s="124" cm="1">
        <f t="array" ref="L19">+_xll.EQNXTDZ($A$1,$B19,L$1,$B$1)</f>
        <v>0</v>
      </c>
      <c r="M19" s="124" cm="1">
        <f t="array" ref="M19">+_xll.EQNXTDZ($A$1,$B19,M$1,$B$1)</f>
        <v>0</v>
      </c>
      <c r="N19" s="124" cm="1">
        <f t="array" ref="N19">+_xll.EQNXTDZ($A$1,$B19,N$1,$B$1)</f>
        <v>0</v>
      </c>
      <c r="O19" s="124" cm="1">
        <f t="array" ref="O19">+_xll.EQNXTDZ($A$1,$B19,O$1,$B$1)</f>
        <v>0</v>
      </c>
      <c r="P19" s="124" cm="1">
        <f t="array" ref="P19">+_xll.EQNXTDZ($A$1,$B19,P$1,$B$1)</f>
        <v>0</v>
      </c>
      <c r="Q19" s="124" cm="1">
        <f t="array" ref="Q19">+_xll.EQNXTDZ($A$1,$B19,Q$1,$B$1)</f>
        <v>0</v>
      </c>
      <c r="R19" s="124" cm="1">
        <f t="array" ref="R19">+_xll.EQNXTDZ($A$1,$B19,R$1,$B$1)</f>
        <v>0</v>
      </c>
      <c r="S19" s="124" cm="1">
        <f t="array" ref="S19">+_xll.EQNXTDZ($A$1,$B19,S$1,$B$1)</f>
        <v>0</v>
      </c>
      <c r="T19" s="124" cm="1">
        <f t="array" ref="T19">+_xll.EQNXTDZ($A$1,$B19,T$1,$B$1)</f>
        <v>0</v>
      </c>
      <c r="U19" s="124" cm="1">
        <f t="array" ref="U19">+_xll.EQNXTDZ($A$1,$B19,U$1,$B$1)</f>
        <v>0</v>
      </c>
      <c r="V19" s="124" cm="1">
        <f t="array" ref="V19">+_xll.EQNXTDZ($A$1,$B19,V$1,$B$1)</f>
        <v>0</v>
      </c>
      <c r="W19" s="124" cm="1">
        <f t="array" ref="W19">+_xll.EQNXTDZ($A$1,$B19,W$1,$B$1)</f>
        <v>0</v>
      </c>
      <c r="X19" s="124" cm="1">
        <f t="array" ref="X19">+_xll.EQNXTDZ($A$1,$B19,X$1,$B$1)</f>
        <v>0</v>
      </c>
      <c r="Y19" s="124" cm="1">
        <f t="array" ref="Y19">+_xll.EQNXTDZ($A$1,$B19,Y$1,$B$1)</f>
        <v>0</v>
      </c>
      <c r="Z19" s="124" cm="1">
        <f t="array" ref="Z19">+_xll.EQNXTDZ($A$1,$B19,Z$1,$B$1)</f>
        <v>0</v>
      </c>
      <c r="AA19" s="124" cm="1">
        <f t="array" ref="AA19">+_xll.EQNXTDZ($A$1,$B19,AA$1,$B$1)</f>
        <v>0</v>
      </c>
      <c r="AB19" s="124" cm="1">
        <f t="array" ref="AB19">+_xll.EQNXTDZ($A$1,$B19,AB$1,$B$1)</f>
        <v>0</v>
      </c>
      <c r="AC19" s="124" cm="1">
        <f t="array" ref="AC19">+_xll.EQNXTDZ($A$1,$B19,AC$1,$B$1)</f>
        <v>0</v>
      </c>
      <c r="AD19" s="124" cm="1">
        <f t="array" ref="AD19">+_xll.EQNXTDZ($A$1,$B19,AD$1,$B$1)</f>
        <v>0</v>
      </c>
      <c r="AE19" s="124" cm="1">
        <f t="array" ref="AE19">+_xll.EQNXTDZ($A$1,$B19,AE$1,$B$1)</f>
        <v>0</v>
      </c>
      <c r="AF19" s="124" cm="1">
        <f t="array" ref="AF19">+_xll.EQNXTDZ($A$1,$B19,AF$1,$B$1)</f>
        <v>0</v>
      </c>
      <c r="AG19" s="124" cm="1">
        <f t="array" ref="AG19">+_xll.EQNXTDZ($A$1,$B19,AG$1,$B$1)</f>
        <v>0</v>
      </c>
      <c r="AH19" s="124" cm="1">
        <f t="array" ref="AH19">+_xll.EQNXTDZ($A$1,$B19,AH$1,$B$1)</f>
        <v>0</v>
      </c>
      <c r="AI19" s="124" cm="1">
        <f t="array" ref="AI19">+_xll.EQNXTDZ($A$1,$B19,AI$1,$B$1)</f>
        <v>0</v>
      </c>
      <c r="AJ19" s="124" cm="1">
        <f t="array" ref="AJ19">+_xll.EQNXTDZ($A$1,$B19,AJ$1,$B$1)</f>
        <v>0</v>
      </c>
      <c r="AK19" s="124" cm="1">
        <f t="array" ref="AK19">+_xll.EQNXTDZ($A$1,$B19,AK$1,$B$1)</f>
        <v>0</v>
      </c>
      <c r="AL19" s="124" cm="1">
        <f t="array" ref="AL19">+_xll.EQNXTDZ($A$1,$B19,AL$1,$B$1)</f>
        <v>0</v>
      </c>
      <c r="AM19" s="124" cm="1">
        <f t="array" ref="AM19">+_xll.EQNXTDZ($A$1,$B19,AM$1,$B$1)</f>
        <v>0</v>
      </c>
      <c r="AN19" s="124" cm="1">
        <f t="array" ref="AN19">+_xll.EQNXTDZ($A$1,$B19,AN$1,$B$1)</f>
        <v>0</v>
      </c>
      <c r="AO19" s="124" cm="1">
        <f t="array" ref="AO19">+_xll.EQNXTDZ($A$1,$B19,AO$1,$B$1)</f>
        <v>0</v>
      </c>
      <c r="AP19" s="124" cm="1">
        <f t="array" ref="AP19">+_xll.EQNXTDZ($A$1,$B19,AP$1,$B$1)</f>
        <v>0</v>
      </c>
      <c r="AQ19" s="124" cm="1">
        <f t="array" ref="AQ19">+_xll.EQNXTDZ($A$1,$B19,AQ$1,$B$1)</f>
        <v>0</v>
      </c>
      <c r="AR19" s="124" cm="1">
        <f t="array" ref="AR19">+_xll.EQNXTDZ($A$1,$B19,AR$1,$B$1)</f>
        <v>0</v>
      </c>
      <c r="AS19" s="124" cm="1">
        <f t="array" ref="AS19">+_xll.EQNXTDZ($A$1,$B19,AS$1,$B$1)</f>
        <v>0</v>
      </c>
      <c r="AT19" s="124" cm="1">
        <f t="array" ref="AT19">+_xll.EQNXTDZ($A$1,$B19,AT$1,$B$1)</f>
        <v>0</v>
      </c>
      <c r="AU19" s="124" cm="1">
        <f t="array" ref="AU19">+_xll.EQNXTDZ($A$1,$B19,AU$1,$B$1)</f>
        <v>0</v>
      </c>
      <c r="AV19" s="124" cm="1">
        <f t="array" ref="AV19">+_xll.EQNXTDZ($A$1,$B19,AV$1,$B$1)</f>
        <v>0</v>
      </c>
      <c r="AW19" s="124" cm="1">
        <f t="array" ref="AW19">+_xll.EQNXTDZ($A$1,$B19,AW$1,$B$1)</f>
        <v>0</v>
      </c>
      <c r="AX19" s="124" cm="1">
        <f t="array" ref="AX19">+_xll.EQNXTDZ($A$1,$B19,AX$1,$B$1)</f>
        <v>0</v>
      </c>
      <c r="AY19" s="124" cm="1">
        <f t="array" ref="AY19">+_xll.EQNXTDZ($A$1,$B19,AY$1,$B$1)</f>
        <v>0</v>
      </c>
      <c r="AZ19" s="124" cm="1">
        <f t="array" ref="AZ19">+_xll.EQNXTDZ($A$1,$B19,AZ$1,$B$1)</f>
        <v>0</v>
      </c>
      <c r="BA19" s="124" cm="1">
        <f t="array" ref="BA19">+_xll.EQNXTDZ($A$1,$B19,BA$1,$B$1)</f>
        <v>0</v>
      </c>
      <c r="BB19" s="124" cm="1">
        <f t="array" ref="BB19">+_xll.EQNXTDZ($A$1,$B19,BB$1,$B$1)</f>
        <v>0</v>
      </c>
      <c r="BC19" s="124" cm="1">
        <f t="array" ref="BC19">+_xll.EQNXTDZ($A$1,$B19,BC$1,$B$1)</f>
        <v>0</v>
      </c>
      <c r="BD19" s="124" cm="1">
        <f t="array" ref="BD19">+_xll.EQNXTDZ($A$1,$B19,BD$1,$B$1)</f>
        <v>0</v>
      </c>
      <c r="BE19" s="124" cm="1">
        <f t="array" ref="BE19">+_xll.EQNXTDZ($A$1,$B19,BE$1,$B$1)</f>
        <v>0</v>
      </c>
      <c r="BF19" s="124" cm="1">
        <f t="array" ref="BF19">+_xll.EQNXTDZ($A$1,$B19,BF$1,$B$1)</f>
        <v>0</v>
      </c>
      <c r="BG19" s="124" cm="1">
        <f t="array" ref="BG19">+_xll.EQNXTDZ($A$1,$B19,BG$1,$B$1)</f>
        <v>0</v>
      </c>
      <c r="BH19" s="124" cm="1">
        <f t="array" ref="BH19">+_xll.EQNXTDZ($A$1,$B19,BH$1,$B$1)</f>
        <v>0</v>
      </c>
      <c r="BI19" s="124" cm="1">
        <f t="array" ref="BI19">+_xll.EQNXTDZ($A$1,$B19,BI$1,$B$1)</f>
        <v>0</v>
      </c>
      <c r="BJ19" s="124" cm="1">
        <f t="array" ref="BJ19">+_xll.EQNXTDZ($A$1,$B19,BJ$1,$B$1)</f>
        <v>0</v>
      </c>
      <c r="BK19" s="124" cm="1">
        <f t="array" ref="BK19">+_xll.EQNXTDZ($A$1,$B19,BK$1,$B$1)</f>
        <v>0</v>
      </c>
    </row>
    <row r="20" spans="1:63" x14ac:dyDescent="0.25">
      <c r="A20" t="s">
        <v>0</v>
      </c>
      <c r="B20" t="s">
        <v>296</v>
      </c>
      <c r="C20" s="124" cm="1">
        <f t="array" ref="C20">+_xll.EQNXTDZ($A$1,$B20,C$1,$B$1)</f>
        <v>0</v>
      </c>
      <c r="D20" s="124" cm="1">
        <f t="array" ref="D20">+_xll.EQNXTDZ($A$1,$B20,D$1,$B$1)</f>
        <v>0</v>
      </c>
      <c r="E20" s="124" cm="1">
        <f t="array" ref="E20">+_xll.EQNXTDZ($A$1,$B20,E$1,$B$1)</f>
        <v>0</v>
      </c>
      <c r="F20" s="124" cm="1">
        <f t="array" ref="F20">+_xll.EQNXTDZ($A$1,$B20,F$1,$B$1)</f>
        <v>0</v>
      </c>
      <c r="G20" s="124" cm="1">
        <f t="array" ref="G20">+_xll.EQNXTDZ($A$1,$B20,G$1,$B$1)</f>
        <v>0</v>
      </c>
      <c r="H20" s="124" cm="1">
        <f t="array" ref="H20">+_xll.EQNXTDZ($A$1,$B20,H$1,$B$1)</f>
        <v>0</v>
      </c>
      <c r="I20" s="124" cm="1">
        <f t="array" ref="I20">+_xll.EQNXTDZ($A$1,$B20,I$1,$B$1)</f>
        <v>0</v>
      </c>
      <c r="J20" s="124" cm="1">
        <f t="array" ref="J20">+_xll.EQNXTDZ($A$1,$B20,J$1,$B$1)</f>
        <v>0</v>
      </c>
      <c r="K20" s="124" cm="1">
        <f t="array" ref="K20">+_xll.EQNXTDZ($A$1,$B20,K$1,$B$1)</f>
        <v>0</v>
      </c>
      <c r="L20" s="124" cm="1">
        <f t="array" ref="L20">+_xll.EQNXTDZ($A$1,$B20,L$1,$B$1)</f>
        <v>0</v>
      </c>
      <c r="M20" s="124" cm="1">
        <f t="array" ref="M20">+_xll.EQNXTDZ($A$1,$B20,M$1,$B$1)</f>
        <v>0</v>
      </c>
      <c r="N20" s="124" cm="1">
        <f t="array" ref="N20">+_xll.EQNXTDZ($A$1,$B20,N$1,$B$1)</f>
        <v>0</v>
      </c>
      <c r="O20" s="124" cm="1">
        <f t="array" ref="O20">+_xll.EQNXTDZ($A$1,$B20,O$1,$B$1)</f>
        <v>0</v>
      </c>
      <c r="P20" s="124" cm="1">
        <f t="array" ref="P20">+_xll.EQNXTDZ($A$1,$B20,P$1,$B$1)</f>
        <v>0</v>
      </c>
      <c r="Q20" s="124" cm="1">
        <f t="array" ref="Q20">+_xll.EQNXTDZ($A$1,$B20,Q$1,$B$1)</f>
        <v>0</v>
      </c>
      <c r="R20" s="124" cm="1">
        <f t="array" ref="R20">+_xll.EQNXTDZ($A$1,$B20,R$1,$B$1)</f>
        <v>0</v>
      </c>
      <c r="S20" s="124" cm="1">
        <f t="array" ref="S20">+_xll.EQNXTDZ($A$1,$B20,S$1,$B$1)</f>
        <v>0</v>
      </c>
      <c r="T20" s="124" cm="1">
        <f t="array" ref="T20">+_xll.EQNXTDZ($A$1,$B20,T$1,$B$1)</f>
        <v>0</v>
      </c>
      <c r="U20" s="124" cm="1">
        <f t="array" ref="U20">+_xll.EQNXTDZ($A$1,$B20,U$1,$B$1)</f>
        <v>0</v>
      </c>
      <c r="V20" s="124" cm="1">
        <f t="array" ref="V20">+_xll.EQNXTDZ($A$1,$B20,V$1,$B$1)</f>
        <v>0</v>
      </c>
      <c r="W20" s="124" cm="1">
        <f t="array" ref="W20">+_xll.EQNXTDZ($A$1,$B20,W$1,$B$1)</f>
        <v>0</v>
      </c>
      <c r="X20" s="124" cm="1">
        <f t="array" ref="X20">+_xll.EQNXTDZ($A$1,$B20,X$1,$B$1)</f>
        <v>0</v>
      </c>
      <c r="Y20" s="124" cm="1">
        <f t="array" ref="Y20">+_xll.EQNXTDZ($A$1,$B20,Y$1,$B$1)</f>
        <v>0</v>
      </c>
      <c r="Z20" s="124" cm="1">
        <f t="array" ref="Z20">+_xll.EQNXTDZ($A$1,$B20,Z$1,$B$1)</f>
        <v>0</v>
      </c>
      <c r="AA20" s="124" cm="1">
        <f t="array" ref="AA20">+_xll.EQNXTDZ($A$1,$B20,AA$1,$B$1)</f>
        <v>0</v>
      </c>
      <c r="AB20" s="124" cm="1">
        <f t="array" ref="AB20">+_xll.EQNXTDZ($A$1,$B20,AB$1,$B$1)</f>
        <v>0</v>
      </c>
      <c r="AC20" s="124" cm="1">
        <f t="array" ref="AC20">+_xll.EQNXTDZ($A$1,$B20,AC$1,$B$1)</f>
        <v>0</v>
      </c>
      <c r="AD20" s="124" cm="1">
        <f t="array" ref="AD20">+_xll.EQNXTDZ($A$1,$B20,AD$1,$B$1)</f>
        <v>0</v>
      </c>
      <c r="AE20" s="124" cm="1">
        <f t="array" ref="AE20">+_xll.EQNXTDZ($A$1,$B20,AE$1,$B$1)</f>
        <v>0</v>
      </c>
      <c r="AF20" s="124" cm="1">
        <f t="array" ref="AF20">+_xll.EQNXTDZ($A$1,$B20,AF$1,$B$1)</f>
        <v>0</v>
      </c>
      <c r="AG20" s="124" cm="1">
        <f t="array" ref="AG20">+_xll.EQNXTDZ($A$1,$B20,AG$1,$B$1)</f>
        <v>0</v>
      </c>
      <c r="AH20" s="124" cm="1">
        <f t="array" ref="AH20">+_xll.EQNXTDZ($A$1,$B20,AH$1,$B$1)</f>
        <v>0</v>
      </c>
      <c r="AI20" s="124" cm="1">
        <f t="array" ref="AI20">+_xll.EQNXTDZ($A$1,$B20,AI$1,$B$1)</f>
        <v>0</v>
      </c>
      <c r="AJ20" s="124" cm="1">
        <f t="array" ref="AJ20">+_xll.EQNXTDZ($A$1,$B20,AJ$1,$B$1)</f>
        <v>0</v>
      </c>
      <c r="AK20" s="124" cm="1">
        <f t="array" ref="AK20">+_xll.EQNXTDZ($A$1,$B20,AK$1,$B$1)</f>
        <v>0</v>
      </c>
      <c r="AL20" s="124" cm="1">
        <f t="array" ref="AL20">+_xll.EQNXTDZ($A$1,$B20,AL$1,$B$1)</f>
        <v>0</v>
      </c>
      <c r="AM20" s="124" cm="1">
        <f t="array" ref="AM20">+_xll.EQNXTDZ($A$1,$B20,AM$1,$B$1)</f>
        <v>0</v>
      </c>
      <c r="AN20" s="124" cm="1">
        <f t="array" ref="AN20">+_xll.EQNXTDZ($A$1,$B20,AN$1,$B$1)</f>
        <v>0</v>
      </c>
      <c r="AO20" s="124" cm="1">
        <f t="array" ref="AO20">+_xll.EQNXTDZ($A$1,$B20,AO$1,$B$1)</f>
        <v>0</v>
      </c>
      <c r="AP20" s="124" cm="1">
        <f t="array" ref="AP20">+_xll.EQNXTDZ($A$1,$B20,AP$1,$B$1)</f>
        <v>0</v>
      </c>
      <c r="AQ20" s="124" cm="1">
        <f t="array" ref="AQ20">+_xll.EQNXTDZ($A$1,$B20,AQ$1,$B$1)</f>
        <v>0</v>
      </c>
      <c r="AR20" s="124" cm="1">
        <f t="array" ref="AR20">+_xll.EQNXTDZ($A$1,$B20,AR$1,$B$1)</f>
        <v>0</v>
      </c>
      <c r="AS20" s="124" cm="1">
        <f t="array" ref="AS20">+_xll.EQNXTDZ($A$1,$B20,AS$1,$B$1)</f>
        <v>0</v>
      </c>
      <c r="AT20" s="124" cm="1">
        <f t="array" ref="AT20">+_xll.EQNXTDZ($A$1,$B20,AT$1,$B$1)</f>
        <v>0</v>
      </c>
      <c r="AU20" s="124" cm="1">
        <f t="array" ref="AU20">+_xll.EQNXTDZ($A$1,$B20,AU$1,$B$1)</f>
        <v>0</v>
      </c>
      <c r="AV20" s="124" cm="1">
        <f t="array" ref="AV20">+_xll.EQNXTDZ($A$1,$B20,AV$1,$B$1)</f>
        <v>0</v>
      </c>
      <c r="AW20" s="124" cm="1">
        <f t="array" ref="AW20">+_xll.EQNXTDZ($A$1,$B20,AW$1,$B$1)</f>
        <v>0</v>
      </c>
      <c r="AX20" s="124" cm="1">
        <f t="array" ref="AX20">+_xll.EQNXTDZ($A$1,$B20,AX$1,$B$1)</f>
        <v>0</v>
      </c>
      <c r="AY20" s="124" cm="1">
        <f t="array" ref="AY20">+_xll.EQNXTDZ($A$1,$B20,AY$1,$B$1)</f>
        <v>0</v>
      </c>
      <c r="AZ20" s="124" cm="1">
        <f t="array" ref="AZ20">+_xll.EQNXTDZ($A$1,$B20,AZ$1,$B$1)</f>
        <v>0</v>
      </c>
      <c r="BA20" s="124" cm="1">
        <f t="array" ref="BA20">+_xll.EQNXTDZ($A$1,$B20,BA$1,$B$1)</f>
        <v>0</v>
      </c>
      <c r="BB20" s="124" cm="1">
        <f t="array" ref="BB20">+_xll.EQNXTDZ($A$1,$B20,BB$1,$B$1)</f>
        <v>0</v>
      </c>
      <c r="BC20" s="124" cm="1">
        <f t="array" ref="BC20">+_xll.EQNXTDZ($A$1,$B20,BC$1,$B$1)</f>
        <v>0</v>
      </c>
      <c r="BD20" s="124" cm="1">
        <f t="array" ref="BD20">+_xll.EQNXTDZ($A$1,$B20,BD$1,$B$1)</f>
        <v>0</v>
      </c>
      <c r="BE20" s="124" cm="1">
        <f t="array" ref="BE20">+_xll.EQNXTDZ($A$1,$B20,BE$1,$B$1)</f>
        <v>0</v>
      </c>
      <c r="BF20" s="124" cm="1">
        <f t="array" ref="BF20">+_xll.EQNXTDZ($A$1,$B20,BF$1,$B$1)</f>
        <v>0</v>
      </c>
      <c r="BG20" s="124" cm="1">
        <f t="array" ref="BG20">+_xll.EQNXTDZ($A$1,$B20,BG$1,$B$1)</f>
        <v>0</v>
      </c>
      <c r="BH20" s="124" cm="1">
        <f t="array" ref="BH20">+_xll.EQNXTDZ($A$1,$B20,BH$1,$B$1)</f>
        <v>0</v>
      </c>
      <c r="BI20" s="124" cm="1">
        <f t="array" ref="BI20">+_xll.EQNXTDZ($A$1,$B20,BI$1,$B$1)</f>
        <v>0</v>
      </c>
      <c r="BJ20" s="124" cm="1">
        <f t="array" ref="BJ20">+_xll.EQNXTDZ($A$1,$B20,BJ$1,$B$1)</f>
        <v>0</v>
      </c>
      <c r="BK20" s="124" cm="1">
        <f t="array" ref="BK20">+_xll.EQNXTDZ($A$1,$B20,BK$1,$B$1)</f>
        <v>0</v>
      </c>
    </row>
    <row r="21" spans="1:63" x14ac:dyDescent="0.25">
      <c r="A21" t="s">
        <v>191</v>
      </c>
      <c r="B21" t="s">
        <v>297</v>
      </c>
      <c r="C21" s="124" cm="1">
        <f t="array" ref="C21">+_xll.EQNXTDZ($A$1,$B21,C$1,$B$1)</f>
        <v>0</v>
      </c>
      <c r="D21" s="124" cm="1">
        <f t="array" ref="D21">+_xll.EQNXTDZ($A$1,$B21,D$1,$B$1)</f>
        <v>0</v>
      </c>
      <c r="E21" s="124" cm="1">
        <f t="array" ref="E21">+_xll.EQNXTDZ($A$1,$B21,E$1,$B$1)</f>
        <v>0</v>
      </c>
      <c r="F21" s="124" cm="1">
        <f t="array" ref="F21">+_xll.EQNXTDZ($A$1,$B21,F$1,$B$1)</f>
        <v>0</v>
      </c>
      <c r="G21" s="124" cm="1">
        <f t="array" ref="G21">+_xll.EQNXTDZ($A$1,$B21,G$1,$B$1)</f>
        <v>0</v>
      </c>
      <c r="H21" s="124" cm="1">
        <f t="array" ref="H21">+_xll.EQNXTDZ($A$1,$B21,H$1,$B$1)</f>
        <v>0</v>
      </c>
      <c r="I21" s="124" cm="1">
        <f t="array" ref="I21">+_xll.EQNXTDZ($A$1,$B21,I$1,$B$1)</f>
        <v>0</v>
      </c>
      <c r="J21" s="124" cm="1">
        <f t="array" ref="J21">+_xll.EQNXTDZ($A$1,$B21,J$1,$B$1)</f>
        <v>0</v>
      </c>
      <c r="K21" s="124" cm="1">
        <f t="array" ref="K21">+_xll.EQNXTDZ($A$1,$B21,K$1,$B$1)</f>
        <v>0</v>
      </c>
      <c r="L21" s="124" cm="1">
        <f t="array" ref="L21">+_xll.EQNXTDZ($A$1,$B21,L$1,$B$1)</f>
        <v>0</v>
      </c>
      <c r="M21" s="124" cm="1">
        <f t="array" ref="M21">+_xll.EQNXTDZ($A$1,$B21,M$1,$B$1)</f>
        <v>0</v>
      </c>
      <c r="N21" s="124" cm="1">
        <f t="array" ref="N21">+_xll.EQNXTDZ($A$1,$B21,N$1,$B$1)</f>
        <v>0</v>
      </c>
      <c r="O21" s="124" cm="1">
        <f t="array" ref="O21">+_xll.EQNXTDZ($A$1,$B21,O$1,$B$1)</f>
        <v>0</v>
      </c>
      <c r="P21" s="124" cm="1">
        <f t="array" ref="P21">+_xll.EQNXTDZ($A$1,$B21,P$1,$B$1)</f>
        <v>0</v>
      </c>
      <c r="Q21" s="124" cm="1">
        <f t="array" ref="Q21">+_xll.EQNXTDZ($A$1,$B21,Q$1,$B$1)</f>
        <v>0</v>
      </c>
      <c r="R21" s="124" cm="1">
        <f t="array" ref="R21">+_xll.EQNXTDZ($A$1,$B21,R$1,$B$1)</f>
        <v>0</v>
      </c>
      <c r="S21" s="124" cm="1">
        <f t="array" ref="S21">+_xll.EQNXTDZ($A$1,$B21,S$1,$B$1)</f>
        <v>0</v>
      </c>
      <c r="T21" s="124" cm="1">
        <f t="array" ref="T21">+_xll.EQNXTDZ($A$1,$B21,T$1,$B$1)</f>
        <v>0</v>
      </c>
      <c r="U21" s="124" cm="1">
        <f t="array" ref="U21">+_xll.EQNXTDZ($A$1,$B21,U$1,$B$1)</f>
        <v>0</v>
      </c>
      <c r="V21" s="124" cm="1">
        <f t="array" ref="V21">+_xll.EQNXTDZ($A$1,$B21,V$1,$B$1)</f>
        <v>0</v>
      </c>
      <c r="W21" s="124" cm="1">
        <f t="array" ref="W21">+_xll.EQNXTDZ($A$1,$B21,W$1,$B$1)</f>
        <v>0</v>
      </c>
      <c r="X21" s="124" cm="1">
        <f t="array" ref="X21">+_xll.EQNXTDZ($A$1,$B21,X$1,$B$1)</f>
        <v>0</v>
      </c>
      <c r="Y21" s="124" cm="1">
        <f t="array" ref="Y21">+_xll.EQNXTDZ($A$1,$B21,Y$1,$B$1)</f>
        <v>0</v>
      </c>
      <c r="Z21" s="124" cm="1">
        <f t="array" ref="Z21">+_xll.EQNXTDZ($A$1,$B21,Z$1,$B$1)</f>
        <v>0</v>
      </c>
      <c r="AA21" s="124" cm="1">
        <f t="array" ref="AA21">+_xll.EQNXTDZ($A$1,$B21,AA$1,$B$1)</f>
        <v>0</v>
      </c>
      <c r="AB21" s="124" cm="1">
        <f t="array" ref="AB21">+_xll.EQNXTDZ($A$1,$B21,AB$1,$B$1)</f>
        <v>0</v>
      </c>
      <c r="AC21" s="124" cm="1">
        <f t="array" ref="AC21">+_xll.EQNXTDZ($A$1,$B21,AC$1,$B$1)</f>
        <v>0</v>
      </c>
      <c r="AD21" s="124" cm="1">
        <f t="array" ref="AD21">+_xll.EQNXTDZ($A$1,$B21,AD$1,$B$1)</f>
        <v>0</v>
      </c>
      <c r="AE21" s="124" cm="1">
        <f t="array" ref="AE21">+_xll.EQNXTDZ($A$1,$B21,AE$1,$B$1)</f>
        <v>0</v>
      </c>
      <c r="AF21" s="124" cm="1">
        <f t="array" ref="AF21">+_xll.EQNXTDZ($A$1,$B21,AF$1,$B$1)</f>
        <v>0</v>
      </c>
      <c r="AG21" s="124" cm="1">
        <f t="array" ref="AG21">+_xll.EQNXTDZ($A$1,$B21,AG$1,$B$1)</f>
        <v>0</v>
      </c>
      <c r="AH21" s="124" cm="1">
        <f t="array" ref="AH21">+_xll.EQNXTDZ($A$1,$B21,AH$1,$B$1)</f>
        <v>0</v>
      </c>
      <c r="AI21" s="124" cm="1">
        <f t="array" ref="AI21">+_xll.EQNXTDZ($A$1,$B21,AI$1,$B$1)</f>
        <v>0</v>
      </c>
      <c r="AJ21" s="124" cm="1">
        <f t="array" ref="AJ21">+_xll.EQNXTDZ($A$1,$B21,AJ$1,$B$1)</f>
        <v>0</v>
      </c>
      <c r="AK21" s="124" cm="1">
        <f t="array" ref="AK21">+_xll.EQNXTDZ($A$1,$B21,AK$1,$B$1)</f>
        <v>0</v>
      </c>
      <c r="AL21" s="124" cm="1">
        <f t="array" ref="AL21">+_xll.EQNXTDZ($A$1,$B21,AL$1,$B$1)</f>
        <v>0</v>
      </c>
      <c r="AM21" s="124" cm="1">
        <f t="array" ref="AM21">+_xll.EQNXTDZ($A$1,$B21,AM$1,$B$1)</f>
        <v>0</v>
      </c>
      <c r="AN21" s="124" cm="1">
        <f t="array" ref="AN21">+_xll.EQNXTDZ($A$1,$B21,AN$1,$B$1)</f>
        <v>0</v>
      </c>
      <c r="AO21" s="124" cm="1">
        <f t="array" ref="AO21">+_xll.EQNXTDZ($A$1,$B21,AO$1,$B$1)</f>
        <v>0</v>
      </c>
      <c r="AP21" s="124" cm="1">
        <f t="array" ref="AP21">+_xll.EQNXTDZ($A$1,$B21,AP$1,$B$1)</f>
        <v>0</v>
      </c>
      <c r="AQ21" s="124" cm="1">
        <f t="array" ref="AQ21">+_xll.EQNXTDZ($A$1,$B21,AQ$1,$B$1)</f>
        <v>0</v>
      </c>
      <c r="AR21" s="124" cm="1">
        <f t="array" ref="AR21">+_xll.EQNXTDZ($A$1,$B21,AR$1,$B$1)</f>
        <v>0</v>
      </c>
      <c r="AS21" s="124" cm="1">
        <f t="array" ref="AS21">+_xll.EQNXTDZ($A$1,$B21,AS$1,$B$1)</f>
        <v>0</v>
      </c>
      <c r="AT21" s="124" cm="1">
        <f t="array" ref="AT21">+_xll.EQNXTDZ($A$1,$B21,AT$1,$B$1)</f>
        <v>0</v>
      </c>
      <c r="AU21" s="124" cm="1">
        <f t="array" ref="AU21">+_xll.EQNXTDZ($A$1,$B21,AU$1,$B$1)</f>
        <v>0</v>
      </c>
      <c r="AV21" s="124" cm="1">
        <f t="array" ref="AV21">+_xll.EQNXTDZ($A$1,$B21,AV$1,$B$1)</f>
        <v>0</v>
      </c>
      <c r="AW21" s="124" cm="1">
        <f t="array" ref="AW21">+_xll.EQNXTDZ($A$1,$B21,AW$1,$B$1)</f>
        <v>0</v>
      </c>
      <c r="AX21" s="124" cm="1">
        <f t="array" ref="AX21">+_xll.EQNXTDZ($A$1,$B21,AX$1,$B$1)</f>
        <v>0</v>
      </c>
      <c r="AY21" s="124" cm="1">
        <f t="array" ref="AY21">+_xll.EQNXTDZ($A$1,$B21,AY$1,$B$1)</f>
        <v>0</v>
      </c>
      <c r="AZ21" s="124" cm="1">
        <f t="array" ref="AZ21">+_xll.EQNXTDZ($A$1,$B21,AZ$1,$B$1)</f>
        <v>0</v>
      </c>
      <c r="BA21" s="124" cm="1">
        <f t="array" ref="BA21">+_xll.EQNXTDZ($A$1,$B21,BA$1,$B$1)</f>
        <v>0</v>
      </c>
      <c r="BB21" s="124" cm="1">
        <f t="array" ref="BB21">+_xll.EQNXTDZ($A$1,$B21,BB$1,$B$1)</f>
        <v>0</v>
      </c>
      <c r="BC21" s="124" cm="1">
        <f t="array" ref="BC21">+_xll.EQNXTDZ($A$1,$B21,BC$1,$B$1)</f>
        <v>0</v>
      </c>
      <c r="BD21" s="124" cm="1">
        <f t="array" ref="BD21">+_xll.EQNXTDZ($A$1,$B21,BD$1,$B$1)</f>
        <v>0</v>
      </c>
      <c r="BE21" s="124" cm="1">
        <f t="array" ref="BE21">+_xll.EQNXTDZ($A$1,$B21,BE$1,$B$1)</f>
        <v>0</v>
      </c>
      <c r="BF21" s="124" cm="1">
        <f t="array" ref="BF21">+_xll.EQNXTDZ($A$1,$B21,BF$1,$B$1)</f>
        <v>0</v>
      </c>
      <c r="BG21" s="124" cm="1">
        <f t="array" ref="BG21">+_xll.EQNXTDZ($A$1,$B21,BG$1,$B$1)</f>
        <v>0</v>
      </c>
      <c r="BH21" s="124" cm="1">
        <f t="array" ref="BH21">+_xll.EQNXTDZ($A$1,$B21,BH$1,$B$1)</f>
        <v>0</v>
      </c>
      <c r="BI21" s="124" cm="1">
        <f t="array" ref="BI21">+_xll.EQNXTDZ($A$1,$B21,BI$1,$B$1)</f>
        <v>0</v>
      </c>
      <c r="BJ21" s="124" cm="1">
        <f t="array" ref="BJ21">+_xll.EQNXTDZ($A$1,$B21,BJ$1,$B$1)</f>
        <v>0</v>
      </c>
      <c r="BK21" s="124" cm="1">
        <f t="array" ref="BK21">+_xll.EQNXTDZ($A$1,$B21,BK$1,$B$1)</f>
        <v>0</v>
      </c>
    </row>
    <row r="22" spans="1:63" x14ac:dyDescent="0.25">
      <c r="A22" t="s">
        <v>192</v>
      </c>
      <c r="B22" t="s">
        <v>298</v>
      </c>
      <c r="C22" s="124" cm="1">
        <f t="array" ref="C22">+_xll.EQNXTDZ($A$1,$B22,C$1,$B$1)</f>
        <v>0</v>
      </c>
      <c r="D22" s="124" cm="1">
        <f t="array" ref="D22">+_xll.EQNXTDZ($A$1,$B22,D$1,$B$1)</f>
        <v>0</v>
      </c>
      <c r="E22" s="124" cm="1">
        <f t="array" ref="E22">+_xll.EQNXTDZ($A$1,$B22,E$1,$B$1)</f>
        <v>0</v>
      </c>
      <c r="F22" s="124" cm="1">
        <f t="array" ref="F22">+_xll.EQNXTDZ($A$1,$B22,F$1,$B$1)</f>
        <v>0</v>
      </c>
      <c r="G22" s="124" cm="1">
        <f t="array" ref="G22">+_xll.EQNXTDZ($A$1,$B22,G$1,$B$1)</f>
        <v>0</v>
      </c>
      <c r="H22" s="124" cm="1">
        <f t="array" ref="H22">+_xll.EQNXTDZ($A$1,$B22,H$1,$B$1)</f>
        <v>0</v>
      </c>
      <c r="I22" s="124" cm="1">
        <f t="array" ref="I22">+_xll.EQNXTDZ($A$1,$B22,I$1,$B$1)</f>
        <v>0</v>
      </c>
      <c r="J22" s="124" cm="1">
        <f t="array" ref="J22">+_xll.EQNXTDZ($A$1,$B22,J$1,$B$1)</f>
        <v>0</v>
      </c>
      <c r="K22" s="124" cm="1">
        <f t="array" ref="K22">+_xll.EQNXTDZ($A$1,$B22,K$1,$B$1)</f>
        <v>0</v>
      </c>
      <c r="L22" s="124" cm="1">
        <f t="array" ref="L22">+_xll.EQNXTDZ($A$1,$B22,L$1,$B$1)</f>
        <v>0</v>
      </c>
      <c r="M22" s="124" cm="1">
        <f t="array" ref="M22">+_xll.EQNXTDZ($A$1,$B22,M$1,$B$1)</f>
        <v>0</v>
      </c>
      <c r="N22" s="124" cm="1">
        <f t="array" ref="N22">+_xll.EQNXTDZ($A$1,$B22,N$1,$B$1)</f>
        <v>0</v>
      </c>
      <c r="O22" s="124" cm="1">
        <f t="array" ref="O22">+_xll.EQNXTDZ($A$1,$B22,O$1,$B$1)</f>
        <v>0</v>
      </c>
      <c r="P22" s="124" cm="1">
        <f t="array" ref="P22">+_xll.EQNXTDZ($A$1,$B22,P$1,$B$1)</f>
        <v>0</v>
      </c>
      <c r="Q22" s="124" cm="1">
        <f t="array" ref="Q22">+_xll.EQNXTDZ($A$1,$B22,Q$1,$B$1)</f>
        <v>0</v>
      </c>
      <c r="R22" s="124" cm="1">
        <f t="array" ref="R22">+_xll.EQNXTDZ($A$1,$B22,R$1,$B$1)</f>
        <v>0</v>
      </c>
      <c r="S22" s="124" cm="1">
        <f t="array" ref="S22">+_xll.EQNXTDZ($A$1,$B22,S$1,$B$1)</f>
        <v>0</v>
      </c>
      <c r="T22" s="124" cm="1">
        <f t="array" ref="T22">+_xll.EQNXTDZ($A$1,$B22,T$1,$B$1)</f>
        <v>0</v>
      </c>
      <c r="U22" s="124" cm="1">
        <f t="array" ref="U22">+_xll.EQNXTDZ($A$1,$B22,U$1,$B$1)</f>
        <v>0</v>
      </c>
      <c r="V22" s="124" cm="1">
        <f t="array" ref="V22">+_xll.EQNXTDZ($A$1,$B22,V$1,$B$1)</f>
        <v>0</v>
      </c>
      <c r="W22" s="124" cm="1">
        <f t="array" ref="W22">+_xll.EQNXTDZ($A$1,$B22,W$1,$B$1)</f>
        <v>0</v>
      </c>
      <c r="X22" s="124" cm="1">
        <f t="array" ref="X22">+_xll.EQNXTDZ($A$1,$B22,X$1,$B$1)</f>
        <v>0</v>
      </c>
      <c r="Y22" s="124" cm="1">
        <f t="array" ref="Y22">+_xll.EQNXTDZ($A$1,$B22,Y$1,$B$1)</f>
        <v>0</v>
      </c>
      <c r="Z22" s="124" cm="1">
        <f t="array" ref="Z22">+_xll.EQNXTDZ($A$1,$B22,Z$1,$B$1)</f>
        <v>0</v>
      </c>
      <c r="AA22" s="124" cm="1">
        <f t="array" ref="AA22">+_xll.EQNXTDZ($A$1,$B22,AA$1,$B$1)</f>
        <v>0</v>
      </c>
      <c r="AB22" s="124" cm="1">
        <f t="array" ref="AB22">+_xll.EQNXTDZ($A$1,$B22,AB$1,$B$1)</f>
        <v>0</v>
      </c>
      <c r="AC22" s="124" cm="1">
        <f t="array" ref="AC22">+_xll.EQNXTDZ($A$1,$B22,AC$1,$B$1)</f>
        <v>0</v>
      </c>
      <c r="AD22" s="124" cm="1">
        <f t="array" ref="AD22">+_xll.EQNXTDZ($A$1,$B22,AD$1,$B$1)</f>
        <v>0</v>
      </c>
      <c r="AE22" s="124" cm="1">
        <f t="array" ref="AE22">+_xll.EQNXTDZ($A$1,$B22,AE$1,$B$1)</f>
        <v>0</v>
      </c>
      <c r="AF22" s="124" cm="1">
        <f t="array" ref="AF22">+_xll.EQNXTDZ($A$1,$B22,AF$1,$B$1)</f>
        <v>0</v>
      </c>
      <c r="AG22" s="124" cm="1">
        <f t="array" ref="AG22">+_xll.EQNXTDZ($A$1,$B22,AG$1,$B$1)</f>
        <v>0</v>
      </c>
      <c r="AH22" s="124" cm="1">
        <f t="array" ref="AH22">+_xll.EQNXTDZ($A$1,$B22,AH$1,$B$1)</f>
        <v>0</v>
      </c>
      <c r="AI22" s="124" cm="1">
        <f t="array" ref="AI22">+_xll.EQNXTDZ($A$1,$B22,AI$1,$B$1)</f>
        <v>0</v>
      </c>
      <c r="AJ22" s="124" cm="1">
        <f t="array" ref="AJ22">+_xll.EQNXTDZ($A$1,$B22,AJ$1,$B$1)</f>
        <v>0</v>
      </c>
      <c r="AK22" s="124" cm="1">
        <f t="array" ref="AK22">+_xll.EQNXTDZ($A$1,$B22,AK$1,$B$1)</f>
        <v>0</v>
      </c>
      <c r="AL22" s="124" cm="1">
        <f t="array" ref="AL22">+_xll.EQNXTDZ($A$1,$B22,AL$1,$B$1)</f>
        <v>0</v>
      </c>
      <c r="AM22" s="124" cm="1">
        <f t="array" ref="AM22">+_xll.EQNXTDZ($A$1,$B22,AM$1,$B$1)</f>
        <v>0</v>
      </c>
      <c r="AN22" s="124" cm="1">
        <f t="array" ref="AN22">+_xll.EQNXTDZ($A$1,$B22,AN$1,$B$1)</f>
        <v>0</v>
      </c>
      <c r="AO22" s="124" cm="1">
        <f t="array" ref="AO22">+_xll.EQNXTDZ($A$1,$B22,AO$1,$B$1)</f>
        <v>0</v>
      </c>
      <c r="AP22" s="124" cm="1">
        <f t="array" ref="AP22">+_xll.EQNXTDZ($A$1,$B22,AP$1,$B$1)</f>
        <v>0</v>
      </c>
      <c r="AQ22" s="124" cm="1">
        <f t="array" ref="AQ22">+_xll.EQNXTDZ($A$1,$B22,AQ$1,$B$1)</f>
        <v>0</v>
      </c>
      <c r="AR22" s="124" cm="1">
        <f t="array" ref="AR22">+_xll.EQNXTDZ($A$1,$B22,AR$1,$B$1)</f>
        <v>0</v>
      </c>
      <c r="AS22" s="124" cm="1">
        <f t="array" ref="AS22">+_xll.EQNXTDZ($A$1,$B22,AS$1,$B$1)</f>
        <v>0</v>
      </c>
      <c r="AT22" s="124" cm="1">
        <f t="array" ref="AT22">+_xll.EQNXTDZ($A$1,$B22,AT$1,$B$1)</f>
        <v>0</v>
      </c>
      <c r="AU22" s="124" cm="1">
        <f t="array" ref="AU22">+_xll.EQNXTDZ($A$1,$B22,AU$1,$B$1)</f>
        <v>0</v>
      </c>
      <c r="AV22" s="124" cm="1">
        <f t="array" ref="AV22">+_xll.EQNXTDZ($A$1,$B22,AV$1,$B$1)</f>
        <v>0</v>
      </c>
      <c r="AW22" s="124" cm="1">
        <f t="array" ref="AW22">+_xll.EQNXTDZ($A$1,$B22,AW$1,$B$1)</f>
        <v>0</v>
      </c>
      <c r="AX22" s="124" cm="1">
        <f t="array" ref="AX22">+_xll.EQNXTDZ($A$1,$B22,AX$1,$B$1)</f>
        <v>0</v>
      </c>
      <c r="AY22" s="124" cm="1">
        <f t="array" ref="AY22">+_xll.EQNXTDZ($A$1,$B22,AY$1,$B$1)</f>
        <v>0</v>
      </c>
      <c r="AZ22" s="124" cm="1">
        <f t="array" ref="AZ22">+_xll.EQNXTDZ($A$1,$B22,AZ$1,$B$1)</f>
        <v>0</v>
      </c>
      <c r="BA22" s="124" cm="1">
        <f t="array" ref="BA22">+_xll.EQNXTDZ($A$1,$B22,BA$1,$B$1)</f>
        <v>0</v>
      </c>
      <c r="BB22" s="124" cm="1">
        <f t="array" ref="BB22">+_xll.EQNXTDZ($A$1,$B22,BB$1,$B$1)</f>
        <v>0</v>
      </c>
      <c r="BC22" s="124" cm="1">
        <f t="array" ref="BC22">+_xll.EQNXTDZ($A$1,$B22,BC$1,$B$1)</f>
        <v>0</v>
      </c>
      <c r="BD22" s="124" cm="1">
        <f t="array" ref="BD22">+_xll.EQNXTDZ($A$1,$B22,BD$1,$B$1)</f>
        <v>0</v>
      </c>
      <c r="BE22" s="124" cm="1">
        <f t="array" ref="BE22">+_xll.EQNXTDZ($A$1,$B22,BE$1,$B$1)</f>
        <v>0</v>
      </c>
      <c r="BF22" s="124" cm="1">
        <f t="array" ref="BF22">+_xll.EQNXTDZ($A$1,$B22,BF$1,$B$1)</f>
        <v>0</v>
      </c>
      <c r="BG22" s="124" cm="1">
        <f t="array" ref="BG22">+_xll.EQNXTDZ($A$1,$B22,BG$1,$B$1)</f>
        <v>0</v>
      </c>
      <c r="BH22" s="124" cm="1">
        <f t="array" ref="BH22">+_xll.EQNXTDZ($A$1,$B22,BH$1,$B$1)</f>
        <v>0</v>
      </c>
      <c r="BI22" s="124" cm="1">
        <f t="array" ref="BI22">+_xll.EQNXTDZ($A$1,$B22,BI$1,$B$1)</f>
        <v>0</v>
      </c>
      <c r="BJ22" s="124" cm="1">
        <f t="array" ref="BJ22">+_xll.EQNXTDZ($A$1,$B22,BJ$1,$B$1)</f>
        <v>0</v>
      </c>
      <c r="BK22" s="124" cm="1">
        <f t="array" ref="BK22">+_xll.EQNXTDZ($A$1,$B22,BK$1,$B$1)</f>
        <v>0</v>
      </c>
    </row>
    <row r="23" spans="1:63" x14ac:dyDescent="0.25">
      <c r="A23" t="s">
        <v>193</v>
      </c>
      <c r="B23" t="s">
        <v>299</v>
      </c>
      <c r="C23" s="124" cm="1">
        <f t="array" ref="C23">+_xll.EQNXTDZ($A$1,$B23,C$1,$B$1)</f>
        <v>0</v>
      </c>
      <c r="D23" s="124" cm="1">
        <f t="array" ref="D23">+_xll.EQNXTDZ($A$1,$B23,D$1,$B$1)</f>
        <v>0</v>
      </c>
      <c r="E23" s="124" cm="1">
        <f t="array" ref="E23">+_xll.EQNXTDZ($A$1,$B23,E$1,$B$1)</f>
        <v>0</v>
      </c>
      <c r="F23" s="124" cm="1">
        <f t="array" ref="F23">+_xll.EQNXTDZ($A$1,$B23,F$1,$B$1)</f>
        <v>0</v>
      </c>
      <c r="G23" s="124" cm="1">
        <f t="array" ref="G23">+_xll.EQNXTDZ($A$1,$B23,G$1,$B$1)</f>
        <v>0</v>
      </c>
      <c r="H23" s="124" cm="1">
        <f t="array" ref="H23">+_xll.EQNXTDZ($A$1,$B23,H$1,$B$1)</f>
        <v>0</v>
      </c>
      <c r="I23" s="124" cm="1">
        <f t="array" ref="I23">+_xll.EQNXTDZ($A$1,$B23,I$1,$B$1)</f>
        <v>0</v>
      </c>
      <c r="J23" s="124" cm="1">
        <f t="array" ref="J23">+_xll.EQNXTDZ($A$1,$B23,J$1,$B$1)</f>
        <v>0</v>
      </c>
      <c r="K23" s="124" cm="1">
        <f t="array" ref="K23">+_xll.EQNXTDZ($A$1,$B23,K$1,$B$1)</f>
        <v>0</v>
      </c>
      <c r="L23" s="124" cm="1">
        <f t="array" ref="L23">+_xll.EQNXTDZ($A$1,$B23,L$1,$B$1)</f>
        <v>0</v>
      </c>
      <c r="M23" s="124" cm="1">
        <f t="array" ref="M23">+_xll.EQNXTDZ($A$1,$B23,M$1,$B$1)</f>
        <v>0</v>
      </c>
      <c r="N23" s="124" cm="1">
        <f t="array" ref="N23">+_xll.EQNXTDZ($A$1,$B23,N$1,$B$1)</f>
        <v>0</v>
      </c>
      <c r="O23" s="124" cm="1">
        <f t="array" ref="O23">+_xll.EQNXTDZ($A$1,$B23,O$1,$B$1)</f>
        <v>0</v>
      </c>
      <c r="P23" s="124" cm="1">
        <f t="array" ref="P23">+_xll.EQNXTDZ($A$1,$B23,P$1,$B$1)</f>
        <v>0</v>
      </c>
      <c r="Q23" s="124" cm="1">
        <f t="array" ref="Q23">+_xll.EQNXTDZ($A$1,$B23,Q$1,$B$1)</f>
        <v>0</v>
      </c>
      <c r="R23" s="124" cm="1">
        <f t="array" ref="R23">+_xll.EQNXTDZ($A$1,$B23,R$1,$B$1)</f>
        <v>0</v>
      </c>
      <c r="S23" s="124" cm="1">
        <f t="array" ref="S23">+_xll.EQNXTDZ($A$1,$B23,S$1,$B$1)</f>
        <v>0</v>
      </c>
      <c r="T23" s="124" cm="1">
        <f t="array" ref="T23">+_xll.EQNXTDZ($A$1,$B23,T$1,$B$1)</f>
        <v>0</v>
      </c>
      <c r="U23" s="124" cm="1">
        <f t="array" ref="U23">+_xll.EQNXTDZ($A$1,$B23,U$1,$B$1)</f>
        <v>0</v>
      </c>
      <c r="V23" s="124" cm="1">
        <f t="array" ref="V23">+_xll.EQNXTDZ($A$1,$B23,V$1,$B$1)</f>
        <v>0</v>
      </c>
      <c r="W23" s="124" cm="1">
        <f t="array" ref="W23">+_xll.EQNXTDZ($A$1,$B23,W$1,$B$1)</f>
        <v>0</v>
      </c>
      <c r="X23" s="124" cm="1">
        <f t="array" ref="X23">+_xll.EQNXTDZ($A$1,$B23,X$1,$B$1)</f>
        <v>0</v>
      </c>
      <c r="Y23" s="124" cm="1">
        <f t="array" ref="Y23">+_xll.EQNXTDZ($A$1,$B23,Y$1,$B$1)</f>
        <v>0</v>
      </c>
      <c r="Z23" s="124" cm="1">
        <f t="array" ref="Z23">+_xll.EQNXTDZ($A$1,$B23,Z$1,$B$1)</f>
        <v>0</v>
      </c>
      <c r="AA23" s="124" cm="1">
        <f t="array" ref="AA23">+_xll.EQNXTDZ($A$1,$B23,AA$1,$B$1)</f>
        <v>0</v>
      </c>
      <c r="AB23" s="124" cm="1">
        <f t="array" ref="AB23">+_xll.EQNXTDZ($A$1,$B23,AB$1,$B$1)</f>
        <v>0</v>
      </c>
      <c r="AC23" s="124" cm="1">
        <f t="array" ref="AC23">+_xll.EQNXTDZ($A$1,$B23,AC$1,$B$1)</f>
        <v>0</v>
      </c>
      <c r="AD23" s="124" cm="1">
        <f t="array" ref="AD23">+_xll.EQNXTDZ($A$1,$B23,AD$1,$B$1)</f>
        <v>0</v>
      </c>
      <c r="AE23" s="124" cm="1">
        <f t="array" ref="AE23">+_xll.EQNXTDZ($A$1,$B23,AE$1,$B$1)</f>
        <v>0</v>
      </c>
      <c r="AF23" s="124" cm="1">
        <f t="array" ref="AF23">+_xll.EQNXTDZ($A$1,$B23,AF$1,$B$1)</f>
        <v>0</v>
      </c>
      <c r="AG23" s="124" cm="1">
        <f t="array" ref="AG23">+_xll.EQNXTDZ($A$1,$B23,AG$1,$B$1)</f>
        <v>0</v>
      </c>
      <c r="AH23" s="124" cm="1">
        <f t="array" ref="AH23">+_xll.EQNXTDZ($A$1,$B23,AH$1,$B$1)</f>
        <v>0</v>
      </c>
      <c r="AI23" s="124" cm="1">
        <f t="array" ref="AI23">+_xll.EQNXTDZ($A$1,$B23,AI$1,$B$1)</f>
        <v>0</v>
      </c>
      <c r="AJ23" s="124" cm="1">
        <f t="array" ref="AJ23">+_xll.EQNXTDZ($A$1,$B23,AJ$1,$B$1)</f>
        <v>0</v>
      </c>
      <c r="AK23" s="124" cm="1">
        <f t="array" ref="AK23">+_xll.EQNXTDZ($A$1,$B23,AK$1,$B$1)</f>
        <v>0</v>
      </c>
      <c r="AL23" s="124" cm="1">
        <f t="array" ref="AL23">+_xll.EQNXTDZ($A$1,$B23,AL$1,$B$1)</f>
        <v>0</v>
      </c>
      <c r="AM23" s="124" cm="1">
        <f t="array" ref="AM23">+_xll.EQNXTDZ($A$1,$B23,AM$1,$B$1)</f>
        <v>0</v>
      </c>
      <c r="AN23" s="124" cm="1">
        <f t="array" ref="AN23">+_xll.EQNXTDZ($A$1,$B23,AN$1,$B$1)</f>
        <v>0</v>
      </c>
      <c r="AO23" s="124" cm="1">
        <f t="array" ref="AO23">+_xll.EQNXTDZ($A$1,$B23,AO$1,$B$1)</f>
        <v>0</v>
      </c>
      <c r="AP23" s="124" cm="1">
        <f t="array" ref="AP23">+_xll.EQNXTDZ($A$1,$B23,AP$1,$B$1)</f>
        <v>0</v>
      </c>
      <c r="AQ23" s="124" cm="1">
        <f t="array" ref="AQ23">+_xll.EQNXTDZ($A$1,$B23,AQ$1,$B$1)</f>
        <v>0</v>
      </c>
      <c r="AR23" s="124" cm="1">
        <f t="array" ref="AR23">+_xll.EQNXTDZ($A$1,$B23,AR$1,$B$1)</f>
        <v>0</v>
      </c>
      <c r="AS23" s="124" cm="1">
        <f t="array" ref="AS23">+_xll.EQNXTDZ($A$1,$B23,AS$1,$B$1)</f>
        <v>0</v>
      </c>
      <c r="AT23" s="124" cm="1">
        <f t="array" ref="AT23">+_xll.EQNXTDZ($A$1,$B23,AT$1,$B$1)</f>
        <v>0</v>
      </c>
      <c r="AU23" s="124" cm="1">
        <f t="array" ref="AU23">+_xll.EQNXTDZ($A$1,$B23,AU$1,$B$1)</f>
        <v>0</v>
      </c>
      <c r="AV23" s="124" cm="1">
        <f t="array" ref="AV23">+_xll.EQNXTDZ($A$1,$B23,AV$1,$B$1)</f>
        <v>0</v>
      </c>
      <c r="AW23" s="124" cm="1">
        <f t="array" ref="AW23">+_xll.EQNXTDZ($A$1,$B23,AW$1,$B$1)</f>
        <v>0</v>
      </c>
      <c r="AX23" s="124" cm="1">
        <f t="array" ref="AX23">+_xll.EQNXTDZ($A$1,$B23,AX$1,$B$1)</f>
        <v>0</v>
      </c>
      <c r="AY23" s="124" cm="1">
        <f t="array" ref="AY23">+_xll.EQNXTDZ($A$1,$B23,AY$1,$B$1)</f>
        <v>0</v>
      </c>
      <c r="AZ23" s="124" cm="1">
        <f t="array" ref="AZ23">+_xll.EQNXTDZ($A$1,$B23,AZ$1,$B$1)</f>
        <v>0</v>
      </c>
      <c r="BA23" s="124" cm="1">
        <f t="array" ref="BA23">+_xll.EQNXTDZ($A$1,$B23,BA$1,$B$1)</f>
        <v>0</v>
      </c>
      <c r="BB23" s="124" cm="1">
        <f t="array" ref="BB23">+_xll.EQNXTDZ($A$1,$B23,BB$1,$B$1)</f>
        <v>0</v>
      </c>
      <c r="BC23" s="124" cm="1">
        <f t="array" ref="BC23">+_xll.EQNXTDZ($A$1,$B23,BC$1,$B$1)</f>
        <v>0</v>
      </c>
      <c r="BD23" s="124" cm="1">
        <f t="array" ref="BD23">+_xll.EQNXTDZ($A$1,$B23,BD$1,$B$1)</f>
        <v>0</v>
      </c>
      <c r="BE23" s="124" cm="1">
        <f t="array" ref="BE23">+_xll.EQNXTDZ($A$1,$B23,BE$1,$B$1)</f>
        <v>0</v>
      </c>
      <c r="BF23" s="124" cm="1">
        <f t="array" ref="BF23">+_xll.EQNXTDZ($A$1,$B23,BF$1,$B$1)</f>
        <v>0</v>
      </c>
      <c r="BG23" s="124" cm="1">
        <f t="array" ref="BG23">+_xll.EQNXTDZ($A$1,$B23,BG$1,$B$1)</f>
        <v>0</v>
      </c>
      <c r="BH23" s="124" cm="1">
        <f t="array" ref="BH23">+_xll.EQNXTDZ($A$1,$B23,BH$1,$B$1)</f>
        <v>0</v>
      </c>
      <c r="BI23" s="124" cm="1">
        <f t="array" ref="BI23">+_xll.EQNXTDZ($A$1,$B23,BI$1,$B$1)</f>
        <v>0</v>
      </c>
      <c r="BJ23" s="124" cm="1">
        <f t="array" ref="BJ23">+_xll.EQNXTDZ($A$1,$B23,BJ$1,$B$1)</f>
        <v>0</v>
      </c>
      <c r="BK23" s="124" cm="1">
        <f t="array" ref="BK23">+_xll.EQNXTDZ($A$1,$B23,BK$1,$B$1)</f>
        <v>0</v>
      </c>
    </row>
    <row r="24" spans="1:63" x14ac:dyDescent="0.25">
      <c r="A24" t="s">
        <v>194</v>
      </c>
      <c r="B24" t="s">
        <v>300</v>
      </c>
      <c r="C24" s="124" cm="1">
        <f t="array" ref="C24">+_xll.EQNXTDZ($A$1,$B24,C$1,$B$1)</f>
        <v>0</v>
      </c>
      <c r="D24" s="124" cm="1">
        <f t="array" ref="D24">+_xll.EQNXTDZ($A$1,$B24,D$1,$B$1)</f>
        <v>0</v>
      </c>
      <c r="E24" s="124" cm="1">
        <f t="array" ref="E24">+_xll.EQNXTDZ($A$1,$B24,E$1,$B$1)</f>
        <v>0</v>
      </c>
      <c r="F24" s="124" cm="1">
        <f t="array" ref="F24">+_xll.EQNXTDZ($A$1,$B24,F$1,$B$1)</f>
        <v>0</v>
      </c>
      <c r="G24" s="124" cm="1">
        <f t="array" ref="G24">+_xll.EQNXTDZ($A$1,$B24,G$1,$B$1)</f>
        <v>0</v>
      </c>
      <c r="H24" s="124" cm="1">
        <f t="array" ref="H24">+_xll.EQNXTDZ($A$1,$B24,H$1,$B$1)</f>
        <v>0</v>
      </c>
      <c r="I24" s="124" cm="1">
        <f t="array" ref="I24">+_xll.EQNXTDZ($A$1,$B24,I$1,$B$1)</f>
        <v>0</v>
      </c>
      <c r="J24" s="124" cm="1">
        <f t="array" ref="J24">+_xll.EQNXTDZ($A$1,$B24,J$1,$B$1)</f>
        <v>0</v>
      </c>
      <c r="K24" s="124" cm="1">
        <f t="array" ref="K24">+_xll.EQNXTDZ($A$1,$B24,K$1,$B$1)</f>
        <v>0</v>
      </c>
      <c r="L24" s="124" cm="1">
        <f t="array" ref="L24">+_xll.EQNXTDZ($A$1,$B24,L$1,$B$1)</f>
        <v>0</v>
      </c>
      <c r="M24" s="124" cm="1">
        <f t="array" ref="M24">+_xll.EQNXTDZ($A$1,$B24,M$1,$B$1)</f>
        <v>0</v>
      </c>
      <c r="N24" s="124" cm="1">
        <f t="array" ref="N24">+_xll.EQNXTDZ($A$1,$B24,N$1,$B$1)</f>
        <v>0</v>
      </c>
      <c r="O24" s="124" cm="1">
        <f t="array" ref="O24">+_xll.EQNXTDZ($A$1,$B24,O$1,$B$1)</f>
        <v>0</v>
      </c>
      <c r="P24" s="124" cm="1">
        <f t="array" ref="P24">+_xll.EQNXTDZ($A$1,$B24,P$1,$B$1)</f>
        <v>0</v>
      </c>
      <c r="Q24" s="124" cm="1">
        <f t="array" ref="Q24">+_xll.EQNXTDZ($A$1,$B24,Q$1,$B$1)</f>
        <v>0</v>
      </c>
      <c r="R24" s="124" cm="1">
        <f t="array" ref="R24">+_xll.EQNXTDZ($A$1,$B24,R$1,$B$1)</f>
        <v>0</v>
      </c>
      <c r="S24" s="124" cm="1">
        <f t="array" ref="S24">+_xll.EQNXTDZ($A$1,$B24,S$1,$B$1)</f>
        <v>0</v>
      </c>
      <c r="T24" s="124" cm="1">
        <f t="array" ref="T24">+_xll.EQNXTDZ($A$1,$B24,T$1,$B$1)</f>
        <v>0</v>
      </c>
      <c r="U24" s="124" cm="1">
        <f t="array" ref="U24">+_xll.EQNXTDZ($A$1,$B24,U$1,$B$1)</f>
        <v>0</v>
      </c>
      <c r="V24" s="124" cm="1">
        <f t="array" ref="V24">+_xll.EQNXTDZ($A$1,$B24,V$1,$B$1)</f>
        <v>0</v>
      </c>
      <c r="W24" s="124" cm="1">
        <f t="array" ref="W24">+_xll.EQNXTDZ($A$1,$B24,W$1,$B$1)</f>
        <v>0</v>
      </c>
      <c r="X24" s="124" cm="1">
        <f t="array" ref="X24">+_xll.EQNXTDZ($A$1,$B24,X$1,$B$1)</f>
        <v>0</v>
      </c>
      <c r="Y24" s="124" cm="1">
        <f t="array" ref="Y24">+_xll.EQNXTDZ($A$1,$B24,Y$1,$B$1)</f>
        <v>0</v>
      </c>
      <c r="Z24" s="124" cm="1">
        <f t="array" ref="Z24">+_xll.EQNXTDZ($A$1,$B24,Z$1,$B$1)</f>
        <v>0</v>
      </c>
      <c r="AA24" s="124" cm="1">
        <f t="array" ref="AA24">+_xll.EQNXTDZ($A$1,$B24,AA$1,$B$1)</f>
        <v>0</v>
      </c>
      <c r="AB24" s="124" cm="1">
        <f t="array" ref="AB24">+_xll.EQNXTDZ($A$1,$B24,AB$1,$B$1)</f>
        <v>0</v>
      </c>
      <c r="AC24" s="124" cm="1">
        <f t="array" ref="AC24">+_xll.EQNXTDZ($A$1,$B24,AC$1,$B$1)</f>
        <v>0</v>
      </c>
      <c r="AD24" s="124" cm="1">
        <f t="array" ref="AD24">+_xll.EQNXTDZ($A$1,$B24,AD$1,$B$1)</f>
        <v>0</v>
      </c>
      <c r="AE24" s="124" cm="1">
        <f t="array" ref="AE24">+_xll.EQNXTDZ($A$1,$B24,AE$1,$B$1)</f>
        <v>0</v>
      </c>
      <c r="AF24" s="124" cm="1">
        <f t="array" ref="AF24">+_xll.EQNXTDZ($A$1,$B24,AF$1,$B$1)</f>
        <v>0</v>
      </c>
      <c r="AG24" s="124" cm="1">
        <f t="array" ref="AG24">+_xll.EQNXTDZ($A$1,$B24,AG$1,$B$1)</f>
        <v>0</v>
      </c>
      <c r="AH24" s="124" cm="1">
        <f t="array" ref="AH24">+_xll.EQNXTDZ($A$1,$B24,AH$1,$B$1)</f>
        <v>0</v>
      </c>
      <c r="AI24" s="124" cm="1">
        <f t="array" ref="AI24">+_xll.EQNXTDZ($A$1,$B24,AI$1,$B$1)</f>
        <v>0</v>
      </c>
      <c r="AJ24" s="124" cm="1">
        <f t="array" ref="AJ24">+_xll.EQNXTDZ($A$1,$B24,AJ$1,$B$1)</f>
        <v>0</v>
      </c>
      <c r="AK24" s="124" cm="1">
        <f t="array" ref="AK24">+_xll.EQNXTDZ($A$1,$B24,AK$1,$B$1)</f>
        <v>0</v>
      </c>
      <c r="AL24" s="124" cm="1">
        <f t="array" ref="AL24">+_xll.EQNXTDZ($A$1,$B24,AL$1,$B$1)</f>
        <v>0</v>
      </c>
      <c r="AM24" s="124" cm="1">
        <f t="array" ref="AM24">+_xll.EQNXTDZ($A$1,$B24,AM$1,$B$1)</f>
        <v>0</v>
      </c>
      <c r="AN24" s="124" cm="1">
        <f t="array" ref="AN24">+_xll.EQNXTDZ($A$1,$B24,AN$1,$B$1)</f>
        <v>0</v>
      </c>
      <c r="AO24" s="124" cm="1">
        <f t="array" ref="AO24">+_xll.EQNXTDZ($A$1,$B24,AO$1,$B$1)</f>
        <v>0</v>
      </c>
      <c r="AP24" s="124" cm="1">
        <f t="array" ref="AP24">+_xll.EQNXTDZ($A$1,$B24,AP$1,$B$1)</f>
        <v>0</v>
      </c>
      <c r="AQ24" s="124" cm="1">
        <f t="array" ref="AQ24">+_xll.EQNXTDZ($A$1,$B24,AQ$1,$B$1)</f>
        <v>0</v>
      </c>
      <c r="AR24" s="124" cm="1">
        <f t="array" ref="AR24">+_xll.EQNXTDZ($A$1,$B24,AR$1,$B$1)</f>
        <v>0</v>
      </c>
      <c r="AS24" s="124" cm="1">
        <f t="array" ref="AS24">+_xll.EQNXTDZ($A$1,$B24,AS$1,$B$1)</f>
        <v>0</v>
      </c>
      <c r="AT24" s="124" cm="1">
        <f t="array" ref="AT24">+_xll.EQNXTDZ($A$1,$B24,AT$1,$B$1)</f>
        <v>0</v>
      </c>
      <c r="AU24" s="124" cm="1">
        <f t="array" ref="AU24">+_xll.EQNXTDZ($A$1,$B24,AU$1,$B$1)</f>
        <v>0</v>
      </c>
      <c r="AV24" s="124" cm="1">
        <f t="array" ref="AV24">+_xll.EQNXTDZ($A$1,$B24,AV$1,$B$1)</f>
        <v>0</v>
      </c>
      <c r="AW24" s="124" cm="1">
        <f t="array" ref="AW24">+_xll.EQNXTDZ($A$1,$B24,AW$1,$B$1)</f>
        <v>0</v>
      </c>
      <c r="AX24" s="124" cm="1">
        <f t="array" ref="AX24">+_xll.EQNXTDZ($A$1,$B24,AX$1,$B$1)</f>
        <v>0</v>
      </c>
      <c r="AY24" s="124" cm="1">
        <f t="array" ref="AY24">+_xll.EQNXTDZ($A$1,$B24,AY$1,$B$1)</f>
        <v>0</v>
      </c>
      <c r="AZ24" s="124" cm="1">
        <f t="array" ref="AZ24">+_xll.EQNXTDZ($A$1,$B24,AZ$1,$B$1)</f>
        <v>0</v>
      </c>
      <c r="BA24" s="124" cm="1">
        <f t="array" ref="BA24">+_xll.EQNXTDZ($A$1,$B24,BA$1,$B$1)</f>
        <v>0</v>
      </c>
      <c r="BB24" s="124" cm="1">
        <f t="array" ref="BB24">+_xll.EQNXTDZ($A$1,$B24,BB$1,$B$1)</f>
        <v>0</v>
      </c>
      <c r="BC24" s="124" cm="1">
        <f t="array" ref="BC24">+_xll.EQNXTDZ($A$1,$B24,BC$1,$B$1)</f>
        <v>0</v>
      </c>
      <c r="BD24" s="124" cm="1">
        <f t="array" ref="BD24">+_xll.EQNXTDZ($A$1,$B24,BD$1,$B$1)</f>
        <v>0</v>
      </c>
      <c r="BE24" s="124" cm="1">
        <f t="array" ref="BE24">+_xll.EQNXTDZ($A$1,$B24,BE$1,$B$1)</f>
        <v>0</v>
      </c>
      <c r="BF24" s="124" cm="1">
        <f t="array" ref="BF24">+_xll.EQNXTDZ($A$1,$B24,BF$1,$B$1)</f>
        <v>0</v>
      </c>
      <c r="BG24" s="124" cm="1">
        <f t="array" ref="BG24">+_xll.EQNXTDZ($A$1,$B24,BG$1,$B$1)</f>
        <v>0</v>
      </c>
      <c r="BH24" s="124" cm="1">
        <f t="array" ref="BH24">+_xll.EQNXTDZ($A$1,$B24,BH$1,$B$1)</f>
        <v>0</v>
      </c>
      <c r="BI24" s="124" cm="1">
        <f t="array" ref="BI24">+_xll.EQNXTDZ($A$1,$B24,BI$1,$B$1)</f>
        <v>0</v>
      </c>
      <c r="BJ24" s="124" cm="1">
        <f t="array" ref="BJ24">+_xll.EQNXTDZ($A$1,$B24,BJ$1,$B$1)</f>
        <v>0</v>
      </c>
      <c r="BK24" s="124" cm="1">
        <f t="array" ref="BK24">+_xll.EQNXTDZ($A$1,$B24,BK$1,$B$1)</f>
        <v>0</v>
      </c>
    </row>
    <row r="25" spans="1:63" x14ac:dyDescent="0.25">
      <c r="A25" t="s">
        <v>467</v>
      </c>
      <c r="B25" t="s">
        <v>468</v>
      </c>
      <c r="C25" s="124" cm="1">
        <f t="array" ref="C25">+_xll.EQNXTDZ($A$1,$B25,C$1,$B$1)</f>
        <v>0</v>
      </c>
      <c r="D25" s="124" cm="1">
        <f t="array" ref="D25">+_xll.EQNXTDZ($A$1,$B25,D$1,$B$1)</f>
        <v>0</v>
      </c>
      <c r="E25" s="124" cm="1">
        <f t="array" ref="E25">+_xll.EQNXTDZ($A$1,$B25,E$1,$B$1)</f>
        <v>0</v>
      </c>
      <c r="F25" s="124" cm="1">
        <f t="array" ref="F25">+_xll.EQNXTDZ($A$1,$B25,F$1,$B$1)</f>
        <v>0</v>
      </c>
      <c r="G25" s="124" cm="1">
        <f t="array" ref="G25">+_xll.EQNXTDZ($A$1,$B25,G$1,$B$1)</f>
        <v>0</v>
      </c>
      <c r="H25" s="124" cm="1">
        <f t="array" ref="H25">+_xll.EQNXTDZ($A$1,$B25,H$1,$B$1)</f>
        <v>0</v>
      </c>
      <c r="I25" s="124" cm="1">
        <f t="array" ref="I25">+_xll.EQNXTDZ($A$1,$B25,I$1,$B$1)</f>
        <v>0</v>
      </c>
      <c r="J25" s="124" cm="1">
        <f t="array" ref="J25">+_xll.EQNXTDZ($A$1,$B25,J$1,$B$1)</f>
        <v>0</v>
      </c>
      <c r="K25" s="124" cm="1">
        <f t="array" ref="K25">+_xll.EQNXTDZ($A$1,$B25,K$1,$B$1)</f>
        <v>0</v>
      </c>
      <c r="L25" s="124" cm="1">
        <f t="array" ref="L25">+_xll.EQNXTDZ($A$1,$B25,L$1,$B$1)</f>
        <v>0</v>
      </c>
      <c r="M25" s="124" cm="1">
        <f t="array" ref="M25">+_xll.EQNXTDZ($A$1,$B25,M$1,$B$1)</f>
        <v>0</v>
      </c>
      <c r="N25" s="124" cm="1">
        <f t="array" ref="N25">+_xll.EQNXTDZ($A$1,$B25,N$1,$B$1)</f>
        <v>0</v>
      </c>
      <c r="O25" s="124" cm="1">
        <f t="array" ref="O25">+_xll.EQNXTDZ($A$1,$B25,O$1,$B$1)</f>
        <v>0</v>
      </c>
      <c r="P25" s="124" cm="1">
        <f t="array" ref="P25">+_xll.EQNXTDZ($A$1,$B25,P$1,$B$1)</f>
        <v>0</v>
      </c>
      <c r="Q25" s="124" cm="1">
        <f t="array" ref="Q25">+_xll.EQNXTDZ($A$1,$B25,Q$1,$B$1)</f>
        <v>0</v>
      </c>
      <c r="R25" s="124" cm="1">
        <f t="array" ref="R25">+_xll.EQNXTDZ($A$1,$B25,R$1,$B$1)</f>
        <v>0</v>
      </c>
      <c r="S25" s="124" cm="1">
        <f t="array" ref="S25">+_xll.EQNXTDZ($A$1,$B25,S$1,$B$1)</f>
        <v>0</v>
      </c>
      <c r="T25" s="124" cm="1">
        <f t="array" ref="T25">+_xll.EQNXTDZ($A$1,$B25,T$1,$B$1)</f>
        <v>0</v>
      </c>
      <c r="U25" s="124" cm="1">
        <f t="array" ref="U25">+_xll.EQNXTDZ($A$1,$B25,U$1,$B$1)</f>
        <v>0</v>
      </c>
      <c r="V25" s="124" cm="1">
        <f t="array" ref="V25">+_xll.EQNXTDZ($A$1,$B25,V$1,$B$1)</f>
        <v>0</v>
      </c>
      <c r="W25" s="124" cm="1">
        <f t="array" ref="W25">+_xll.EQNXTDZ($A$1,$B25,W$1,$B$1)</f>
        <v>0</v>
      </c>
      <c r="X25" s="124" cm="1">
        <f t="array" ref="X25">+_xll.EQNXTDZ($A$1,$B25,X$1,$B$1)</f>
        <v>0</v>
      </c>
      <c r="Y25" s="124" cm="1">
        <f t="array" ref="Y25">+_xll.EQNXTDZ($A$1,$B25,Y$1,$B$1)</f>
        <v>0</v>
      </c>
      <c r="Z25" s="124" cm="1">
        <f t="array" ref="Z25">+_xll.EQNXTDZ($A$1,$B25,Z$1,$B$1)</f>
        <v>0</v>
      </c>
      <c r="AA25" s="124" cm="1">
        <f t="array" ref="AA25">+_xll.EQNXTDZ($A$1,$B25,AA$1,$B$1)</f>
        <v>0</v>
      </c>
      <c r="AB25" s="124" cm="1">
        <f t="array" ref="AB25">+_xll.EQNXTDZ($A$1,$B25,AB$1,$B$1)</f>
        <v>0</v>
      </c>
      <c r="AC25" s="124" cm="1">
        <f t="array" ref="AC25">+_xll.EQNXTDZ($A$1,$B25,AC$1,$B$1)</f>
        <v>0</v>
      </c>
      <c r="AD25" s="124" cm="1">
        <f t="array" ref="AD25">+_xll.EQNXTDZ($A$1,$B25,AD$1,$B$1)</f>
        <v>0</v>
      </c>
      <c r="AE25" s="124" cm="1">
        <f t="array" ref="AE25">+_xll.EQNXTDZ($A$1,$B25,AE$1,$B$1)</f>
        <v>0</v>
      </c>
      <c r="AF25" s="124" cm="1">
        <f t="array" ref="AF25">+_xll.EQNXTDZ($A$1,$B25,AF$1,$B$1)</f>
        <v>0</v>
      </c>
      <c r="AG25" s="124" cm="1">
        <f t="array" ref="AG25">+_xll.EQNXTDZ($A$1,$B25,AG$1,$B$1)</f>
        <v>0</v>
      </c>
      <c r="AH25" s="124" cm="1">
        <f t="array" ref="AH25">+_xll.EQNXTDZ($A$1,$B25,AH$1,$B$1)</f>
        <v>0</v>
      </c>
      <c r="AI25" s="124" cm="1">
        <f t="array" ref="AI25">+_xll.EQNXTDZ($A$1,$B25,AI$1,$B$1)</f>
        <v>0</v>
      </c>
      <c r="AJ25" s="124" cm="1">
        <f t="array" ref="AJ25">+_xll.EQNXTDZ($A$1,$B25,AJ$1,$B$1)</f>
        <v>0</v>
      </c>
      <c r="AK25" s="124" cm="1">
        <f t="array" ref="AK25">+_xll.EQNXTDZ($A$1,$B25,AK$1,$B$1)</f>
        <v>0</v>
      </c>
      <c r="AL25" s="124" cm="1">
        <f t="array" ref="AL25">+_xll.EQNXTDZ($A$1,$B25,AL$1,$B$1)</f>
        <v>0</v>
      </c>
      <c r="AM25" s="124" cm="1">
        <f t="array" ref="AM25">+_xll.EQNXTDZ($A$1,$B25,AM$1,$B$1)</f>
        <v>0</v>
      </c>
      <c r="AN25" s="124" cm="1">
        <f t="array" ref="AN25">+_xll.EQNXTDZ($A$1,$B25,AN$1,$B$1)</f>
        <v>0</v>
      </c>
      <c r="AO25" s="124" cm="1">
        <f t="array" ref="AO25">+_xll.EQNXTDZ($A$1,$B25,AO$1,$B$1)</f>
        <v>0</v>
      </c>
      <c r="AP25" s="124" cm="1">
        <f t="array" ref="AP25">+_xll.EQNXTDZ($A$1,$B25,AP$1,$B$1)</f>
        <v>0</v>
      </c>
      <c r="AQ25" s="124" cm="1">
        <f t="array" ref="AQ25">+_xll.EQNXTDZ($A$1,$B25,AQ$1,$B$1)</f>
        <v>0</v>
      </c>
      <c r="AR25" s="124" cm="1">
        <f t="array" ref="AR25">+_xll.EQNXTDZ($A$1,$B25,AR$1,$B$1)</f>
        <v>0</v>
      </c>
      <c r="AS25" s="124" cm="1">
        <f t="array" ref="AS25">+_xll.EQNXTDZ($A$1,$B25,AS$1,$B$1)</f>
        <v>0</v>
      </c>
      <c r="AT25" s="124" cm="1">
        <f t="array" ref="AT25">+_xll.EQNXTDZ($A$1,$B25,AT$1,$B$1)</f>
        <v>0</v>
      </c>
      <c r="AU25" s="124" cm="1">
        <f t="array" ref="AU25">+_xll.EQNXTDZ($A$1,$B25,AU$1,$B$1)</f>
        <v>0</v>
      </c>
      <c r="AV25" s="124" cm="1">
        <f t="array" ref="AV25">+_xll.EQNXTDZ($A$1,$B25,AV$1,$B$1)</f>
        <v>0</v>
      </c>
      <c r="AW25" s="124" cm="1">
        <f t="array" ref="AW25">+_xll.EQNXTDZ($A$1,$B25,AW$1,$B$1)</f>
        <v>0</v>
      </c>
      <c r="AX25" s="124" cm="1">
        <f t="array" ref="AX25">+_xll.EQNXTDZ($A$1,$B25,AX$1,$B$1)</f>
        <v>0</v>
      </c>
      <c r="AY25" s="124" cm="1">
        <f t="array" ref="AY25">+_xll.EQNXTDZ($A$1,$B25,AY$1,$B$1)</f>
        <v>0</v>
      </c>
      <c r="AZ25" s="124" cm="1">
        <f t="array" ref="AZ25">+_xll.EQNXTDZ($A$1,$B25,AZ$1,$B$1)</f>
        <v>0</v>
      </c>
      <c r="BA25" s="124" cm="1">
        <f t="array" ref="BA25">+_xll.EQNXTDZ($A$1,$B25,BA$1,$B$1)</f>
        <v>0</v>
      </c>
      <c r="BB25" s="124" cm="1">
        <f t="array" ref="BB25">+_xll.EQNXTDZ($A$1,$B25,BB$1,$B$1)</f>
        <v>0</v>
      </c>
      <c r="BC25" s="124" cm="1">
        <f t="array" ref="BC25">+_xll.EQNXTDZ($A$1,$B25,BC$1,$B$1)</f>
        <v>0</v>
      </c>
      <c r="BD25" s="124" cm="1">
        <f t="array" ref="BD25">+_xll.EQNXTDZ($A$1,$B25,BD$1,$B$1)</f>
        <v>0</v>
      </c>
      <c r="BE25" s="124" cm="1">
        <f t="array" ref="BE25">+_xll.EQNXTDZ($A$1,$B25,BE$1,$B$1)</f>
        <v>0</v>
      </c>
      <c r="BF25" s="124" cm="1">
        <f t="array" ref="BF25">+_xll.EQNXTDZ($A$1,$B25,BF$1,$B$1)</f>
        <v>0</v>
      </c>
      <c r="BG25" s="124" cm="1">
        <f t="array" ref="BG25">+_xll.EQNXTDZ($A$1,$B25,BG$1,$B$1)</f>
        <v>0</v>
      </c>
      <c r="BH25" s="124" cm="1">
        <f t="array" ref="BH25">+_xll.EQNXTDZ($A$1,$B25,BH$1,$B$1)</f>
        <v>0</v>
      </c>
      <c r="BI25" s="124" cm="1">
        <f t="array" ref="BI25">+_xll.EQNXTDZ($A$1,$B25,BI$1,$B$1)</f>
        <v>0</v>
      </c>
      <c r="BJ25" s="124" cm="1">
        <f t="array" ref="BJ25">+_xll.EQNXTDZ($A$1,$B25,BJ$1,$B$1)</f>
        <v>0</v>
      </c>
      <c r="BK25" s="124" cm="1">
        <f t="array" ref="BK25">+_xll.EQNXTDZ($A$1,$B25,BK$1,$B$1)</f>
        <v>0</v>
      </c>
    </row>
    <row r="26" spans="1:63" x14ac:dyDescent="0.25">
      <c r="A26" t="s">
        <v>59</v>
      </c>
      <c r="B26" t="s">
        <v>290</v>
      </c>
      <c r="C26" s="124" cm="1">
        <f t="array" ref="C26">+_xll.EQNXTDZ($A$1,$B26,C$1,$B$1)</f>
        <v>0</v>
      </c>
      <c r="D26" s="124" cm="1">
        <f t="array" ref="D26">+_xll.EQNXTDZ($A$1,$B26,D$1,$B$1)</f>
        <v>0</v>
      </c>
      <c r="E26" s="124" cm="1">
        <f t="array" ref="E26">+_xll.EQNXTDZ($A$1,$B26,E$1,$B$1)</f>
        <v>0</v>
      </c>
      <c r="F26" s="124" cm="1">
        <f t="array" ref="F26">+_xll.EQNXTDZ($A$1,$B26,F$1,$B$1)</f>
        <v>0</v>
      </c>
      <c r="G26" s="124" cm="1">
        <f t="array" ref="G26">+_xll.EQNXTDZ($A$1,$B26,G$1,$B$1)</f>
        <v>0</v>
      </c>
      <c r="H26" s="124" cm="1">
        <f t="array" ref="H26">+_xll.EQNXTDZ($A$1,$B26,H$1,$B$1)</f>
        <v>0</v>
      </c>
      <c r="I26" s="124" cm="1">
        <f t="array" ref="I26">+_xll.EQNXTDZ($A$1,$B26,I$1,$B$1)</f>
        <v>0</v>
      </c>
      <c r="J26" s="124" cm="1">
        <f t="array" ref="J26">+_xll.EQNXTDZ($A$1,$B26,J$1,$B$1)</f>
        <v>0</v>
      </c>
      <c r="K26" s="124" cm="1">
        <f t="array" ref="K26">+_xll.EQNXTDZ($A$1,$B26,K$1,$B$1)</f>
        <v>0</v>
      </c>
      <c r="L26" s="124" cm="1">
        <f t="array" ref="L26">+_xll.EQNXTDZ($A$1,$B26,L$1,$B$1)</f>
        <v>0</v>
      </c>
      <c r="M26" s="124" cm="1">
        <f t="array" ref="M26">+_xll.EQNXTDZ($A$1,$B26,M$1,$B$1)</f>
        <v>0</v>
      </c>
      <c r="N26" s="124" cm="1">
        <f t="array" ref="N26">+_xll.EQNXTDZ($A$1,$B26,N$1,$B$1)</f>
        <v>0</v>
      </c>
      <c r="O26" s="124" cm="1">
        <f t="array" ref="O26">+_xll.EQNXTDZ($A$1,$B26,O$1,$B$1)</f>
        <v>0</v>
      </c>
      <c r="P26" s="124" cm="1">
        <f t="array" ref="P26">+_xll.EQNXTDZ($A$1,$B26,P$1,$B$1)</f>
        <v>0</v>
      </c>
      <c r="Q26" s="124" cm="1">
        <f t="array" ref="Q26">+_xll.EQNXTDZ($A$1,$B26,Q$1,$B$1)</f>
        <v>0</v>
      </c>
      <c r="R26" s="124" cm="1">
        <f t="array" ref="R26">+_xll.EQNXTDZ($A$1,$B26,R$1,$B$1)</f>
        <v>0</v>
      </c>
      <c r="S26" s="124" cm="1">
        <f t="array" ref="S26">+_xll.EQNXTDZ($A$1,$B26,S$1,$B$1)</f>
        <v>0</v>
      </c>
      <c r="T26" s="124" cm="1">
        <f t="array" ref="T26">+_xll.EQNXTDZ($A$1,$B26,T$1,$B$1)</f>
        <v>0</v>
      </c>
      <c r="U26" s="124" cm="1">
        <f t="array" ref="U26">+_xll.EQNXTDZ($A$1,$B26,U$1,$B$1)</f>
        <v>0</v>
      </c>
      <c r="V26" s="124" cm="1">
        <f t="array" ref="V26">+_xll.EQNXTDZ($A$1,$B26,V$1,$B$1)</f>
        <v>0</v>
      </c>
      <c r="W26" s="124" cm="1">
        <f t="array" ref="W26">+_xll.EQNXTDZ($A$1,$B26,W$1,$B$1)</f>
        <v>0</v>
      </c>
      <c r="X26" s="124" cm="1">
        <f t="array" ref="X26">+_xll.EQNXTDZ($A$1,$B26,X$1,$B$1)</f>
        <v>0</v>
      </c>
      <c r="Y26" s="124" cm="1">
        <f t="array" ref="Y26">+_xll.EQNXTDZ($A$1,$B26,Y$1,$B$1)</f>
        <v>0</v>
      </c>
      <c r="Z26" s="124" cm="1">
        <f t="array" ref="Z26">+_xll.EQNXTDZ($A$1,$B26,Z$1,$B$1)</f>
        <v>0</v>
      </c>
      <c r="AA26" s="124" cm="1">
        <f t="array" ref="AA26">+_xll.EQNXTDZ($A$1,$B26,AA$1,$B$1)</f>
        <v>0</v>
      </c>
      <c r="AB26" s="124" cm="1">
        <f t="array" ref="AB26">+_xll.EQNXTDZ($A$1,$B26,AB$1,$B$1)</f>
        <v>0</v>
      </c>
      <c r="AC26" s="124" cm="1">
        <f t="array" ref="AC26">+_xll.EQNXTDZ($A$1,$B26,AC$1,$B$1)</f>
        <v>0</v>
      </c>
      <c r="AD26" s="124" cm="1">
        <f t="array" ref="AD26">+_xll.EQNXTDZ($A$1,$B26,AD$1,$B$1)</f>
        <v>0</v>
      </c>
      <c r="AE26" s="124" cm="1">
        <f t="array" ref="AE26">+_xll.EQNXTDZ($A$1,$B26,AE$1,$B$1)</f>
        <v>0</v>
      </c>
      <c r="AF26" s="124" cm="1">
        <f t="array" ref="AF26">+_xll.EQNXTDZ($A$1,$B26,AF$1,$B$1)</f>
        <v>0</v>
      </c>
      <c r="AG26" s="124" cm="1">
        <f t="array" ref="AG26">+_xll.EQNXTDZ($A$1,$B26,AG$1,$B$1)</f>
        <v>0</v>
      </c>
      <c r="AH26" s="124" cm="1">
        <f t="array" ref="AH26">+_xll.EQNXTDZ($A$1,$B26,AH$1,$B$1)</f>
        <v>0</v>
      </c>
      <c r="AI26" s="124" cm="1">
        <f t="array" ref="AI26">+_xll.EQNXTDZ($A$1,$B26,AI$1,$B$1)</f>
        <v>0</v>
      </c>
      <c r="AJ26" s="124" cm="1">
        <f t="array" ref="AJ26">+_xll.EQNXTDZ($A$1,$B26,AJ$1,$B$1)</f>
        <v>0</v>
      </c>
      <c r="AK26" s="124" cm="1">
        <f t="array" ref="AK26">+_xll.EQNXTDZ($A$1,$B26,AK$1,$B$1)</f>
        <v>0</v>
      </c>
      <c r="AL26" s="124" cm="1">
        <f t="array" ref="AL26">+_xll.EQNXTDZ($A$1,$B26,AL$1,$B$1)</f>
        <v>0</v>
      </c>
      <c r="AM26" s="124" cm="1">
        <f t="array" ref="AM26">+_xll.EQNXTDZ($A$1,$B26,AM$1,$B$1)</f>
        <v>0</v>
      </c>
      <c r="AN26" s="124" cm="1">
        <f t="array" ref="AN26">+_xll.EQNXTDZ($A$1,$B26,AN$1,$B$1)</f>
        <v>0</v>
      </c>
      <c r="AO26" s="124" cm="1">
        <f t="array" ref="AO26">+_xll.EQNXTDZ($A$1,$B26,AO$1,$B$1)</f>
        <v>0</v>
      </c>
      <c r="AP26" s="124" cm="1">
        <f t="array" ref="AP26">+_xll.EQNXTDZ($A$1,$B26,AP$1,$B$1)</f>
        <v>0</v>
      </c>
      <c r="AQ26" s="124" cm="1">
        <f t="array" ref="AQ26">+_xll.EQNXTDZ($A$1,$B26,AQ$1,$B$1)</f>
        <v>0</v>
      </c>
      <c r="AR26" s="124" cm="1">
        <f t="array" ref="AR26">+_xll.EQNXTDZ($A$1,$B26,AR$1,$B$1)</f>
        <v>0</v>
      </c>
      <c r="AS26" s="124" cm="1">
        <f t="array" ref="AS26">+_xll.EQNXTDZ($A$1,$B26,AS$1,$B$1)</f>
        <v>0</v>
      </c>
      <c r="AT26" s="124" cm="1">
        <f t="array" ref="AT26">+_xll.EQNXTDZ($A$1,$B26,AT$1,$B$1)</f>
        <v>0</v>
      </c>
      <c r="AU26" s="124" cm="1">
        <f t="array" ref="AU26">+_xll.EQNXTDZ($A$1,$B26,AU$1,$B$1)</f>
        <v>0</v>
      </c>
      <c r="AV26" s="124" cm="1">
        <f t="array" ref="AV26">+_xll.EQNXTDZ($A$1,$B26,AV$1,$B$1)</f>
        <v>0</v>
      </c>
      <c r="AW26" s="124" cm="1">
        <f t="array" ref="AW26">+_xll.EQNXTDZ($A$1,$B26,AW$1,$B$1)</f>
        <v>0</v>
      </c>
      <c r="AX26" s="124" cm="1">
        <f t="array" ref="AX26">+_xll.EQNXTDZ($A$1,$B26,AX$1,$B$1)</f>
        <v>0</v>
      </c>
      <c r="AY26" s="124" cm="1">
        <f t="array" ref="AY26">+_xll.EQNXTDZ($A$1,$B26,AY$1,$B$1)</f>
        <v>0</v>
      </c>
      <c r="AZ26" s="124" cm="1">
        <f t="array" ref="AZ26">+_xll.EQNXTDZ($A$1,$B26,AZ$1,$B$1)</f>
        <v>0</v>
      </c>
      <c r="BA26" s="124" cm="1">
        <f t="array" ref="BA26">+_xll.EQNXTDZ($A$1,$B26,BA$1,$B$1)</f>
        <v>0</v>
      </c>
      <c r="BB26" s="124" cm="1">
        <f t="array" ref="BB26">+_xll.EQNXTDZ($A$1,$B26,BB$1,$B$1)</f>
        <v>0</v>
      </c>
      <c r="BC26" s="124" cm="1">
        <f t="array" ref="BC26">+_xll.EQNXTDZ($A$1,$B26,BC$1,$B$1)</f>
        <v>0</v>
      </c>
      <c r="BD26" s="124" cm="1">
        <f t="array" ref="BD26">+_xll.EQNXTDZ($A$1,$B26,BD$1,$B$1)</f>
        <v>0</v>
      </c>
      <c r="BE26" s="124" cm="1">
        <f t="array" ref="BE26">+_xll.EQNXTDZ($A$1,$B26,BE$1,$B$1)</f>
        <v>0</v>
      </c>
      <c r="BF26" s="124" cm="1">
        <f t="array" ref="BF26">+_xll.EQNXTDZ($A$1,$B26,BF$1,$B$1)</f>
        <v>0</v>
      </c>
      <c r="BG26" s="124" cm="1">
        <f t="array" ref="BG26">+_xll.EQNXTDZ($A$1,$B26,BG$1,$B$1)</f>
        <v>0</v>
      </c>
      <c r="BH26" s="124" cm="1">
        <f t="array" ref="BH26">+_xll.EQNXTDZ($A$1,$B26,BH$1,$B$1)</f>
        <v>0</v>
      </c>
      <c r="BI26" s="124" cm="1">
        <f t="array" ref="BI26">+_xll.EQNXTDZ($A$1,$B26,BI$1,$B$1)</f>
        <v>0</v>
      </c>
      <c r="BJ26" s="124" cm="1">
        <f t="array" ref="BJ26">+_xll.EQNXTDZ($A$1,$B26,BJ$1,$B$1)</f>
        <v>0</v>
      </c>
      <c r="BK26" s="124" cm="1">
        <f t="array" ref="BK26">+_xll.EQNXTDZ($A$1,$B26,BK$1,$B$1)</f>
        <v>0</v>
      </c>
    </row>
    <row r="27" spans="1:63" x14ac:dyDescent="0.25">
      <c r="A27" t="s">
        <v>195</v>
      </c>
      <c r="B27" t="s">
        <v>301</v>
      </c>
      <c r="C27" s="124" cm="1">
        <f t="array" ref="C27">+_xll.EQNXTDZ($A$1,$B27,C$1,$B$1)</f>
        <v>0</v>
      </c>
      <c r="D27" s="124" cm="1">
        <f t="array" ref="D27">+_xll.EQNXTDZ($A$1,$B27,D$1,$B$1)</f>
        <v>0</v>
      </c>
      <c r="E27" s="124" cm="1">
        <f t="array" ref="E27">+_xll.EQNXTDZ($A$1,$B27,E$1,$B$1)</f>
        <v>0</v>
      </c>
      <c r="F27" s="124" cm="1">
        <f t="array" ref="F27">+_xll.EQNXTDZ($A$1,$B27,F$1,$B$1)</f>
        <v>0</v>
      </c>
      <c r="G27" s="124" cm="1">
        <f t="array" ref="G27">+_xll.EQNXTDZ($A$1,$B27,G$1,$B$1)</f>
        <v>0</v>
      </c>
      <c r="H27" s="124" cm="1">
        <f t="array" ref="H27">+_xll.EQNXTDZ($A$1,$B27,H$1,$B$1)</f>
        <v>0</v>
      </c>
      <c r="I27" s="124" cm="1">
        <f t="array" ref="I27">+_xll.EQNXTDZ($A$1,$B27,I$1,$B$1)</f>
        <v>0</v>
      </c>
      <c r="J27" s="124" cm="1">
        <f t="array" ref="J27">+_xll.EQNXTDZ($A$1,$B27,J$1,$B$1)</f>
        <v>0</v>
      </c>
      <c r="K27" s="124" cm="1">
        <f t="array" ref="K27">+_xll.EQNXTDZ($A$1,$B27,K$1,$B$1)</f>
        <v>0</v>
      </c>
      <c r="L27" s="124" cm="1">
        <f t="array" ref="L27">+_xll.EQNXTDZ($A$1,$B27,L$1,$B$1)</f>
        <v>0</v>
      </c>
      <c r="M27" s="124" cm="1">
        <f t="array" ref="M27">+_xll.EQNXTDZ($A$1,$B27,M$1,$B$1)</f>
        <v>0</v>
      </c>
      <c r="N27" s="124" cm="1">
        <f t="array" ref="N27">+_xll.EQNXTDZ($A$1,$B27,N$1,$B$1)</f>
        <v>0</v>
      </c>
      <c r="O27" s="124" cm="1">
        <f t="array" ref="O27">+_xll.EQNXTDZ($A$1,$B27,O$1,$B$1)</f>
        <v>0</v>
      </c>
      <c r="P27" s="124" cm="1">
        <f t="array" ref="P27">+_xll.EQNXTDZ($A$1,$B27,P$1,$B$1)</f>
        <v>0</v>
      </c>
      <c r="Q27" s="124" cm="1">
        <f t="array" ref="Q27">+_xll.EQNXTDZ($A$1,$B27,Q$1,$B$1)</f>
        <v>0</v>
      </c>
      <c r="R27" s="124" cm="1">
        <f t="array" ref="R27">+_xll.EQNXTDZ($A$1,$B27,R$1,$B$1)</f>
        <v>0</v>
      </c>
      <c r="S27" s="124" cm="1">
        <f t="array" ref="S27">+_xll.EQNXTDZ($A$1,$B27,S$1,$B$1)</f>
        <v>0</v>
      </c>
      <c r="T27" s="124" cm="1">
        <f t="array" ref="T27">+_xll.EQNXTDZ($A$1,$B27,T$1,$B$1)</f>
        <v>0</v>
      </c>
      <c r="U27" s="124" cm="1">
        <f t="array" ref="U27">+_xll.EQNXTDZ($A$1,$B27,U$1,$B$1)</f>
        <v>0</v>
      </c>
      <c r="V27" s="124" cm="1">
        <f t="array" ref="V27">+_xll.EQNXTDZ($A$1,$B27,V$1,$B$1)</f>
        <v>0</v>
      </c>
      <c r="W27" s="124" cm="1">
        <f t="array" ref="W27">+_xll.EQNXTDZ($A$1,$B27,W$1,$B$1)</f>
        <v>0</v>
      </c>
      <c r="X27" s="124" cm="1">
        <f t="array" ref="X27">+_xll.EQNXTDZ($A$1,$B27,X$1,$B$1)</f>
        <v>0</v>
      </c>
      <c r="Y27" s="124" cm="1">
        <f t="array" ref="Y27">+_xll.EQNXTDZ($A$1,$B27,Y$1,$B$1)</f>
        <v>0</v>
      </c>
      <c r="Z27" s="124" cm="1">
        <f t="array" ref="Z27">+_xll.EQNXTDZ($A$1,$B27,Z$1,$B$1)</f>
        <v>0</v>
      </c>
      <c r="AA27" s="124" cm="1">
        <f t="array" ref="AA27">+_xll.EQNXTDZ($A$1,$B27,AA$1,$B$1)</f>
        <v>0</v>
      </c>
      <c r="AB27" s="124" cm="1">
        <f t="array" ref="AB27">+_xll.EQNXTDZ($A$1,$B27,AB$1,$B$1)</f>
        <v>0</v>
      </c>
      <c r="AC27" s="124" cm="1">
        <f t="array" ref="AC27">+_xll.EQNXTDZ($A$1,$B27,AC$1,$B$1)</f>
        <v>0</v>
      </c>
      <c r="AD27" s="124" cm="1">
        <f t="array" ref="AD27">+_xll.EQNXTDZ($A$1,$B27,AD$1,$B$1)</f>
        <v>0</v>
      </c>
      <c r="AE27" s="124" cm="1">
        <f t="array" ref="AE27">+_xll.EQNXTDZ($A$1,$B27,AE$1,$B$1)</f>
        <v>0</v>
      </c>
      <c r="AF27" s="124" cm="1">
        <f t="array" ref="AF27">+_xll.EQNXTDZ($A$1,$B27,AF$1,$B$1)</f>
        <v>0</v>
      </c>
      <c r="AG27" s="124" cm="1">
        <f t="array" ref="AG27">+_xll.EQNXTDZ($A$1,$B27,AG$1,$B$1)</f>
        <v>0</v>
      </c>
      <c r="AH27" s="124" cm="1">
        <f t="array" ref="AH27">+_xll.EQNXTDZ($A$1,$B27,AH$1,$B$1)</f>
        <v>0</v>
      </c>
      <c r="AI27" s="124" cm="1">
        <f t="array" ref="AI27">+_xll.EQNXTDZ($A$1,$B27,AI$1,$B$1)</f>
        <v>0</v>
      </c>
      <c r="AJ27" s="124" cm="1">
        <f t="array" ref="AJ27">+_xll.EQNXTDZ($A$1,$B27,AJ$1,$B$1)</f>
        <v>0</v>
      </c>
      <c r="AK27" s="124" cm="1">
        <f t="array" ref="AK27">+_xll.EQNXTDZ($A$1,$B27,AK$1,$B$1)</f>
        <v>0</v>
      </c>
      <c r="AL27" s="124" cm="1">
        <f t="array" ref="AL27">+_xll.EQNXTDZ($A$1,$B27,AL$1,$B$1)</f>
        <v>0</v>
      </c>
      <c r="AM27" s="124" cm="1">
        <f t="array" ref="AM27">+_xll.EQNXTDZ($A$1,$B27,AM$1,$B$1)</f>
        <v>0</v>
      </c>
      <c r="AN27" s="124" cm="1">
        <f t="array" ref="AN27">+_xll.EQNXTDZ($A$1,$B27,AN$1,$B$1)</f>
        <v>0</v>
      </c>
      <c r="AO27" s="124" cm="1">
        <f t="array" ref="AO27">+_xll.EQNXTDZ($A$1,$B27,AO$1,$B$1)</f>
        <v>0</v>
      </c>
      <c r="AP27" s="124" cm="1">
        <f t="array" ref="AP27">+_xll.EQNXTDZ($A$1,$B27,AP$1,$B$1)</f>
        <v>0</v>
      </c>
      <c r="AQ27" s="124" cm="1">
        <f t="array" ref="AQ27">+_xll.EQNXTDZ($A$1,$B27,AQ$1,$B$1)</f>
        <v>0</v>
      </c>
      <c r="AR27" s="124" cm="1">
        <f t="array" ref="AR27">+_xll.EQNXTDZ($A$1,$B27,AR$1,$B$1)</f>
        <v>0</v>
      </c>
      <c r="AS27" s="124" cm="1">
        <f t="array" ref="AS27">+_xll.EQNXTDZ($A$1,$B27,AS$1,$B$1)</f>
        <v>0</v>
      </c>
      <c r="AT27" s="124" cm="1">
        <f t="array" ref="AT27">+_xll.EQNXTDZ($A$1,$B27,AT$1,$B$1)</f>
        <v>0</v>
      </c>
      <c r="AU27" s="124" cm="1">
        <f t="array" ref="AU27">+_xll.EQNXTDZ($A$1,$B27,AU$1,$B$1)</f>
        <v>0</v>
      </c>
      <c r="AV27" s="124" cm="1">
        <f t="array" ref="AV27">+_xll.EQNXTDZ($A$1,$B27,AV$1,$B$1)</f>
        <v>0</v>
      </c>
      <c r="AW27" s="124" cm="1">
        <f t="array" ref="AW27">+_xll.EQNXTDZ($A$1,$B27,AW$1,$B$1)</f>
        <v>0</v>
      </c>
      <c r="AX27" s="124" cm="1">
        <f t="array" ref="AX27">+_xll.EQNXTDZ($A$1,$B27,AX$1,$B$1)</f>
        <v>0</v>
      </c>
      <c r="AY27" s="124" cm="1">
        <f t="array" ref="AY27">+_xll.EQNXTDZ($A$1,$B27,AY$1,$B$1)</f>
        <v>0</v>
      </c>
      <c r="AZ27" s="124" cm="1">
        <f t="array" ref="AZ27">+_xll.EQNXTDZ($A$1,$B27,AZ$1,$B$1)</f>
        <v>0</v>
      </c>
      <c r="BA27" s="124" cm="1">
        <f t="array" ref="BA27">+_xll.EQNXTDZ($A$1,$B27,BA$1,$B$1)</f>
        <v>0</v>
      </c>
      <c r="BB27" s="124" cm="1">
        <f t="array" ref="BB27">+_xll.EQNXTDZ($A$1,$B27,BB$1,$B$1)</f>
        <v>0</v>
      </c>
      <c r="BC27" s="124" cm="1">
        <f t="array" ref="BC27">+_xll.EQNXTDZ($A$1,$B27,BC$1,$B$1)</f>
        <v>0</v>
      </c>
      <c r="BD27" s="124" cm="1">
        <f t="array" ref="BD27">+_xll.EQNXTDZ($A$1,$B27,BD$1,$B$1)</f>
        <v>0</v>
      </c>
      <c r="BE27" s="124" cm="1">
        <f t="array" ref="BE27">+_xll.EQNXTDZ($A$1,$B27,BE$1,$B$1)</f>
        <v>0</v>
      </c>
      <c r="BF27" s="124" cm="1">
        <f t="array" ref="BF27">+_xll.EQNXTDZ($A$1,$B27,BF$1,$B$1)</f>
        <v>0</v>
      </c>
      <c r="BG27" s="124" cm="1">
        <f t="array" ref="BG27">+_xll.EQNXTDZ($A$1,$B27,BG$1,$B$1)</f>
        <v>0</v>
      </c>
      <c r="BH27" s="124" cm="1">
        <f t="array" ref="BH27">+_xll.EQNXTDZ($A$1,$B27,BH$1,$B$1)</f>
        <v>0</v>
      </c>
      <c r="BI27" s="124" cm="1">
        <f t="array" ref="BI27">+_xll.EQNXTDZ($A$1,$B27,BI$1,$B$1)</f>
        <v>0</v>
      </c>
      <c r="BJ27" s="124" cm="1">
        <f t="array" ref="BJ27">+_xll.EQNXTDZ($A$1,$B27,BJ$1,$B$1)</f>
        <v>0</v>
      </c>
      <c r="BK27" s="124" cm="1">
        <f t="array" ref="BK27">+_xll.EQNXTDZ($A$1,$B27,BK$1,$B$1)</f>
        <v>0</v>
      </c>
    </row>
    <row r="28" spans="1:63" x14ac:dyDescent="0.25">
      <c r="A28" t="s">
        <v>60</v>
      </c>
      <c r="B28" t="s">
        <v>302</v>
      </c>
      <c r="C28" s="124" cm="1">
        <f t="array" ref="C28">+_xll.EQNXTDZ($A$1,$B28,C$1,$B$1)</f>
        <v>0</v>
      </c>
      <c r="D28" s="124" cm="1">
        <f t="array" ref="D28">+_xll.EQNXTDZ($A$1,$B28,D$1,$B$1)</f>
        <v>0</v>
      </c>
      <c r="E28" s="124" cm="1">
        <f t="array" ref="E28">+_xll.EQNXTDZ($A$1,$B28,E$1,$B$1)</f>
        <v>0</v>
      </c>
      <c r="F28" s="124" cm="1">
        <f t="array" ref="F28">+_xll.EQNXTDZ($A$1,$B28,F$1,$B$1)</f>
        <v>0</v>
      </c>
      <c r="G28" s="124" cm="1">
        <f t="array" ref="G28">+_xll.EQNXTDZ($A$1,$B28,G$1,$B$1)</f>
        <v>0</v>
      </c>
      <c r="H28" s="124" cm="1">
        <f t="array" ref="H28">+_xll.EQNXTDZ($A$1,$B28,H$1,$B$1)</f>
        <v>0</v>
      </c>
      <c r="I28" s="124" cm="1">
        <f t="array" ref="I28">+_xll.EQNXTDZ($A$1,$B28,I$1,$B$1)</f>
        <v>0</v>
      </c>
      <c r="J28" s="124" cm="1">
        <f t="array" ref="J28">+_xll.EQNXTDZ($A$1,$B28,J$1,$B$1)</f>
        <v>0</v>
      </c>
      <c r="K28" s="124" cm="1">
        <f t="array" ref="K28">+_xll.EQNXTDZ($A$1,$B28,K$1,$B$1)</f>
        <v>0</v>
      </c>
      <c r="L28" s="124" cm="1">
        <f t="array" ref="L28">+_xll.EQNXTDZ($A$1,$B28,L$1,$B$1)</f>
        <v>0</v>
      </c>
      <c r="M28" s="124" cm="1">
        <f t="array" ref="M28">+_xll.EQNXTDZ($A$1,$B28,M$1,$B$1)</f>
        <v>0</v>
      </c>
      <c r="N28" s="124" cm="1">
        <f t="array" ref="N28">+_xll.EQNXTDZ($A$1,$B28,N$1,$B$1)</f>
        <v>0</v>
      </c>
      <c r="O28" s="124" cm="1">
        <f t="array" ref="O28">+_xll.EQNXTDZ($A$1,$B28,O$1,$B$1)</f>
        <v>0</v>
      </c>
      <c r="P28" s="124" cm="1">
        <f t="array" ref="P28">+_xll.EQNXTDZ($A$1,$B28,P$1,$B$1)</f>
        <v>0</v>
      </c>
      <c r="Q28" s="124" cm="1">
        <f t="array" ref="Q28">+_xll.EQNXTDZ($A$1,$B28,Q$1,$B$1)</f>
        <v>0</v>
      </c>
      <c r="R28" s="124" cm="1">
        <f t="array" ref="R28">+_xll.EQNXTDZ($A$1,$B28,R$1,$B$1)</f>
        <v>0</v>
      </c>
      <c r="S28" s="124" cm="1">
        <f t="array" ref="S28">+_xll.EQNXTDZ($A$1,$B28,S$1,$B$1)</f>
        <v>0</v>
      </c>
      <c r="T28" s="124" cm="1">
        <f t="array" ref="T28">+_xll.EQNXTDZ($A$1,$B28,T$1,$B$1)</f>
        <v>0</v>
      </c>
      <c r="U28" s="124" cm="1">
        <f t="array" ref="U28">+_xll.EQNXTDZ($A$1,$B28,U$1,$B$1)</f>
        <v>0</v>
      </c>
      <c r="V28" s="124" cm="1">
        <f t="array" ref="V28">+_xll.EQNXTDZ($A$1,$B28,V$1,$B$1)</f>
        <v>0</v>
      </c>
      <c r="W28" s="124" cm="1">
        <f t="array" ref="W28">+_xll.EQNXTDZ($A$1,$B28,W$1,$B$1)</f>
        <v>0</v>
      </c>
      <c r="X28" s="124" cm="1">
        <f t="array" ref="X28">+_xll.EQNXTDZ($A$1,$B28,X$1,$B$1)</f>
        <v>0</v>
      </c>
      <c r="Y28" s="124" cm="1">
        <f t="array" ref="Y28">+_xll.EQNXTDZ($A$1,$B28,Y$1,$B$1)</f>
        <v>0</v>
      </c>
      <c r="Z28" s="124" cm="1">
        <f t="array" ref="Z28">+_xll.EQNXTDZ($A$1,$B28,Z$1,$B$1)</f>
        <v>0</v>
      </c>
      <c r="AA28" s="124" cm="1">
        <f t="array" ref="AA28">+_xll.EQNXTDZ($A$1,$B28,AA$1,$B$1)</f>
        <v>0</v>
      </c>
      <c r="AB28" s="124" cm="1">
        <f t="array" ref="AB28">+_xll.EQNXTDZ($A$1,$B28,AB$1,$B$1)</f>
        <v>0</v>
      </c>
      <c r="AC28" s="124" cm="1">
        <f t="array" ref="AC28">+_xll.EQNXTDZ($A$1,$B28,AC$1,$B$1)</f>
        <v>0</v>
      </c>
      <c r="AD28" s="124" cm="1">
        <f t="array" ref="AD28">+_xll.EQNXTDZ($A$1,$B28,AD$1,$B$1)</f>
        <v>0</v>
      </c>
      <c r="AE28" s="124" cm="1">
        <f t="array" ref="AE28">+_xll.EQNXTDZ($A$1,$B28,AE$1,$B$1)</f>
        <v>0</v>
      </c>
      <c r="AF28" s="124" cm="1">
        <f t="array" ref="AF28">+_xll.EQNXTDZ($A$1,$B28,AF$1,$B$1)</f>
        <v>0</v>
      </c>
      <c r="AG28" s="124" cm="1">
        <f t="array" ref="AG28">+_xll.EQNXTDZ($A$1,$B28,AG$1,$B$1)</f>
        <v>0</v>
      </c>
      <c r="AH28" s="124" cm="1">
        <f t="array" ref="AH28">+_xll.EQNXTDZ($A$1,$B28,AH$1,$B$1)</f>
        <v>0</v>
      </c>
      <c r="AI28" s="124" cm="1">
        <f t="array" ref="AI28">+_xll.EQNXTDZ($A$1,$B28,AI$1,$B$1)</f>
        <v>0</v>
      </c>
      <c r="AJ28" s="124" cm="1">
        <f t="array" ref="AJ28">+_xll.EQNXTDZ($A$1,$B28,AJ$1,$B$1)</f>
        <v>0</v>
      </c>
      <c r="AK28" s="124" cm="1">
        <f t="array" ref="AK28">+_xll.EQNXTDZ($A$1,$B28,AK$1,$B$1)</f>
        <v>0</v>
      </c>
      <c r="AL28" s="124" cm="1">
        <f t="array" ref="AL28">+_xll.EQNXTDZ($A$1,$B28,AL$1,$B$1)</f>
        <v>0</v>
      </c>
      <c r="AM28" s="124" cm="1">
        <f t="array" ref="AM28">+_xll.EQNXTDZ($A$1,$B28,AM$1,$B$1)</f>
        <v>0</v>
      </c>
      <c r="AN28" s="124" cm="1">
        <f t="array" ref="AN28">+_xll.EQNXTDZ($A$1,$B28,AN$1,$B$1)</f>
        <v>0</v>
      </c>
      <c r="AO28" s="124" cm="1">
        <f t="array" ref="AO28">+_xll.EQNXTDZ($A$1,$B28,AO$1,$B$1)</f>
        <v>0</v>
      </c>
      <c r="AP28" s="124" cm="1">
        <f t="array" ref="AP28">+_xll.EQNXTDZ($A$1,$B28,AP$1,$B$1)</f>
        <v>0</v>
      </c>
      <c r="AQ28" s="124" cm="1">
        <f t="array" ref="AQ28">+_xll.EQNXTDZ($A$1,$B28,AQ$1,$B$1)</f>
        <v>0</v>
      </c>
      <c r="AR28" s="124" cm="1">
        <f t="array" ref="AR28">+_xll.EQNXTDZ($A$1,$B28,AR$1,$B$1)</f>
        <v>0</v>
      </c>
      <c r="AS28" s="124" cm="1">
        <f t="array" ref="AS28">+_xll.EQNXTDZ($A$1,$B28,AS$1,$B$1)</f>
        <v>0</v>
      </c>
      <c r="AT28" s="124" cm="1">
        <f t="array" ref="AT28">+_xll.EQNXTDZ($A$1,$B28,AT$1,$B$1)</f>
        <v>0</v>
      </c>
      <c r="AU28" s="124" cm="1">
        <f t="array" ref="AU28">+_xll.EQNXTDZ($A$1,$B28,AU$1,$B$1)</f>
        <v>0</v>
      </c>
      <c r="AV28" s="124" cm="1">
        <f t="array" ref="AV28">+_xll.EQNXTDZ($A$1,$B28,AV$1,$B$1)</f>
        <v>0</v>
      </c>
      <c r="AW28" s="124" cm="1">
        <f t="array" ref="AW28">+_xll.EQNXTDZ($A$1,$B28,AW$1,$B$1)</f>
        <v>0</v>
      </c>
      <c r="AX28" s="124" cm="1">
        <f t="array" ref="AX28">+_xll.EQNXTDZ($A$1,$B28,AX$1,$B$1)</f>
        <v>0</v>
      </c>
      <c r="AY28" s="124" cm="1">
        <f t="array" ref="AY28">+_xll.EQNXTDZ($A$1,$B28,AY$1,$B$1)</f>
        <v>0</v>
      </c>
      <c r="AZ28" s="124" cm="1">
        <f t="array" ref="AZ28">+_xll.EQNXTDZ($A$1,$B28,AZ$1,$B$1)</f>
        <v>0</v>
      </c>
      <c r="BA28" s="124" cm="1">
        <f t="array" ref="BA28">+_xll.EQNXTDZ($A$1,$B28,BA$1,$B$1)</f>
        <v>0</v>
      </c>
      <c r="BB28" s="124" cm="1">
        <f t="array" ref="BB28">+_xll.EQNXTDZ($A$1,$B28,BB$1,$B$1)</f>
        <v>0</v>
      </c>
      <c r="BC28" s="124" cm="1">
        <f t="array" ref="BC28">+_xll.EQNXTDZ($A$1,$B28,BC$1,$B$1)</f>
        <v>0</v>
      </c>
      <c r="BD28" s="124" cm="1">
        <f t="array" ref="BD28">+_xll.EQNXTDZ($A$1,$B28,BD$1,$B$1)</f>
        <v>0</v>
      </c>
      <c r="BE28" s="124" cm="1">
        <f t="array" ref="BE28">+_xll.EQNXTDZ($A$1,$B28,BE$1,$B$1)</f>
        <v>0</v>
      </c>
      <c r="BF28" s="124" cm="1">
        <f t="array" ref="BF28">+_xll.EQNXTDZ($A$1,$B28,BF$1,$B$1)</f>
        <v>0</v>
      </c>
      <c r="BG28" s="124" cm="1">
        <f t="array" ref="BG28">+_xll.EQNXTDZ($A$1,$B28,BG$1,$B$1)</f>
        <v>0</v>
      </c>
      <c r="BH28" s="124" cm="1">
        <f t="array" ref="BH28">+_xll.EQNXTDZ($A$1,$B28,BH$1,$B$1)</f>
        <v>0</v>
      </c>
      <c r="BI28" s="124" cm="1">
        <f t="array" ref="BI28">+_xll.EQNXTDZ($A$1,$B28,BI$1,$B$1)</f>
        <v>0</v>
      </c>
      <c r="BJ28" s="124" cm="1">
        <f t="array" ref="BJ28">+_xll.EQNXTDZ($A$1,$B28,BJ$1,$B$1)</f>
        <v>0</v>
      </c>
      <c r="BK28" s="124" cm="1">
        <f t="array" ref="BK28">+_xll.EQNXTDZ($A$1,$B28,BK$1,$B$1)</f>
        <v>0</v>
      </c>
    </row>
    <row r="29" spans="1:63" x14ac:dyDescent="0.25">
      <c r="A29" t="s">
        <v>196</v>
      </c>
      <c r="B29" t="s">
        <v>303</v>
      </c>
      <c r="C29" s="124" cm="1">
        <f t="array" ref="C29">+_xll.EQNXTDZ($A$1,$B29,C$1,$B$1)</f>
        <v>0</v>
      </c>
      <c r="D29" s="124" cm="1">
        <f t="array" ref="D29">+_xll.EQNXTDZ($A$1,$B29,D$1,$B$1)</f>
        <v>0</v>
      </c>
      <c r="E29" s="124" cm="1">
        <f t="array" ref="E29">+_xll.EQNXTDZ($A$1,$B29,E$1,$B$1)</f>
        <v>0</v>
      </c>
      <c r="F29" s="124" cm="1">
        <f t="array" ref="F29">+_xll.EQNXTDZ($A$1,$B29,F$1,$B$1)</f>
        <v>0</v>
      </c>
      <c r="G29" s="124" cm="1">
        <f t="array" ref="G29">+_xll.EQNXTDZ($A$1,$B29,G$1,$B$1)</f>
        <v>0</v>
      </c>
      <c r="H29" s="124" cm="1">
        <f t="array" ref="H29">+_xll.EQNXTDZ($A$1,$B29,H$1,$B$1)</f>
        <v>0</v>
      </c>
      <c r="I29" s="124" cm="1">
        <f t="array" ref="I29">+_xll.EQNXTDZ($A$1,$B29,I$1,$B$1)</f>
        <v>0</v>
      </c>
      <c r="J29" s="124" cm="1">
        <f t="array" ref="J29">+_xll.EQNXTDZ($A$1,$B29,J$1,$B$1)</f>
        <v>0</v>
      </c>
      <c r="K29" s="124" cm="1">
        <f t="array" ref="K29">+_xll.EQNXTDZ($A$1,$B29,K$1,$B$1)</f>
        <v>0</v>
      </c>
      <c r="L29" s="124" cm="1">
        <f t="array" ref="L29">+_xll.EQNXTDZ($A$1,$B29,L$1,$B$1)</f>
        <v>0</v>
      </c>
      <c r="M29" s="124" cm="1">
        <f t="array" ref="M29">+_xll.EQNXTDZ($A$1,$B29,M$1,$B$1)</f>
        <v>0</v>
      </c>
      <c r="N29" s="124" cm="1">
        <f t="array" ref="N29">+_xll.EQNXTDZ($A$1,$B29,N$1,$B$1)</f>
        <v>0</v>
      </c>
      <c r="O29" s="124" cm="1">
        <f t="array" ref="O29">+_xll.EQNXTDZ($A$1,$B29,O$1,$B$1)</f>
        <v>0</v>
      </c>
      <c r="P29" s="124" cm="1">
        <f t="array" ref="P29">+_xll.EQNXTDZ($A$1,$B29,P$1,$B$1)</f>
        <v>0</v>
      </c>
      <c r="Q29" s="124" cm="1">
        <f t="array" ref="Q29">+_xll.EQNXTDZ($A$1,$B29,Q$1,$B$1)</f>
        <v>0</v>
      </c>
      <c r="R29" s="124" cm="1">
        <f t="array" ref="R29">+_xll.EQNXTDZ($A$1,$B29,R$1,$B$1)</f>
        <v>0</v>
      </c>
      <c r="S29" s="124" cm="1">
        <f t="array" ref="S29">+_xll.EQNXTDZ($A$1,$B29,S$1,$B$1)</f>
        <v>0</v>
      </c>
      <c r="T29" s="124" cm="1">
        <f t="array" ref="T29">+_xll.EQNXTDZ($A$1,$B29,T$1,$B$1)</f>
        <v>0</v>
      </c>
      <c r="U29" s="124" cm="1">
        <f t="array" ref="U29">+_xll.EQNXTDZ($A$1,$B29,U$1,$B$1)</f>
        <v>0</v>
      </c>
      <c r="V29" s="124" cm="1">
        <f t="array" ref="V29">+_xll.EQNXTDZ($A$1,$B29,V$1,$B$1)</f>
        <v>0</v>
      </c>
      <c r="W29" s="124" cm="1">
        <f t="array" ref="W29">+_xll.EQNXTDZ($A$1,$B29,W$1,$B$1)</f>
        <v>0</v>
      </c>
      <c r="X29" s="124" cm="1">
        <f t="array" ref="X29">+_xll.EQNXTDZ($A$1,$B29,X$1,$B$1)</f>
        <v>0</v>
      </c>
      <c r="Y29" s="124" cm="1">
        <f t="array" ref="Y29">+_xll.EQNXTDZ($A$1,$B29,Y$1,$B$1)</f>
        <v>0</v>
      </c>
      <c r="Z29" s="124" cm="1">
        <f t="array" ref="Z29">+_xll.EQNXTDZ($A$1,$B29,Z$1,$B$1)</f>
        <v>0</v>
      </c>
      <c r="AA29" s="124" cm="1">
        <f t="array" ref="AA29">+_xll.EQNXTDZ($A$1,$B29,AA$1,$B$1)</f>
        <v>0</v>
      </c>
      <c r="AB29" s="124" cm="1">
        <f t="array" ref="AB29">+_xll.EQNXTDZ($A$1,$B29,AB$1,$B$1)</f>
        <v>0</v>
      </c>
      <c r="AC29" s="124" cm="1">
        <f t="array" ref="AC29">+_xll.EQNXTDZ($A$1,$B29,AC$1,$B$1)</f>
        <v>0</v>
      </c>
      <c r="AD29" s="124" cm="1">
        <f t="array" ref="AD29">+_xll.EQNXTDZ($A$1,$B29,AD$1,$B$1)</f>
        <v>0</v>
      </c>
      <c r="AE29" s="124" cm="1">
        <f t="array" ref="AE29">+_xll.EQNXTDZ($A$1,$B29,AE$1,$B$1)</f>
        <v>0</v>
      </c>
      <c r="AF29" s="124" cm="1">
        <f t="array" ref="AF29">+_xll.EQNXTDZ($A$1,$B29,AF$1,$B$1)</f>
        <v>0</v>
      </c>
      <c r="AG29" s="124" cm="1">
        <f t="array" ref="AG29">+_xll.EQNXTDZ($A$1,$B29,AG$1,$B$1)</f>
        <v>0</v>
      </c>
      <c r="AH29" s="124" cm="1">
        <f t="array" ref="AH29">+_xll.EQNXTDZ($A$1,$B29,AH$1,$B$1)</f>
        <v>0</v>
      </c>
      <c r="AI29" s="124" cm="1">
        <f t="array" ref="AI29">+_xll.EQNXTDZ($A$1,$B29,AI$1,$B$1)</f>
        <v>0</v>
      </c>
      <c r="AJ29" s="124" cm="1">
        <f t="array" ref="AJ29">+_xll.EQNXTDZ($A$1,$B29,AJ$1,$B$1)</f>
        <v>0</v>
      </c>
      <c r="AK29" s="124" cm="1">
        <f t="array" ref="AK29">+_xll.EQNXTDZ($A$1,$B29,AK$1,$B$1)</f>
        <v>0</v>
      </c>
      <c r="AL29" s="124" cm="1">
        <f t="array" ref="AL29">+_xll.EQNXTDZ($A$1,$B29,AL$1,$B$1)</f>
        <v>0</v>
      </c>
      <c r="AM29" s="124" cm="1">
        <f t="array" ref="AM29">+_xll.EQNXTDZ($A$1,$B29,AM$1,$B$1)</f>
        <v>0</v>
      </c>
      <c r="AN29" s="124" cm="1">
        <f t="array" ref="AN29">+_xll.EQNXTDZ($A$1,$B29,AN$1,$B$1)</f>
        <v>0</v>
      </c>
      <c r="AO29" s="124" cm="1">
        <f t="array" ref="AO29">+_xll.EQNXTDZ($A$1,$B29,AO$1,$B$1)</f>
        <v>0</v>
      </c>
      <c r="AP29" s="124" cm="1">
        <f t="array" ref="AP29">+_xll.EQNXTDZ($A$1,$B29,AP$1,$B$1)</f>
        <v>0</v>
      </c>
      <c r="AQ29" s="124" cm="1">
        <f t="array" ref="AQ29">+_xll.EQNXTDZ($A$1,$B29,AQ$1,$B$1)</f>
        <v>0</v>
      </c>
      <c r="AR29" s="124" cm="1">
        <f t="array" ref="AR29">+_xll.EQNXTDZ($A$1,$B29,AR$1,$B$1)</f>
        <v>0</v>
      </c>
      <c r="AS29" s="124" cm="1">
        <f t="array" ref="AS29">+_xll.EQNXTDZ($A$1,$B29,AS$1,$B$1)</f>
        <v>0</v>
      </c>
      <c r="AT29" s="124" cm="1">
        <f t="array" ref="AT29">+_xll.EQNXTDZ($A$1,$B29,AT$1,$B$1)</f>
        <v>0</v>
      </c>
      <c r="AU29" s="124" cm="1">
        <f t="array" ref="AU29">+_xll.EQNXTDZ($A$1,$B29,AU$1,$B$1)</f>
        <v>0</v>
      </c>
      <c r="AV29" s="124" cm="1">
        <f t="array" ref="AV29">+_xll.EQNXTDZ($A$1,$B29,AV$1,$B$1)</f>
        <v>0</v>
      </c>
      <c r="AW29" s="124" cm="1">
        <f t="array" ref="AW29">+_xll.EQNXTDZ($A$1,$B29,AW$1,$B$1)</f>
        <v>0</v>
      </c>
      <c r="AX29" s="124" cm="1">
        <f t="array" ref="AX29">+_xll.EQNXTDZ($A$1,$B29,AX$1,$B$1)</f>
        <v>0</v>
      </c>
      <c r="AY29" s="124" cm="1">
        <f t="array" ref="AY29">+_xll.EQNXTDZ($A$1,$B29,AY$1,$B$1)</f>
        <v>0</v>
      </c>
      <c r="AZ29" s="124" cm="1">
        <f t="array" ref="AZ29">+_xll.EQNXTDZ($A$1,$B29,AZ$1,$B$1)</f>
        <v>0</v>
      </c>
      <c r="BA29" s="124" cm="1">
        <f t="array" ref="BA29">+_xll.EQNXTDZ($A$1,$B29,BA$1,$B$1)</f>
        <v>0</v>
      </c>
      <c r="BB29" s="124" cm="1">
        <f t="array" ref="BB29">+_xll.EQNXTDZ($A$1,$B29,BB$1,$B$1)</f>
        <v>0</v>
      </c>
      <c r="BC29" s="124" cm="1">
        <f t="array" ref="BC29">+_xll.EQNXTDZ($A$1,$B29,BC$1,$B$1)</f>
        <v>0</v>
      </c>
      <c r="BD29" s="124" cm="1">
        <f t="array" ref="BD29">+_xll.EQNXTDZ($A$1,$B29,BD$1,$B$1)</f>
        <v>0</v>
      </c>
      <c r="BE29" s="124" cm="1">
        <f t="array" ref="BE29">+_xll.EQNXTDZ($A$1,$B29,BE$1,$B$1)</f>
        <v>0</v>
      </c>
      <c r="BF29" s="124" cm="1">
        <f t="array" ref="BF29">+_xll.EQNXTDZ($A$1,$B29,BF$1,$B$1)</f>
        <v>0</v>
      </c>
      <c r="BG29" s="124" cm="1">
        <f t="array" ref="BG29">+_xll.EQNXTDZ($A$1,$B29,BG$1,$B$1)</f>
        <v>0</v>
      </c>
      <c r="BH29" s="124" cm="1">
        <f t="array" ref="BH29">+_xll.EQNXTDZ($A$1,$B29,BH$1,$B$1)</f>
        <v>0</v>
      </c>
      <c r="BI29" s="124" cm="1">
        <f t="array" ref="BI29">+_xll.EQNXTDZ($A$1,$B29,BI$1,$B$1)</f>
        <v>0</v>
      </c>
      <c r="BJ29" s="124" cm="1">
        <f t="array" ref="BJ29">+_xll.EQNXTDZ($A$1,$B29,BJ$1,$B$1)</f>
        <v>0</v>
      </c>
      <c r="BK29" s="124" cm="1">
        <f t="array" ref="BK29">+_xll.EQNXTDZ($A$1,$B29,BK$1,$B$1)</f>
        <v>0</v>
      </c>
    </row>
    <row r="30" spans="1:63" x14ac:dyDescent="0.25">
      <c r="A30" t="s">
        <v>197</v>
      </c>
      <c r="B30" t="s">
        <v>304</v>
      </c>
      <c r="C30" s="124" cm="1">
        <f t="array" ref="C30">+_xll.EQNXTDZ($A$1,$B30,C$1,$B$1)</f>
        <v>0</v>
      </c>
      <c r="D30" s="124" cm="1">
        <f t="array" ref="D30">+_xll.EQNXTDZ($A$1,$B30,D$1,$B$1)</f>
        <v>0</v>
      </c>
      <c r="E30" s="124" cm="1">
        <f t="array" ref="E30">+_xll.EQNXTDZ($A$1,$B30,E$1,$B$1)</f>
        <v>0</v>
      </c>
      <c r="F30" s="124" cm="1">
        <f t="array" ref="F30">+_xll.EQNXTDZ($A$1,$B30,F$1,$B$1)</f>
        <v>0</v>
      </c>
      <c r="G30" s="124" cm="1">
        <f t="array" ref="G30">+_xll.EQNXTDZ($A$1,$B30,G$1,$B$1)</f>
        <v>0</v>
      </c>
      <c r="H30" s="124" cm="1">
        <f t="array" ref="H30">+_xll.EQNXTDZ($A$1,$B30,H$1,$B$1)</f>
        <v>0</v>
      </c>
      <c r="I30" s="124" cm="1">
        <f t="array" ref="I30">+_xll.EQNXTDZ($A$1,$B30,I$1,$B$1)</f>
        <v>0</v>
      </c>
      <c r="J30" s="124" cm="1">
        <f t="array" ref="J30">+_xll.EQNXTDZ($A$1,$B30,J$1,$B$1)</f>
        <v>0</v>
      </c>
      <c r="K30" s="124" cm="1">
        <f t="array" ref="K30">+_xll.EQNXTDZ($A$1,$B30,K$1,$B$1)</f>
        <v>0</v>
      </c>
      <c r="L30" s="124" cm="1">
        <f t="array" ref="L30">+_xll.EQNXTDZ($A$1,$B30,L$1,$B$1)</f>
        <v>0</v>
      </c>
      <c r="M30" s="124" cm="1">
        <f t="array" ref="M30">+_xll.EQNXTDZ($A$1,$B30,M$1,$B$1)</f>
        <v>0</v>
      </c>
      <c r="N30" s="124" cm="1">
        <f t="array" ref="N30">+_xll.EQNXTDZ($A$1,$B30,N$1,$B$1)</f>
        <v>0</v>
      </c>
      <c r="O30" s="124" cm="1">
        <f t="array" ref="O30">+_xll.EQNXTDZ($A$1,$B30,O$1,$B$1)</f>
        <v>0</v>
      </c>
      <c r="P30" s="124" cm="1">
        <f t="array" ref="P30">+_xll.EQNXTDZ($A$1,$B30,P$1,$B$1)</f>
        <v>0</v>
      </c>
      <c r="Q30" s="124" cm="1">
        <f t="array" ref="Q30">+_xll.EQNXTDZ($A$1,$B30,Q$1,$B$1)</f>
        <v>0</v>
      </c>
      <c r="R30" s="124" cm="1">
        <f t="array" ref="R30">+_xll.EQNXTDZ($A$1,$B30,R$1,$B$1)</f>
        <v>0</v>
      </c>
      <c r="S30" s="124" cm="1">
        <f t="array" ref="S30">+_xll.EQNXTDZ($A$1,$B30,S$1,$B$1)</f>
        <v>0</v>
      </c>
      <c r="T30" s="124" cm="1">
        <f t="array" ref="T30">+_xll.EQNXTDZ($A$1,$B30,T$1,$B$1)</f>
        <v>0</v>
      </c>
      <c r="U30" s="124" cm="1">
        <f t="array" ref="U30">+_xll.EQNXTDZ($A$1,$B30,U$1,$B$1)</f>
        <v>0</v>
      </c>
      <c r="V30" s="124" cm="1">
        <f t="array" ref="V30">+_xll.EQNXTDZ($A$1,$B30,V$1,$B$1)</f>
        <v>0</v>
      </c>
      <c r="W30" s="124" cm="1">
        <f t="array" ref="W30">+_xll.EQNXTDZ($A$1,$B30,W$1,$B$1)</f>
        <v>0</v>
      </c>
      <c r="X30" s="124" cm="1">
        <f t="array" ref="X30">+_xll.EQNXTDZ($A$1,$B30,X$1,$B$1)</f>
        <v>0</v>
      </c>
      <c r="Y30" s="124" cm="1">
        <f t="array" ref="Y30">+_xll.EQNXTDZ($A$1,$B30,Y$1,$B$1)</f>
        <v>0</v>
      </c>
      <c r="Z30" s="124" cm="1">
        <f t="array" ref="Z30">+_xll.EQNXTDZ($A$1,$B30,Z$1,$B$1)</f>
        <v>0</v>
      </c>
      <c r="AA30" s="124" cm="1">
        <f t="array" ref="AA30">+_xll.EQNXTDZ($A$1,$B30,AA$1,$B$1)</f>
        <v>0</v>
      </c>
      <c r="AB30" s="124" cm="1">
        <f t="array" ref="AB30">+_xll.EQNXTDZ($A$1,$B30,AB$1,$B$1)</f>
        <v>0</v>
      </c>
      <c r="AC30" s="124" cm="1">
        <f t="array" ref="AC30">+_xll.EQNXTDZ($A$1,$B30,AC$1,$B$1)</f>
        <v>0</v>
      </c>
      <c r="AD30" s="124" cm="1">
        <f t="array" ref="AD30">+_xll.EQNXTDZ($A$1,$B30,AD$1,$B$1)</f>
        <v>0</v>
      </c>
      <c r="AE30" s="124" cm="1">
        <f t="array" ref="AE30">+_xll.EQNXTDZ($A$1,$B30,AE$1,$B$1)</f>
        <v>0</v>
      </c>
      <c r="AF30" s="124" cm="1">
        <f t="array" ref="AF30">+_xll.EQNXTDZ($A$1,$B30,AF$1,$B$1)</f>
        <v>0</v>
      </c>
      <c r="AG30" s="124" cm="1">
        <f t="array" ref="AG30">+_xll.EQNXTDZ($A$1,$B30,AG$1,$B$1)</f>
        <v>0</v>
      </c>
      <c r="AH30" s="124" cm="1">
        <f t="array" ref="AH30">+_xll.EQNXTDZ($A$1,$B30,AH$1,$B$1)</f>
        <v>0</v>
      </c>
      <c r="AI30" s="124" cm="1">
        <f t="array" ref="AI30">+_xll.EQNXTDZ($A$1,$B30,AI$1,$B$1)</f>
        <v>0</v>
      </c>
      <c r="AJ30" s="124" cm="1">
        <f t="array" ref="AJ30">+_xll.EQNXTDZ($A$1,$B30,AJ$1,$B$1)</f>
        <v>0</v>
      </c>
      <c r="AK30" s="124" cm="1">
        <f t="array" ref="AK30">+_xll.EQNXTDZ($A$1,$B30,AK$1,$B$1)</f>
        <v>0</v>
      </c>
      <c r="AL30" s="124" cm="1">
        <f t="array" ref="AL30">+_xll.EQNXTDZ($A$1,$B30,AL$1,$B$1)</f>
        <v>0</v>
      </c>
      <c r="AM30" s="124" cm="1">
        <f t="array" ref="AM30">+_xll.EQNXTDZ($A$1,$B30,AM$1,$B$1)</f>
        <v>0</v>
      </c>
      <c r="AN30" s="124" cm="1">
        <f t="array" ref="AN30">+_xll.EQNXTDZ($A$1,$B30,AN$1,$B$1)</f>
        <v>0</v>
      </c>
      <c r="AO30" s="124" cm="1">
        <f t="array" ref="AO30">+_xll.EQNXTDZ($A$1,$B30,AO$1,$B$1)</f>
        <v>0</v>
      </c>
      <c r="AP30" s="124" cm="1">
        <f t="array" ref="AP30">+_xll.EQNXTDZ($A$1,$B30,AP$1,$B$1)</f>
        <v>0</v>
      </c>
      <c r="AQ30" s="124" cm="1">
        <f t="array" ref="AQ30">+_xll.EQNXTDZ($A$1,$B30,AQ$1,$B$1)</f>
        <v>0</v>
      </c>
      <c r="AR30" s="124" cm="1">
        <f t="array" ref="AR30">+_xll.EQNXTDZ($A$1,$B30,AR$1,$B$1)</f>
        <v>0</v>
      </c>
      <c r="AS30" s="124" cm="1">
        <f t="array" ref="AS30">+_xll.EQNXTDZ($A$1,$B30,AS$1,$B$1)</f>
        <v>0</v>
      </c>
      <c r="AT30" s="124" cm="1">
        <f t="array" ref="AT30">+_xll.EQNXTDZ($A$1,$B30,AT$1,$B$1)</f>
        <v>0</v>
      </c>
      <c r="AU30" s="124" cm="1">
        <f t="array" ref="AU30">+_xll.EQNXTDZ($A$1,$B30,AU$1,$B$1)</f>
        <v>0</v>
      </c>
      <c r="AV30" s="124" cm="1">
        <f t="array" ref="AV30">+_xll.EQNXTDZ($A$1,$B30,AV$1,$B$1)</f>
        <v>0</v>
      </c>
      <c r="AW30" s="124" cm="1">
        <f t="array" ref="AW30">+_xll.EQNXTDZ($A$1,$B30,AW$1,$B$1)</f>
        <v>0</v>
      </c>
      <c r="AX30" s="124" cm="1">
        <f t="array" ref="AX30">+_xll.EQNXTDZ($A$1,$B30,AX$1,$B$1)</f>
        <v>0</v>
      </c>
      <c r="AY30" s="124" cm="1">
        <f t="array" ref="AY30">+_xll.EQNXTDZ($A$1,$B30,AY$1,$B$1)</f>
        <v>0</v>
      </c>
      <c r="AZ30" s="124" cm="1">
        <f t="array" ref="AZ30">+_xll.EQNXTDZ($A$1,$B30,AZ$1,$B$1)</f>
        <v>0</v>
      </c>
      <c r="BA30" s="124" cm="1">
        <f t="array" ref="BA30">+_xll.EQNXTDZ($A$1,$B30,BA$1,$B$1)</f>
        <v>0</v>
      </c>
      <c r="BB30" s="124" cm="1">
        <f t="array" ref="BB30">+_xll.EQNXTDZ($A$1,$B30,BB$1,$B$1)</f>
        <v>0</v>
      </c>
      <c r="BC30" s="124" cm="1">
        <f t="array" ref="BC30">+_xll.EQNXTDZ($A$1,$B30,BC$1,$B$1)</f>
        <v>0</v>
      </c>
      <c r="BD30" s="124" cm="1">
        <f t="array" ref="BD30">+_xll.EQNXTDZ($A$1,$B30,BD$1,$B$1)</f>
        <v>0</v>
      </c>
      <c r="BE30" s="124" cm="1">
        <f t="array" ref="BE30">+_xll.EQNXTDZ($A$1,$B30,BE$1,$B$1)</f>
        <v>0</v>
      </c>
      <c r="BF30" s="124" cm="1">
        <f t="array" ref="BF30">+_xll.EQNXTDZ($A$1,$B30,BF$1,$B$1)</f>
        <v>0</v>
      </c>
      <c r="BG30" s="124" cm="1">
        <f t="array" ref="BG30">+_xll.EQNXTDZ($A$1,$B30,BG$1,$B$1)</f>
        <v>0</v>
      </c>
      <c r="BH30" s="124" cm="1">
        <f t="array" ref="BH30">+_xll.EQNXTDZ($A$1,$B30,BH$1,$B$1)</f>
        <v>0</v>
      </c>
      <c r="BI30" s="124" cm="1">
        <f t="array" ref="BI30">+_xll.EQNXTDZ($A$1,$B30,BI$1,$B$1)</f>
        <v>0</v>
      </c>
      <c r="BJ30" s="124" cm="1">
        <f t="array" ref="BJ30">+_xll.EQNXTDZ($A$1,$B30,BJ$1,$B$1)</f>
        <v>0</v>
      </c>
      <c r="BK30" s="124" cm="1">
        <f t="array" ref="BK30">+_xll.EQNXTDZ($A$1,$B30,BK$1,$B$1)</f>
        <v>0</v>
      </c>
    </row>
    <row r="31" spans="1:63" x14ac:dyDescent="0.25">
      <c r="A31" t="s">
        <v>198</v>
      </c>
      <c r="B31" t="s">
        <v>305</v>
      </c>
      <c r="C31" s="124" cm="1">
        <f t="array" ref="C31">+_xll.EQNXTDZ($A$1,$B31,C$1,$B$1)</f>
        <v>0</v>
      </c>
      <c r="D31" s="124" cm="1">
        <f t="array" ref="D31">+_xll.EQNXTDZ($A$1,$B31,D$1,$B$1)</f>
        <v>0</v>
      </c>
      <c r="E31" s="124" cm="1">
        <f t="array" ref="E31">+_xll.EQNXTDZ($A$1,$B31,E$1,$B$1)</f>
        <v>0</v>
      </c>
      <c r="F31" s="124" cm="1">
        <f t="array" ref="F31">+_xll.EQNXTDZ($A$1,$B31,F$1,$B$1)</f>
        <v>0</v>
      </c>
      <c r="G31" s="124" cm="1">
        <f t="array" ref="G31">+_xll.EQNXTDZ($A$1,$B31,G$1,$B$1)</f>
        <v>0</v>
      </c>
      <c r="H31" s="124" cm="1">
        <f t="array" ref="H31">+_xll.EQNXTDZ($A$1,$B31,H$1,$B$1)</f>
        <v>0</v>
      </c>
      <c r="I31" s="124" cm="1">
        <f t="array" ref="I31">+_xll.EQNXTDZ($A$1,$B31,I$1,$B$1)</f>
        <v>0</v>
      </c>
      <c r="J31" s="124" cm="1">
        <f t="array" ref="J31">+_xll.EQNXTDZ($A$1,$B31,J$1,$B$1)</f>
        <v>0</v>
      </c>
      <c r="K31" s="124" cm="1">
        <f t="array" ref="K31">+_xll.EQNXTDZ($A$1,$B31,K$1,$B$1)</f>
        <v>0</v>
      </c>
      <c r="L31" s="124" cm="1">
        <f t="array" ref="L31">+_xll.EQNXTDZ($A$1,$B31,L$1,$B$1)</f>
        <v>0</v>
      </c>
      <c r="M31" s="124" cm="1">
        <f t="array" ref="M31">+_xll.EQNXTDZ($A$1,$B31,M$1,$B$1)</f>
        <v>0</v>
      </c>
      <c r="N31" s="124" cm="1">
        <f t="array" ref="N31">+_xll.EQNXTDZ($A$1,$B31,N$1,$B$1)</f>
        <v>0</v>
      </c>
      <c r="O31" s="124" cm="1">
        <f t="array" ref="O31">+_xll.EQNXTDZ($A$1,$B31,O$1,$B$1)</f>
        <v>0</v>
      </c>
      <c r="P31" s="124" cm="1">
        <f t="array" ref="P31">+_xll.EQNXTDZ($A$1,$B31,P$1,$B$1)</f>
        <v>0</v>
      </c>
      <c r="Q31" s="124" cm="1">
        <f t="array" ref="Q31">+_xll.EQNXTDZ($A$1,$B31,Q$1,$B$1)</f>
        <v>0</v>
      </c>
      <c r="R31" s="124" cm="1">
        <f t="array" ref="R31">+_xll.EQNXTDZ($A$1,$B31,R$1,$B$1)</f>
        <v>0</v>
      </c>
      <c r="S31" s="124" cm="1">
        <f t="array" ref="S31">+_xll.EQNXTDZ($A$1,$B31,S$1,$B$1)</f>
        <v>0</v>
      </c>
      <c r="T31" s="124" cm="1">
        <f t="array" ref="T31">+_xll.EQNXTDZ($A$1,$B31,T$1,$B$1)</f>
        <v>0</v>
      </c>
      <c r="U31" s="124" cm="1">
        <f t="array" ref="U31">+_xll.EQNXTDZ($A$1,$B31,U$1,$B$1)</f>
        <v>0</v>
      </c>
      <c r="V31" s="124" cm="1">
        <f t="array" ref="V31">+_xll.EQNXTDZ($A$1,$B31,V$1,$B$1)</f>
        <v>0</v>
      </c>
      <c r="W31" s="124" cm="1">
        <f t="array" ref="W31">+_xll.EQNXTDZ($A$1,$B31,W$1,$B$1)</f>
        <v>0</v>
      </c>
      <c r="X31" s="124" cm="1">
        <f t="array" ref="X31">+_xll.EQNXTDZ($A$1,$B31,X$1,$B$1)</f>
        <v>0</v>
      </c>
      <c r="Y31" s="124" cm="1">
        <f t="array" ref="Y31">+_xll.EQNXTDZ($A$1,$B31,Y$1,$B$1)</f>
        <v>0</v>
      </c>
      <c r="Z31" s="124" cm="1">
        <f t="array" ref="Z31">+_xll.EQNXTDZ($A$1,$B31,Z$1,$B$1)</f>
        <v>0</v>
      </c>
      <c r="AA31" s="124" cm="1">
        <f t="array" ref="AA31">+_xll.EQNXTDZ($A$1,$B31,AA$1,$B$1)</f>
        <v>0</v>
      </c>
      <c r="AB31" s="124" cm="1">
        <f t="array" ref="AB31">+_xll.EQNXTDZ($A$1,$B31,AB$1,$B$1)</f>
        <v>0</v>
      </c>
      <c r="AC31" s="124" cm="1">
        <f t="array" ref="AC31">+_xll.EQNXTDZ($A$1,$B31,AC$1,$B$1)</f>
        <v>0</v>
      </c>
      <c r="AD31" s="124" cm="1">
        <f t="array" ref="AD31">+_xll.EQNXTDZ($A$1,$B31,AD$1,$B$1)</f>
        <v>0</v>
      </c>
      <c r="AE31" s="124" cm="1">
        <f t="array" ref="AE31">+_xll.EQNXTDZ($A$1,$B31,AE$1,$B$1)</f>
        <v>0</v>
      </c>
      <c r="AF31" s="124" cm="1">
        <f t="array" ref="AF31">+_xll.EQNXTDZ($A$1,$B31,AF$1,$B$1)</f>
        <v>0</v>
      </c>
      <c r="AG31" s="124" cm="1">
        <f t="array" ref="AG31">+_xll.EQNXTDZ($A$1,$B31,AG$1,$B$1)</f>
        <v>0</v>
      </c>
      <c r="AH31" s="124" cm="1">
        <f t="array" ref="AH31">+_xll.EQNXTDZ($A$1,$B31,AH$1,$B$1)</f>
        <v>0</v>
      </c>
      <c r="AI31" s="124" cm="1">
        <f t="array" ref="AI31">+_xll.EQNXTDZ($A$1,$B31,AI$1,$B$1)</f>
        <v>0</v>
      </c>
      <c r="AJ31" s="124" cm="1">
        <f t="array" ref="AJ31">+_xll.EQNXTDZ($A$1,$B31,AJ$1,$B$1)</f>
        <v>0</v>
      </c>
      <c r="AK31" s="124" cm="1">
        <f t="array" ref="AK31">+_xll.EQNXTDZ($A$1,$B31,AK$1,$B$1)</f>
        <v>0</v>
      </c>
      <c r="AL31" s="124" cm="1">
        <f t="array" ref="AL31">+_xll.EQNXTDZ($A$1,$B31,AL$1,$B$1)</f>
        <v>0</v>
      </c>
      <c r="AM31" s="124" cm="1">
        <f t="array" ref="AM31">+_xll.EQNXTDZ($A$1,$B31,AM$1,$B$1)</f>
        <v>0</v>
      </c>
      <c r="AN31" s="124" cm="1">
        <f t="array" ref="AN31">+_xll.EQNXTDZ($A$1,$B31,AN$1,$B$1)</f>
        <v>0</v>
      </c>
      <c r="AO31" s="124" cm="1">
        <f t="array" ref="AO31">+_xll.EQNXTDZ($A$1,$B31,AO$1,$B$1)</f>
        <v>0</v>
      </c>
      <c r="AP31" s="124" cm="1">
        <f t="array" ref="AP31">+_xll.EQNXTDZ($A$1,$B31,AP$1,$B$1)</f>
        <v>0</v>
      </c>
      <c r="AQ31" s="124" cm="1">
        <f t="array" ref="AQ31">+_xll.EQNXTDZ($A$1,$B31,AQ$1,$B$1)</f>
        <v>0</v>
      </c>
      <c r="AR31" s="124" cm="1">
        <f t="array" ref="AR31">+_xll.EQNXTDZ($A$1,$B31,AR$1,$B$1)</f>
        <v>0</v>
      </c>
      <c r="AS31" s="124" cm="1">
        <f t="array" ref="AS31">+_xll.EQNXTDZ($A$1,$B31,AS$1,$B$1)</f>
        <v>0</v>
      </c>
      <c r="AT31" s="124" cm="1">
        <f t="array" ref="AT31">+_xll.EQNXTDZ($A$1,$B31,AT$1,$B$1)</f>
        <v>0</v>
      </c>
      <c r="AU31" s="124" cm="1">
        <f t="array" ref="AU31">+_xll.EQNXTDZ($A$1,$B31,AU$1,$B$1)</f>
        <v>0</v>
      </c>
      <c r="AV31" s="124" cm="1">
        <f t="array" ref="AV31">+_xll.EQNXTDZ($A$1,$B31,AV$1,$B$1)</f>
        <v>0</v>
      </c>
      <c r="AW31" s="124" cm="1">
        <f t="array" ref="AW31">+_xll.EQNXTDZ($A$1,$B31,AW$1,$B$1)</f>
        <v>0</v>
      </c>
      <c r="AX31" s="124" cm="1">
        <f t="array" ref="AX31">+_xll.EQNXTDZ($A$1,$B31,AX$1,$B$1)</f>
        <v>0</v>
      </c>
      <c r="AY31" s="124" cm="1">
        <f t="array" ref="AY31">+_xll.EQNXTDZ($A$1,$B31,AY$1,$B$1)</f>
        <v>0</v>
      </c>
      <c r="AZ31" s="124" cm="1">
        <f t="array" ref="AZ31">+_xll.EQNXTDZ($A$1,$B31,AZ$1,$B$1)</f>
        <v>0</v>
      </c>
      <c r="BA31" s="124" cm="1">
        <f t="array" ref="BA31">+_xll.EQNXTDZ($A$1,$B31,BA$1,$B$1)</f>
        <v>0</v>
      </c>
      <c r="BB31" s="124" cm="1">
        <f t="array" ref="BB31">+_xll.EQNXTDZ($A$1,$B31,BB$1,$B$1)</f>
        <v>0</v>
      </c>
      <c r="BC31" s="124" cm="1">
        <f t="array" ref="BC31">+_xll.EQNXTDZ($A$1,$B31,BC$1,$B$1)</f>
        <v>0</v>
      </c>
      <c r="BD31" s="124" cm="1">
        <f t="array" ref="BD31">+_xll.EQNXTDZ($A$1,$B31,BD$1,$B$1)</f>
        <v>0</v>
      </c>
      <c r="BE31" s="124" cm="1">
        <f t="array" ref="BE31">+_xll.EQNXTDZ($A$1,$B31,BE$1,$B$1)</f>
        <v>0</v>
      </c>
      <c r="BF31" s="124" cm="1">
        <f t="array" ref="BF31">+_xll.EQNXTDZ($A$1,$B31,BF$1,$B$1)</f>
        <v>0</v>
      </c>
      <c r="BG31" s="124" cm="1">
        <f t="array" ref="BG31">+_xll.EQNXTDZ($A$1,$B31,BG$1,$B$1)</f>
        <v>0</v>
      </c>
      <c r="BH31" s="124" cm="1">
        <f t="array" ref="BH31">+_xll.EQNXTDZ($A$1,$B31,BH$1,$B$1)</f>
        <v>0</v>
      </c>
      <c r="BI31" s="124" cm="1">
        <f t="array" ref="BI31">+_xll.EQNXTDZ($A$1,$B31,BI$1,$B$1)</f>
        <v>0</v>
      </c>
      <c r="BJ31" s="124" cm="1">
        <f t="array" ref="BJ31">+_xll.EQNXTDZ($A$1,$B31,BJ$1,$B$1)</f>
        <v>0</v>
      </c>
      <c r="BK31" s="124" cm="1">
        <f t="array" ref="BK31">+_xll.EQNXTDZ($A$1,$B31,BK$1,$B$1)</f>
        <v>0</v>
      </c>
    </row>
    <row r="32" spans="1:63" x14ac:dyDescent="0.25">
      <c r="A32" t="s">
        <v>3</v>
      </c>
      <c r="B32" t="s">
        <v>306</v>
      </c>
      <c r="C32" s="124" cm="1">
        <f t="array" ref="C32">+_xll.EQNXTDZ($A$1,$B32,C$1,$B$1)</f>
        <v>0</v>
      </c>
      <c r="D32" s="124" cm="1">
        <f t="array" ref="D32">+_xll.EQNXTDZ($A$1,$B32,D$1,$B$1)</f>
        <v>0</v>
      </c>
      <c r="E32" s="124" cm="1">
        <f t="array" ref="E32">+_xll.EQNXTDZ($A$1,$B32,E$1,$B$1)</f>
        <v>0</v>
      </c>
      <c r="F32" s="124" cm="1">
        <f t="array" ref="F32">+_xll.EQNXTDZ($A$1,$B32,F$1,$B$1)</f>
        <v>0</v>
      </c>
      <c r="G32" s="124" cm="1">
        <f t="array" ref="G32">+_xll.EQNXTDZ($A$1,$B32,G$1,$B$1)</f>
        <v>0</v>
      </c>
      <c r="H32" s="124" cm="1">
        <f t="array" ref="H32">+_xll.EQNXTDZ($A$1,$B32,H$1,$B$1)</f>
        <v>0</v>
      </c>
      <c r="I32" s="124" cm="1">
        <f t="array" ref="I32">+_xll.EQNXTDZ($A$1,$B32,I$1,$B$1)</f>
        <v>0</v>
      </c>
      <c r="J32" s="124" cm="1">
        <f t="array" ref="J32">+_xll.EQNXTDZ($A$1,$B32,J$1,$B$1)</f>
        <v>0</v>
      </c>
      <c r="K32" s="124" cm="1">
        <f t="array" ref="K32">+_xll.EQNXTDZ($A$1,$B32,K$1,$B$1)</f>
        <v>0</v>
      </c>
      <c r="L32" s="124" cm="1">
        <f t="array" ref="L32">+_xll.EQNXTDZ($A$1,$B32,L$1,$B$1)</f>
        <v>0</v>
      </c>
      <c r="M32" s="124" cm="1">
        <f t="array" ref="M32">+_xll.EQNXTDZ($A$1,$B32,M$1,$B$1)</f>
        <v>0</v>
      </c>
      <c r="N32" s="124" cm="1">
        <f t="array" ref="N32">+_xll.EQNXTDZ($A$1,$B32,N$1,$B$1)</f>
        <v>0</v>
      </c>
      <c r="O32" s="124" cm="1">
        <f t="array" ref="O32">+_xll.EQNXTDZ($A$1,$B32,O$1,$B$1)</f>
        <v>0</v>
      </c>
      <c r="P32" s="124" cm="1">
        <f t="array" ref="P32">+_xll.EQNXTDZ($A$1,$B32,P$1,$B$1)</f>
        <v>0</v>
      </c>
      <c r="Q32" s="124" cm="1">
        <f t="array" ref="Q32">+_xll.EQNXTDZ($A$1,$B32,Q$1,$B$1)</f>
        <v>0</v>
      </c>
      <c r="R32" s="124" cm="1">
        <f t="array" ref="R32">+_xll.EQNXTDZ($A$1,$B32,R$1,$B$1)</f>
        <v>0</v>
      </c>
      <c r="S32" s="124" cm="1">
        <f t="array" ref="S32">+_xll.EQNXTDZ($A$1,$B32,S$1,$B$1)</f>
        <v>0</v>
      </c>
      <c r="T32" s="124" cm="1">
        <f t="array" ref="T32">+_xll.EQNXTDZ($A$1,$B32,T$1,$B$1)</f>
        <v>0</v>
      </c>
      <c r="U32" s="124" cm="1">
        <f t="array" ref="U32">+_xll.EQNXTDZ($A$1,$B32,U$1,$B$1)</f>
        <v>0</v>
      </c>
      <c r="V32" s="124" cm="1">
        <f t="array" ref="V32">+_xll.EQNXTDZ($A$1,$B32,V$1,$B$1)</f>
        <v>0</v>
      </c>
      <c r="W32" s="124" cm="1">
        <f t="array" ref="W32">+_xll.EQNXTDZ($A$1,$B32,W$1,$B$1)</f>
        <v>0</v>
      </c>
      <c r="X32" s="124" cm="1">
        <f t="array" ref="X32">+_xll.EQNXTDZ($A$1,$B32,X$1,$B$1)</f>
        <v>0</v>
      </c>
      <c r="Y32" s="124" cm="1">
        <f t="array" ref="Y32">+_xll.EQNXTDZ($A$1,$B32,Y$1,$B$1)</f>
        <v>0</v>
      </c>
      <c r="Z32" s="124" cm="1">
        <f t="array" ref="Z32">+_xll.EQNXTDZ($A$1,$B32,Z$1,$B$1)</f>
        <v>0</v>
      </c>
      <c r="AA32" s="124" cm="1">
        <f t="array" ref="AA32">+_xll.EQNXTDZ($A$1,$B32,AA$1,$B$1)</f>
        <v>0</v>
      </c>
      <c r="AB32" s="124" cm="1">
        <f t="array" ref="AB32">+_xll.EQNXTDZ($A$1,$B32,AB$1,$B$1)</f>
        <v>0</v>
      </c>
      <c r="AC32" s="124" cm="1">
        <f t="array" ref="AC32">+_xll.EQNXTDZ($A$1,$B32,AC$1,$B$1)</f>
        <v>0</v>
      </c>
      <c r="AD32" s="124" cm="1">
        <f t="array" ref="AD32">+_xll.EQNXTDZ($A$1,$B32,AD$1,$B$1)</f>
        <v>0</v>
      </c>
      <c r="AE32" s="124" cm="1">
        <f t="array" ref="AE32">+_xll.EQNXTDZ($A$1,$B32,AE$1,$B$1)</f>
        <v>0</v>
      </c>
      <c r="AF32" s="124" cm="1">
        <f t="array" ref="AF32">+_xll.EQNXTDZ($A$1,$B32,AF$1,$B$1)</f>
        <v>0</v>
      </c>
      <c r="AG32" s="124" cm="1">
        <f t="array" ref="AG32">+_xll.EQNXTDZ($A$1,$B32,AG$1,$B$1)</f>
        <v>0</v>
      </c>
      <c r="AH32" s="124" cm="1">
        <f t="array" ref="AH32">+_xll.EQNXTDZ($A$1,$B32,AH$1,$B$1)</f>
        <v>0</v>
      </c>
      <c r="AI32" s="124" cm="1">
        <f t="array" ref="AI32">+_xll.EQNXTDZ($A$1,$B32,AI$1,$B$1)</f>
        <v>0</v>
      </c>
      <c r="AJ32" s="124" cm="1">
        <f t="array" ref="AJ32">+_xll.EQNXTDZ($A$1,$B32,AJ$1,$B$1)</f>
        <v>0</v>
      </c>
      <c r="AK32" s="124" cm="1">
        <f t="array" ref="AK32">+_xll.EQNXTDZ($A$1,$B32,AK$1,$B$1)</f>
        <v>0</v>
      </c>
      <c r="AL32" s="124" cm="1">
        <f t="array" ref="AL32">+_xll.EQNXTDZ($A$1,$B32,AL$1,$B$1)</f>
        <v>0</v>
      </c>
      <c r="AM32" s="124" cm="1">
        <f t="array" ref="AM32">+_xll.EQNXTDZ($A$1,$B32,AM$1,$B$1)</f>
        <v>0</v>
      </c>
      <c r="AN32" s="124" cm="1">
        <f t="array" ref="AN32">+_xll.EQNXTDZ($A$1,$B32,AN$1,$B$1)</f>
        <v>0</v>
      </c>
      <c r="AO32" s="124" cm="1">
        <f t="array" ref="AO32">+_xll.EQNXTDZ($A$1,$B32,AO$1,$B$1)</f>
        <v>0</v>
      </c>
      <c r="AP32" s="124" cm="1">
        <f t="array" ref="AP32">+_xll.EQNXTDZ($A$1,$B32,AP$1,$B$1)</f>
        <v>0</v>
      </c>
      <c r="AQ32" s="124" cm="1">
        <f t="array" ref="AQ32">+_xll.EQNXTDZ($A$1,$B32,AQ$1,$B$1)</f>
        <v>0</v>
      </c>
      <c r="AR32" s="124" cm="1">
        <f t="array" ref="AR32">+_xll.EQNXTDZ($A$1,$B32,AR$1,$B$1)</f>
        <v>0</v>
      </c>
      <c r="AS32" s="124" cm="1">
        <f t="array" ref="AS32">+_xll.EQNXTDZ($A$1,$B32,AS$1,$B$1)</f>
        <v>0</v>
      </c>
      <c r="AT32" s="124" cm="1">
        <f t="array" ref="AT32">+_xll.EQNXTDZ($A$1,$B32,AT$1,$B$1)</f>
        <v>0</v>
      </c>
      <c r="AU32" s="124" cm="1">
        <f t="array" ref="AU32">+_xll.EQNXTDZ($A$1,$B32,AU$1,$B$1)</f>
        <v>0</v>
      </c>
      <c r="AV32" s="124" cm="1">
        <f t="array" ref="AV32">+_xll.EQNXTDZ($A$1,$B32,AV$1,$B$1)</f>
        <v>0</v>
      </c>
      <c r="AW32" s="124" cm="1">
        <f t="array" ref="AW32">+_xll.EQNXTDZ($A$1,$B32,AW$1,$B$1)</f>
        <v>0</v>
      </c>
      <c r="AX32" s="124" cm="1">
        <f t="array" ref="AX32">+_xll.EQNXTDZ($A$1,$B32,AX$1,$B$1)</f>
        <v>0</v>
      </c>
      <c r="AY32" s="124" cm="1">
        <f t="array" ref="AY32">+_xll.EQNXTDZ($A$1,$B32,AY$1,$B$1)</f>
        <v>0</v>
      </c>
      <c r="AZ32" s="124" cm="1">
        <f t="array" ref="AZ32">+_xll.EQNXTDZ($A$1,$B32,AZ$1,$B$1)</f>
        <v>0</v>
      </c>
      <c r="BA32" s="124" cm="1">
        <f t="array" ref="BA32">+_xll.EQNXTDZ($A$1,$B32,BA$1,$B$1)</f>
        <v>0</v>
      </c>
      <c r="BB32" s="124" cm="1">
        <f t="array" ref="BB32">+_xll.EQNXTDZ($A$1,$B32,BB$1,$B$1)</f>
        <v>0</v>
      </c>
      <c r="BC32" s="124" cm="1">
        <f t="array" ref="BC32">+_xll.EQNXTDZ($A$1,$B32,BC$1,$B$1)</f>
        <v>0</v>
      </c>
      <c r="BD32" s="124" cm="1">
        <f t="array" ref="BD32">+_xll.EQNXTDZ($A$1,$B32,BD$1,$B$1)</f>
        <v>0</v>
      </c>
      <c r="BE32" s="124" cm="1">
        <f t="array" ref="BE32">+_xll.EQNXTDZ($A$1,$B32,BE$1,$B$1)</f>
        <v>0</v>
      </c>
      <c r="BF32" s="124" cm="1">
        <f t="array" ref="BF32">+_xll.EQNXTDZ($A$1,$B32,BF$1,$B$1)</f>
        <v>0</v>
      </c>
      <c r="BG32" s="124" cm="1">
        <f t="array" ref="BG32">+_xll.EQNXTDZ($A$1,$B32,BG$1,$B$1)</f>
        <v>0</v>
      </c>
      <c r="BH32" s="124" cm="1">
        <f t="array" ref="BH32">+_xll.EQNXTDZ($A$1,$B32,BH$1,$B$1)</f>
        <v>0</v>
      </c>
      <c r="BI32" s="124" cm="1">
        <f t="array" ref="BI32">+_xll.EQNXTDZ($A$1,$B32,BI$1,$B$1)</f>
        <v>0</v>
      </c>
      <c r="BJ32" s="124" cm="1">
        <f t="array" ref="BJ32">+_xll.EQNXTDZ($A$1,$B32,BJ$1,$B$1)</f>
        <v>0</v>
      </c>
      <c r="BK32" s="124" cm="1">
        <f t="array" ref="BK32">+_xll.EQNXTDZ($A$1,$B32,BK$1,$B$1)</f>
        <v>0</v>
      </c>
    </row>
    <row r="33" spans="1:63" x14ac:dyDescent="0.25">
      <c r="A33" t="s">
        <v>199</v>
      </c>
      <c r="B33" t="s">
        <v>307</v>
      </c>
      <c r="C33" s="124" cm="1">
        <f t="array" ref="C33">+_xll.EQNXTDZ($A$1,$B33,C$1,$B$1)</f>
        <v>0</v>
      </c>
      <c r="D33" s="124" cm="1">
        <f t="array" ref="D33">+_xll.EQNXTDZ($A$1,$B33,D$1,$B$1)</f>
        <v>0</v>
      </c>
      <c r="E33" s="124" cm="1">
        <f t="array" ref="E33">+_xll.EQNXTDZ($A$1,$B33,E$1,$B$1)</f>
        <v>0</v>
      </c>
      <c r="F33" s="124" cm="1">
        <f t="array" ref="F33">+_xll.EQNXTDZ($A$1,$B33,F$1,$B$1)</f>
        <v>0</v>
      </c>
      <c r="G33" s="124" cm="1">
        <f t="array" ref="G33">+_xll.EQNXTDZ($A$1,$B33,G$1,$B$1)</f>
        <v>0</v>
      </c>
      <c r="H33" s="124" cm="1">
        <f t="array" ref="H33">+_xll.EQNXTDZ($A$1,$B33,H$1,$B$1)</f>
        <v>0</v>
      </c>
      <c r="I33" s="124" cm="1">
        <f t="array" ref="I33">+_xll.EQNXTDZ($A$1,$B33,I$1,$B$1)</f>
        <v>0</v>
      </c>
      <c r="J33" s="124" cm="1">
        <f t="array" ref="J33">+_xll.EQNXTDZ($A$1,$B33,J$1,$B$1)</f>
        <v>0</v>
      </c>
      <c r="K33" s="124" cm="1">
        <f t="array" ref="K33">+_xll.EQNXTDZ($A$1,$B33,K$1,$B$1)</f>
        <v>0</v>
      </c>
      <c r="L33" s="124" cm="1">
        <f t="array" ref="L33">+_xll.EQNXTDZ($A$1,$B33,L$1,$B$1)</f>
        <v>0</v>
      </c>
      <c r="M33" s="124" cm="1">
        <f t="array" ref="M33">+_xll.EQNXTDZ($A$1,$B33,M$1,$B$1)</f>
        <v>0</v>
      </c>
      <c r="N33" s="124" cm="1">
        <f t="array" ref="N33">+_xll.EQNXTDZ($A$1,$B33,N$1,$B$1)</f>
        <v>0</v>
      </c>
      <c r="O33" s="124" cm="1">
        <f t="array" ref="O33">+_xll.EQNXTDZ($A$1,$B33,O$1,$B$1)</f>
        <v>0</v>
      </c>
      <c r="P33" s="124" cm="1">
        <f t="array" ref="P33">+_xll.EQNXTDZ($A$1,$B33,P$1,$B$1)</f>
        <v>0</v>
      </c>
      <c r="Q33" s="124" cm="1">
        <f t="array" ref="Q33">+_xll.EQNXTDZ($A$1,$B33,Q$1,$B$1)</f>
        <v>0</v>
      </c>
      <c r="R33" s="124" cm="1">
        <f t="array" ref="R33">+_xll.EQNXTDZ($A$1,$B33,R$1,$B$1)</f>
        <v>0</v>
      </c>
      <c r="S33" s="124" cm="1">
        <f t="array" ref="S33">+_xll.EQNXTDZ($A$1,$B33,S$1,$B$1)</f>
        <v>0</v>
      </c>
      <c r="T33" s="124" cm="1">
        <f t="array" ref="T33">+_xll.EQNXTDZ($A$1,$B33,T$1,$B$1)</f>
        <v>0</v>
      </c>
      <c r="U33" s="124" cm="1">
        <f t="array" ref="U33">+_xll.EQNXTDZ($A$1,$B33,U$1,$B$1)</f>
        <v>0</v>
      </c>
      <c r="V33" s="124" cm="1">
        <f t="array" ref="V33">+_xll.EQNXTDZ($A$1,$B33,V$1,$B$1)</f>
        <v>0</v>
      </c>
      <c r="W33" s="124" cm="1">
        <f t="array" ref="W33">+_xll.EQNXTDZ($A$1,$B33,W$1,$B$1)</f>
        <v>0</v>
      </c>
      <c r="X33" s="124" cm="1">
        <f t="array" ref="X33">+_xll.EQNXTDZ($A$1,$B33,X$1,$B$1)</f>
        <v>0</v>
      </c>
      <c r="Y33" s="124" cm="1">
        <f t="array" ref="Y33">+_xll.EQNXTDZ($A$1,$B33,Y$1,$B$1)</f>
        <v>0</v>
      </c>
      <c r="Z33" s="124" cm="1">
        <f t="array" ref="Z33">+_xll.EQNXTDZ($A$1,$B33,Z$1,$B$1)</f>
        <v>0</v>
      </c>
      <c r="AA33" s="124" cm="1">
        <f t="array" ref="AA33">+_xll.EQNXTDZ($A$1,$B33,AA$1,$B$1)</f>
        <v>0</v>
      </c>
      <c r="AB33" s="124" cm="1">
        <f t="array" ref="AB33">+_xll.EQNXTDZ($A$1,$B33,AB$1,$B$1)</f>
        <v>0</v>
      </c>
      <c r="AC33" s="124" cm="1">
        <f t="array" ref="AC33">+_xll.EQNXTDZ($A$1,$B33,AC$1,$B$1)</f>
        <v>0</v>
      </c>
      <c r="AD33" s="124" cm="1">
        <f t="array" ref="AD33">+_xll.EQNXTDZ($A$1,$B33,AD$1,$B$1)</f>
        <v>0</v>
      </c>
      <c r="AE33" s="124" cm="1">
        <f t="array" ref="AE33">+_xll.EQNXTDZ($A$1,$B33,AE$1,$B$1)</f>
        <v>0</v>
      </c>
      <c r="AF33" s="124" cm="1">
        <f t="array" ref="AF33">+_xll.EQNXTDZ($A$1,$B33,AF$1,$B$1)</f>
        <v>0</v>
      </c>
      <c r="AG33" s="124" cm="1">
        <f t="array" ref="AG33">+_xll.EQNXTDZ($A$1,$B33,AG$1,$B$1)</f>
        <v>0</v>
      </c>
      <c r="AH33" s="124" cm="1">
        <f t="array" ref="AH33">+_xll.EQNXTDZ($A$1,$B33,AH$1,$B$1)</f>
        <v>0</v>
      </c>
      <c r="AI33" s="124" cm="1">
        <f t="array" ref="AI33">+_xll.EQNXTDZ($A$1,$B33,AI$1,$B$1)</f>
        <v>0</v>
      </c>
      <c r="AJ33" s="124" cm="1">
        <f t="array" ref="AJ33">+_xll.EQNXTDZ($A$1,$B33,AJ$1,$B$1)</f>
        <v>0</v>
      </c>
      <c r="AK33" s="124" cm="1">
        <f t="array" ref="AK33">+_xll.EQNXTDZ($A$1,$B33,AK$1,$B$1)</f>
        <v>0</v>
      </c>
      <c r="AL33" s="124" cm="1">
        <f t="array" ref="AL33">+_xll.EQNXTDZ($A$1,$B33,AL$1,$B$1)</f>
        <v>0</v>
      </c>
      <c r="AM33" s="124" cm="1">
        <f t="array" ref="AM33">+_xll.EQNXTDZ($A$1,$B33,AM$1,$B$1)</f>
        <v>0</v>
      </c>
      <c r="AN33" s="124" cm="1">
        <f t="array" ref="AN33">+_xll.EQNXTDZ($A$1,$B33,AN$1,$B$1)</f>
        <v>0</v>
      </c>
      <c r="AO33" s="124" cm="1">
        <f t="array" ref="AO33">+_xll.EQNXTDZ($A$1,$B33,AO$1,$B$1)</f>
        <v>0</v>
      </c>
      <c r="AP33" s="124" cm="1">
        <f t="array" ref="AP33">+_xll.EQNXTDZ($A$1,$B33,AP$1,$B$1)</f>
        <v>0</v>
      </c>
      <c r="AQ33" s="124" cm="1">
        <f t="array" ref="AQ33">+_xll.EQNXTDZ($A$1,$B33,AQ$1,$B$1)</f>
        <v>0</v>
      </c>
      <c r="AR33" s="124" cm="1">
        <f t="array" ref="AR33">+_xll.EQNXTDZ($A$1,$B33,AR$1,$B$1)</f>
        <v>0</v>
      </c>
      <c r="AS33" s="124" cm="1">
        <f t="array" ref="AS33">+_xll.EQNXTDZ($A$1,$B33,AS$1,$B$1)</f>
        <v>0</v>
      </c>
      <c r="AT33" s="124" cm="1">
        <f t="array" ref="AT33">+_xll.EQNXTDZ($A$1,$B33,AT$1,$B$1)</f>
        <v>0</v>
      </c>
      <c r="AU33" s="124" cm="1">
        <f t="array" ref="AU33">+_xll.EQNXTDZ($A$1,$B33,AU$1,$B$1)</f>
        <v>0</v>
      </c>
      <c r="AV33" s="124" cm="1">
        <f t="array" ref="AV33">+_xll.EQNXTDZ($A$1,$B33,AV$1,$B$1)</f>
        <v>0</v>
      </c>
      <c r="AW33" s="124" cm="1">
        <f t="array" ref="AW33">+_xll.EQNXTDZ($A$1,$B33,AW$1,$B$1)</f>
        <v>0</v>
      </c>
      <c r="AX33" s="124" cm="1">
        <f t="array" ref="AX33">+_xll.EQNXTDZ($A$1,$B33,AX$1,$B$1)</f>
        <v>0</v>
      </c>
      <c r="AY33" s="124" cm="1">
        <f t="array" ref="AY33">+_xll.EQNXTDZ($A$1,$B33,AY$1,$B$1)</f>
        <v>0</v>
      </c>
      <c r="AZ33" s="124" cm="1">
        <f t="array" ref="AZ33">+_xll.EQNXTDZ($A$1,$B33,AZ$1,$B$1)</f>
        <v>0</v>
      </c>
      <c r="BA33" s="124" cm="1">
        <f t="array" ref="BA33">+_xll.EQNXTDZ($A$1,$B33,BA$1,$B$1)</f>
        <v>0</v>
      </c>
      <c r="BB33" s="124" cm="1">
        <f t="array" ref="BB33">+_xll.EQNXTDZ($A$1,$B33,BB$1,$B$1)</f>
        <v>0</v>
      </c>
      <c r="BC33" s="124" cm="1">
        <f t="array" ref="BC33">+_xll.EQNXTDZ($A$1,$B33,BC$1,$B$1)</f>
        <v>0</v>
      </c>
      <c r="BD33" s="124" cm="1">
        <f t="array" ref="BD33">+_xll.EQNXTDZ($A$1,$B33,BD$1,$B$1)</f>
        <v>0</v>
      </c>
      <c r="BE33" s="124" cm="1">
        <f t="array" ref="BE33">+_xll.EQNXTDZ($A$1,$B33,BE$1,$B$1)</f>
        <v>0</v>
      </c>
      <c r="BF33" s="124" cm="1">
        <f t="array" ref="BF33">+_xll.EQNXTDZ($A$1,$B33,BF$1,$B$1)</f>
        <v>0</v>
      </c>
      <c r="BG33" s="124" cm="1">
        <f t="array" ref="BG33">+_xll.EQNXTDZ($A$1,$B33,BG$1,$B$1)</f>
        <v>0</v>
      </c>
      <c r="BH33" s="124" cm="1">
        <f t="array" ref="BH33">+_xll.EQNXTDZ($A$1,$B33,BH$1,$B$1)</f>
        <v>0</v>
      </c>
      <c r="BI33" s="124" cm="1">
        <f t="array" ref="BI33">+_xll.EQNXTDZ($A$1,$B33,BI$1,$B$1)</f>
        <v>0</v>
      </c>
      <c r="BJ33" s="124" cm="1">
        <f t="array" ref="BJ33">+_xll.EQNXTDZ($A$1,$B33,BJ$1,$B$1)</f>
        <v>0</v>
      </c>
      <c r="BK33" s="124" cm="1">
        <f t="array" ref="BK33">+_xll.EQNXTDZ($A$1,$B33,BK$1,$B$1)</f>
        <v>0</v>
      </c>
    </row>
    <row r="34" spans="1:63" x14ac:dyDescent="0.25">
      <c r="A34" t="s">
        <v>146</v>
      </c>
      <c r="B34" t="s">
        <v>308</v>
      </c>
      <c r="C34" s="124" cm="1">
        <f t="array" ref="C34">+_xll.EQNXTDZ($A$1,$B34,C$1,$B$1)</f>
        <v>0</v>
      </c>
      <c r="D34" s="124" cm="1">
        <f t="array" ref="D34">+_xll.EQNXTDZ($A$1,$B34,D$1,$B$1)</f>
        <v>0</v>
      </c>
      <c r="E34" s="124" cm="1">
        <f t="array" ref="E34">+_xll.EQNXTDZ($A$1,$B34,E$1,$B$1)</f>
        <v>0</v>
      </c>
      <c r="F34" s="124" cm="1">
        <f t="array" ref="F34">+_xll.EQNXTDZ($A$1,$B34,F$1,$B$1)</f>
        <v>0</v>
      </c>
      <c r="G34" s="124" cm="1">
        <f t="array" ref="G34">+_xll.EQNXTDZ($A$1,$B34,G$1,$B$1)</f>
        <v>0</v>
      </c>
      <c r="H34" s="124" cm="1">
        <f t="array" ref="H34">+_xll.EQNXTDZ($A$1,$B34,H$1,$B$1)</f>
        <v>0</v>
      </c>
      <c r="I34" s="124" cm="1">
        <f t="array" ref="I34">+_xll.EQNXTDZ($A$1,$B34,I$1,$B$1)</f>
        <v>0</v>
      </c>
      <c r="J34" s="124" cm="1">
        <f t="array" ref="J34">+_xll.EQNXTDZ($A$1,$B34,J$1,$B$1)</f>
        <v>0</v>
      </c>
      <c r="K34" s="124" cm="1">
        <f t="array" ref="K34">+_xll.EQNXTDZ($A$1,$B34,K$1,$B$1)</f>
        <v>0</v>
      </c>
      <c r="L34" s="124" cm="1">
        <f t="array" ref="L34">+_xll.EQNXTDZ($A$1,$B34,L$1,$B$1)</f>
        <v>0</v>
      </c>
      <c r="M34" s="124" cm="1">
        <f t="array" ref="M34">+_xll.EQNXTDZ($A$1,$B34,M$1,$B$1)</f>
        <v>0</v>
      </c>
      <c r="N34" s="124" cm="1">
        <f t="array" ref="N34">+_xll.EQNXTDZ($A$1,$B34,N$1,$B$1)</f>
        <v>0</v>
      </c>
      <c r="O34" s="124" cm="1">
        <f t="array" ref="O34">+_xll.EQNXTDZ($A$1,$B34,O$1,$B$1)</f>
        <v>0</v>
      </c>
      <c r="P34" s="124" cm="1">
        <f t="array" ref="P34">+_xll.EQNXTDZ($A$1,$B34,P$1,$B$1)</f>
        <v>0</v>
      </c>
      <c r="Q34" s="124" cm="1">
        <f t="array" ref="Q34">+_xll.EQNXTDZ($A$1,$B34,Q$1,$B$1)</f>
        <v>0</v>
      </c>
      <c r="R34" s="124" cm="1">
        <f t="array" ref="R34">+_xll.EQNXTDZ($A$1,$B34,R$1,$B$1)</f>
        <v>0</v>
      </c>
      <c r="S34" s="124" cm="1">
        <f t="array" ref="S34">+_xll.EQNXTDZ($A$1,$B34,S$1,$B$1)</f>
        <v>0</v>
      </c>
      <c r="T34" s="124" cm="1">
        <f t="array" ref="T34">+_xll.EQNXTDZ($A$1,$B34,T$1,$B$1)</f>
        <v>0</v>
      </c>
      <c r="U34" s="124" cm="1">
        <f t="array" ref="U34">+_xll.EQNXTDZ($A$1,$B34,U$1,$B$1)</f>
        <v>0</v>
      </c>
      <c r="V34" s="124" cm="1">
        <f t="array" ref="V34">+_xll.EQNXTDZ($A$1,$B34,V$1,$B$1)</f>
        <v>0</v>
      </c>
      <c r="W34" s="124" cm="1">
        <f t="array" ref="W34">+_xll.EQNXTDZ($A$1,$B34,W$1,$B$1)</f>
        <v>0</v>
      </c>
      <c r="X34" s="124" cm="1">
        <f t="array" ref="X34">+_xll.EQNXTDZ($A$1,$B34,X$1,$B$1)</f>
        <v>0</v>
      </c>
      <c r="Y34" s="124" cm="1">
        <f t="array" ref="Y34">+_xll.EQNXTDZ($A$1,$B34,Y$1,$B$1)</f>
        <v>0</v>
      </c>
      <c r="Z34" s="124" cm="1">
        <f t="array" ref="Z34">+_xll.EQNXTDZ($A$1,$B34,Z$1,$B$1)</f>
        <v>0</v>
      </c>
      <c r="AA34" s="124" cm="1">
        <f t="array" ref="AA34">+_xll.EQNXTDZ($A$1,$B34,AA$1,$B$1)</f>
        <v>0</v>
      </c>
      <c r="AB34" s="124" cm="1">
        <f t="array" ref="AB34">+_xll.EQNXTDZ($A$1,$B34,AB$1,$B$1)</f>
        <v>0</v>
      </c>
      <c r="AC34" s="124" cm="1">
        <f t="array" ref="AC34">+_xll.EQNXTDZ($A$1,$B34,AC$1,$B$1)</f>
        <v>0</v>
      </c>
      <c r="AD34" s="124" cm="1">
        <f t="array" ref="AD34">+_xll.EQNXTDZ($A$1,$B34,AD$1,$B$1)</f>
        <v>0</v>
      </c>
      <c r="AE34" s="124" cm="1">
        <f t="array" ref="AE34">+_xll.EQNXTDZ($A$1,$B34,AE$1,$B$1)</f>
        <v>0</v>
      </c>
      <c r="AF34" s="124" cm="1">
        <f t="array" ref="AF34">+_xll.EQNXTDZ($A$1,$B34,AF$1,$B$1)</f>
        <v>0</v>
      </c>
      <c r="AG34" s="124" cm="1">
        <f t="array" ref="AG34">+_xll.EQNXTDZ($A$1,$B34,AG$1,$B$1)</f>
        <v>0</v>
      </c>
      <c r="AH34" s="124" cm="1">
        <f t="array" ref="AH34">+_xll.EQNXTDZ($A$1,$B34,AH$1,$B$1)</f>
        <v>0</v>
      </c>
      <c r="AI34" s="124" cm="1">
        <f t="array" ref="AI34">+_xll.EQNXTDZ($A$1,$B34,AI$1,$B$1)</f>
        <v>0</v>
      </c>
      <c r="AJ34" s="124" cm="1">
        <f t="array" ref="AJ34">+_xll.EQNXTDZ($A$1,$B34,AJ$1,$B$1)</f>
        <v>0</v>
      </c>
      <c r="AK34" s="124" cm="1">
        <f t="array" ref="AK34">+_xll.EQNXTDZ($A$1,$B34,AK$1,$B$1)</f>
        <v>0</v>
      </c>
      <c r="AL34" s="124" cm="1">
        <f t="array" ref="AL34">+_xll.EQNXTDZ($A$1,$B34,AL$1,$B$1)</f>
        <v>0</v>
      </c>
      <c r="AM34" s="124" cm="1">
        <f t="array" ref="AM34">+_xll.EQNXTDZ($A$1,$B34,AM$1,$B$1)</f>
        <v>0</v>
      </c>
      <c r="AN34" s="124" cm="1">
        <f t="array" ref="AN34">+_xll.EQNXTDZ($A$1,$B34,AN$1,$B$1)</f>
        <v>0</v>
      </c>
      <c r="AO34" s="124" cm="1">
        <f t="array" ref="AO34">+_xll.EQNXTDZ($A$1,$B34,AO$1,$B$1)</f>
        <v>0</v>
      </c>
      <c r="AP34" s="124" cm="1">
        <f t="array" ref="AP34">+_xll.EQNXTDZ($A$1,$B34,AP$1,$B$1)</f>
        <v>0</v>
      </c>
      <c r="AQ34" s="124" cm="1">
        <f t="array" ref="AQ34">+_xll.EQNXTDZ($A$1,$B34,AQ$1,$B$1)</f>
        <v>0</v>
      </c>
      <c r="AR34" s="124" cm="1">
        <f t="array" ref="AR34">+_xll.EQNXTDZ($A$1,$B34,AR$1,$B$1)</f>
        <v>0</v>
      </c>
      <c r="AS34" s="124" cm="1">
        <f t="array" ref="AS34">+_xll.EQNXTDZ($A$1,$B34,AS$1,$B$1)</f>
        <v>0</v>
      </c>
      <c r="AT34" s="124" cm="1">
        <f t="array" ref="AT34">+_xll.EQNXTDZ($A$1,$B34,AT$1,$B$1)</f>
        <v>0</v>
      </c>
      <c r="AU34" s="124" cm="1">
        <f t="array" ref="AU34">+_xll.EQNXTDZ($A$1,$B34,AU$1,$B$1)</f>
        <v>0</v>
      </c>
      <c r="AV34" s="124" cm="1">
        <f t="array" ref="AV34">+_xll.EQNXTDZ($A$1,$B34,AV$1,$B$1)</f>
        <v>0</v>
      </c>
      <c r="AW34" s="124" cm="1">
        <f t="array" ref="AW34">+_xll.EQNXTDZ($A$1,$B34,AW$1,$B$1)</f>
        <v>0</v>
      </c>
      <c r="AX34" s="124" cm="1">
        <f t="array" ref="AX34">+_xll.EQNXTDZ($A$1,$B34,AX$1,$B$1)</f>
        <v>0</v>
      </c>
      <c r="AY34" s="124" cm="1">
        <f t="array" ref="AY34">+_xll.EQNXTDZ($A$1,$B34,AY$1,$B$1)</f>
        <v>0</v>
      </c>
      <c r="AZ34" s="124" cm="1">
        <f t="array" ref="AZ34">+_xll.EQNXTDZ($A$1,$B34,AZ$1,$B$1)</f>
        <v>0</v>
      </c>
      <c r="BA34" s="124" cm="1">
        <f t="array" ref="BA34">+_xll.EQNXTDZ($A$1,$B34,BA$1,$B$1)</f>
        <v>0</v>
      </c>
      <c r="BB34" s="124" cm="1">
        <f t="array" ref="BB34">+_xll.EQNXTDZ($A$1,$B34,BB$1,$B$1)</f>
        <v>0</v>
      </c>
      <c r="BC34" s="124" cm="1">
        <f t="array" ref="BC34">+_xll.EQNXTDZ($A$1,$B34,BC$1,$B$1)</f>
        <v>0</v>
      </c>
      <c r="BD34" s="124" cm="1">
        <f t="array" ref="BD34">+_xll.EQNXTDZ($A$1,$B34,BD$1,$B$1)</f>
        <v>0</v>
      </c>
      <c r="BE34" s="124" cm="1">
        <f t="array" ref="BE34">+_xll.EQNXTDZ($A$1,$B34,BE$1,$B$1)</f>
        <v>0</v>
      </c>
      <c r="BF34" s="124" cm="1">
        <f t="array" ref="BF34">+_xll.EQNXTDZ($A$1,$B34,BF$1,$B$1)</f>
        <v>0</v>
      </c>
      <c r="BG34" s="124" cm="1">
        <f t="array" ref="BG34">+_xll.EQNXTDZ($A$1,$B34,BG$1,$B$1)</f>
        <v>0</v>
      </c>
      <c r="BH34" s="124" cm="1">
        <f t="array" ref="BH34">+_xll.EQNXTDZ($A$1,$B34,BH$1,$B$1)</f>
        <v>0</v>
      </c>
      <c r="BI34" s="124" cm="1">
        <f t="array" ref="BI34">+_xll.EQNXTDZ($A$1,$B34,BI$1,$B$1)</f>
        <v>0</v>
      </c>
      <c r="BJ34" s="124" cm="1">
        <f t="array" ref="BJ34">+_xll.EQNXTDZ($A$1,$B34,BJ$1,$B$1)</f>
        <v>0</v>
      </c>
      <c r="BK34" s="124" cm="1">
        <f t="array" ref="BK34">+_xll.EQNXTDZ($A$1,$B34,BK$1,$B$1)</f>
        <v>0</v>
      </c>
    </row>
    <row r="35" spans="1:63" x14ac:dyDescent="0.25">
      <c r="A35" t="s">
        <v>470</v>
      </c>
      <c r="B35" t="s">
        <v>471</v>
      </c>
      <c r="C35" s="124" cm="1">
        <f t="array" ref="C35">+_xll.EQNXTDZ($A$1,$B35,C$1,$B$1)</f>
        <v>0</v>
      </c>
      <c r="D35" s="124" cm="1">
        <f t="array" ref="D35">+_xll.EQNXTDZ($A$1,$B35,D$1,$B$1)</f>
        <v>0</v>
      </c>
      <c r="E35" s="124" cm="1">
        <f t="array" ref="E35">+_xll.EQNXTDZ($A$1,$B35,E$1,$B$1)</f>
        <v>0</v>
      </c>
      <c r="F35" s="124" cm="1">
        <f t="array" ref="F35">+_xll.EQNXTDZ($A$1,$B35,F$1,$B$1)</f>
        <v>0</v>
      </c>
      <c r="G35" s="124" cm="1">
        <f t="array" ref="G35">+_xll.EQNXTDZ($A$1,$B35,G$1,$B$1)</f>
        <v>0</v>
      </c>
      <c r="H35" s="124" cm="1">
        <f t="array" ref="H35">+_xll.EQNXTDZ($A$1,$B35,H$1,$B$1)</f>
        <v>0</v>
      </c>
      <c r="I35" s="124" cm="1">
        <f t="array" ref="I35">+_xll.EQNXTDZ($A$1,$B35,I$1,$B$1)</f>
        <v>0</v>
      </c>
      <c r="J35" s="124" cm="1">
        <f t="array" ref="J35">+_xll.EQNXTDZ($A$1,$B35,J$1,$B$1)</f>
        <v>0</v>
      </c>
      <c r="K35" s="124" cm="1">
        <f t="array" ref="K35">+_xll.EQNXTDZ($A$1,$B35,K$1,$B$1)</f>
        <v>0</v>
      </c>
      <c r="L35" s="124" cm="1">
        <f t="array" ref="L35">+_xll.EQNXTDZ($A$1,$B35,L$1,$B$1)</f>
        <v>0</v>
      </c>
      <c r="M35" s="124" cm="1">
        <f t="array" ref="M35">+_xll.EQNXTDZ($A$1,$B35,M$1,$B$1)</f>
        <v>0</v>
      </c>
      <c r="N35" s="124" cm="1">
        <f t="array" ref="N35">+_xll.EQNXTDZ($A$1,$B35,N$1,$B$1)</f>
        <v>0</v>
      </c>
      <c r="O35" s="124" cm="1">
        <f t="array" ref="O35">+_xll.EQNXTDZ($A$1,$B35,O$1,$B$1)</f>
        <v>0</v>
      </c>
      <c r="P35" s="124" cm="1">
        <f t="array" ref="P35">+_xll.EQNXTDZ($A$1,$B35,P$1,$B$1)</f>
        <v>0</v>
      </c>
      <c r="Q35" s="124" cm="1">
        <f t="array" ref="Q35">+_xll.EQNXTDZ($A$1,$B35,Q$1,$B$1)</f>
        <v>0</v>
      </c>
      <c r="R35" s="124" cm="1">
        <f t="array" ref="R35">+_xll.EQNXTDZ($A$1,$B35,R$1,$B$1)</f>
        <v>0</v>
      </c>
      <c r="S35" s="124" cm="1">
        <f t="array" ref="S35">+_xll.EQNXTDZ($A$1,$B35,S$1,$B$1)</f>
        <v>0</v>
      </c>
      <c r="T35" s="124" cm="1">
        <f t="array" ref="T35">+_xll.EQNXTDZ($A$1,$B35,T$1,$B$1)</f>
        <v>0</v>
      </c>
      <c r="U35" s="124" cm="1">
        <f t="array" ref="U35">+_xll.EQNXTDZ($A$1,$B35,U$1,$B$1)</f>
        <v>0</v>
      </c>
      <c r="V35" s="124" cm="1">
        <f t="array" ref="V35">+_xll.EQNXTDZ($A$1,$B35,V$1,$B$1)</f>
        <v>0</v>
      </c>
      <c r="W35" s="124" cm="1">
        <f t="array" ref="W35">+_xll.EQNXTDZ($A$1,$B35,W$1,$B$1)</f>
        <v>0</v>
      </c>
      <c r="X35" s="124" cm="1">
        <f t="array" ref="X35">+_xll.EQNXTDZ($A$1,$B35,X$1,$B$1)</f>
        <v>0</v>
      </c>
      <c r="Y35" s="124" cm="1">
        <f t="array" ref="Y35">+_xll.EQNXTDZ($A$1,$B35,Y$1,$B$1)</f>
        <v>0</v>
      </c>
      <c r="Z35" s="124" cm="1">
        <f t="array" ref="Z35">+_xll.EQNXTDZ($A$1,$B35,Z$1,$B$1)</f>
        <v>0</v>
      </c>
      <c r="AA35" s="124" cm="1">
        <f t="array" ref="AA35">+_xll.EQNXTDZ($A$1,$B35,AA$1,$B$1)</f>
        <v>0</v>
      </c>
      <c r="AB35" s="124" cm="1">
        <f t="array" ref="AB35">+_xll.EQNXTDZ($A$1,$B35,AB$1,$B$1)</f>
        <v>0</v>
      </c>
      <c r="AC35" s="124" cm="1">
        <f t="array" ref="AC35">+_xll.EQNXTDZ($A$1,$B35,AC$1,$B$1)</f>
        <v>0</v>
      </c>
      <c r="AD35" s="124" cm="1">
        <f t="array" ref="AD35">+_xll.EQNXTDZ($A$1,$B35,AD$1,$B$1)</f>
        <v>0</v>
      </c>
      <c r="AE35" s="124" cm="1">
        <f t="array" ref="AE35">+_xll.EQNXTDZ($A$1,$B35,AE$1,$B$1)</f>
        <v>0</v>
      </c>
      <c r="AF35" s="124" cm="1">
        <f t="array" ref="AF35">+_xll.EQNXTDZ($A$1,$B35,AF$1,$B$1)</f>
        <v>0</v>
      </c>
      <c r="AG35" s="124" cm="1">
        <f t="array" ref="AG35">+_xll.EQNXTDZ($A$1,$B35,AG$1,$B$1)</f>
        <v>0</v>
      </c>
      <c r="AH35" s="124" cm="1">
        <f t="array" ref="AH35">+_xll.EQNXTDZ($A$1,$B35,AH$1,$B$1)</f>
        <v>0</v>
      </c>
      <c r="AI35" s="124" cm="1">
        <f t="array" ref="AI35">+_xll.EQNXTDZ($A$1,$B35,AI$1,$B$1)</f>
        <v>0</v>
      </c>
      <c r="AJ35" s="124" cm="1">
        <f t="array" ref="AJ35">+_xll.EQNXTDZ($A$1,$B35,AJ$1,$B$1)</f>
        <v>0</v>
      </c>
      <c r="AK35" s="124" cm="1">
        <f t="array" ref="AK35">+_xll.EQNXTDZ($A$1,$B35,AK$1,$B$1)</f>
        <v>0</v>
      </c>
      <c r="AL35" s="124" cm="1">
        <f t="array" ref="AL35">+_xll.EQNXTDZ($A$1,$B35,AL$1,$B$1)</f>
        <v>0</v>
      </c>
      <c r="AM35" s="124" cm="1">
        <f t="array" ref="AM35">+_xll.EQNXTDZ($A$1,$B35,AM$1,$B$1)</f>
        <v>0</v>
      </c>
      <c r="AN35" s="124" cm="1">
        <f t="array" ref="AN35">+_xll.EQNXTDZ($A$1,$B35,AN$1,$B$1)</f>
        <v>0</v>
      </c>
      <c r="AO35" s="124" cm="1">
        <f t="array" ref="AO35">+_xll.EQNXTDZ($A$1,$B35,AO$1,$B$1)</f>
        <v>0</v>
      </c>
      <c r="AP35" s="124" cm="1">
        <f t="array" ref="AP35">+_xll.EQNXTDZ($A$1,$B35,AP$1,$B$1)</f>
        <v>0</v>
      </c>
      <c r="AQ35" s="124" cm="1">
        <f t="array" ref="AQ35">+_xll.EQNXTDZ($A$1,$B35,AQ$1,$B$1)</f>
        <v>0</v>
      </c>
      <c r="AR35" s="124" cm="1">
        <f t="array" ref="AR35">+_xll.EQNXTDZ($A$1,$B35,AR$1,$B$1)</f>
        <v>0</v>
      </c>
      <c r="AS35" s="124" cm="1">
        <f t="array" ref="AS35">+_xll.EQNXTDZ($A$1,$B35,AS$1,$B$1)</f>
        <v>0</v>
      </c>
      <c r="AT35" s="124" cm="1">
        <f t="array" ref="AT35">+_xll.EQNXTDZ($A$1,$B35,AT$1,$B$1)</f>
        <v>0</v>
      </c>
      <c r="AU35" s="124" cm="1">
        <f t="array" ref="AU35">+_xll.EQNXTDZ($A$1,$B35,AU$1,$B$1)</f>
        <v>0</v>
      </c>
      <c r="AV35" s="124" cm="1">
        <f t="array" ref="AV35">+_xll.EQNXTDZ($A$1,$B35,AV$1,$B$1)</f>
        <v>0</v>
      </c>
      <c r="AW35" s="124" cm="1">
        <f t="array" ref="AW35">+_xll.EQNXTDZ($A$1,$B35,AW$1,$B$1)</f>
        <v>0</v>
      </c>
      <c r="AX35" s="124" cm="1">
        <f t="array" ref="AX35">+_xll.EQNXTDZ($A$1,$B35,AX$1,$B$1)</f>
        <v>0</v>
      </c>
      <c r="AY35" s="124" cm="1">
        <f t="array" ref="AY35">+_xll.EQNXTDZ($A$1,$B35,AY$1,$B$1)</f>
        <v>0</v>
      </c>
      <c r="AZ35" s="124" cm="1">
        <f t="array" ref="AZ35">+_xll.EQNXTDZ($A$1,$B35,AZ$1,$B$1)</f>
        <v>0</v>
      </c>
      <c r="BA35" s="124" cm="1">
        <f t="array" ref="BA35">+_xll.EQNXTDZ($A$1,$B35,BA$1,$B$1)</f>
        <v>0</v>
      </c>
      <c r="BB35" s="124" cm="1">
        <f t="array" ref="BB35">+_xll.EQNXTDZ($A$1,$B35,BB$1,$B$1)</f>
        <v>0</v>
      </c>
      <c r="BC35" s="124" cm="1">
        <f t="array" ref="BC35">+_xll.EQNXTDZ($A$1,$B35,BC$1,$B$1)</f>
        <v>0</v>
      </c>
      <c r="BD35" s="124" cm="1">
        <f t="array" ref="BD35">+_xll.EQNXTDZ($A$1,$B35,BD$1,$B$1)</f>
        <v>0</v>
      </c>
      <c r="BE35" s="124" cm="1">
        <f t="array" ref="BE35">+_xll.EQNXTDZ($A$1,$B35,BE$1,$B$1)</f>
        <v>0</v>
      </c>
      <c r="BF35" s="124" cm="1">
        <f t="array" ref="BF35">+_xll.EQNXTDZ($A$1,$B35,BF$1,$B$1)</f>
        <v>0</v>
      </c>
      <c r="BG35" s="124" cm="1">
        <f t="array" ref="BG35">+_xll.EQNXTDZ($A$1,$B35,BG$1,$B$1)</f>
        <v>0</v>
      </c>
      <c r="BH35" s="124" cm="1">
        <f t="array" ref="BH35">+_xll.EQNXTDZ($A$1,$B35,BH$1,$B$1)</f>
        <v>0</v>
      </c>
      <c r="BI35" s="124" cm="1">
        <f t="array" ref="BI35">+_xll.EQNXTDZ($A$1,$B35,BI$1,$B$1)</f>
        <v>0</v>
      </c>
      <c r="BJ35" s="124" cm="1">
        <f t="array" ref="BJ35">+_xll.EQNXTDZ($A$1,$B35,BJ$1,$B$1)</f>
        <v>0</v>
      </c>
      <c r="BK35" s="124" cm="1">
        <f t="array" ref="BK35">+_xll.EQNXTDZ($A$1,$B35,BK$1,$B$1)</f>
        <v>0</v>
      </c>
    </row>
    <row r="36" spans="1:63" x14ac:dyDescent="0.25">
      <c r="A36" t="s">
        <v>2</v>
      </c>
      <c r="B36" t="s">
        <v>309</v>
      </c>
      <c r="C36" s="124" cm="1">
        <f t="array" ref="C36">+_xll.EQNXTDZ($A$1,$B36,C$1,$B$1)</f>
        <v>0</v>
      </c>
      <c r="D36" s="124" cm="1">
        <f t="array" ref="D36">+_xll.EQNXTDZ($A$1,$B36,D$1,$B$1)</f>
        <v>0</v>
      </c>
      <c r="E36" s="124" cm="1">
        <f t="array" ref="E36">+_xll.EQNXTDZ($A$1,$B36,E$1,$B$1)</f>
        <v>0</v>
      </c>
      <c r="F36" s="124" cm="1">
        <f t="array" ref="F36">+_xll.EQNXTDZ($A$1,$B36,F$1,$B$1)</f>
        <v>0</v>
      </c>
      <c r="G36" s="124" cm="1">
        <f t="array" ref="G36">+_xll.EQNXTDZ($A$1,$B36,G$1,$B$1)</f>
        <v>0</v>
      </c>
      <c r="H36" s="124" cm="1">
        <f t="array" ref="H36">+_xll.EQNXTDZ($A$1,$B36,H$1,$B$1)</f>
        <v>0</v>
      </c>
      <c r="I36" s="124" cm="1">
        <f t="array" ref="I36">+_xll.EQNXTDZ($A$1,$B36,I$1,$B$1)</f>
        <v>0</v>
      </c>
      <c r="J36" s="124" cm="1">
        <f t="array" ref="J36">+_xll.EQNXTDZ($A$1,$B36,J$1,$B$1)</f>
        <v>0</v>
      </c>
      <c r="K36" s="124" cm="1">
        <f t="array" ref="K36">+_xll.EQNXTDZ($A$1,$B36,K$1,$B$1)</f>
        <v>0</v>
      </c>
      <c r="L36" s="124" cm="1">
        <f t="array" ref="L36">+_xll.EQNXTDZ($A$1,$B36,L$1,$B$1)</f>
        <v>0</v>
      </c>
      <c r="M36" s="124" cm="1">
        <f t="array" ref="M36">+_xll.EQNXTDZ($A$1,$B36,M$1,$B$1)</f>
        <v>0</v>
      </c>
      <c r="N36" s="124" cm="1">
        <f t="array" ref="N36">+_xll.EQNXTDZ($A$1,$B36,N$1,$B$1)</f>
        <v>0</v>
      </c>
      <c r="O36" s="124" cm="1">
        <f t="array" ref="O36">+_xll.EQNXTDZ($A$1,$B36,O$1,$B$1)</f>
        <v>0</v>
      </c>
      <c r="P36" s="124" cm="1">
        <f t="array" ref="P36">+_xll.EQNXTDZ($A$1,$B36,P$1,$B$1)</f>
        <v>0</v>
      </c>
      <c r="Q36" s="124" cm="1">
        <f t="array" ref="Q36">+_xll.EQNXTDZ($A$1,$B36,Q$1,$B$1)</f>
        <v>0</v>
      </c>
      <c r="R36" s="124" cm="1">
        <f t="array" ref="R36">+_xll.EQNXTDZ($A$1,$B36,R$1,$B$1)</f>
        <v>0</v>
      </c>
      <c r="S36" s="124" cm="1">
        <f t="array" ref="S36">+_xll.EQNXTDZ($A$1,$B36,S$1,$B$1)</f>
        <v>0</v>
      </c>
      <c r="T36" s="124" cm="1">
        <f t="array" ref="T36">+_xll.EQNXTDZ($A$1,$B36,T$1,$B$1)</f>
        <v>0</v>
      </c>
      <c r="U36" s="124" cm="1">
        <f t="array" ref="U36">+_xll.EQNXTDZ($A$1,$B36,U$1,$B$1)</f>
        <v>0</v>
      </c>
      <c r="V36" s="124" cm="1">
        <f t="array" ref="V36">+_xll.EQNXTDZ($A$1,$B36,V$1,$B$1)</f>
        <v>0</v>
      </c>
      <c r="W36" s="124" cm="1">
        <f t="array" ref="W36">+_xll.EQNXTDZ($A$1,$B36,W$1,$B$1)</f>
        <v>0</v>
      </c>
      <c r="X36" s="124" cm="1">
        <f t="array" ref="X36">+_xll.EQNXTDZ($A$1,$B36,X$1,$B$1)</f>
        <v>0</v>
      </c>
      <c r="Y36" s="124" cm="1">
        <f t="array" ref="Y36">+_xll.EQNXTDZ($A$1,$B36,Y$1,$B$1)</f>
        <v>0</v>
      </c>
      <c r="Z36" s="124" cm="1">
        <f t="array" ref="Z36">+_xll.EQNXTDZ($A$1,$B36,Z$1,$B$1)</f>
        <v>0</v>
      </c>
      <c r="AA36" s="124" cm="1">
        <f t="array" ref="AA36">+_xll.EQNXTDZ($A$1,$B36,AA$1,$B$1)</f>
        <v>0</v>
      </c>
      <c r="AB36" s="124" cm="1">
        <f t="array" ref="AB36">+_xll.EQNXTDZ($A$1,$B36,AB$1,$B$1)</f>
        <v>0</v>
      </c>
      <c r="AC36" s="124" cm="1">
        <f t="array" ref="AC36">+_xll.EQNXTDZ($A$1,$B36,AC$1,$B$1)</f>
        <v>0</v>
      </c>
      <c r="AD36" s="124" cm="1">
        <f t="array" ref="AD36">+_xll.EQNXTDZ($A$1,$B36,AD$1,$B$1)</f>
        <v>0</v>
      </c>
      <c r="AE36" s="124" cm="1">
        <f t="array" ref="AE36">+_xll.EQNXTDZ($A$1,$B36,AE$1,$B$1)</f>
        <v>0</v>
      </c>
      <c r="AF36" s="124" cm="1">
        <f t="array" ref="AF36">+_xll.EQNXTDZ($A$1,$B36,AF$1,$B$1)</f>
        <v>0</v>
      </c>
      <c r="AG36" s="124" cm="1">
        <f t="array" ref="AG36">+_xll.EQNXTDZ($A$1,$B36,AG$1,$B$1)</f>
        <v>0</v>
      </c>
      <c r="AH36" s="124" cm="1">
        <f t="array" ref="AH36">+_xll.EQNXTDZ($A$1,$B36,AH$1,$B$1)</f>
        <v>0</v>
      </c>
      <c r="AI36" s="124" cm="1">
        <f t="array" ref="AI36">+_xll.EQNXTDZ($A$1,$B36,AI$1,$B$1)</f>
        <v>0</v>
      </c>
      <c r="AJ36" s="124" cm="1">
        <f t="array" ref="AJ36">+_xll.EQNXTDZ($A$1,$B36,AJ$1,$B$1)</f>
        <v>0</v>
      </c>
      <c r="AK36" s="124" cm="1">
        <f t="array" ref="AK36">+_xll.EQNXTDZ($A$1,$B36,AK$1,$B$1)</f>
        <v>0</v>
      </c>
      <c r="AL36" s="124" cm="1">
        <f t="array" ref="AL36">+_xll.EQNXTDZ($A$1,$B36,AL$1,$B$1)</f>
        <v>0</v>
      </c>
      <c r="AM36" s="124" cm="1">
        <f t="array" ref="AM36">+_xll.EQNXTDZ($A$1,$B36,AM$1,$B$1)</f>
        <v>0</v>
      </c>
      <c r="AN36" s="124" cm="1">
        <f t="array" ref="AN36">+_xll.EQNXTDZ($A$1,$B36,AN$1,$B$1)</f>
        <v>0</v>
      </c>
      <c r="AO36" s="124" cm="1">
        <f t="array" ref="AO36">+_xll.EQNXTDZ($A$1,$B36,AO$1,$B$1)</f>
        <v>0</v>
      </c>
      <c r="AP36" s="124" cm="1">
        <f t="array" ref="AP36">+_xll.EQNXTDZ($A$1,$B36,AP$1,$B$1)</f>
        <v>0</v>
      </c>
      <c r="AQ36" s="124" cm="1">
        <f t="array" ref="AQ36">+_xll.EQNXTDZ($A$1,$B36,AQ$1,$B$1)</f>
        <v>0</v>
      </c>
      <c r="AR36" s="124" cm="1">
        <f t="array" ref="AR36">+_xll.EQNXTDZ($A$1,$B36,AR$1,$B$1)</f>
        <v>0</v>
      </c>
      <c r="AS36" s="124" cm="1">
        <f t="array" ref="AS36">+_xll.EQNXTDZ($A$1,$B36,AS$1,$B$1)</f>
        <v>0</v>
      </c>
      <c r="AT36" s="124" cm="1">
        <f t="array" ref="AT36">+_xll.EQNXTDZ($A$1,$B36,AT$1,$B$1)</f>
        <v>0</v>
      </c>
      <c r="AU36" s="124" cm="1">
        <f t="array" ref="AU36">+_xll.EQNXTDZ($A$1,$B36,AU$1,$B$1)</f>
        <v>0</v>
      </c>
      <c r="AV36" s="124" cm="1">
        <f t="array" ref="AV36">+_xll.EQNXTDZ($A$1,$B36,AV$1,$B$1)</f>
        <v>0</v>
      </c>
      <c r="AW36" s="124" cm="1">
        <f t="array" ref="AW36">+_xll.EQNXTDZ($A$1,$B36,AW$1,$B$1)</f>
        <v>0</v>
      </c>
      <c r="AX36" s="124" cm="1">
        <f t="array" ref="AX36">+_xll.EQNXTDZ($A$1,$B36,AX$1,$B$1)</f>
        <v>0</v>
      </c>
      <c r="AY36" s="124" cm="1">
        <f t="array" ref="AY36">+_xll.EQNXTDZ($A$1,$B36,AY$1,$B$1)</f>
        <v>0</v>
      </c>
      <c r="AZ36" s="124" cm="1">
        <f t="array" ref="AZ36">+_xll.EQNXTDZ($A$1,$B36,AZ$1,$B$1)</f>
        <v>0</v>
      </c>
      <c r="BA36" s="124" cm="1">
        <f t="array" ref="BA36">+_xll.EQNXTDZ($A$1,$B36,BA$1,$B$1)</f>
        <v>0</v>
      </c>
      <c r="BB36" s="124" cm="1">
        <f t="array" ref="BB36">+_xll.EQNXTDZ($A$1,$B36,BB$1,$B$1)</f>
        <v>0</v>
      </c>
      <c r="BC36" s="124" cm="1">
        <f t="array" ref="BC36">+_xll.EQNXTDZ($A$1,$B36,BC$1,$B$1)</f>
        <v>0</v>
      </c>
      <c r="BD36" s="124" cm="1">
        <f t="array" ref="BD36">+_xll.EQNXTDZ($A$1,$B36,BD$1,$B$1)</f>
        <v>0</v>
      </c>
      <c r="BE36" s="124" cm="1">
        <f t="array" ref="BE36">+_xll.EQNXTDZ($A$1,$B36,BE$1,$B$1)</f>
        <v>0</v>
      </c>
      <c r="BF36" s="124" cm="1">
        <f t="array" ref="BF36">+_xll.EQNXTDZ($A$1,$B36,BF$1,$B$1)</f>
        <v>0</v>
      </c>
      <c r="BG36" s="124" cm="1">
        <f t="array" ref="BG36">+_xll.EQNXTDZ($A$1,$B36,BG$1,$B$1)</f>
        <v>0</v>
      </c>
      <c r="BH36" s="124" cm="1">
        <f t="array" ref="BH36">+_xll.EQNXTDZ($A$1,$B36,BH$1,$B$1)</f>
        <v>0</v>
      </c>
      <c r="BI36" s="124" cm="1">
        <f t="array" ref="BI36">+_xll.EQNXTDZ($A$1,$B36,BI$1,$B$1)</f>
        <v>0</v>
      </c>
      <c r="BJ36" s="124" cm="1">
        <f t="array" ref="BJ36">+_xll.EQNXTDZ($A$1,$B36,BJ$1,$B$1)</f>
        <v>0</v>
      </c>
      <c r="BK36" s="124" cm="1">
        <f t="array" ref="BK36">+_xll.EQNXTDZ($A$1,$B36,BK$1,$B$1)</f>
        <v>0</v>
      </c>
    </row>
    <row r="37" spans="1:63" x14ac:dyDescent="0.25">
      <c r="A37" t="s">
        <v>4</v>
      </c>
      <c r="B37" t="s">
        <v>310</v>
      </c>
      <c r="C37" s="124" cm="1">
        <f t="array" ref="C37">+_xll.EQNXTDZ($A$1,$B37,C$1,$B$1)</f>
        <v>0</v>
      </c>
      <c r="D37" s="124" cm="1">
        <f t="array" ref="D37">+_xll.EQNXTDZ($A$1,$B37,D$1,$B$1)</f>
        <v>0</v>
      </c>
      <c r="E37" s="124" cm="1">
        <f t="array" ref="E37">+_xll.EQNXTDZ($A$1,$B37,E$1,$B$1)</f>
        <v>0</v>
      </c>
      <c r="F37" s="124" cm="1">
        <f t="array" ref="F37">+_xll.EQNXTDZ($A$1,$B37,F$1,$B$1)</f>
        <v>0</v>
      </c>
      <c r="G37" s="124" cm="1">
        <f t="array" ref="G37">+_xll.EQNXTDZ($A$1,$B37,G$1,$B$1)</f>
        <v>0</v>
      </c>
      <c r="H37" s="124" cm="1">
        <f t="array" ref="H37">+_xll.EQNXTDZ($A$1,$B37,H$1,$B$1)</f>
        <v>0</v>
      </c>
      <c r="I37" s="124" cm="1">
        <f t="array" ref="I37">+_xll.EQNXTDZ($A$1,$B37,I$1,$B$1)</f>
        <v>0</v>
      </c>
      <c r="J37" s="124" cm="1">
        <f t="array" ref="J37">+_xll.EQNXTDZ($A$1,$B37,J$1,$B$1)</f>
        <v>0</v>
      </c>
      <c r="K37" s="124" cm="1">
        <f t="array" ref="K37">+_xll.EQNXTDZ($A$1,$B37,K$1,$B$1)</f>
        <v>0</v>
      </c>
      <c r="L37" s="124" cm="1">
        <f t="array" ref="L37">+_xll.EQNXTDZ($A$1,$B37,L$1,$B$1)</f>
        <v>0</v>
      </c>
      <c r="M37" s="124" cm="1">
        <f t="array" ref="M37">+_xll.EQNXTDZ($A$1,$B37,M$1,$B$1)</f>
        <v>0</v>
      </c>
      <c r="N37" s="124" cm="1">
        <f t="array" ref="N37">+_xll.EQNXTDZ($A$1,$B37,N$1,$B$1)</f>
        <v>0</v>
      </c>
      <c r="O37" s="124" cm="1">
        <f t="array" ref="O37">+_xll.EQNXTDZ($A$1,$B37,O$1,$B$1)</f>
        <v>0</v>
      </c>
      <c r="P37" s="124" cm="1">
        <f t="array" ref="P37">+_xll.EQNXTDZ($A$1,$B37,P$1,$B$1)</f>
        <v>0</v>
      </c>
      <c r="Q37" s="124" cm="1">
        <f t="array" ref="Q37">+_xll.EQNXTDZ($A$1,$B37,Q$1,$B$1)</f>
        <v>0</v>
      </c>
      <c r="R37" s="124" cm="1">
        <f t="array" ref="R37">+_xll.EQNXTDZ($A$1,$B37,R$1,$B$1)</f>
        <v>0</v>
      </c>
      <c r="S37" s="124" cm="1">
        <f t="array" ref="S37">+_xll.EQNXTDZ($A$1,$B37,S$1,$B$1)</f>
        <v>0</v>
      </c>
      <c r="T37" s="124" cm="1">
        <f t="array" ref="T37">+_xll.EQNXTDZ($A$1,$B37,T$1,$B$1)</f>
        <v>0</v>
      </c>
      <c r="U37" s="124" cm="1">
        <f t="array" ref="U37">+_xll.EQNXTDZ($A$1,$B37,U$1,$B$1)</f>
        <v>0</v>
      </c>
      <c r="V37" s="124" cm="1">
        <f t="array" ref="V37">+_xll.EQNXTDZ($A$1,$B37,V$1,$B$1)</f>
        <v>0</v>
      </c>
      <c r="W37" s="124" cm="1">
        <f t="array" ref="W37">+_xll.EQNXTDZ($A$1,$B37,W$1,$B$1)</f>
        <v>0</v>
      </c>
      <c r="X37" s="124" cm="1">
        <f t="array" ref="X37">+_xll.EQNXTDZ($A$1,$B37,X$1,$B$1)</f>
        <v>0</v>
      </c>
      <c r="Y37" s="124" cm="1">
        <f t="array" ref="Y37">+_xll.EQNXTDZ($A$1,$B37,Y$1,$B$1)</f>
        <v>0</v>
      </c>
      <c r="Z37" s="124" cm="1">
        <f t="array" ref="Z37">+_xll.EQNXTDZ($A$1,$B37,Z$1,$B$1)</f>
        <v>0</v>
      </c>
      <c r="AA37" s="124" cm="1">
        <f t="array" ref="AA37">+_xll.EQNXTDZ($A$1,$B37,AA$1,$B$1)</f>
        <v>0</v>
      </c>
      <c r="AB37" s="124" cm="1">
        <f t="array" ref="AB37">+_xll.EQNXTDZ($A$1,$B37,AB$1,$B$1)</f>
        <v>0</v>
      </c>
      <c r="AC37" s="124" cm="1">
        <f t="array" ref="AC37">+_xll.EQNXTDZ($A$1,$B37,AC$1,$B$1)</f>
        <v>0</v>
      </c>
      <c r="AD37" s="124" cm="1">
        <f t="array" ref="AD37">+_xll.EQNXTDZ($A$1,$B37,AD$1,$B$1)</f>
        <v>0</v>
      </c>
      <c r="AE37" s="124" cm="1">
        <f t="array" ref="AE37">+_xll.EQNXTDZ($A$1,$B37,AE$1,$B$1)</f>
        <v>0</v>
      </c>
      <c r="AF37" s="124" cm="1">
        <f t="array" ref="AF37">+_xll.EQNXTDZ($A$1,$B37,AF$1,$B$1)</f>
        <v>0</v>
      </c>
      <c r="AG37" s="124" cm="1">
        <f t="array" ref="AG37">+_xll.EQNXTDZ($A$1,$B37,AG$1,$B$1)</f>
        <v>0</v>
      </c>
      <c r="AH37" s="124" cm="1">
        <f t="array" ref="AH37">+_xll.EQNXTDZ($A$1,$B37,AH$1,$B$1)</f>
        <v>0</v>
      </c>
      <c r="AI37" s="124" cm="1">
        <f t="array" ref="AI37">+_xll.EQNXTDZ($A$1,$B37,AI$1,$B$1)</f>
        <v>0</v>
      </c>
      <c r="AJ37" s="124" cm="1">
        <f t="array" ref="AJ37">+_xll.EQNXTDZ($A$1,$B37,AJ$1,$B$1)</f>
        <v>0</v>
      </c>
      <c r="AK37" s="124" cm="1">
        <f t="array" ref="AK37">+_xll.EQNXTDZ($A$1,$B37,AK$1,$B$1)</f>
        <v>0</v>
      </c>
      <c r="AL37" s="124" cm="1">
        <f t="array" ref="AL37">+_xll.EQNXTDZ($A$1,$B37,AL$1,$B$1)</f>
        <v>0</v>
      </c>
      <c r="AM37" s="124" cm="1">
        <f t="array" ref="AM37">+_xll.EQNXTDZ($A$1,$B37,AM$1,$B$1)</f>
        <v>0</v>
      </c>
      <c r="AN37" s="124" cm="1">
        <f t="array" ref="AN37">+_xll.EQNXTDZ($A$1,$B37,AN$1,$B$1)</f>
        <v>0</v>
      </c>
      <c r="AO37" s="124" cm="1">
        <f t="array" ref="AO37">+_xll.EQNXTDZ($A$1,$B37,AO$1,$B$1)</f>
        <v>0</v>
      </c>
      <c r="AP37" s="124" cm="1">
        <f t="array" ref="AP37">+_xll.EQNXTDZ($A$1,$B37,AP$1,$B$1)</f>
        <v>0</v>
      </c>
      <c r="AQ37" s="124" cm="1">
        <f t="array" ref="AQ37">+_xll.EQNXTDZ($A$1,$B37,AQ$1,$B$1)</f>
        <v>0</v>
      </c>
      <c r="AR37" s="124" cm="1">
        <f t="array" ref="AR37">+_xll.EQNXTDZ($A$1,$B37,AR$1,$B$1)</f>
        <v>0</v>
      </c>
      <c r="AS37" s="124" cm="1">
        <f t="array" ref="AS37">+_xll.EQNXTDZ($A$1,$B37,AS$1,$B$1)</f>
        <v>0</v>
      </c>
      <c r="AT37" s="124" cm="1">
        <f t="array" ref="AT37">+_xll.EQNXTDZ($A$1,$B37,AT$1,$B$1)</f>
        <v>0</v>
      </c>
      <c r="AU37" s="124" cm="1">
        <f t="array" ref="AU37">+_xll.EQNXTDZ($A$1,$B37,AU$1,$B$1)</f>
        <v>0</v>
      </c>
      <c r="AV37" s="124" cm="1">
        <f t="array" ref="AV37">+_xll.EQNXTDZ($A$1,$B37,AV$1,$B$1)</f>
        <v>0</v>
      </c>
      <c r="AW37" s="124" cm="1">
        <f t="array" ref="AW37">+_xll.EQNXTDZ($A$1,$B37,AW$1,$B$1)</f>
        <v>0</v>
      </c>
      <c r="AX37" s="124" cm="1">
        <f t="array" ref="AX37">+_xll.EQNXTDZ($A$1,$B37,AX$1,$B$1)</f>
        <v>0</v>
      </c>
      <c r="AY37" s="124" cm="1">
        <f t="array" ref="AY37">+_xll.EQNXTDZ($A$1,$B37,AY$1,$B$1)</f>
        <v>0</v>
      </c>
      <c r="AZ37" s="124" cm="1">
        <f t="array" ref="AZ37">+_xll.EQNXTDZ($A$1,$B37,AZ$1,$B$1)</f>
        <v>0</v>
      </c>
      <c r="BA37" s="124" cm="1">
        <f t="array" ref="BA37">+_xll.EQNXTDZ($A$1,$B37,BA$1,$B$1)</f>
        <v>0</v>
      </c>
      <c r="BB37" s="124" cm="1">
        <f t="array" ref="BB37">+_xll.EQNXTDZ($A$1,$B37,BB$1,$B$1)</f>
        <v>0</v>
      </c>
      <c r="BC37" s="124" cm="1">
        <f t="array" ref="BC37">+_xll.EQNXTDZ($A$1,$B37,BC$1,$B$1)</f>
        <v>0</v>
      </c>
      <c r="BD37" s="124" cm="1">
        <f t="array" ref="BD37">+_xll.EQNXTDZ($A$1,$B37,BD$1,$B$1)</f>
        <v>0</v>
      </c>
      <c r="BE37" s="124" cm="1">
        <f t="array" ref="BE37">+_xll.EQNXTDZ($A$1,$B37,BE$1,$B$1)</f>
        <v>0</v>
      </c>
      <c r="BF37" s="124" cm="1">
        <f t="array" ref="BF37">+_xll.EQNXTDZ($A$1,$B37,BF$1,$B$1)</f>
        <v>0</v>
      </c>
      <c r="BG37" s="124" cm="1">
        <f t="array" ref="BG37">+_xll.EQNXTDZ($A$1,$B37,BG$1,$B$1)</f>
        <v>0</v>
      </c>
      <c r="BH37" s="124" cm="1">
        <f t="array" ref="BH37">+_xll.EQNXTDZ($A$1,$B37,BH$1,$B$1)</f>
        <v>0</v>
      </c>
      <c r="BI37" s="124" cm="1">
        <f t="array" ref="BI37">+_xll.EQNXTDZ($A$1,$B37,BI$1,$B$1)</f>
        <v>0</v>
      </c>
      <c r="BJ37" s="124" cm="1">
        <f t="array" ref="BJ37">+_xll.EQNXTDZ($A$1,$B37,BJ$1,$B$1)</f>
        <v>0</v>
      </c>
      <c r="BK37" s="124" cm="1">
        <f t="array" ref="BK37">+_xll.EQNXTDZ($A$1,$B37,BK$1,$B$1)</f>
        <v>0</v>
      </c>
    </row>
    <row r="38" spans="1:63" x14ac:dyDescent="0.25">
      <c r="A38" t="s">
        <v>13</v>
      </c>
      <c r="B38" t="s">
        <v>311</v>
      </c>
      <c r="C38" s="124" cm="1">
        <f t="array" ref="C38">+_xll.EQNXTDZ($A$1,$B38,C$1,$B$1)</f>
        <v>0</v>
      </c>
      <c r="D38" s="124" cm="1">
        <f t="array" ref="D38">+_xll.EQNXTDZ($A$1,$B38,D$1,$B$1)</f>
        <v>0</v>
      </c>
      <c r="E38" s="124" cm="1">
        <f t="array" ref="E38">+_xll.EQNXTDZ($A$1,$B38,E$1,$B$1)</f>
        <v>0</v>
      </c>
      <c r="F38" s="124" cm="1">
        <f t="array" ref="F38">+_xll.EQNXTDZ($A$1,$B38,F$1,$B$1)</f>
        <v>0</v>
      </c>
      <c r="G38" s="124" cm="1">
        <f t="array" ref="G38">+_xll.EQNXTDZ($A$1,$B38,G$1,$B$1)</f>
        <v>0</v>
      </c>
      <c r="H38" s="124" cm="1">
        <f t="array" ref="H38">+_xll.EQNXTDZ($A$1,$B38,H$1,$B$1)</f>
        <v>0</v>
      </c>
      <c r="I38" s="124" cm="1">
        <f t="array" ref="I38">+_xll.EQNXTDZ($A$1,$B38,I$1,$B$1)</f>
        <v>0</v>
      </c>
      <c r="J38" s="124" cm="1">
        <f t="array" ref="J38">+_xll.EQNXTDZ($A$1,$B38,J$1,$B$1)</f>
        <v>0</v>
      </c>
      <c r="K38" s="124" cm="1">
        <f t="array" ref="K38">+_xll.EQNXTDZ($A$1,$B38,K$1,$B$1)</f>
        <v>0</v>
      </c>
      <c r="L38" s="124" cm="1">
        <f t="array" ref="L38">+_xll.EQNXTDZ($A$1,$B38,L$1,$B$1)</f>
        <v>0</v>
      </c>
      <c r="M38" s="124" cm="1">
        <f t="array" ref="M38">+_xll.EQNXTDZ($A$1,$B38,M$1,$B$1)</f>
        <v>0</v>
      </c>
      <c r="N38" s="124" cm="1">
        <f t="array" ref="N38">+_xll.EQNXTDZ($A$1,$B38,N$1,$B$1)</f>
        <v>0</v>
      </c>
      <c r="O38" s="124" cm="1">
        <f t="array" ref="O38">+_xll.EQNXTDZ($A$1,$B38,O$1,$B$1)</f>
        <v>0</v>
      </c>
      <c r="P38" s="124" cm="1">
        <f t="array" ref="P38">+_xll.EQNXTDZ($A$1,$B38,P$1,$B$1)</f>
        <v>0</v>
      </c>
      <c r="Q38" s="124" cm="1">
        <f t="array" ref="Q38">+_xll.EQNXTDZ($A$1,$B38,Q$1,$B$1)</f>
        <v>0</v>
      </c>
      <c r="R38" s="124" cm="1">
        <f t="array" ref="R38">+_xll.EQNXTDZ($A$1,$B38,R$1,$B$1)</f>
        <v>0</v>
      </c>
      <c r="S38" s="124" cm="1">
        <f t="array" ref="S38">+_xll.EQNXTDZ($A$1,$B38,S$1,$B$1)</f>
        <v>0</v>
      </c>
      <c r="T38" s="124" cm="1">
        <f t="array" ref="T38">+_xll.EQNXTDZ($A$1,$B38,T$1,$B$1)</f>
        <v>0</v>
      </c>
      <c r="U38" s="124" cm="1">
        <f t="array" ref="U38">+_xll.EQNXTDZ($A$1,$B38,U$1,$B$1)</f>
        <v>0</v>
      </c>
      <c r="V38" s="124" cm="1">
        <f t="array" ref="V38">+_xll.EQNXTDZ($A$1,$B38,V$1,$B$1)</f>
        <v>0</v>
      </c>
      <c r="W38" s="124" cm="1">
        <f t="array" ref="W38">+_xll.EQNXTDZ($A$1,$B38,W$1,$B$1)</f>
        <v>0</v>
      </c>
      <c r="X38" s="124" cm="1">
        <f t="array" ref="X38">+_xll.EQNXTDZ($A$1,$B38,X$1,$B$1)</f>
        <v>0</v>
      </c>
      <c r="Y38" s="124" cm="1">
        <f t="array" ref="Y38">+_xll.EQNXTDZ($A$1,$B38,Y$1,$B$1)</f>
        <v>0</v>
      </c>
      <c r="Z38" s="124" cm="1">
        <f t="array" ref="Z38">+_xll.EQNXTDZ($A$1,$B38,Z$1,$B$1)</f>
        <v>0</v>
      </c>
      <c r="AA38" s="124" cm="1">
        <f t="array" ref="AA38">+_xll.EQNXTDZ($A$1,$B38,AA$1,$B$1)</f>
        <v>0</v>
      </c>
      <c r="AB38" s="124" cm="1">
        <f t="array" ref="AB38">+_xll.EQNXTDZ($A$1,$B38,AB$1,$B$1)</f>
        <v>0</v>
      </c>
      <c r="AC38" s="124" cm="1">
        <f t="array" ref="AC38">+_xll.EQNXTDZ($A$1,$B38,AC$1,$B$1)</f>
        <v>0</v>
      </c>
      <c r="AD38" s="124" cm="1">
        <f t="array" ref="AD38">+_xll.EQNXTDZ($A$1,$B38,AD$1,$B$1)</f>
        <v>0</v>
      </c>
      <c r="AE38" s="124" cm="1">
        <f t="array" ref="AE38">+_xll.EQNXTDZ($A$1,$B38,AE$1,$B$1)</f>
        <v>0</v>
      </c>
      <c r="AF38" s="124" cm="1">
        <f t="array" ref="AF38">+_xll.EQNXTDZ($A$1,$B38,AF$1,$B$1)</f>
        <v>0</v>
      </c>
      <c r="AG38" s="124" cm="1">
        <f t="array" ref="AG38">+_xll.EQNXTDZ($A$1,$B38,AG$1,$B$1)</f>
        <v>0</v>
      </c>
      <c r="AH38" s="124" cm="1">
        <f t="array" ref="AH38">+_xll.EQNXTDZ($A$1,$B38,AH$1,$B$1)</f>
        <v>0</v>
      </c>
      <c r="AI38" s="124" cm="1">
        <f t="array" ref="AI38">+_xll.EQNXTDZ($A$1,$B38,AI$1,$B$1)</f>
        <v>0</v>
      </c>
      <c r="AJ38" s="124" cm="1">
        <f t="array" ref="AJ38">+_xll.EQNXTDZ($A$1,$B38,AJ$1,$B$1)</f>
        <v>0</v>
      </c>
      <c r="AK38" s="124" cm="1">
        <f t="array" ref="AK38">+_xll.EQNXTDZ($A$1,$B38,AK$1,$B$1)</f>
        <v>0</v>
      </c>
      <c r="AL38" s="124" cm="1">
        <f t="array" ref="AL38">+_xll.EQNXTDZ($A$1,$B38,AL$1,$B$1)</f>
        <v>0</v>
      </c>
      <c r="AM38" s="124" cm="1">
        <f t="array" ref="AM38">+_xll.EQNXTDZ($A$1,$B38,AM$1,$B$1)</f>
        <v>0</v>
      </c>
      <c r="AN38" s="124" cm="1">
        <f t="array" ref="AN38">+_xll.EQNXTDZ($A$1,$B38,AN$1,$B$1)</f>
        <v>0</v>
      </c>
      <c r="AO38" s="124" cm="1">
        <f t="array" ref="AO38">+_xll.EQNXTDZ($A$1,$B38,AO$1,$B$1)</f>
        <v>0</v>
      </c>
      <c r="AP38" s="124" cm="1">
        <f t="array" ref="AP38">+_xll.EQNXTDZ($A$1,$B38,AP$1,$B$1)</f>
        <v>0</v>
      </c>
      <c r="AQ38" s="124" cm="1">
        <f t="array" ref="AQ38">+_xll.EQNXTDZ($A$1,$B38,AQ$1,$B$1)</f>
        <v>0</v>
      </c>
      <c r="AR38" s="124" cm="1">
        <f t="array" ref="AR38">+_xll.EQNXTDZ($A$1,$B38,AR$1,$B$1)</f>
        <v>0</v>
      </c>
      <c r="AS38" s="124" cm="1">
        <f t="array" ref="AS38">+_xll.EQNXTDZ($A$1,$B38,AS$1,$B$1)</f>
        <v>0</v>
      </c>
      <c r="AT38" s="124" cm="1">
        <f t="array" ref="AT38">+_xll.EQNXTDZ($A$1,$B38,AT$1,$B$1)</f>
        <v>0</v>
      </c>
      <c r="AU38" s="124" cm="1">
        <f t="array" ref="AU38">+_xll.EQNXTDZ($A$1,$B38,AU$1,$B$1)</f>
        <v>0</v>
      </c>
      <c r="AV38" s="124" cm="1">
        <f t="array" ref="AV38">+_xll.EQNXTDZ($A$1,$B38,AV$1,$B$1)</f>
        <v>0</v>
      </c>
      <c r="AW38" s="124" cm="1">
        <f t="array" ref="AW38">+_xll.EQNXTDZ($A$1,$B38,AW$1,$B$1)</f>
        <v>0</v>
      </c>
      <c r="AX38" s="124" cm="1">
        <f t="array" ref="AX38">+_xll.EQNXTDZ($A$1,$B38,AX$1,$B$1)</f>
        <v>0</v>
      </c>
      <c r="AY38" s="124" cm="1">
        <f t="array" ref="AY38">+_xll.EQNXTDZ($A$1,$B38,AY$1,$B$1)</f>
        <v>0</v>
      </c>
      <c r="AZ38" s="124" cm="1">
        <f t="array" ref="AZ38">+_xll.EQNXTDZ($A$1,$B38,AZ$1,$B$1)</f>
        <v>0</v>
      </c>
      <c r="BA38" s="124" cm="1">
        <f t="array" ref="BA38">+_xll.EQNXTDZ($A$1,$B38,BA$1,$B$1)</f>
        <v>0</v>
      </c>
      <c r="BB38" s="124" cm="1">
        <f t="array" ref="BB38">+_xll.EQNXTDZ($A$1,$B38,BB$1,$B$1)</f>
        <v>0</v>
      </c>
      <c r="BC38" s="124" cm="1">
        <f t="array" ref="BC38">+_xll.EQNXTDZ($A$1,$B38,BC$1,$B$1)</f>
        <v>0</v>
      </c>
      <c r="BD38" s="124" cm="1">
        <f t="array" ref="BD38">+_xll.EQNXTDZ($A$1,$B38,BD$1,$B$1)</f>
        <v>0</v>
      </c>
      <c r="BE38" s="124" cm="1">
        <f t="array" ref="BE38">+_xll.EQNXTDZ($A$1,$B38,BE$1,$B$1)</f>
        <v>0</v>
      </c>
      <c r="BF38" s="124" cm="1">
        <f t="array" ref="BF38">+_xll.EQNXTDZ($A$1,$B38,BF$1,$B$1)</f>
        <v>0</v>
      </c>
      <c r="BG38" s="124" cm="1">
        <f t="array" ref="BG38">+_xll.EQNXTDZ($A$1,$B38,BG$1,$B$1)</f>
        <v>0</v>
      </c>
      <c r="BH38" s="124" cm="1">
        <f t="array" ref="BH38">+_xll.EQNXTDZ($A$1,$B38,BH$1,$B$1)</f>
        <v>0</v>
      </c>
      <c r="BI38" s="124" cm="1">
        <f t="array" ref="BI38">+_xll.EQNXTDZ($A$1,$B38,BI$1,$B$1)</f>
        <v>0</v>
      </c>
      <c r="BJ38" s="124" cm="1">
        <f t="array" ref="BJ38">+_xll.EQNXTDZ($A$1,$B38,BJ$1,$B$1)</f>
        <v>0</v>
      </c>
      <c r="BK38" s="124" cm="1">
        <f t="array" ref="BK38">+_xll.EQNXTDZ($A$1,$B38,BK$1,$B$1)</f>
        <v>0</v>
      </c>
    </row>
    <row r="39" spans="1:63" x14ac:dyDescent="0.25">
      <c r="A39" t="s">
        <v>5</v>
      </c>
      <c r="B39" t="s">
        <v>312</v>
      </c>
      <c r="C39" s="124" cm="1">
        <f t="array" ref="C39">+_xll.EQNXTDZ($A$1,$B39,C$1,$B$1)</f>
        <v>0</v>
      </c>
      <c r="D39" s="124" cm="1">
        <f t="array" ref="D39">+_xll.EQNXTDZ($A$1,$B39,D$1,$B$1)</f>
        <v>0</v>
      </c>
      <c r="E39" s="124" cm="1">
        <f t="array" ref="E39">+_xll.EQNXTDZ($A$1,$B39,E$1,$B$1)</f>
        <v>0</v>
      </c>
      <c r="F39" s="124" cm="1">
        <f t="array" ref="F39">+_xll.EQNXTDZ($A$1,$B39,F$1,$B$1)</f>
        <v>0</v>
      </c>
      <c r="G39" s="124" cm="1">
        <f t="array" ref="G39">+_xll.EQNXTDZ($A$1,$B39,G$1,$B$1)</f>
        <v>0</v>
      </c>
      <c r="H39" s="124" cm="1">
        <f t="array" ref="H39">+_xll.EQNXTDZ($A$1,$B39,H$1,$B$1)</f>
        <v>0</v>
      </c>
      <c r="I39" s="124" cm="1">
        <f t="array" ref="I39">+_xll.EQNXTDZ($A$1,$B39,I$1,$B$1)</f>
        <v>0</v>
      </c>
      <c r="J39" s="124" cm="1">
        <f t="array" ref="J39">+_xll.EQNXTDZ($A$1,$B39,J$1,$B$1)</f>
        <v>0</v>
      </c>
      <c r="K39" s="124" cm="1">
        <f t="array" ref="K39">+_xll.EQNXTDZ($A$1,$B39,K$1,$B$1)</f>
        <v>0</v>
      </c>
      <c r="L39" s="124" cm="1">
        <f t="array" ref="L39">+_xll.EQNXTDZ($A$1,$B39,L$1,$B$1)</f>
        <v>0</v>
      </c>
      <c r="M39" s="124" cm="1">
        <f t="array" ref="M39">+_xll.EQNXTDZ($A$1,$B39,M$1,$B$1)</f>
        <v>0</v>
      </c>
      <c r="N39" s="124" cm="1">
        <f t="array" ref="N39">+_xll.EQNXTDZ($A$1,$B39,N$1,$B$1)</f>
        <v>0</v>
      </c>
      <c r="O39" s="124" cm="1">
        <f t="array" ref="O39">+_xll.EQNXTDZ($A$1,$B39,O$1,$B$1)</f>
        <v>0</v>
      </c>
      <c r="P39" s="124" cm="1">
        <f t="array" ref="P39">+_xll.EQNXTDZ($A$1,$B39,P$1,$B$1)</f>
        <v>0</v>
      </c>
      <c r="Q39" s="124" cm="1">
        <f t="array" ref="Q39">+_xll.EQNXTDZ($A$1,$B39,Q$1,$B$1)</f>
        <v>0</v>
      </c>
      <c r="R39" s="124" cm="1">
        <f t="array" ref="R39">+_xll.EQNXTDZ($A$1,$B39,R$1,$B$1)</f>
        <v>0</v>
      </c>
      <c r="S39" s="124" cm="1">
        <f t="array" ref="S39">+_xll.EQNXTDZ($A$1,$B39,S$1,$B$1)</f>
        <v>0</v>
      </c>
      <c r="T39" s="124" cm="1">
        <f t="array" ref="T39">+_xll.EQNXTDZ($A$1,$B39,T$1,$B$1)</f>
        <v>0</v>
      </c>
      <c r="U39" s="124" cm="1">
        <f t="array" ref="U39">+_xll.EQNXTDZ($A$1,$B39,U$1,$B$1)</f>
        <v>0</v>
      </c>
      <c r="V39" s="124" cm="1">
        <f t="array" ref="V39">+_xll.EQNXTDZ($A$1,$B39,V$1,$B$1)</f>
        <v>0</v>
      </c>
      <c r="W39" s="124" cm="1">
        <f t="array" ref="W39">+_xll.EQNXTDZ($A$1,$B39,W$1,$B$1)</f>
        <v>0</v>
      </c>
      <c r="X39" s="124" cm="1">
        <f t="array" ref="X39">+_xll.EQNXTDZ($A$1,$B39,X$1,$B$1)</f>
        <v>0</v>
      </c>
      <c r="Y39" s="124" cm="1">
        <f t="array" ref="Y39">+_xll.EQNXTDZ($A$1,$B39,Y$1,$B$1)</f>
        <v>0</v>
      </c>
      <c r="Z39" s="124" cm="1">
        <f t="array" ref="Z39">+_xll.EQNXTDZ($A$1,$B39,Z$1,$B$1)</f>
        <v>0</v>
      </c>
      <c r="AA39" s="124" cm="1">
        <f t="array" ref="AA39">+_xll.EQNXTDZ($A$1,$B39,AA$1,$B$1)</f>
        <v>0</v>
      </c>
      <c r="AB39" s="124" cm="1">
        <f t="array" ref="AB39">+_xll.EQNXTDZ($A$1,$B39,AB$1,$B$1)</f>
        <v>0</v>
      </c>
      <c r="AC39" s="124" cm="1">
        <f t="array" ref="AC39">+_xll.EQNXTDZ($A$1,$B39,AC$1,$B$1)</f>
        <v>0</v>
      </c>
      <c r="AD39" s="124" cm="1">
        <f t="array" ref="AD39">+_xll.EQNXTDZ($A$1,$B39,AD$1,$B$1)</f>
        <v>0</v>
      </c>
      <c r="AE39" s="124" cm="1">
        <f t="array" ref="AE39">+_xll.EQNXTDZ($A$1,$B39,AE$1,$B$1)</f>
        <v>0</v>
      </c>
      <c r="AF39" s="124" cm="1">
        <f t="array" ref="AF39">+_xll.EQNXTDZ($A$1,$B39,AF$1,$B$1)</f>
        <v>0</v>
      </c>
      <c r="AG39" s="124" cm="1">
        <f t="array" ref="AG39">+_xll.EQNXTDZ($A$1,$B39,AG$1,$B$1)</f>
        <v>0</v>
      </c>
      <c r="AH39" s="124" cm="1">
        <f t="array" ref="AH39">+_xll.EQNXTDZ($A$1,$B39,AH$1,$B$1)</f>
        <v>0</v>
      </c>
      <c r="AI39" s="124" cm="1">
        <f t="array" ref="AI39">+_xll.EQNXTDZ($A$1,$B39,AI$1,$B$1)</f>
        <v>0</v>
      </c>
      <c r="AJ39" s="124" cm="1">
        <f t="array" ref="AJ39">+_xll.EQNXTDZ($A$1,$B39,AJ$1,$B$1)</f>
        <v>0</v>
      </c>
      <c r="AK39" s="124" cm="1">
        <f t="array" ref="AK39">+_xll.EQNXTDZ($A$1,$B39,AK$1,$B$1)</f>
        <v>0</v>
      </c>
      <c r="AL39" s="124" cm="1">
        <f t="array" ref="AL39">+_xll.EQNXTDZ($A$1,$B39,AL$1,$B$1)</f>
        <v>0</v>
      </c>
      <c r="AM39" s="124" cm="1">
        <f t="array" ref="AM39">+_xll.EQNXTDZ($A$1,$B39,AM$1,$B$1)</f>
        <v>0</v>
      </c>
      <c r="AN39" s="124" cm="1">
        <f t="array" ref="AN39">+_xll.EQNXTDZ($A$1,$B39,AN$1,$B$1)</f>
        <v>0</v>
      </c>
      <c r="AO39" s="124" cm="1">
        <f t="array" ref="AO39">+_xll.EQNXTDZ($A$1,$B39,AO$1,$B$1)</f>
        <v>0</v>
      </c>
      <c r="AP39" s="124" cm="1">
        <f t="array" ref="AP39">+_xll.EQNXTDZ($A$1,$B39,AP$1,$B$1)</f>
        <v>0</v>
      </c>
      <c r="AQ39" s="124" cm="1">
        <f t="array" ref="AQ39">+_xll.EQNXTDZ($A$1,$B39,AQ$1,$B$1)</f>
        <v>0</v>
      </c>
      <c r="AR39" s="124" cm="1">
        <f t="array" ref="AR39">+_xll.EQNXTDZ($A$1,$B39,AR$1,$B$1)</f>
        <v>0</v>
      </c>
      <c r="AS39" s="124" cm="1">
        <f t="array" ref="AS39">+_xll.EQNXTDZ($A$1,$B39,AS$1,$B$1)</f>
        <v>0</v>
      </c>
      <c r="AT39" s="124" cm="1">
        <f t="array" ref="AT39">+_xll.EQNXTDZ($A$1,$B39,AT$1,$B$1)</f>
        <v>0</v>
      </c>
      <c r="AU39" s="124" cm="1">
        <f t="array" ref="AU39">+_xll.EQNXTDZ($A$1,$B39,AU$1,$B$1)</f>
        <v>0</v>
      </c>
      <c r="AV39" s="124" cm="1">
        <f t="array" ref="AV39">+_xll.EQNXTDZ($A$1,$B39,AV$1,$B$1)</f>
        <v>0</v>
      </c>
      <c r="AW39" s="124" cm="1">
        <f t="array" ref="AW39">+_xll.EQNXTDZ($A$1,$B39,AW$1,$B$1)</f>
        <v>0</v>
      </c>
      <c r="AX39" s="124" cm="1">
        <f t="array" ref="AX39">+_xll.EQNXTDZ($A$1,$B39,AX$1,$B$1)</f>
        <v>0</v>
      </c>
      <c r="AY39" s="124" cm="1">
        <f t="array" ref="AY39">+_xll.EQNXTDZ($A$1,$B39,AY$1,$B$1)</f>
        <v>0</v>
      </c>
      <c r="AZ39" s="124" cm="1">
        <f t="array" ref="AZ39">+_xll.EQNXTDZ($A$1,$B39,AZ$1,$B$1)</f>
        <v>0</v>
      </c>
      <c r="BA39" s="124" cm="1">
        <f t="array" ref="BA39">+_xll.EQNXTDZ($A$1,$B39,BA$1,$B$1)</f>
        <v>0</v>
      </c>
      <c r="BB39" s="124" cm="1">
        <f t="array" ref="BB39">+_xll.EQNXTDZ($A$1,$B39,BB$1,$B$1)</f>
        <v>0</v>
      </c>
      <c r="BC39" s="124" cm="1">
        <f t="array" ref="BC39">+_xll.EQNXTDZ($A$1,$B39,BC$1,$B$1)</f>
        <v>0</v>
      </c>
      <c r="BD39" s="124" cm="1">
        <f t="array" ref="BD39">+_xll.EQNXTDZ($A$1,$B39,BD$1,$B$1)</f>
        <v>0</v>
      </c>
      <c r="BE39" s="124" cm="1">
        <f t="array" ref="BE39">+_xll.EQNXTDZ($A$1,$B39,BE$1,$B$1)</f>
        <v>0</v>
      </c>
      <c r="BF39" s="124" cm="1">
        <f t="array" ref="BF39">+_xll.EQNXTDZ($A$1,$B39,BF$1,$B$1)</f>
        <v>0</v>
      </c>
      <c r="BG39" s="124" cm="1">
        <f t="array" ref="BG39">+_xll.EQNXTDZ($A$1,$B39,BG$1,$B$1)</f>
        <v>0</v>
      </c>
      <c r="BH39" s="124" cm="1">
        <f t="array" ref="BH39">+_xll.EQNXTDZ($A$1,$B39,BH$1,$B$1)</f>
        <v>0</v>
      </c>
      <c r="BI39" s="124" cm="1">
        <f t="array" ref="BI39">+_xll.EQNXTDZ($A$1,$B39,BI$1,$B$1)</f>
        <v>0</v>
      </c>
      <c r="BJ39" s="124" cm="1">
        <f t="array" ref="BJ39">+_xll.EQNXTDZ($A$1,$B39,BJ$1,$B$1)</f>
        <v>0</v>
      </c>
      <c r="BK39" s="124" cm="1">
        <f t="array" ref="BK39">+_xll.EQNXTDZ($A$1,$B39,BK$1,$B$1)</f>
        <v>0</v>
      </c>
    </row>
    <row r="40" spans="1:63" x14ac:dyDescent="0.25">
      <c r="A40" t="s">
        <v>200</v>
      </c>
      <c r="B40" t="s">
        <v>313</v>
      </c>
      <c r="C40" s="124" cm="1">
        <f t="array" ref="C40">+_xll.EQNXTDZ($A$1,$B40,C$1,$B$1)</f>
        <v>0</v>
      </c>
      <c r="D40" s="124" cm="1">
        <f t="array" ref="D40">+_xll.EQNXTDZ($A$1,$B40,D$1,$B$1)</f>
        <v>0</v>
      </c>
      <c r="E40" s="124" cm="1">
        <f t="array" ref="E40">+_xll.EQNXTDZ($A$1,$B40,E$1,$B$1)</f>
        <v>0</v>
      </c>
      <c r="F40" s="124" cm="1">
        <f t="array" ref="F40">+_xll.EQNXTDZ($A$1,$B40,F$1,$B$1)</f>
        <v>0</v>
      </c>
      <c r="G40" s="124" cm="1">
        <f t="array" ref="G40">+_xll.EQNXTDZ($A$1,$B40,G$1,$B$1)</f>
        <v>0</v>
      </c>
      <c r="H40" s="124" cm="1">
        <f t="array" ref="H40">+_xll.EQNXTDZ($A$1,$B40,H$1,$B$1)</f>
        <v>0</v>
      </c>
      <c r="I40" s="124" cm="1">
        <f t="array" ref="I40">+_xll.EQNXTDZ($A$1,$B40,I$1,$B$1)</f>
        <v>0</v>
      </c>
      <c r="J40" s="124" cm="1">
        <f t="array" ref="J40">+_xll.EQNXTDZ($A$1,$B40,J$1,$B$1)</f>
        <v>0</v>
      </c>
      <c r="K40" s="124" cm="1">
        <f t="array" ref="K40">+_xll.EQNXTDZ($A$1,$B40,K$1,$B$1)</f>
        <v>0</v>
      </c>
      <c r="L40" s="124" cm="1">
        <f t="array" ref="L40">+_xll.EQNXTDZ($A$1,$B40,L$1,$B$1)</f>
        <v>0</v>
      </c>
      <c r="M40" s="124" cm="1">
        <f t="array" ref="M40">+_xll.EQNXTDZ($A$1,$B40,M$1,$B$1)</f>
        <v>0</v>
      </c>
      <c r="N40" s="124" cm="1">
        <f t="array" ref="N40">+_xll.EQNXTDZ($A$1,$B40,N$1,$B$1)</f>
        <v>0</v>
      </c>
      <c r="O40" s="124" cm="1">
        <f t="array" ref="O40">+_xll.EQNXTDZ($A$1,$B40,O$1,$B$1)</f>
        <v>0</v>
      </c>
      <c r="P40" s="124" cm="1">
        <f t="array" ref="P40">+_xll.EQNXTDZ($A$1,$B40,P$1,$B$1)</f>
        <v>0</v>
      </c>
      <c r="Q40" s="124" cm="1">
        <f t="array" ref="Q40">+_xll.EQNXTDZ($A$1,$B40,Q$1,$B$1)</f>
        <v>0</v>
      </c>
      <c r="R40" s="124" cm="1">
        <f t="array" ref="R40">+_xll.EQNXTDZ($A$1,$B40,R$1,$B$1)</f>
        <v>0</v>
      </c>
      <c r="S40" s="124" cm="1">
        <f t="array" ref="S40">+_xll.EQNXTDZ($A$1,$B40,S$1,$B$1)</f>
        <v>0</v>
      </c>
      <c r="T40" s="124" cm="1">
        <f t="array" ref="T40">+_xll.EQNXTDZ($A$1,$B40,T$1,$B$1)</f>
        <v>0</v>
      </c>
      <c r="U40" s="124" cm="1">
        <f t="array" ref="U40">+_xll.EQNXTDZ($A$1,$B40,U$1,$B$1)</f>
        <v>0</v>
      </c>
      <c r="V40" s="124" cm="1">
        <f t="array" ref="V40">+_xll.EQNXTDZ($A$1,$B40,V$1,$B$1)</f>
        <v>0</v>
      </c>
      <c r="W40" s="124" cm="1">
        <f t="array" ref="W40">+_xll.EQNXTDZ($A$1,$B40,W$1,$B$1)</f>
        <v>0</v>
      </c>
      <c r="X40" s="124" cm="1">
        <f t="array" ref="X40">+_xll.EQNXTDZ($A$1,$B40,X$1,$B$1)</f>
        <v>0</v>
      </c>
      <c r="Y40" s="124" cm="1">
        <f t="array" ref="Y40">+_xll.EQNXTDZ($A$1,$B40,Y$1,$B$1)</f>
        <v>0</v>
      </c>
      <c r="Z40" s="124" cm="1">
        <f t="array" ref="Z40">+_xll.EQNXTDZ($A$1,$B40,Z$1,$B$1)</f>
        <v>0</v>
      </c>
      <c r="AA40" s="124" cm="1">
        <f t="array" ref="AA40">+_xll.EQNXTDZ($A$1,$B40,AA$1,$B$1)</f>
        <v>0</v>
      </c>
      <c r="AB40" s="124" cm="1">
        <f t="array" ref="AB40">+_xll.EQNXTDZ($A$1,$B40,AB$1,$B$1)</f>
        <v>0</v>
      </c>
      <c r="AC40" s="124" cm="1">
        <f t="array" ref="AC40">+_xll.EQNXTDZ($A$1,$B40,AC$1,$B$1)</f>
        <v>0</v>
      </c>
      <c r="AD40" s="124" cm="1">
        <f t="array" ref="AD40">+_xll.EQNXTDZ($A$1,$B40,AD$1,$B$1)</f>
        <v>0</v>
      </c>
      <c r="AE40" s="124" cm="1">
        <f t="array" ref="AE40">+_xll.EQNXTDZ($A$1,$B40,AE$1,$B$1)</f>
        <v>0</v>
      </c>
      <c r="AF40" s="124" cm="1">
        <f t="array" ref="AF40">+_xll.EQNXTDZ($A$1,$B40,AF$1,$B$1)</f>
        <v>0</v>
      </c>
      <c r="AG40" s="124" cm="1">
        <f t="array" ref="AG40">+_xll.EQNXTDZ($A$1,$B40,AG$1,$B$1)</f>
        <v>0</v>
      </c>
      <c r="AH40" s="124" cm="1">
        <f t="array" ref="AH40">+_xll.EQNXTDZ($A$1,$B40,AH$1,$B$1)</f>
        <v>0</v>
      </c>
      <c r="AI40" s="124" cm="1">
        <f t="array" ref="AI40">+_xll.EQNXTDZ($A$1,$B40,AI$1,$B$1)</f>
        <v>0</v>
      </c>
      <c r="AJ40" s="124" cm="1">
        <f t="array" ref="AJ40">+_xll.EQNXTDZ($A$1,$B40,AJ$1,$B$1)</f>
        <v>0</v>
      </c>
      <c r="AK40" s="124" cm="1">
        <f t="array" ref="AK40">+_xll.EQNXTDZ($A$1,$B40,AK$1,$B$1)</f>
        <v>0</v>
      </c>
      <c r="AL40" s="124" cm="1">
        <f t="array" ref="AL40">+_xll.EQNXTDZ($A$1,$B40,AL$1,$B$1)</f>
        <v>0</v>
      </c>
      <c r="AM40" s="124" cm="1">
        <f t="array" ref="AM40">+_xll.EQNXTDZ($A$1,$B40,AM$1,$B$1)</f>
        <v>0</v>
      </c>
      <c r="AN40" s="124" cm="1">
        <f t="array" ref="AN40">+_xll.EQNXTDZ($A$1,$B40,AN$1,$B$1)</f>
        <v>0</v>
      </c>
      <c r="AO40" s="124" cm="1">
        <f t="array" ref="AO40">+_xll.EQNXTDZ($A$1,$B40,AO$1,$B$1)</f>
        <v>0</v>
      </c>
      <c r="AP40" s="124" cm="1">
        <f t="array" ref="AP40">+_xll.EQNXTDZ($A$1,$B40,AP$1,$B$1)</f>
        <v>0</v>
      </c>
      <c r="AQ40" s="124" cm="1">
        <f t="array" ref="AQ40">+_xll.EQNXTDZ($A$1,$B40,AQ$1,$B$1)</f>
        <v>0</v>
      </c>
      <c r="AR40" s="124" cm="1">
        <f t="array" ref="AR40">+_xll.EQNXTDZ($A$1,$B40,AR$1,$B$1)</f>
        <v>0</v>
      </c>
      <c r="AS40" s="124" cm="1">
        <f t="array" ref="AS40">+_xll.EQNXTDZ($A$1,$B40,AS$1,$B$1)</f>
        <v>0</v>
      </c>
      <c r="AT40" s="124" cm="1">
        <f t="array" ref="AT40">+_xll.EQNXTDZ($A$1,$B40,AT$1,$B$1)</f>
        <v>0</v>
      </c>
      <c r="AU40" s="124" cm="1">
        <f t="array" ref="AU40">+_xll.EQNXTDZ($A$1,$B40,AU$1,$B$1)</f>
        <v>0</v>
      </c>
      <c r="AV40" s="124" cm="1">
        <f t="array" ref="AV40">+_xll.EQNXTDZ($A$1,$B40,AV$1,$B$1)</f>
        <v>0</v>
      </c>
      <c r="AW40" s="124" cm="1">
        <f t="array" ref="AW40">+_xll.EQNXTDZ($A$1,$B40,AW$1,$B$1)</f>
        <v>0</v>
      </c>
      <c r="AX40" s="124" cm="1">
        <f t="array" ref="AX40">+_xll.EQNXTDZ($A$1,$B40,AX$1,$B$1)</f>
        <v>0</v>
      </c>
      <c r="AY40" s="124" cm="1">
        <f t="array" ref="AY40">+_xll.EQNXTDZ($A$1,$B40,AY$1,$B$1)</f>
        <v>0</v>
      </c>
      <c r="AZ40" s="124" cm="1">
        <f t="array" ref="AZ40">+_xll.EQNXTDZ($A$1,$B40,AZ$1,$B$1)</f>
        <v>0</v>
      </c>
      <c r="BA40" s="124" cm="1">
        <f t="array" ref="BA40">+_xll.EQNXTDZ($A$1,$B40,BA$1,$B$1)</f>
        <v>0</v>
      </c>
      <c r="BB40" s="124" cm="1">
        <f t="array" ref="BB40">+_xll.EQNXTDZ($A$1,$B40,BB$1,$B$1)</f>
        <v>0</v>
      </c>
      <c r="BC40" s="124" cm="1">
        <f t="array" ref="BC40">+_xll.EQNXTDZ($A$1,$B40,BC$1,$B$1)</f>
        <v>0</v>
      </c>
      <c r="BD40" s="124" cm="1">
        <f t="array" ref="BD40">+_xll.EQNXTDZ($A$1,$B40,BD$1,$B$1)</f>
        <v>0</v>
      </c>
      <c r="BE40" s="124" cm="1">
        <f t="array" ref="BE40">+_xll.EQNXTDZ($A$1,$B40,BE$1,$B$1)</f>
        <v>0</v>
      </c>
      <c r="BF40" s="124" cm="1">
        <f t="array" ref="BF40">+_xll.EQNXTDZ($A$1,$B40,BF$1,$B$1)</f>
        <v>0</v>
      </c>
      <c r="BG40" s="124" cm="1">
        <f t="array" ref="BG40">+_xll.EQNXTDZ($A$1,$B40,BG$1,$B$1)</f>
        <v>0</v>
      </c>
      <c r="BH40" s="124" cm="1">
        <f t="array" ref="BH40">+_xll.EQNXTDZ($A$1,$B40,BH$1,$B$1)</f>
        <v>0</v>
      </c>
      <c r="BI40" s="124" cm="1">
        <f t="array" ref="BI40">+_xll.EQNXTDZ($A$1,$B40,BI$1,$B$1)</f>
        <v>0</v>
      </c>
      <c r="BJ40" s="124" cm="1">
        <f t="array" ref="BJ40">+_xll.EQNXTDZ($A$1,$B40,BJ$1,$B$1)</f>
        <v>0</v>
      </c>
      <c r="BK40" s="124" cm="1">
        <f t="array" ref="BK40">+_xll.EQNXTDZ($A$1,$B40,BK$1,$B$1)</f>
        <v>0</v>
      </c>
    </row>
    <row r="41" spans="1:63" x14ac:dyDescent="0.25">
      <c r="A41" t="s">
        <v>459</v>
      </c>
      <c r="B41" t="s">
        <v>463</v>
      </c>
      <c r="C41" s="124" cm="1">
        <f t="array" ref="C41">+_xll.EQNXTDZ($A$1,$B41,C$1,$B$1)</f>
        <v>0</v>
      </c>
      <c r="D41" s="124" cm="1">
        <f t="array" ref="D41">+_xll.EQNXTDZ($A$1,$B41,D$1,$B$1)</f>
        <v>0</v>
      </c>
      <c r="E41" s="124" cm="1">
        <f t="array" ref="E41">+_xll.EQNXTDZ($A$1,$B41,E$1,$B$1)</f>
        <v>0</v>
      </c>
      <c r="F41" s="124" cm="1">
        <f t="array" ref="F41">+_xll.EQNXTDZ($A$1,$B41,F$1,$B$1)</f>
        <v>0</v>
      </c>
      <c r="G41" s="124" cm="1">
        <f t="array" ref="G41">+_xll.EQNXTDZ($A$1,$B41,G$1,$B$1)</f>
        <v>0</v>
      </c>
      <c r="H41" s="124" cm="1">
        <f t="array" ref="H41">+_xll.EQNXTDZ($A$1,$B41,H$1,$B$1)</f>
        <v>0</v>
      </c>
      <c r="I41" s="124" cm="1">
        <f t="array" ref="I41">+_xll.EQNXTDZ($A$1,$B41,I$1,$B$1)</f>
        <v>0</v>
      </c>
      <c r="J41" s="124" cm="1">
        <f t="array" ref="J41">+_xll.EQNXTDZ($A$1,$B41,J$1,$B$1)</f>
        <v>0</v>
      </c>
      <c r="K41" s="124" cm="1">
        <f t="array" ref="K41">+_xll.EQNXTDZ($A$1,$B41,K$1,$B$1)</f>
        <v>0</v>
      </c>
      <c r="L41" s="124" cm="1">
        <f t="array" ref="L41">+_xll.EQNXTDZ($A$1,$B41,L$1,$B$1)</f>
        <v>0</v>
      </c>
      <c r="M41" s="124" cm="1">
        <f t="array" ref="M41">+_xll.EQNXTDZ($A$1,$B41,M$1,$B$1)</f>
        <v>0</v>
      </c>
      <c r="N41" s="124" cm="1">
        <f t="array" ref="N41">+_xll.EQNXTDZ($A$1,$B41,N$1,$B$1)</f>
        <v>0</v>
      </c>
      <c r="O41" s="124" cm="1">
        <f t="array" ref="O41">+_xll.EQNXTDZ($A$1,$B41,O$1,$B$1)</f>
        <v>0</v>
      </c>
      <c r="P41" s="124" cm="1">
        <f t="array" ref="P41">+_xll.EQNXTDZ($A$1,$B41,P$1,$B$1)</f>
        <v>0</v>
      </c>
      <c r="Q41" s="124" cm="1">
        <f t="array" ref="Q41">+_xll.EQNXTDZ($A$1,$B41,Q$1,$B$1)</f>
        <v>0</v>
      </c>
      <c r="R41" s="124" cm="1">
        <f t="array" ref="R41">+_xll.EQNXTDZ($A$1,$B41,R$1,$B$1)</f>
        <v>0</v>
      </c>
      <c r="S41" s="124" cm="1">
        <f t="array" ref="S41">+_xll.EQNXTDZ($A$1,$B41,S$1,$B$1)</f>
        <v>0</v>
      </c>
      <c r="T41" s="124" cm="1">
        <f t="array" ref="T41">+_xll.EQNXTDZ($A$1,$B41,T$1,$B$1)</f>
        <v>0</v>
      </c>
      <c r="U41" s="124" cm="1">
        <f t="array" ref="U41">+_xll.EQNXTDZ($A$1,$B41,U$1,$B$1)</f>
        <v>0</v>
      </c>
      <c r="V41" s="124" cm="1">
        <f t="array" ref="V41">+_xll.EQNXTDZ($A$1,$B41,V$1,$B$1)</f>
        <v>0</v>
      </c>
      <c r="W41" s="124" cm="1">
        <f t="array" ref="W41">+_xll.EQNXTDZ($A$1,$B41,W$1,$B$1)</f>
        <v>0</v>
      </c>
      <c r="X41" s="124" cm="1">
        <f t="array" ref="X41">+_xll.EQNXTDZ($A$1,$B41,X$1,$B$1)</f>
        <v>0</v>
      </c>
      <c r="Y41" s="124" cm="1">
        <f t="array" ref="Y41">+_xll.EQNXTDZ($A$1,$B41,Y$1,$B$1)</f>
        <v>0</v>
      </c>
      <c r="Z41" s="124" cm="1">
        <f t="array" ref="Z41">+_xll.EQNXTDZ($A$1,$B41,Z$1,$B$1)</f>
        <v>0</v>
      </c>
      <c r="AA41" s="124" cm="1">
        <f t="array" ref="AA41">+_xll.EQNXTDZ($A$1,$B41,AA$1,$B$1)</f>
        <v>0</v>
      </c>
      <c r="AB41" s="124" cm="1">
        <f t="array" ref="AB41">+_xll.EQNXTDZ($A$1,$B41,AB$1,$B$1)</f>
        <v>0</v>
      </c>
      <c r="AC41" s="124" cm="1">
        <f t="array" ref="AC41">+_xll.EQNXTDZ($A$1,$B41,AC$1,$B$1)</f>
        <v>0</v>
      </c>
      <c r="AD41" s="124" cm="1">
        <f t="array" ref="AD41">+_xll.EQNXTDZ($A$1,$B41,AD$1,$B$1)</f>
        <v>0</v>
      </c>
      <c r="AE41" s="124" cm="1">
        <f t="array" ref="AE41">+_xll.EQNXTDZ($A$1,$B41,AE$1,$B$1)</f>
        <v>0</v>
      </c>
      <c r="AF41" s="124" cm="1">
        <f t="array" ref="AF41">+_xll.EQNXTDZ($A$1,$B41,AF$1,$B$1)</f>
        <v>0</v>
      </c>
      <c r="AG41" s="124" cm="1">
        <f t="array" ref="AG41">+_xll.EQNXTDZ($A$1,$B41,AG$1,$B$1)</f>
        <v>0</v>
      </c>
      <c r="AH41" s="124" cm="1">
        <f t="array" ref="AH41">+_xll.EQNXTDZ($A$1,$B41,AH$1,$B$1)</f>
        <v>0</v>
      </c>
      <c r="AI41" s="124" cm="1">
        <f t="array" ref="AI41">+_xll.EQNXTDZ($A$1,$B41,AI$1,$B$1)</f>
        <v>0</v>
      </c>
      <c r="AJ41" s="124" cm="1">
        <f t="array" ref="AJ41">+_xll.EQNXTDZ($A$1,$B41,AJ$1,$B$1)</f>
        <v>0</v>
      </c>
      <c r="AK41" s="124" cm="1">
        <f t="array" ref="AK41">+_xll.EQNXTDZ($A$1,$B41,AK$1,$B$1)</f>
        <v>0</v>
      </c>
      <c r="AL41" s="124" cm="1">
        <f t="array" ref="AL41">+_xll.EQNXTDZ($A$1,$B41,AL$1,$B$1)</f>
        <v>0</v>
      </c>
      <c r="AM41" s="124" cm="1">
        <f t="array" ref="AM41">+_xll.EQNXTDZ($A$1,$B41,AM$1,$B$1)</f>
        <v>0</v>
      </c>
      <c r="AN41" s="124" cm="1">
        <f t="array" ref="AN41">+_xll.EQNXTDZ($A$1,$B41,AN$1,$B$1)</f>
        <v>0</v>
      </c>
      <c r="AO41" s="124" cm="1">
        <f t="array" ref="AO41">+_xll.EQNXTDZ($A$1,$B41,AO$1,$B$1)</f>
        <v>0</v>
      </c>
      <c r="AP41" s="124" cm="1">
        <f t="array" ref="AP41">+_xll.EQNXTDZ($A$1,$B41,AP$1,$B$1)</f>
        <v>0</v>
      </c>
      <c r="AQ41" s="124" cm="1">
        <f t="array" ref="AQ41">+_xll.EQNXTDZ($A$1,$B41,AQ$1,$B$1)</f>
        <v>0</v>
      </c>
      <c r="AR41" s="124" cm="1">
        <f t="array" ref="AR41">+_xll.EQNXTDZ($A$1,$B41,AR$1,$B$1)</f>
        <v>0</v>
      </c>
      <c r="AS41" s="124" cm="1">
        <f t="array" ref="AS41">+_xll.EQNXTDZ($A$1,$B41,AS$1,$B$1)</f>
        <v>0</v>
      </c>
      <c r="AT41" s="124" cm="1">
        <f t="array" ref="AT41">+_xll.EQNXTDZ($A$1,$B41,AT$1,$B$1)</f>
        <v>0</v>
      </c>
      <c r="AU41" s="124" cm="1">
        <f t="array" ref="AU41">+_xll.EQNXTDZ($A$1,$B41,AU$1,$B$1)</f>
        <v>0</v>
      </c>
      <c r="AV41" s="124" cm="1">
        <f t="array" ref="AV41">+_xll.EQNXTDZ($A$1,$B41,AV$1,$B$1)</f>
        <v>0</v>
      </c>
      <c r="AW41" s="124" cm="1">
        <f t="array" ref="AW41">+_xll.EQNXTDZ($A$1,$B41,AW$1,$B$1)</f>
        <v>0</v>
      </c>
      <c r="AX41" s="124" cm="1">
        <f t="array" ref="AX41">+_xll.EQNXTDZ($A$1,$B41,AX$1,$B$1)</f>
        <v>0</v>
      </c>
      <c r="AY41" s="124" cm="1">
        <f t="array" ref="AY41">+_xll.EQNXTDZ($A$1,$B41,AY$1,$B$1)</f>
        <v>0</v>
      </c>
      <c r="AZ41" s="124" cm="1">
        <f t="array" ref="AZ41">+_xll.EQNXTDZ($A$1,$B41,AZ$1,$B$1)</f>
        <v>0</v>
      </c>
      <c r="BA41" s="124" cm="1">
        <f t="array" ref="BA41">+_xll.EQNXTDZ($A$1,$B41,BA$1,$B$1)</f>
        <v>0</v>
      </c>
      <c r="BB41" s="124" cm="1">
        <f t="array" ref="BB41">+_xll.EQNXTDZ($A$1,$B41,BB$1,$B$1)</f>
        <v>0</v>
      </c>
      <c r="BC41" s="124" cm="1">
        <f t="array" ref="BC41">+_xll.EQNXTDZ($A$1,$B41,BC$1,$B$1)</f>
        <v>0</v>
      </c>
      <c r="BD41" s="124" cm="1">
        <f t="array" ref="BD41">+_xll.EQNXTDZ($A$1,$B41,BD$1,$B$1)</f>
        <v>0</v>
      </c>
      <c r="BE41" s="124" cm="1">
        <f t="array" ref="BE41">+_xll.EQNXTDZ($A$1,$B41,BE$1,$B$1)</f>
        <v>0</v>
      </c>
      <c r="BF41" s="124" cm="1">
        <f t="array" ref="BF41">+_xll.EQNXTDZ($A$1,$B41,BF$1,$B$1)</f>
        <v>0</v>
      </c>
      <c r="BG41" s="124" cm="1">
        <f t="array" ref="BG41">+_xll.EQNXTDZ($A$1,$B41,BG$1,$B$1)</f>
        <v>0</v>
      </c>
      <c r="BH41" s="124" cm="1">
        <f t="array" ref="BH41">+_xll.EQNXTDZ($A$1,$B41,BH$1,$B$1)</f>
        <v>0</v>
      </c>
      <c r="BI41" s="124" cm="1">
        <f t="array" ref="BI41">+_xll.EQNXTDZ($A$1,$B41,BI$1,$B$1)</f>
        <v>0</v>
      </c>
      <c r="BJ41" s="124" cm="1">
        <f t="array" ref="BJ41">+_xll.EQNXTDZ($A$1,$B41,BJ$1,$B$1)</f>
        <v>0</v>
      </c>
      <c r="BK41" s="124" cm="1">
        <f t="array" ref="BK41">+_xll.EQNXTDZ($A$1,$B41,BK$1,$B$1)</f>
        <v>0</v>
      </c>
    </row>
    <row r="42" spans="1:63" x14ac:dyDescent="0.25">
      <c r="A42" t="s">
        <v>460</v>
      </c>
      <c r="B42" t="s">
        <v>464</v>
      </c>
      <c r="C42" s="124" cm="1">
        <f t="array" ref="C42">+_xll.EQNXTDZ($A$1,$B42,C$1,$B$1)</f>
        <v>0</v>
      </c>
      <c r="D42" s="124" cm="1">
        <f t="array" ref="D42">+_xll.EQNXTDZ($A$1,$B42,D$1,$B$1)</f>
        <v>0</v>
      </c>
      <c r="E42" s="124" cm="1">
        <f t="array" ref="E42">+_xll.EQNXTDZ($A$1,$B42,E$1,$B$1)</f>
        <v>0</v>
      </c>
      <c r="F42" s="124" cm="1">
        <f t="array" ref="F42">+_xll.EQNXTDZ($A$1,$B42,F$1,$B$1)</f>
        <v>0</v>
      </c>
      <c r="G42" s="124" cm="1">
        <f t="array" ref="G42">+_xll.EQNXTDZ($A$1,$B42,G$1,$B$1)</f>
        <v>0</v>
      </c>
      <c r="H42" s="124" cm="1">
        <f t="array" ref="H42">+_xll.EQNXTDZ($A$1,$B42,H$1,$B$1)</f>
        <v>0</v>
      </c>
      <c r="I42" s="124" cm="1">
        <f t="array" ref="I42">+_xll.EQNXTDZ($A$1,$B42,I$1,$B$1)</f>
        <v>0</v>
      </c>
      <c r="J42" s="124" cm="1">
        <f t="array" ref="J42">+_xll.EQNXTDZ($A$1,$B42,J$1,$B$1)</f>
        <v>0</v>
      </c>
      <c r="K42" s="124" cm="1">
        <f t="array" ref="K42">+_xll.EQNXTDZ($A$1,$B42,K$1,$B$1)</f>
        <v>0</v>
      </c>
      <c r="L42" s="124" cm="1">
        <f t="array" ref="L42">+_xll.EQNXTDZ($A$1,$B42,L$1,$B$1)</f>
        <v>0</v>
      </c>
      <c r="M42" s="124" cm="1">
        <f t="array" ref="M42">+_xll.EQNXTDZ($A$1,$B42,M$1,$B$1)</f>
        <v>0</v>
      </c>
      <c r="N42" s="124" cm="1">
        <f t="array" ref="N42">+_xll.EQNXTDZ($A$1,$B42,N$1,$B$1)</f>
        <v>0</v>
      </c>
      <c r="O42" s="124" cm="1">
        <f t="array" ref="O42">+_xll.EQNXTDZ($A$1,$B42,O$1,$B$1)</f>
        <v>0</v>
      </c>
      <c r="P42" s="124" cm="1">
        <f t="array" ref="P42">+_xll.EQNXTDZ($A$1,$B42,P$1,$B$1)</f>
        <v>0</v>
      </c>
      <c r="Q42" s="124" cm="1">
        <f t="array" ref="Q42">+_xll.EQNXTDZ($A$1,$B42,Q$1,$B$1)</f>
        <v>0</v>
      </c>
      <c r="R42" s="124" cm="1">
        <f t="array" ref="R42">+_xll.EQNXTDZ($A$1,$B42,R$1,$B$1)</f>
        <v>0</v>
      </c>
      <c r="S42" s="124" cm="1">
        <f t="array" ref="S42">+_xll.EQNXTDZ($A$1,$B42,S$1,$B$1)</f>
        <v>0</v>
      </c>
      <c r="T42" s="124" cm="1">
        <f t="array" ref="T42">+_xll.EQNXTDZ($A$1,$B42,T$1,$B$1)</f>
        <v>0</v>
      </c>
      <c r="U42" s="124" cm="1">
        <f t="array" ref="U42">+_xll.EQNXTDZ($A$1,$B42,U$1,$B$1)</f>
        <v>0</v>
      </c>
      <c r="V42" s="124" cm="1">
        <f t="array" ref="V42">+_xll.EQNXTDZ($A$1,$B42,V$1,$B$1)</f>
        <v>0</v>
      </c>
      <c r="W42" s="124" cm="1">
        <f t="array" ref="W42">+_xll.EQNXTDZ($A$1,$B42,W$1,$B$1)</f>
        <v>0</v>
      </c>
      <c r="X42" s="124" cm="1">
        <f t="array" ref="X42">+_xll.EQNXTDZ($A$1,$B42,X$1,$B$1)</f>
        <v>0</v>
      </c>
      <c r="Y42" s="124" cm="1">
        <f t="array" ref="Y42">+_xll.EQNXTDZ($A$1,$B42,Y$1,$B$1)</f>
        <v>0</v>
      </c>
      <c r="Z42" s="124" cm="1">
        <f t="array" ref="Z42">+_xll.EQNXTDZ($A$1,$B42,Z$1,$B$1)</f>
        <v>0</v>
      </c>
      <c r="AA42" s="124" cm="1">
        <f t="array" ref="AA42">+_xll.EQNXTDZ($A$1,$B42,AA$1,$B$1)</f>
        <v>0</v>
      </c>
      <c r="AB42" s="124" cm="1">
        <f t="array" ref="AB42">+_xll.EQNXTDZ($A$1,$B42,AB$1,$B$1)</f>
        <v>0</v>
      </c>
      <c r="AC42" s="124" cm="1">
        <f t="array" ref="AC42">+_xll.EQNXTDZ($A$1,$B42,AC$1,$B$1)</f>
        <v>0</v>
      </c>
      <c r="AD42" s="124" cm="1">
        <f t="array" ref="AD42">+_xll.EQNXTDZ($A$1,$B42,AD$1,$B$1)</f>
        <v>0</v>
      </c>
      <c r="AE42" s="124" cm="1">
        <f t="array" ref="AE42">+_xll.EQNXTDZ($A$1,$B42,AE$1,$B$1)</f>
        <v>0</v>
      </c>
      <c r="AF42" s="124" cm="1">
        <f t="array" ref="AF42">+_xll.EQNXTDZ($A$1,$B42,AF$1,$B$1)</f>
        <v>0</v>
      </c>
      <c r="AG42" s="124" cm="1">
        <f t="array" ref="AG42">+_xll.EQNXTDZ($A$1,$B42,AG$1,$B$1)</f>
        <v>0</v>
      </c>
      <c r="AH42" s="124" cm="1">
        <f t="array" ref="AH42">+_xll.EQNXTDZ($A$1,$B42,AH$1,$B$1)</f>
        <v>0</v>
      </c>
      <c r="AI42" s="124" cm="1">
        <f t="array" ref="AI42">+_xll.EQNXTDZ($A$1,$B42,AI$1,$B$1)</f>
        <v>0</v>
      </c>
      <c r="AJ42" s="124" cm="1">
        <f t="array" ref="AJ42">+_xll.EQNXTDZ($A$1,$B42,AJ$1,$B$1)</f>
        <v>0</v>
      </c>
      <c r="AK42" s="124" cm="1">
        <f t="array" ref="AK42">+_xll.EQNXTDZ($A$1,$B42,AK$1,$B$1)</f>
        <v>0</v>
      </c>
      <c r="AL42" s="124" cm="1">
        <f t="array" ref="AL42">+_xll.EQNXTDZ($A$1,$B42,AL$1,$B$1)</f>
        <v>0</v>
      </c>
      <c r="AM42" s="124" cm="1">
        <f t="array" ref="AM42">+_xll.EQNXTDZ($A$1,$B42,AM$1,$B$1)</f>
        <v>0</v>
      </c>
      <c r="AN42" s="124" cm="1">
        <f t="array" ref="AN42">+_xll.EQNXTDZ($A$1,$B42,AN$1,$B$1)</f>
        <v>0</v>
      </c>
      <c r="AO42" s="124" cm="1">
        <f t="array" ref="AO42">+_xll.EQNXTDZ($A$1,$B42,AO$1,$B$1)</f>
        <v>0</v>
      </c>
      <c r="AP42" s="124" cm="1">
        <f t="array" ref="AP42">+_xll.EQNXTDZ($A$1,$B42,AP$1,$B$1)</f>
        <v>0</v>
      </c>
      <c r="AQ42" s="124" cm="1">
        <f t="array" ref="AQ42">+_xll.EQNXTDZ($A$1,$B42,AQ$1,$B$1)</f>
        <v>0</v>
      </c>
      <c r="AR42" s="124" cm="1">
        <f t="array" ref="AR42">+_xll.EQNXTDZ($A$1,$B42,AR$1,$B$1)</f>
        <v>0</v>
      </c>
      <c r="AS42" s="124" cm="1">
        <f t="array" ref="AS42">+_xll.EQNXTDZ($A$1,$B42,AS$1,$B$1)</f>
        <v>0</v>
      </c>
      <c r="AT42" s="124" cm="1">
        <f t="array" ref="AT42">+_xll.EQNXTDZ($A$1,$B42,AT$1,$B$1)</f>
        <v>0</v>
      </c>
      <c r="AU42" s="124" cm="1">
        <f t="array" ref="AU42">+_xll.EQNXTDZ($A$1,$B42,AU$1,$B$1)</f>
        <v>0</v>
      </c>
      <c r="AV42" s="124" cm="1">
        <f t="array" ref="AV42">+_xll.EQNXTDZ($A$1,$B42,AV$1,$B$1)</f>
        <v>0</v>
      </c>
      <c r="AW42" s="124" cm="1">
        <f t="array" ref="AW42">+_xll.EQNXTDZ($A$1,$B42,AW$1,$B$1)</f>
        <v>0</v>
      </c>
      <c r="AX42" s="124" cm="1">
        <f t="array" ref="AX42">+_xll.EQNXTDZ($A$1,$B42,AX$1,$B$1)</f>
        <v>0</v>
      </c>
      <c r="AY42" s="124" cm="1">
        <f t="array" ref="AY42">+_xll.EQNXTDZ($A$1,$B42,AY$1,$B$1)</f>
        <v>0</v>
      </c>
      <c r="AZ42" s="124" cm="1">
        <f t="array" ref="AZ42">+_xll.EQNXTDZ($A$1,$B42,AZ$1,$B$1)</f>
        <v>0</v>
      </c>
      <c r="BA42" s="124" cm="1">
        <f t="array" ref="BA42">+_xll.EQNXTDZ($A$1,$B42,BA$1,$B$1)</f>
        <v>0</v>
      </c>
      <c r="BB42" s="124" cm="1">
        <f t="array" ref="BB42">+_xll.EQNXTDZ($A$1,$B42,BB$1,$B$1)</f>
        <v>0</v>
      </c>
      <c r="BC42" s="124" cm="1">
        <f t="array" ref="BC42">+_xll.EQNXTDZ($A$1,$B42,BC$1,$B$1)</f>
        <v>0</v>
      </c>
      <c r="BD42" s="124" cm="1">
        <f t="array" ref="BD42">+_xll.EQNXTDZ($A$1,$B42,BD$1,$B$1)</f>
        <v>0</v>
      </c>
      <c r="BE42" s="124" cm="1">
        <f t="array" ref="BE42">+_xll.EQNXTDZ($A$1,$B42,BE$1,$B$1)</f>
        <v>0</v>
      </c>
      <c r="BF42" s="124" cm="1">
        <f t="array" ref="BF42">+_xll.EQNXTDZ($A$1,$B42,BF$1,$B$1)</f>
        <v>0</v>
      </c>
      <c r="BG42" s="124" cm="1">
        <f t="array" ref="BG42">+_xll.EQNXTDZ($A$1,$B42,BG$1,$B$1)</f>
        <v>0</v>
      </c>
      <c r="BH42" s="124" cm="1">
        <f t="array" ref="BH42">+_xll.EQNXTDZ($A$1,$B42,BH$1,$B$1)</f>
        <v>0</v>
      </c>
      <c r="BI42" s="124" cm="1">
        <f t="array" ref="BI42">+_xll.EQNXTDZ($A$1,$B42,BI$1,$B$1)</f>
        <v>0</v>
      </c>
      <c r="BJ42" s="124" cm="1">
        <f t="array" ref="BJ42">+_xll.EQNXTDZ($A$1,$B42,BJ$1,$B$1)</f>
        <v>0</v>
      </c>
      <c r="BK42" s="124" cm="1">
        <f t="array" ref="BK42">+_xll.EQNXTDZ($A$1,$B42,BK$1,$B$1)</f>
        <v>0</v>
      </c>
    </row>
    <row r="43" spans="1:63" x14ac:dyDescent="0.25">
      <c r="A43" t="s">
        <v>461</v>
      </c>
      <c r="B43" t="s">
        <v>465</v>
      </c>
      <c r="C43" s="124" cm="1">
        <f t="array" ref="C43">+_xll.EQNXTDZ($A$1,$B43,C$1,$B$1)</f>
        <v>0</v>
      </c>
      <c r="D43" s="124" cm="1">
        <f t="array" ref="D43">+_xll.EQNXTDZ($A$1,$B43,D$1,$B$1)</f>
        <v>0</v>
      </c>
      <c r="E43" s="124" cm="1">
        <f t="array" ref="E43">+_xll.EQNXTDZ($A$1,$B43,E$1,$B$1)</f>
        <v>0</v>
      </c>
      <c r="F43" s="124" cm="1">
        <f t="array" ref="F43">+_xll.EQNXTDZ($A$1,$B43,F$1,$B$1)</f>
        <v>0</v>
      </c>
      <c r="G43" s="124" cm="1">
        <f t="array" ref="G43">+_xll.EQNXTDZ($A$1,$B43,G$1,$B$1)</f>
        <v>0</v>
      </c>
      <c r="H43" s="124" cm="1">
        <f t="array" ref="H43">+_xll.EQNXTDZ($A$1,$B43,H$1,$B$1)</f>
        <v>0</v>
      </c>
      <c r="I43" s="124" cm="1">
        <f t="array" ref="I43">+_xll.EQNXTDZ($A$1,$B43,I$1,$B$1)</f>
        <v>0</v>
      </c>
      <c r="J43" s="124" cm="1">
        <f t="array" ref="J43">+_xll.EQNXTDZ($A$1,$B43,J$1,$B$1)</f>
        <v>0</v>
      </c>
      <c r="K43" s="124" cm="1">
        <f t="array" ref="K43">+_xll.EQNXTDZ($A$1,$B43,K$1,$B$1)</f>
        <v>0</v>
      </c>
      <c r="L43" s="124" cm="1">
        <f t="array" ref="L43">+_xll.EQNXTDZ($A$1,$B43,L$1,$B$1)</f>
        <v>0</v>
      </c>
      <c r="M43" s="124" cm="1">
        <f t="array" ref="M43">+_xll.EQNXTDZ($A$1,$B43,M$1,$B$1)</f>
        <v>0</v>
      </c>
      <c r="N43" s="124" cm="1">
        <f t="array" ref="N43">+_xll.EQNXTDZ($A$1,$B43,N$1,$B$1)</f>
        <v>0</v>
      </c>
      <c r="O43" s="124" cm="1">
        <f t="array" ref="O43">+_xll.EQNXTDZ($A$1,$B43,O$1,$B$1)</f>
        <v>0</v>
      </c>
      <c r="P43" s="124" cm="1">
        <f t="array" ref="P43">+_xll.EQNXTDZ($A$1,$B43,P$1,$B$1)</f>
        <v>0</v>
      </c>
      <c r="Q43" s="124" cm="1">
        <f t="array" ref="Q43">+_xll.EQNXTDZ($A$1,$B43,Q$1,$B$1)</f>
        <v>0</v>
      </c>
      <c r="R43" s="124" cm="1">
        <f t="array" ref="R43">+_xll.EQNXTDZ($A$1,$B43,R$1,$B$1)</f>
        <v>0</v>
      </c>
      <c r="S43" s="124" cm="1">
        <f t="array" ref="S43">+_xll.EQNXTDZ($A$1,$B43,S$1,$B$1)</f>
        <v>0</v>
      </c>
      <c r="T43" s="124" cm="1">
        <f t="array" ref="T43">+_xll.EQNXTDZ($A$1,$B43,T$1,$B$1)</f>
        <v>0</v>
      </c>
      <c r="U43" s="124" cm="1">
        <f t="array" ref="U43">+_xll.EQNXTDZ($A$1,$B43,U$1,$B$1)</f>
        <v>0</v>
      </c>
      <c r="V43" s="124" cm="1">
        <f t="array" ref="V43">+_xll.EQNXTDZ($A$1,$B43,V$1,$B$1)</f>
        <v>0</v>
      </c>
      <c r="W43" s="124" cm="1">
        <f t="array" ref="W43">+_xll.EQNXTDZ($A$1,$B43,W$1,$B$1)</f>
        <v>0</v>
      </c>
      <c r="X43" s="124" cm="1">
        <f t="array" ref="X43">+_xll.EQNXTDZ($A$1,$B43,X$1,$B$1)</f>
        <v>0</v>
      </c>
      <c r="Y43" s="124" cm="1">
        <f t="array" ref="Y43">+_xll.EQNXTDZ($A$1,$B43,Y$1,$B$1)</f>
        <v>0</v>
      </c>
      <c r="Z43" s="124" cm="1">
        <f t="array" ref="Z43">+_xll.EQNXTDZ($A$1,$B43,Z$1,$B$1)</f>
        <v>0</v>
      </c>
      <c r="AA43" s="124" cm="1">
        <f t="array" ref="AA43">+_xll.EQNXTDZ($A$1,$B43,AA$1,$B$1)</f>
        <v>0</v>
      </c>
      <c r="AB43" s="124" cm="1">
        <f t="array" ref="AB43">+_xll.EQNXTDZ($A$1,$B43,AB$1,$B$1)</f>
        <v>0</v>
      </c>
      <c r="AC43" s="124" cm="1">
        <f t="array" ref="AC43">+_xll.EQNXTDZ($A$1,$B43,AC$1,$B$1)</f>
        <v>0</v>
      </c>
      <c r="AD43" s="124" cm="1">
        <f t="array" ref="AD43">+_xll.EQNXTDZ($A$1,$B43,AD$1,$B$1)</f>
        <v>0</v>
      </c>
      <c r="AE43" s="124" cm="1">
        <f t="array" ref="AE43">+_xll.EQNXTDZ($A$1,$B43,AE$1,$B$1)</f>
        <v>0</v>
      </c>
      <c r="AF43" s="124" cm="1">
        <f t="array" ref="AF43">+_xll.EQNXTDZ($A$1,$B43,AF$1,$B$1)</f>
        <v>0</v>
      </c>
      <c r="AG43" s="124" cm="1">
        <f t="array" ref="AG43">+_xll.EQNXTDZ($A$1,$B43,AG$1,$B$1)</f>
        <v>0</v>
      </c>
      <c r="AH43" s="124" cm="1">
        <f t="array" ref="AH43">+_xll.EQNXTDZ($A$1,$B43,AH$1,$B$1)</f>
        <v>0</v>
      </c>
      <c r="AI43" s="124" cm="1">
        <f t="array" ref="AI43">+_xll.EQNXTDZ($A$1,$B43,AI$1,$B$1)</f>
        <v>0</v>
      </c>
      <c r="AJ43" s="124" cm="1">
        <f t="array" ref="AJ43">+_xll.EQNXTDZ($A$1,$B43,AJ$1,$B$1)</f>
        <v>0</v>
      </c>
      <c r="AK43" s="124" cm="1">
        <f t="array" ref="AK43">+_xll.EQNXTDZ($A$1,$B43,AK$1,$B$1)</f>
        <v>0</v>
      </c>
      <c r="AL43" s="124" cm="1">
        <f t="array" ref="AL43">+_xll.EQNXTDZ($A$1,$B43,AL$1,$B$1)</f>
        <v>0</v>
      </c>
      <c r="AM43" s="124" cm="1">
        <f t="array" ref="AM43">+_xll.EQNXTDZ($A$1,$B43,AM$1,$B$1)</f>
        <v>0</v>
      </c>
      <c r="AN43" s="124" cm="1">
        <f t="array" ref="AN43">+_xll.EQNXTDZ($A$1,$B43,AN$1,$B$1)</f>
        <v>0</v>
      </c>
      <c r="AO43" s="124" cm="1">
        <f t="array" ref="AO43">+_xll.EQNXTDZ($A$1,$B43,AO$1,$B$1)</f>
        <v>0</v>
      </c>
      <c r="AP43" s="124" cm="1">
        <f t="array" ref="AP43">+_xll.EQNXTDZ($A$1,$B43,AP$1,$B$1)</f>
        <v>0</v>
      </c>
      <c r="AQ43" s="124" cm="1">
        <f t="array" ref="AQ43">+_xll.EQNXTDZ($A$1,$B43,AQ$1,$B$1)</f>
        <v>0</v>
      </c>
      <c r="AR43" s="124" cm="1">
        <f t="array" ref="AR43">+_xll.EQNXTDZ($A$1,$B43,AR$1,$B$1)</f>
        <v>0</v>
      </c>
      <c r="AS43" s="124" cm="1">
        <f t="array" ref="AS43">+_xll.EQNXTDZ($A$1,$B43,AS$1,$B$1)</f>
        <v>0</v>
      </c>
      <c r="AT43" s="124" cm="1">
        <f t="array" ref="AT43">+_xll.EQNXTDZ($A$1,$B43,AT$1,$B$1)</f>
        <v>0</v>
      </c>
      <c r="AU43" s="124" cm="1">
        <f t="array" ref="AU43">+_xll.EQNXTDZ($A$1,$B43,AU$1,$B$1)</f>
        <v>0</v>
      </c>
      <c r="AV43" s="124" cm="1">
        <f t="array" ref="AV43">+_xll.EQNXTDZ($A$1,$B43,AV$1,$B$1)</f>
        <v>0</v>
      </c>
      <c r="AW43" s="124" cm="1">
        <f t="array" ref="AW43">+_xll.EQNXTDZ($A$1,$B43,AW$1,$B$1)</f>
        <v>0</v>
      </c>
      <c r="AX43" s="124" cm="1">
        <f t="array" ref="AX43">+_xll.EQNXTDZ($A$1,$B43,AX$1,$B$1)</f>
        <v>0</v>
      </c>
      <c r="AY43" s="124" cm="1">
        <f t="array" ref="AY43">+_xll.EQNXTDZ($A$1,$B43,AY$1,$B$1)</f>
        <v>0</v>
      </c>
      <c r="AZ43" s="124" cm="1">
        <f t="array" ref="AZ43">+_xll.EQNXTDZ($A$1,$B43,AZ$1,$B$1)</f>
        <v>0</v>
      </c>
      <c r="BA43" s="124" cm="1">
        <f t="array" ref="BA43">+_xll.EQNXTDZ($A$1,$B43,BA$1,$B$1)</f>
        <v>0</v>
      </c>
      <c r="BB43" s="124" cm="1">
        <f t="array" ref="BB43">+_xll.EQNXTDZ($A$1,$B43,BB$1,$B$1)</f>
        <v>0</v>
      </c>
      <c r="BC43" s="124" cm="1">
        <f t="array" ref="BC43">+_xll.EQNXTDZ($A$1,$B43,BC$1,$B$1)</f>
        <v>0</v>
      </c>
      <c r="BD43" s="124" cm="1">
        <f t="array" ref="BD43">+_xll.EQNXTDZ($A$1,$B43,BD$1,$B$1)</f>
        <v>0</v>
      </c>
      <c r="BE43" s="124" cm="1">
        <f t="array" ref="BE43">+_xll.EQNXTDZ($A$1,$B43,BE$1,$B$1)</f>
        <v>0</v>
      </c>
      <c r="BF43" s="124" cm="1">
        <f t="array" ref="BF43">+_xll.EQNXTDZ($A$1,$B43,BF$1,$B$1)</f>
        <v>0</v>
      </c>
      <c r="BG43" s="124" cm="1">
        <f t="array" ref="BG43">+_xll.EQNXTDZ($A$1,$B43,BG$1,$B$1)</f>
        <v>0</v>
      </c>
      <c r="BH43" s="124" cm="1">
        <f t="array" ref="BH43">+_xll.EQNXTDZ($A$1,$B43,BH$1,$B$1)</f>
        <v>0</v>
      </c>
      <c r="BI43" s="124" cm="1">
        <f t="array" ref="BI43">+_xll.EQNXTDZ($A$1,$B43,BI$1,$B$1)</f>
        <v>0</v>
      </c>
      <c r="BJ43" s="124" cm="1">
        <f t="array" ref="BJ43">+_xll.EQNXTDZ($A$1,$B43,BJ$1,$B$1)</f>
        <v>0</v>
      </c>
      <c r="BK43" s="124" cm="1">
        <f t="array" ref="BK43">+_xll.EQNXTDZ($A$1,$B43,BK$1,$B$1)</f>
        <v>0</v>
      </c>
    </row>
    <row r="44" spans="1:63" x14ac:dyDescent="0.25">
      <c r="A44" t="s">
        <v>462</v>
      </c>
      <c r="B44" t="s">
        <v>466</v>
      </c>
      <c r="C44" s="124" cm="1">
        <f t="array" ref="C44">+_xll.EQNXTDZ($A$1,$B44,C$1,$B$1)</f>
        <v>0</v>
      </c>
      <c r="D44" s="124" cm="1">
        <f t="array" ref="D44">+_xll.EQNXTDZ($A$1,$B44,D$1,$B$1)</f>
        <v>0</v>
      </c>
      <c r="E44" s="124" cm="1">
        <f t="array" ref="E44">+_xll.EQNXTDZ($A$1,$B44,E$1,$B$1)</f>
        <v>0</v>
      </c>
      <c r="F44" s="124" cm="1">
        <f t="array" ref="F44">+_xll.EQNXTDZ($A$1,$B44,F$1,$B$1)</f>
        <v>0</v>
      </c>
      <c r="G44" s="124" cm="1">
        <f t="array" ref="G44">+_xll.EQNXTDZ($A$1,$B44,G$1,$B$1)</f>
        <v>0</v>
      </c>
      <c r="H44" s="124" cm="1">
        <f t="array" ref="H44">+_xll.EQNXTDZ($A$1,$B44,H$1,$B$1)</f>
        <v>0</v>
      </c>
      <c r="I44" s="124" cm="1">
        <f t="array" ref="I44">+_xll.EQNXTDZ($A$1,$B44,I$1,$B$1)</f>
        <v>0</v>
      </c>
      <c r="J44" s="124" cm="1">
        <f t="array" ref="J44">+_xll.EQNXTDZ($A$1,$B44,J$1,$B$1)</f>
        <v>0</v>
      </c>
      <c r="K44" s="124" cm="1">
        <f t="array" ref="K44">+_xll.EQNXTDZ($A$1,$B44,K$1,$B$1)</f>
        <v>0</v>
      </c>
      <c r="L44" s="124" cm="1">
        <f t="array" ref="L44">+_xll.EQNXTDZ($A$1,$B44,L$1,$B$1)</f>
        <v>0</v>
      </c>
      <c r="M44" s="124" cm="1">
        <f t="array" ref="M44">+_xll.EQNXTDZ($A$1,$B44,M$1,$B$1)</f>
        <v>0</v>
      </c>
      <c r="N44" s="124" cm="1">
        <f t="array" ref="N44">+_xll.EQNXTDZ($A$1,$B44,N$1,$B$1)</f>
        <v>0</v>
      </c>
      <c r="O44" s="124" cm="1">
        <f t="array" ref="O44">+_xll.EQNXTDZ($A$1,$B44,O$1,$B$1)</f>
        <v>0</v>
      </c>
      <c r="P44" s="124" cm="1">
        <f t="array" ref="P44">+_xll.EQNXTDZ($A$1,$B44,P$1,$B$1)</f>
        <v>0</v>
      </c>
      <c r="Q44" s="124" cm="1">
        <f t="array" ref="Q44">+_xll.EQNXTDZ($A$1,$B44,Q$1,$B$1)</f>
        <v>0</v>
      </c>
      <c r="R44" s="124" cm="1">
        <f t="array" ref="R44">+_xll.EQNXTDZ($A$1,$B44,R$1,$B$1)</f>
        <v>0</v>
      </c>
      <c r="S44" s="124" cm="1">
        <f t="array" ref="S44">+_xll.EQNXTDZ($A$1,$B44,S$1,$B$1)</f>
        <v>0</v>
      </c>
      <c r="T44" s="124" cm="1">
        <f t="array" ref="T44">+_xll.EQNXTDZ($A$1,$B44,T$1,$B$1)</f>
        <v>0</v>
      </c>
      <c r="U44" s="124" cm="1">
        <f t="array" ref="U44">+_xll.EQNXTDZ($A$1,$B44,U$1,$B$1)</f>
        <v>0</v>
      </c>
      <c r="V44" s="124" cm="1">
        <f t="array" ref="V44">+_xll.EQNXTDZ($A$1,$B44,V$1,$B$1)</f>
        <v>0</v>
      </c>
      <c r="W44" s="124" cm="1">
        <f t="array" ref="W44">+_xll.EQNXTDZ($A$1,$B44,W$1,$B$1)</f>
        <v>0</v>
      </c>
      <c r="X44" s="124" cm="1">
        <f t="array" ref="X44">+_xll.EQNXTDZ($A$1,$B44,X$1,$B$1)</f>
        <v>0</v>
      </c>
      <c r="Y44" s="124" cm="1">
        <f t="array" ref="Y44">+_xll.EQNXTDZ($A$1,$B44,Y$1,$B$1)</f>
        <v>0</v>
      </c>
      <c r="Z44" s="124" cm="1">
        <f t="array" ref="Z44">+_xll.EQNXTDZ($A$1,$B44,Z$1,$B$1)</f>
        <v>0</v>
      </c>
      <c r="AA44" s="124" cm="1">
        <f t="array" ref="AA44">+_xll.EQNXTDZ($A$1,$B44,AA$1,$B$1)</f>
        <v>0</v>
      </c>
      <c r="AB44" s="124" cm="1">
        <f t="array" ref="AB44">+_xll.EQNXTDZ($A$1,$B44,AB$1,$B$1)</f>
        <v>0</v>
      </c>
      <c r="AC44" s="124" cm="1">
        <f t="array" ref="AC44">+_xll.EQNXTDZ($A$1,$B44,AC$1,$B$1)</f>
        <v>0</v>
      </c>
      <c r="AD44" s="124" cm="1">
        <f t="array" ref="AD44">+_xll.EQNXTDZ($A$1,$B44,AD$1,$B$1)</f>
        <v>0</v>
      </c>
      <c r="AE44" s="124" cm="1">
        <f t="array" ref="AE44">+_xll.EQNXTDZ($A$1,$B44,AE$1,$B$1)</f>
        <v>0</v>
      </c>
      <c r="AF44" s="124" cm="1">
        <f t="array" ref="AF44">+_xll.EQNXTDZ($A$1,$B44,AF$1,$B$1)</f>
        <v>0</v>
      </c>
      <c r="AG44" s="124" cm="1">
        <f t="array" ref="AG44">+_xll.EQNXTDZ($A$1,$B44,AG$1,$B$1)</f>
        <v>0</v>
      </c>
      <c r="AH44" s="124" cm="1">
        <f t="array" ref="AH44">+_xll.EQNXTDZ($A$1,$B44,AH$1,$B$1)</f>
        <v>0</v>
      </c>
      <c r="AI44" s="124" cm="1">
        <f t="array" ref="AI44">+_xll.EQNXTDZ($A$1,$B44,AI$1,$B$1)</f>
        <v>0</v>
      </c>
      <c r="AJ44" s="124" cm="1">
        <f t="array" ref="AJ44">+_xll.EQNXTDZ($A$1,$B44,AJ$1,$B$1)</f>
        <v>0</v>
      </c>
      <c r="AK44" s="124" cm="1">
        <f t="array" ref="AK44">+_xll.EQNXTDZ($A$1,$B44,AK$1,$B$1)</f>
        <v>0</v>
      </c>
      <c r="AL44" s="124" cm="1">
        <f t="array" ref="AL44">+_xll.EQNXTDZ($A$1,$B44,AL$1,$B$1)</f>
        <v>0</v>
      </c>
      <c r="AM44" s="124" cm="1">
        <f t="array" ref="AM44">+_xll.EQNXTDZ($A$1,$B44,AM$1,$B$1)</f>
        <v>0</v>
      </c>
      <c r="AN44" s="124" cm="1">
        <f t="array" ref="AN44">+_xll.EQNXTDZ($A$1,$B44,AN$1,$B$1)</f>
        <v>0</v>
      </c>
      <c r="AO44" s="124" cm="1">
        <f t="array" ref="AO44">+_xll.EQNXTDZ($A$1,$B44,AO$1,$B$1)</f>
        <v>0</v>
      </c>
      <c r="AP44" s="124" cm="1">
        <f t="array" ref="AP44">+_xll.EQNXTDZ($A$1,$B44,AP$1,$B$1)</f>
        <v>0</v>
      </c>
      <c r="AQ44" s="124" cm="1">
        <f t="array" ref="AQ44">+_xll.EQNXTDZ($A$1,$B44,AQ$1,$B$1)</f>
        <v>0</v>
      </c>
      <c r="AR44" s="124" cm="1">
        <f t="array" ref="AR44">+_xll.EQNXTDZ($A$1,$B44,AR$1,$B$1)</f>
        <v>0</v>
      </c>
      <c r="AS44" s="124" cm="1">
        <f t="array" ref="AS44">+_xll.EQNXTDZ($A$1,$B44,AS$1,$B$1)</f>
        <v>0</v>
      </c>
      <c r="AT44" s="124" cm="1">
        <f t="array" ref="AT44">+_xll.EQNXTDZ($A$1,$B44,AT$1,$B$1)</f>
        <v>0</v>
      </c>
      <c r="AU44" s="124" cm="1">
        <f t="array" ref="AU44">+_xll.EQNXTDZ($A$1,$B44,AU$1,$B$1)</f>
        <v>0</v>
      </c>
      <c r="AV44" s="124" cm="1">
        <f t="array" ref="AV44">+_xll.EQNXTDZ($A$1,$B44,AV$1,$B$1)</f>
        <v>0</v>
      </c>
      <c r="AW44" s="124" cm="1">
        <f t="array" ref="AW44">+_xll.EQNXTDZ($A$1,$B44,AW$1,$B$1)</f>
        <v>0</v>
      </c>
      <c r="AX44" s="124" cm="1">
        <f t="array" ref="AX44">+_xll.EQNXTDZ($A$1,$B44,AX$1,$B$1)</f>
        <v>0</v>
      </c>
      <c r="AY44" s="124" cm="1">
        <f t="array" ref="AY44">+_xll.EQNXTDZ($A$1,$B44,AY$1,$B$1)</f>
        <v>0</v>
      </c>
      <c r="AZ44" s="124" cm="1">
        <f t="array" ref="AZ44">+_xll.EQNXTDZ($A$1,$B44,AZ$1,$B$1)</f>
        <v>0</v>
      </c>
      <c r="BA44" s="124" cm="1">
        <f t="array" ref="BA44">+_xll.EQNXTDZ($A$1,$B44,BA$1,$B$1)</f>
        <v>0</v>
      </c>
      <c r="BB44" s="124" cm="1">
        <f t="array" ref="BB44">+_xll.EQNXTDZ($A$1,$B44,BB$1,$B$1)</f>
        <v>0</v>
      </c>
      <c r="BC44" s="124" cm="1">
        <f t="array" ref="BC44">+_xll.EQNXTDZ($A$1,$B44,BC$1,$B$1)</f>
        <v>0</v>
      </c>
      <c r="BD44" s="124" cm="1">
        <f t="array" ref="BD44">+_xll.EQNXTDZ($A$1,$B44,BD$1,$B$1)</f>
        <v>0</v>
      </c>
      <c r="BE44" s="124" cm="1">
        <f t="array" ref="BE44">+_xll.EQNXTDZ($A$1,$B44,BE$1,$B$1)</f>
        <v>0</v>
      </c>
      <c r="BF44" s="124" cm="1">
        <f t="array" ref="BF44">+_xll.EQNXTDZ($A$1,$B44,BF$1,$B$1)</f>
        <v>0</v>
      </c>
      <c r="BG44" s="124" cm="1">
        <f t="array" ref="BG44">+_xll.EQNXTDZ($A$1,$B44,BG$1,$B$1)</f>
        <v>0</v>
      </c>
      <c r="BH44" s="124" cm="1">
        <f t="array" ref="BH44">+_xll.EQNXTDZ($A$1,$B44,BH$1,$B$1)</f>
        <v>0</v>
      </c>
      <c r="BI44" s="124" cm="1">
        <f t="array" ref="BI44">+_xll.EQNXTDZ($A$1,$B44,BI$1,$B$1)</f>
        <v>0</v>
      </c>
      <c r="BJ44" s="124" cm="1">
        <f t="array" ref="BJ44">+_xll.EQNXTDZ($A$1,$B44,BJ$1,$B$1)</f>
        <v>0</v>
      </c>
      <c r="BK44" s="124" cm="1">
        <f t="array" ref="BK44">+_xll.EQNXTDZ($A$1,$B44,BK$1,$B$1)</f>
        <v>0</v>
      </c>
    </row>
    <row r="45" spans="1:63" x14ac:dyDescent="0.25">
      <c r="A45" t="s">
        <v>6</v>
      </c>
      <c r="B45" t="s">
        <v>358</v>
      </c>
      <c r="C45" s="124" cm="1">
        <f t="array" ref="C45">+_xll.EQNXTDZ($A$1,$B45,C$1,$B$1)</f>
        <v>0</v>
      </c>
      <c r="D45" s="124" cm="1">
        <f t="array" ref="D45">+_xll.EQNXTDZ($A$1,$B45,D$1,$B$1)</f>
        <v>0</v>
      </c>
      <c r="E45" s="124" cm="1">
        <f t="array" ref="E45">+_xll.EQNXTDZ($A$1,$B45,E$1,$B$1)</f>
        <v>0</v>
      </c>
      <c r="F45" s="124" cm="1">
        <f t="array" ref="F45">+_xll.EQNXTDZ($A$1,$B45,F$1,$B$1)</f>
        <v>0</v>
      </c>
      <c r="G45" s="124" cm="1">
        <f t="array" ref="G45">+_xll.EQNXTDZ($A$1,$B45,G$1,$B$1)</f>
        <v>0</v>
      </c>
      <c r="H45" s="124" cm="1">
        <f t="array" ref="H45">+_xll.EQNXTDZ($A$1,$B45,H$1,$B$1)</f>
        <v>0</v>
      </c>
      <c r="I45" s="124" cm="1">
        <f t="array" ref="I45">+_xll.EQNXTDZ($A$1,$B45,I$1,$B$1)</f>
        <v>0</v>
      </c>
      <c r="J45" s="124" cm="1">
        <f t="array" ref="J45">+_xll.EQNXTDZ($A$1,$B45,J$1,$B$1)</f>
        <v>0</v>
      </c>
      <c r="K45" s="124" cm="1">
        <f t="array" ref="K45">+_xll.EQNXTDZ($A$1,$B45,K$1,$B$1)</f>
        <v>0</v>
      </c>
      <c r="L45" s="124" cm="1">
        <f t="array" ref="L45">+_xll.EQNXTDZ($A$1,$B45,L$1,$B$1)</f>
        <v>0</v>
      </c>
      <c r="M45" s="124" cm="1">
        <f t="array" ref="M45">+_xll.EQNXTDZ($A$1,$B45,M$1,$B$1)</f>
        <v>0</v>
      </c>
      <c r="N45" s="124" cm="1">
        <f t="array" ref="N45">+_xll.EQNXTDZ($A$1,$B45,N$1,$B$1)</f>
        <v>0</v>
      </c>
      <c r="O45" s="124" cm="1">
        <f t="array" ref="O45">+_xll.EQNXTDZ($A$1,$B45,O$1,$B$1)</f>
        <v>0</v>
      </c>
      <c r="P45" s="124" cm="1">
        <f t="array" ref="P45">+_xll.EQNXTDZ($A$1,$B45,P$1,$B$1)</f>
        <v>0</v>
      </c>
      <c r="Q45" s="124" cm="1">
        <f t="array" ref="Q45">+_xll.EQNXTDZ($A$1,$B45,Q$1,$B$1)</f>
        <v>0</v>
      </c>
      <c r="R45" s="124" cm="1">
        <f t="array" ref="R45">+_xll.EQNXTDZ($A$1,$B45,R$1,$B$1)</f>
        <v>0</v>
      </c>
      <c r="S45" s="124" cm="1">
        <f t="array" ref="S45">+_xll.EQNXTDZ($A$1,$B45,S$1,$B$1)</f>
        <v>0</v>
      </c>
      <c r="T45" s="124" cm="1">
        <f t="array" ref="T45">+_xll.EQNXTDZ($A$1,$B45,T$1,$B$1)</f>
        <v>0</v>
      </c>
      <c r="U45" s="124" cm="1">
        <f t="array" ref="U45">+_xll.EQNXTDZ($A$1,$B45,U$1,$B$1)</f>
        <v>0</v>
      </c>
      <c r="V45" s="124" cm="1">
        <f t="array" ref="V45">+_xll.EQNXTDZ($A$1,$B45,V$1,$B$1)</f>
        <v>0</v>
      </c>
      <c r="W45" s="124" cm="1">
        <f t="array" ref="W45">+_xll.EQNXTDZ($A$1,$B45,W$1,$B$1)</f>
        <v>0</v>
      </c>
      <c r="X45" s="124" cm="1">
        <f t="array" ref="X45">+_xll.EQNXTDZ($A$1,$B45,X$1,$B$1)</f>
        <v>0</v>
      </c>
      <c r="Y45" s="124" cm="1">
        <f t="array" ref="Y45">+_xll.EQNXTDZ($A$1,$B45,Y$1,$B$1)</f>
        <v>0</v>
      </c>
      <c r="Z45" s="124" cm="1">
        <f t="array" ref="Z45">+_xll.EQNXTDZ($A$1,$B45,Z$1,$B$1)</f>
        <v>0</v>
      </c>
      <c r="AA45" s="124" cm="1">
        <f t="array" ref="AA45">+_xll.EQNXTDZ($A$1,$B45,AA$1,$B$1)</f>
        <v>0</v>
      </c>
      <c r="AB45" s="124" cm="1">
        <f t="array" ref="AB45">+_xll.EQNXTDZ($A$1,$B45,AB$1,$B$1)</f>
        <v>0</v>
      </c>
      <c r="AC45" s="124" cm="1">
        <f t="array" ref="AC45">+_xll.EQNXTDZ($A$1,$B45,AC$1,$B$1)</f>
        <v>0</v>
      </c>
      <c r="AD45" s="124" cm="1">
        <f t="array" ref="AD45">+_xll.EQNXTDZ($A$1,$B45,AD$1,$B$1)</f>
        <v>0</v>
      </c>
      <c r="AE45" s="124" cm="1">
        <f t="array" ref="AE45">+_xll.EQNXTDZ($A$1,$B45,AE$1,$B$1)</f>
        <v>0</v>
      </c>
      <c r="AF45" s="124" cm="1">
        <f t="array" ref="AF45">+_xll.EQNXTDZ($A$1,$B45,AF$1,$B$1)</f>
        <v>0</v>
      </c>
      <c r="AG45" s="124" cm="1">
        <f t="array" ref="AG45">+_xll.EQNXTDZ($A$1,$B45,AG$1,$B$1)</f>
        <v>0</v>
      </c>
      <c r="AH45" s="124" cm="1">
        <f t="array" ref="AH45">+_xll.EQNXTDZ($A$1,$B45,AH$1,$B$1)</f>
        <v>0</v>
      </c>
      <c r="AI45" s="124" cm="1">
        <f t="array" ref="AI45">+_xll.EQNXTDZ($A$1,$B45,AI$1,$B$1)</f>
        <v>0</v>
      </c>
      <c r="AJ45" s="124" cm="1">
        <f t="array" ref="AJ45">+_xll.EQNXTDZ($A$1,$B45,AJ$1,$B$1)</f>
        <v>0</v>
      </c>
      <c r="AK45" s="124" cm="1">
        <f t="array" ref="AK45">+_xll.EQNXTDZ($A$1,$B45,AK$1,$B$1)</f>
        <v>0</v>
      </c>
      <c r="AL45" s="124" cm="1">
        <f t="array" ref="AL45">+_xll.EQNXTDZ($A$1,$B45,AL$1,$B$1)</f>
        <v>0</v>
      </c>
      <c r="AM45" s="124" cm="1">
        <f t="array" ref="AM45">+_xll.EQNXTDZ($A$1,$B45,AM$1,$B$1)</f>
        <v>0</v>
      </c>
      <c r="AN45" s="124" cm="1">
        <f t="array" ref="AN45">+_xll.EQNXTDZ($A$1,$B45,AN$1,$B$1)</f>
        <v>0</v>
      </c>
      <c r="AO45" s="124" cm="1">
        <f t="array" ref="AO45">+_xll.EQNXTDZ($A$1,$B45,AO$1,$B$1)</f>
        <v>0</v>
      </c>
      <c r="AP45" s="124" cm="1">
        <f t="array" ref="AP45">+_xll.EQNXTDZ($A$1,$B45,AP$1,$B$1)</f>
        <v>0</v>
      </c>
      <c r="AQ45" s="124" cm="1">
        <f t="array" ref="AQ45">+_xll.EQNXTDZ($A$1,$B45,AQ$1,$B$1)</f>
        <v>0</v>
      </c>
      <c r="AR45" s="124" cm="1">
        <f t="array" ref="AR45">+_xll.EQNXTDZ($A$1,$B45,AR$1,$B$1)</f>
        <v>0</v>
      </c>
      <c r="AS45" s="124" cm="1">
        <f t="array" ref="AS45">+_xll.EQNXTDZ($A$1,$B45,AS$1,$B$1)</f>
        <v>0</v>
      </c>
      <c r="AT45" s="124" cm="1">
        <f t="array" ref="AT45">+_xll.EQNXTDZ($A$1,$B45,AT$1,$B$1)</f>
        <v>0</v>
      </c>
      <c r="AU45" s="124" cm="1">
        <f t="array" ref="AU45">+_xll.EQNXTDZ($A$1,$B45,AU$1,$B$1)</f>
        <v>0</v>
      </c>
      <c r="AV45" s="124" cm="1">
        <f t="array" ref="AV45">+_xll.EQNXTDZ($A$1,$B45,AV$1,$B$1)</f>
        <v>0</v>
      </c>
      <c r="AW45" s="124" cm="1">
        <f t="array" ref="AW45">+_xll.EQNXTDZ($A$1,$B45,AW$1,$B$1)</f>
        <v>0</v>
      </c>
      <c r="AX45" s="124" cm="1">
        <f t="array" ref="AX45">+_xll.EQNXTDZ($A$1,$B45,AX$1,$B$1)</f>
        <v>0</v>
      </c>
      <c r="AY45" s="124" cm="1">
        <f t="array" ref="AY45">+_xll.EQNXTDZ($A$1,$B45,AY$1,$B$1)</f>
        <v>0</v>
      </c>
      <c r="AZ45" s="124" cm="1">
        <f t="array" ref="AZ45">+_xll.EQNXTDZ($A$1,$B45,AZ$1,$B$1)</f>
        <v>0</v>
      </c>
      <c r="BA45" s="124" cm="1">
        <f t="array" ref="BA45">+_xll.EQNXTDZ($A$1,$B45,BA$1,$B$1)</f>
        <v>0</v>
      </c>
      <c r="BB45" s="124" cm="1">
        <f t="array" ref="BB45">+_xll.EQNXTDZ($A$1,$B45,BB$1,$B$1)</f>
        <v>0</v>
      </c>
      <c r="BC45" s="124" cm="1">
        <f t="array" ref="BC45">+_xll.EQNXTDZ($A$1,$B45,BC$1,$B$1)</f>
        <v>0</v>
      </c>
      <c r="BD45" s="124" cm="1">
        <f t="array" ref="BD45">+_xll.EQNXTDZ($A$1,$B45,BD$1,$B$1)</f>
        <v>0</v>
      </c>
      <c r="BE45" s="124" cm="1">
        <f t="array" ref="BE45">+_xll.EQNXTDZ($A$1,$B45,BE$1,$B$1)</f>
        <v>0</v>
      </c>
      <c r="BF45" s="124" cm="1">
        <f t="array" ref="BF45">+_xll.EQNXTDZ($A$1,$B45,BF$1,$B$1)</f>
        <v>0</v>
      </c>
      <c r="BG45" s="124" cm="1">
        <f t="array" ref="BG45">+_xll.EQNXTDZ($A$1,$B45,BG$1,$B$1)</f>
        <v>0</v>
      </c>
      <c r="BH45" s="124" cm="1">
        <f t="array" ref="BH45">+_xll.EQNXTDZ($A$1,$B45,BH$1,$B$1)</f>
        <v>0</v>
      </c>
      <c r="BI45" s="124" cm="1">
        <f t="array" ref="BI45">+_xll.EQNXTDZ($A$1,$B45,BI$1,$B$1)</f>
        <v>0</v>
      </c>
      <c r="BJ45" s="124" cm="1">
        <f t="array" ref="BJ45">+_xll.EQNXTDZ($A$1,$B45,BJ$1,$B$1)</f>
        <v>0</v>
      </c>
      <c r="BK45" s="124" cm="1">
        <f t="array" ref="BK45">+_xll.EQNXTDZ($A$1,$B45,BK$1,$B$1)</f>
        <v>0</v>
      </c>
    </row>
    <row r="46" spans="1:63" x14ac:dyDescent="0.25">
      <c r="A46" t="s">
        <v>147</v>
      </c>
      <c r="B46" t="s">
        <v>314</v>
      </c>
      <c r="C46" s="124" cm="1">
        <f t="array" ref="C46">+_xll.EQNXTDZ($A$1,$B46,C$1,$B$1)</f>
        <v>0</v>
      </c>
      <c r="D46" s="124" cm="1">
        <f t="array" ref="D46">+_xll.EQNXTDZ($A$1,$B46,D$1,$B$1)</f>
        <v>0</v>
      </c>
      <c r="E46" s="124" cm="1">
        <f t="array" ref="E46">+_xll.EQNXTDZ($A$1,$B46,E$1,$B$1)</f>
        <v>0</v>
      </c>
      <c r="F46" s="124" cm="1">
        <f t="array" ref="F46">+_xll.EQNXTDZ($A$1,$B46,F$1,$B$1)</f>
        <v>0</v>
      </c>
      <c r="G46" s="124" cm="1">
        <f t="array" ref="G46">+_xll.EQNXTDZ($A$1,$B46,G$1,$B$1)</f>
        <v>0</v>
      </c>
      <c r="H46" s="124" cm="1">
        <f t="array" ref="H46">+_xll.EQNXTDZ($A$1,$B46,H$1,$B$1)</f>
        <v>0</v>
      </c>
      <c r="I46" s="124" cm="1">
        <f t="array" ref="I46">+_xll.EQNXTDZ($A$1,$B46,I$1,$B$1)</f>
        <v>0</v>
      </c>
      <c r="J46" s="124" cm="1">
        <f t="array" ref="J46">+_xll.EQNXTDZ($A$1,$B46,J$1,$B$1)</f>
        <v>0</v>
      </c>
      <c r="K46" s="124" cm="1">
        <f t="array" ref="K46">+_xll.EQNXTDZ($A$1,$B46,K$1,$B$1)</f>
        <v>0</v>
      </c>
      <c r="L46" s="124" cm="1">
        <f t="array" ref="L46">+_xll.EQNXTDZ($A$1,$B46,L$1,$B$1)</f>
        <v>0</v>
      </c>
      <c r="M46" s="124" cm="1">
        <f t="array" ref="M46">+_xll.EQNXTDZ($A$1,$B46,M$1,$B$1)</f>
        <v>0</v>
      </c>
      <c r="N46" s="124" cm="1">
        <f t="array" ref="N46">+_xll.EQNXTDZ($A$1,$B46,N$1,$B$1)</f>
        <v>0</v>
      </c>
      <c r="O46" s="124" cm="1">
        <f t="array" ref="O46">+_xll.EQNXTDZ($A$1,$B46,O$1,$B$1)</f>
        <v>0</v>
      </c>
      <c r="P46" s="124" cm="1">
        <f t="array" ref="P46">+_xll.EQNXTDZ($A$1,$B46,P$1,$B$1)</f>
        <v>0</v>
      </c>
      <c r="Q46" s="124" cm="1">
        <f t="array" ref="Q46">+_xll.EQNXTDZ($A$1,$B46,Q$1,$B$1)</f>
        <v>0</v>
      </c>
      <c r="R46" s="124" cm="1">
        <f t="array" ref="R46">+_xll.EQNXTDZ($A$1,$B46,R$1,$B$1)</f>
        <v>0</v>
      </c>
      <c r="S46" s="124" cm="1">
        <f t="array" ref="S46">+_xll.EQNXTDZ($A$1,$B46,S$1,$B$1)</f>
        <v>0</v>
      </c>
      <c r="T46" s="124" cm="1">
        <f t="array" ref="T46">+_xll.EQNXTDZ($A$1,$B46,T$1,$B$1)</f>
        <v>0</v>
      </c>
      <c r="U46" s="124" cm="1">
        <f t="array" ref="U46">+_xll.EQNXTDZ($A$1,$B46,U$1,$B$1)</f>
        <v>0</v>
      </c>
      <c r="V46" s="124" cm="1">
        <f t="array" ref="V46">+_xll.EQNXTDZ($A$1,$B46,V$1,$B$1)</f>
        <v>0</v>
      </c>
      <c r="W46" s="124" cm="1">
        <f t="array" ref="W46">+_xll.EQNXTDZ($A$1,$B46,W$1,$B$1)</f>
        <v>0</v>
      </c>
      <c r="X46" s="124" cm="1">
        <f t="array" ref="X46">+_xll.EQNXTDZ($A$1,$B46,X$1,$B$1)</f>
        <v>0</v>
      </c>
      <c r="Y46" s="124" cm="1">
        <f t="array" ref="Y46">+_xll.EQNXTDZ($A$1,$B46,Y$1,$B$1)</f>
        <v>0</v>
      </c>
      <c r="Z46" s="124" cm="1">
        <f t="array" ref="Z46">+_xll.EQNXTDZ($A$1,$B46,Z$1,$B$1)</f>
        <v>0</v>
      </c>
      <c r="AA46" s="124" cm="1">
        <f t="array" ref="AA46">+_xll.EQNXTDZ($A$1,$B46,AA$1,$B$1)</f>
        <v>0</v>
      </c>
      <c r="AB46" s="124" cm="1">
        <f t="array" ref="AB46">+_xll.EQNXTDZ($A$1,$B46,AB$1,$B$1)</f>
        <v>0</v>
      </c>
      <c r="AC46" s="124" cm="1">
        <f t="array" ref="AC46">+_xll.EQNXTDZ($A$1,$B46,AC$1,$B$1)</f>
        <v>0</v>
      </c>
      <c r="AD46" s="124" cm="1">
        <f t="array" ref="AD46">+_xll.EQNXTDZ($A$1,$B46,AD$1,$B$1)</f>
        <v>0</v>
      </c>
      <c r="AE46" s="124" cm="1">
        <f t="array" ref="AE46">+_xll.EQNXTDZ($A$1,$B46,AE$1,$B$1)</f>
        <v>0</v>
      </c>
      <c r="AF46" s="124" cm="1">
        <f t="array" ref="AF46">+_xll.EQNXTDZ($A$1,$B46,AF$1,$B$1)</f>
        <v>0</v>
      </c>
      <c r="AG46" s="124" cm="1">
        <f t="array" ref="AG46">+_xll.EQNXTDZ($A$1,$B46,AG$1,$B$1)</f>
        <v>0</v>
      </c>
      <c r="AH46" s="124" cm="1">
        <f t="array" ref="AH46">+_xll.EQNXTDZ($A$1,$B46,AH$1,$B$1)</f>
        <v>0</v>
      </c>
      <c r="AI46" s="124" cm="1">
        <f t="array" ref="AI46">+_xll.EQNXTDZ($A$1,$B46,AI$1,$B$1)</f>
        <v>0</v>
      </c>
      <c r="AJ46" s="124" cm="1">
        <f t="array" ref="AJ46">+_xll.EQNXTDZ($A$1,$B46,AJ$1,$B$1)</f>
        <v>0</v>
      </c>
      <c r="AK46" s="124" cm="1">
        <f t="array" ref="AK46">+_xll.EQNXTDZ($A$1,$B46,AK$1,$B$1)</f>
        <v>0</v>
      </c>
      <c r="AL46" s="124" cm="1">
        <f t="array" ref="AL46">+_xll.EQNXTDZ($A$1,$B46,AL$1,$B$1)</f>
        <v>0</v>
      </c>
      <c r="AM46" s="124" cm="1">
        <f t="array" ref="AM46">+_xll.EQNXTDZ($A$1,$B46,AM$1,$B$1)</f>
        <v>0</v>
      </c>
      <c r="AN46" s="124" cm="1">
        <f t="array" ref="AN46">+_xll.EQNXTDZ($A$1,$B46,AN$1,$B$1)</f>
        <v>0</v>
      </c>
      <c r="AO46" s="124" cm="1">
        <f t="array" ref="AO46">+_xll.EQNXTDZ($A$1,$B46,AO$1,$B$1)</f>
        <v>0</v>
      </c>
      <c r="AP46" s="124" cm="1">
        <f t="array" ref="AP46">+_xll.EQNXTDZ($A$1,$B46,AP$1,$B$1)</f>
        <v>0</v>
      </c>
      <c r="AQ46" s="124" cm="1">
        <f t="array" ref="AQ46">+_xll.EQNXTDZ($A$1,$B46,AQ$1,$B$1)</f>
        <v>0</v>
      </c>
      <c r="AR46" s="124" cm="1">
        <f t="array" ref="AR46">+_xll.EQNXTDZ($A$1,$B46,AR$1,$B$1)</f>
        <v>0</v>
      </c>
      <c r="AS46" s="124" cm="1">
        <f t="array" ref="AS46">+_xll.EQNXTDZ($A$1,$B46,AS$1,$B$1)</f>
        <v>0</v>
      </c>
      <c r="AT46" s="124" cm="1">
        <f t="array" ref="AT46">+_xll.EQNXTDZ($A$1,$B46,AT$1,$B$1)</f>
        <v>0</v>
      </c>
      <c r="AU46" s="124" cm="1">
        <f t="array" ref="AU46">+_xll.EQNXTDZ($A$1,$B46,AU$1,$B$1)</f>
        <v>0</v>
      </c>
      <c r="AV46" s="124" cm="1">
        <f t="array" ref="AV46">+_xll.EQNXTDZ($A$1,$B46,AV$1,$B$1)</f>
        <v>0</v>
      </c>
      <c r="AW46" s="124" cm="1">
        <f t="array" ref="AW46">+_xll.EQNXTDZ($A$1,$B46,AW$1,$B$1)</f>
        <v>0</v>
      </c>
      <c r="AX46" s="124" cm="1">
        <f t="array" ref="AX46">+_xll.EQNXTDZ($A$1,$B46,AX$1,$B$1)</f>
        <v>0</v>
      </c>
      <c r="AY46" s="124" cm="1">
        <f t="array" ref="AY46">+_xll.EQNXTDZ($A$1,$B46,AY$1,$B$1)</f>
        <v>0</v>
      </c>
      <c r="AZ46" s="124" cm="1">
        <f t="array" ref="AZ46">+_xll.EQNXTDZ($A$1,$B46,AZ$1,$B$1)</f>
        <v>0</v>
      </c>
      <c r="BA46" s="124" cm="1">
        <f t="array" ref="BA46">+_xll.EQNXTDZ($A$1,$B46,BA$1,$B$1)</f>
        <v>0</v>
      </c>
      <c r="BB46" s="124" cm="1">
        <f t="array" ref="BB46">+_xll.EQNXTDZ($A$1,$B46,BB$1,$B$1)</f>
        <v>0</v>
      </c>
      <c r="BC46" s="124" cm="1">
        <f t="array" ref="BC46">+_xll.EQNXTDZ($A$1,$B46,BC$1,$B$1)</f>
        <v>0</v>
      </c>
      <c r="BD46" s="124" cm="1">
        <f t="array" ref="BD46">+_xll.EQNXTDZ($A$1,$B46,BD$1,$B$1)</f>
        <v>0</v>
      </c>
      <c r="BE46" s="124" cm="1">
        <f t="array" ref="BE46">+_xll.EQNXTDZ($A$1,$B46,BE$1,$B$1)</f>
        <v>0</v>
      </c>
      <c r="BF46" s="124" cm="1">
        <f t="array" ref="BF46">+_xll.EQNXTDZ($A$1,$B46,BF$1,$B$1)</f>
        <v>0</v>
      </c>
      <c r="BG46" s="124" cm="1">
        <f t="array" ref="BG46">+_xll.EQNXTDZ($A$1,$B46,BG$1,$B$1)</f>
        <v>0</v>
      </c>
      <c r="BH46" s="124" cm="1">
        <f t="array" ref="BH46">+_xll.EQNXTDZ($A$1,$B46,BH$1,$B$1)</f>
        <v>0</v>
      </c>
      <c r="BI46" s="124" cm="1">
        <f t="array" ref="BI46">+_xll.EQNXTDZ($A$1,$B46,BI$1,$B$1)</f>
        <v>0</v>
      </c>
      <c r="BJ46" s="124" cm="1">
        <f t="array" ref="BJ46">+_xll.EQNXTDZ($A$1,$B46,BJ$1,$B$1)</f>
        <v>0</v>
      </c>
      <c r="BK46" s="124" cm="1">
        <f t="array" ref="BK46">+_xll.EQNXTDZ($A$1,$B46,BK$1,$B$1)</f>
        <v>0</v>
      </c>
    </row>
    <row r="47" spans="1:63" x14ac:dyDescent="0.25">
      <c r="A47" t="s">
        <v>135</v>
      </c>
      <c r="B47" t="s">
        <v>315</v>
      </c>
      <c r="C47" s="124" cm="1">
        <f t="array" ref="C47">+_xll.EQNXTDZ($A$1,$B47,C$1,$B$1)</f>
        <v>0</v>
      </c>
      <c r="D47" s="124" cm="1">
        <f t="array" ref="D47">+_xll.EQNXTDZ($A$1,$B47,D$1,$B$1)</f>
        <v>0</v>
      </c>
      <c r="E47" s="124" cm="1">
        <f t="array" ref="E47">+_xll.EQNXTDZ($A$1,$B47,E$1,$B$1)</f>
        <v>0</v>
      </c>
      <c r="F47" s="124" cm="1">
        <f t="array" ref="F47">+_xll.EQNXTDZ($A$1,$B47,F$1,$B$1)</f>
        <v>0</v>
      </c>
      <c r="G47" s="124" cm="1">
        <f t="array" ref="G47">+_xll.EQNXTDZ($A$1,$B47,G$1,$B$1)</f>
        <v>0</v>
      </c>
      <c r="H47" s="124" cm="1">
        <f t="array" ref="H47">+_xll.EQNXTDZ($A$1,$B47,H$1,$B$1)</f>
        <v>0</v>
      </c>
      <c r="I47" s="124" cm="1">
        <f t="array" ref="I47">+_xll.EQNXTDZ($A$1,$B47,I$1,$B$1)</f>
        <v>0</v>
      </c>
      <c r="J47" s="124" cm="1">
        <f t="array" ref="J47">+_xll.EQNXTDZ($A$1,$B47,J$1,$B$1)</f>
        <v>0</v>
      </c>
      <c r="K47" s="124" cm="1">
        <f t="array" ref="K47">+_xll.EQNXTDZ($A$1,$B47,K$1,$B$1)</f>
        <v>0</v>
      </c>
      <c r="L47" s="124" cm="1">
        <f t="array" ref="L47">+_xll.EQNXTDZ($A$1,$B47,L$1,$B$1)</f>
        <v>0</v>
      </c>
      <c r="M47" s="124" cm="1">
        <f t="array" ref="M47">+_xll.EQNXTDZ($A$1,$B47,M$1,$B$1)</f>
        <v>0</v>
      </c>
      <c r="N47" s="124" cm="1">
        <f t="array" ref="N47">+_xll.EQNXTDZ($A$1,$B47,N$1,$B$1)</f>
        <v>0</v>
      </c>
      <c r="O47" s="124" cm="1">
        <f t="array" ref="O47">+_xll.EQNXTDZ($A$1,$B47,O$1,$B$1)</f>
        <v>0</v>
      </c>
      <c r="P47" s="124" cm="1">
        <f t="array" ref="P47">+_xll.EQNXTDZ($A$1,$B47,P$1,$B$1)</f>
        <v>0</v>
      </c>
      <c r="Q47" s="124" cm="1">
        <f t="array" ref="Q47">+_xll.EQNXTDZ($A$1,$B47,Q$1,$B$1)</f>
        <v>0</v>
      </c>
      <c r="R47" s="124" cm="1">
        <f t="array" ref="R47">+_xll.EQNXTDZ($A$1,$B47,R$1,$B$1)</f>
        <v>0</v>
      </c>
      <c r="S47" s="124" cm="1">
        <f t="array" ref="S47">+_xll.EQNXTDZ($A$1,$B47,S$1,$B$1)</f>
        <v>0</v>
      </c>
      <c r="T47" s="124" cm="1">
        <f t="array" ref="T47">+_xll.EQNXTDZ($A$1,$B47,T$1,$B$1)</f>
        <v>0</v>
      </c>
      <c r="U47" s="124" cm="1">
        <f t="array" ref="U47">+_xll.EQNXTDZ($A$1,$B47,U$1,$B$1)</f>
        <v>0</v>
      </c>
      <c r="V47" s="124" cm="1">
        <f t="array" ref="V47">+_xll.EQNXTDZ($A$1,$B47,V$1,$B$1)</f>
        <v>0</v>
      </c>
      <c r="W47" s="124" cm="1">
        <f t="array" ref="W47">+_xll.EQNXTDZ($A$1,$B47,W$1,$B$1)</f>
        <v>0</v>
      </c>
      <c r="X47" s="124" cm="1">
        <f t="array" ref="X47">+_xll.EQNXTDZ($A$1,$B47,X$1,$B$1)</f>
        <v>0</v>
      </c>
      <c r="Y47" s="124" cm="1">
        <f t="array" ref="Y47">+_xll.EQNXTDZ($A$1,$B47,Y$1,$B$1)</f>
        <v>0</v>
      </c>
      <c r="Z47" s="124" cm="1">
        <f t="array" ref="Z47">+_xll.EQNXTDZ($A$1,$B47,Z$1,$B$1)</f>
        <v>0</v>
      </c>
      <c r="AA47" s="124" cm="1">
        <f t="array" ref="AA47">+_xll.EQNXTDZ($A$1,$B47,AA$1,$B$1)</f>
        <v>0</v>
      </c>
      <c r="AB47" s="124" cm="1">
        <f t="array" ref="AB47">+_xll.EQNXTDZ($A$1,$B47,AB$1,$B$1)</f>
        <v>0</v>
      </c>
      <c r="AC47" s="124" cm="1">
        <f t="array" ref="AC47">+_xll.EQNXTDZ($A$1,$B47,AC$1,$B$1)</f>
        <v>0</v>
      </c>
      <c r="AD47" s="124" cm="1">
        <f t="array" ref="AD47">+_xll.EQNXTDZ($A$1,$B47,AD$1,$B$1)</f>
        <v>0</v>
      </c>
      <c r="AE47" s="124" cm="1">
        <f t="array" ref="AE47">+_xll.EQNXTDZ($A$1,$B47,AE$1,$B$1)</f>
        <v>0</v>
      </c>
      <c r="AF47" s="124" cm="1">
        <f t="array" ref="AF47">+_xll.EQNXTDZ($A$1,$B47,AF$1,$B$1)</f>
        <v>0</v>
      </c>
      <c r="AG47" s="124" cm="1">
        <f t="array" ref="AG47">+_xll.EQNXTDZ($A$1,$B47,AG$1,$B$1)</f>
        <v>0</v>
      </c>
      <c r="AH47" s="124" cm="1">
        <f t="array" ref="AH47">+_xll.EQNXTDZ($A$1,$B47,AH$1,$B$1)</f>
        <v>0</v>
      </c>
      <c r="AI47" s="124" cm="1">
        <f t="array" ref="AI47">+_xll.EQNXTDZ($A$1,$B47,AI$1,$B$1)</f>
        <v>0</v>
      </c>
      <c r="AJ47" s="124" cm="1">
        <f t="array" ref="AJ47">+_xll.EQNXTDZ($A$1,$B47,AJ$1,$B$1)</f>
        <v>0</v>
      </c>
      <c r="AK47" s="124" cm="1">
        <f t="array" ref="AK47">+_xll.EQNXTDZ($A$1,$B47,AK$1,$B$1)</f>
        <v>0</v>
      </c>
      <c r="AL47" s="124" cm="1">
        <f t="array" ref="AL47">+_xll.EQNXTDZ($A$1,$B47,AL$1,$B$1)</f>
        <v>0</v>
      </c>
      <c r="AM47" s="124" cm="1">
        <f t="array" ref="AM47">+_xll.EQNXTDZ($A$1,$B47,AM$1,$B$1)</f>
        <v>0</v>
      </c>
      <c r="AN47" s="124" cm="1">
        <f t="array" ref="AN47">+_xll.EQNXTDZ($A$1,$B47,AN$1,$B$1)</f>
        <v>0</v>
      </c>
      <c r="AO47" s="124" cm="1">
        <f t="array" ref="AO47">+_xll.EQNXTDZ($A$1,$B47,AO$1,$B$1)</f>
        <v>0</v>
      </c>
      <c r="AP47" s="124" cm="1">
        <f t="array" ref="AP47">+_xll.EQNXTDZ($A$1,$B47,AP$1,$B$1)</f>
        <v>0</v>
      </c>
      <c r="AQ47" s="124" cm="1">
        <f t="array" ref="AQ47">+_xll.EQNXTDZ($A$1,$B47,AQ$1,$B$1)</f>
        <v>0</v>
      </c>
      <c r="AR47" s="124" cm="1">
        <f t="array" ref="AR47">+_xll.EQNXTDZ($A$1,$B47,AR$1,$B$1)</f>
        <v>0</v>
      </c>
      <c r="AS47" s="124" cm="1">
        <f t="array" ref="AS47">+_xll.EQNXTDZ($A$1,$B47,AS$1,$B$1)</f>
        <v>0</v>
      </c>
      <c r="AT47" s="124" cm="1">
        <f t="array" ref="AT47">+_xll.EQNXTDZ($A$1,$B47,AT$1,$B$1)</f>
        <v>0</v>
      </c>
      <c r="AU47" s="124" cm="1">
        <f t="array" ref="AU47">+_xll.EQNXTDZ($A$1,$B47,AU$1,$B$1)</f>
        <v>0</v>
      </c>
      <c r="AV47" s="124" cm="1">
        <f t="array" ref="AV47">+_xll.EQNXTDZ($A$1,$B47,AV$1,$B$1)</f>
        <v>0</v>
      </c>
      <c r="AW47" s="124" cm="1">
        <f t="array" ref="AW47">+_xll.EQNXTDZ($A$1,$B47,AW$1,$B$1)</f>
        <v>0</v>
      </c>
      <c r="AX47" s="124" cm="1">
        <f t="array" ref="AX47">+_xll.EQNXTDZ($A$1,$B47,AX$1,$B$1)</f>
        <v>0</v>
      </c>
      <c r="AY47" s="124" cm="1">
        <f t="array" ref="AY47">+_xll.EQNXTDZ($A$1,$B47,AY$1,$B$1)</f>
        <v>0</v>
      </c>
      <c r="AZ47" s="124" cm="1">
        <f t="array" ref="AZ47">+_xll.EQNXTDZ($A$1,$B47,AZ$1,$B$1)</f>
        <v>0</v>
      </c>
      <c r="BA47" s="124" cm="1">
        <f t="array" ref="BA47">+_xll.EQNXTDZ($A$1,$B47,BA$1,$B$1)</f>
        <v>0</v>
      </c>
      <c r="BB47" s="124" cm="1">
        <f t="array" ref="BB47">+_xll.EQNXTDZ($A$1,$B47,BB$1,$B$1)</f>
        <v>0</v>
      </c>
      <c r="BC47" s="124" cm="1">
        <f t="array" ref="BC47">+_xll.EQNXTDZ($A$1,$B47,BC$1,$B$1)</f>
        <v>0</v>
      </c>
      <c r="BD47" s="124" cm="1">
        <f t="array" ref="BD47">+_xll.EQNXTDZ($A$1,$B47,BD$1,$B$1)</f>
        <v>0</v>
      </c>
      <c r="BE47" s="124" cm="1">
        <f t="array" ref="BE47">+_xll.EQNXTDZ($A$1,$B47,BE$1,$B$1)</f>
        <v>0</v>
      </c>
      <c r="BF47" s="124" cm="1">
        <f t="array" ref="BF47">+_xll.EQNXTDZ($A$1,$B47,BF$1,$B$1)</f>
        <v>0</v>
      </c>
      <c r="BG47" s="124" cm="1">
        <f t="array" ref="BG47">+_xll.EQNXTDZ($A$1,$B47,BG$1,$B$1)</f>
        <v>0</v>
      </c>
      <c r="BH47" s="124" cm="1">
        <f t="array" ref="BH47">+_xll.EQNXTDZ($A$1,$B47,BH$1,$B$1)</f>
        <v>0</v>
      </c>
      <c r="BI47" s="124" cm="1">
        <f t="array" ref="BI47">+_xll.EQNXTDZ($A$1,$B47,BI$1,$B$1)</f>
        <v>0</v>
      </c>
      <c r="BJ47" s="124" cm="1">
        <f t="array" ref="BJ47">+_xll.EQNXTDZ($A$1,$B47,BJ$1,$B$1)</f>
        <v>0</v>
      </c>
      <c r="BK47" s="124" cm="1">
        <f t="array" ref="BK47">+_xll.EQNXTDZ($A$1,$B47,BK$1,$B$1)</f>
        <v>0</v>
      </c>
    </row>
    <row r="50" spans="1:63" x14ac:dyDescent="0.25">
      <c r="A50" t="s">
        <v>53</v>
      </c>
      <c r="B50" t="s">
        <v>54</v>
      </c>
    </row>
    <row r="51" spans="1:63" s="123" customFormat="1" x14ac:dyDescent="0.25">
      <c r="A51" s="123" t="s">
        <v>110</v>
      </c>
      <c r="B51" s="123" t="s">
        <v>314</v>
      </c>
      <c r="C51" s="124" cm="1">
        <f t="array" ref="C51">+_xll.EQNXTDZ($A$1,$B51,C$1,$B$1)</f>
        <v>0</v>
      </c>
      <c r="D51" s="124" cm="1">
        <f t="array" ref="D51">+_xll.EQNXTDZ($A$1,$B51,D$1,$B$1)</f>
        <v>0</v>
      </c>
      <c r="E51" s="124" cm="1">
        <f t="array" ref="E51">+_xll.EQNXTDZ($A$1,$B51,E$1,$B$1)</f>
        <v>0</v>
      </c>
      <c r="F51" s="124" cm="1">
        <f t="array" ref="F51">+_xll.EQNXTDZ($A$1,$B51,F$1,$B$1)</f>
        <v>0</v>
      </c>
      <c r="G51" s="124" cm="1">
        <f t="array" ref="G51">+_xll.EQNXTDZ($A$1,$B51,G$1,$B$1)</f>
        <v>0</v>
      </c>
      <c r="H51" s="124" cm="1">
        <f t="array" ref="H51">+_xll.EQNXTDZ($A$1,$B51,H$1,$B$1)</f>
        <v>0</v>
      </c>
      <c r="I51" s="124" cm="1">
        <f t="array" ref="I51">+_xll.EQNXTDZ($A$1,$B51,I$1,$B$1)</f>
        <v>0</v>
      </c>
      <c r="J51" s="124" cm="1">
        <f t="array" ref="J51">+_xll.EQNXTDZ($A$1,$B51,J$1,$B$1)</f>
        <v>0</v>
      </c>
      <c r="K51" s="124" cm="1">
        <f t="array" ref="K51">+_xll.EQNXTDZ($A$1,$B51,K$1,$B$1)</f>
        <v>0</v>
      </c>
      <c r="L51" s="124" cm="1">
        <f t="array" ref="L51">+_xll.EQNXTDZ($A$1,$B51,L$1,$B$1)</f>
        <v>0</v>
      </c>
      <c r="M51" s="124" cm="1">
        <f t="array" ref="M51">+_xll.EQNXTDZ($A$1,$B51,M$1,$B$1)</f>
        <v>0</v>
      </c>
      <c r="N51" s="124" cm="1">
        <f t="array" ref="N51">+_xll.EQNXTDZ($A$1,$B51,N$1,$B$1)</f>
        <v>0</v>
      </c>
      <c r="O51" s="124" cm="1">
        <f t="array" ref="O51">+_xll.EQNXTDZ($A$1,$B51,O$1,$B$1)</f>
        <v>0</v>
      </c>
      <c r="P51" s="124" cm="1">
        <f t="array" ref="P51">+_xll.EQNXTDZ($A$1,$B51,P$1,$B$1)</f>
        <v>0</v>
      </c>
      <c r="Q51" s="124" cm="1">
        <f t="array" ref="Q51">+_xll.EQNXTDZ($A$1,$B51,Q$1,$B$1)</f>
        <v>0</v>
      </c>
      <c r="R51" s="124" cm="1">
        <f t="array" ref="R51">+_xll.EQNXTDZ($A$1,$B51,R$1,$B$1)</f>
        <v>0</v>
      </c>
      <c r="S51" s="124" cm="1">
        <f t="array" ref="S51">+_xll.EQNXTDZ($A$1,$B51,S$1,$B$1)</f>
        <v>0</v>
      </c>
      <c r="T51" s="124" cm="1">
        <f t="array" ref="T51">+_xll.EQNXTDZ($A$1,$B51,T$1,$B$1)</f>
        <v>0</v>
      </c>
      <c r="U51" s="124" cm="1">
        <f t="array" ref="U51">+_xll.EQNXTDZ($A$1,$B51,U$1,$B$1)</f>
        <v>0</v>
      </c>
      <c r="V51" s="124" cm="1">
        <f t="array" ref="V51">+_xll.EQNXTDZ($A$1,$B51,V$1,$B$1)</f>
        <v>0</v>
      </c>
      <c r="W51" s="124" cm="1">
        <f t="array" ref="W51">+_xll.EQNXTDZ($A$1,$B51,W$1,$B$1)</f>
        <v>0</v>
      </c>
      <c r="X51" s="124" cm="1">
        <f t="array" ref="X51">+_xll.EQNXTDZ($A$1,$B51,X$1,$B$1)</f>
        <v>0</v>
      </c>
      <c r="Y51" s="124" cm="1">
        <f t="array" ref="Y51">+_xll.EQNXTDZ($A$1,$B51,Y$1,$B$1)</f>
        <v>0</v>
      </c>
      <c r="Z51" s="124" cm="1">
        <f t="array" ref="Z51">+_xll.EQNXTDZ($A$1,$B51,Z$1,$B$1)</f>
        <v>0</v>
      </c>
      <c r="AA51" s="124" cm="1">
        <f t="array" ref="AA51">+_xll.EQNXTDZ($A$1,$B51,AA$1,$B$1)</f>
        <v>0</v>
      </c>
      <c r="AB51" s="124" cm="1">
        <f t="array" ref="AB51">+_xll.EQNXTDZ($A$1,$B51,AB$1,$B$1)</f>
        <v>0</v>
      </c>
      <c r="AC51" s="124" cm="1">
        <f t="array" ref="AC51">+_xll.EQNXTDZ($A$1,$B51,AC$1,$B$1)</f>
        <v>0</v>
      </c>
      <c r="AD51" s="124" cm="1">
        <f t="array" ref="AD51">+_xll.EQNXTDZ($A$1,$B51,AD$1,$B$1)</f>
        <v>0</v>
      </c>
      <c r="AE51" s="124" cm="1">
        <f t="array" ref="AE51">+_xll.EQNXTDZ($A$1,$B51,AE$1,$B$1)</f>
        <v>0</v>
      </c>
      <c r="AF51" s="124" cm="1">
        <f t="array" ref="AF51">+_xll.EQNXTDZ($A$1,$B51,AF$1,$B$1)</f>
        <v>0</v>
      </c>
      <c r="AG51" s="124" cm="1">
        <f t="array" ref="AG51">+_xll.EQNXTDZ($A$1,$B51,AG$1,$B$1)</f>
        <v>0</v>
      </c>
      <c r="AH51" s="124" cm="1">
        <f t="array" ref="AH51">+_xll.EQNXTDZ($A$1,$B51,AH$1,$B$1)</f>
        <v>0</v>
      </c>
      <c r="AI51" s="124" cm="1">
        <f t="array" ref="AI51">+_xll.EQNXTDZ($A$1,$B51,AI$1,$B$1)</f>
        <v>0</v>
      </c>
      <c r="AJ51" s="124" cm="1">
        <f t="array" ref="AJ51">+_xll.EQNXTDZ($A$1,$B51,AJ$1,$B$1)</f>
        <v>0</v>
      </c>
      <c r="AK51" s="124" cm="1">
        <f t="array" ref="AK51">+_xll.EQNXTDZ($A$1,$B51,AK$1,$B$1)</f>
        <v>0</v>
      </c>
      <c r="AL51" s="124" cm="1">
        <f t="array" ref="AL51">+_xll.EQNXTDZ($A$1,$B51,AL$1,$B$1)</f>
        <v>0</v>
      </c>
      <c r="AM51" s="124" cm="1">
        <f t="array" ref="AM51">+_xll.EQNXTDZ($A$1,$B51,AM$1,$B$1)</f>
        <v>0</v>
      </c>
      <c r="AN51" s="124" cm="1">
        <f t="array" ref="AN51">+_xll.EQNXTDZ($A$1,$B51,AN$1,$B$1)</f>
        <v>0</v>
      </c>
      <c r="AO51" s="124" cm="1">
        <f t="array" ref="AO51">+_xll.EQNXTDZ($A$1,$B51,AO$1,$B$1)</f>
        <v>0</v>
      </c>
      <c r="AP51" s="124" cm="1">
        <f t="array" ref="AP51">+_xll.EQNXTDZ($A$1,$B51,AP$1,$B$1)</f>
        <v>0</v>
      </c>
      <c r="AQ51" s="124" cm="1">
        <f t="array" ref="AQ51">+_xll.EQNXTDZ($A$1,$B51,AQ$1,$B$1)</f>
        <v>0</v>
      </c>
      <c r="AR51" s="124" cm="1">
        <f t="array" ref="AR51">+_xll.EQNXTDZ($A$1,$B51,AR$1,$B$1)</f>
        <v>0</v>
      </c>
      <c r="AS51" s="124" cm="1">
        <f t="array" ref="AS51">+_xll.EQNXTDZ($A$1,$B51,AS$1,$B$1)</f>
        <v>0</v>
      </c>
      <c r="AT51" s="124" cm="1">
        <f t="array" ref="AT51">+_xll.EQNXTDZ($A$1,$B51,AT$1,$B$1)</f>
        <v>0</v>
      </c>
      <c r="AU51" s="124" cm="1">
        <f t="array" ref="AU51">+_xll.EQNXTDZ($A$1,$B51,AU$1,$B$1)</f>
        <v>0</v>
      </c>
      <c r="AV51" s="124" cm="1">
        <f t="array" ref="AV51">+_xll.EQNXTDZ($A$1,$B51,AV$1,$B$1)</f>
        <v>0</v>
      </c>
      <c r="AW51" s="124" cm="1">
        <f t="array" ref="AW51">+_xll.EQNXTDZ($A$1,$B51,AW$1,$B$1)</f>
        <v>0</v>
      </c>
      <c r="AX51" s="124" cm="1">
        <f t="array" ref="AX51">+_xll.EQNXTDZ($A$1,$B51,AX$1,$B$1)</f>
        <v>0</v>
      </c>
      <c r="AY51" s="124" cm="1">
        <f t="array" ref="AY51">+_xll.EQNXTDZ($A$1,$B51,AY$1,$B$1)</f>
        <v>0</v>
      </c>
      <c r="AZ51" s="124" cm="1">
        <f t="array" ref="AZ51">+_xll.EQNXTDZ($A$1,$B51,AZ$1,$B$1)</f>
        <v>0</v>
      </c>
      <c r="BA51" s="124" cm="1">
        <f t="array" ref="BA51">+_xll.EQNXTDZ($A$1,$B51,BA$1,$B$1)</f>
        <v>0</v>
      </c>
      <c r="BB51" s="124" cm="1">
        <f t="array" ref="BB51">+_xll.EQNXTDZ($A$1,$B51,BB$1,$B$1)</f>
        <v>0</v>
      </c>
      <c r="BC51" s="124" cm="1">
        <f t="array" ref="BC51">+_xll.EQNXTDZ($A$1,$B51,BC$1,$B$1)</f>
        <v>0</v>
      </c>
      <c r="BD51" s="124" cm="1">
        <f t="array" ref="BD51">+_xll.EQNXTDZ($A$1,$B51,BD$1,$B$1)</f>
        <v>0</v>
      </c>
      <c r="BE51" s="124" cm="1">
        <f t="array" ref="BE51">+_xll.EQNXTDZ($A$1,$B51,BE$1,$B$1)</f>
        <v>0</v>
      </c>
      <c r="BF51" s="124" cm="1">
        <f t="array" ref="BF51">+_xll.EQNXTDZ($A$1,$B51,BF$1,$B$1)</f>
        <v>0</v>
      </c>
      <c r="BG51" s="124" cm="1">
        <f t="array" ref="BG51">+_xll.EQNXTDZ($A$1,$B51,BG$1,$B$1)</f>
        <v>0</v>
      </c>
      <c r="BH51" s="124" cm="1">
        <f t="array" ref="BH51">+_xll.EQNXTDZ($A$1,$B51,BH$1,$B$1)</f>
        <v>0</v>
      </c>
      <c r="BI51" s="124" cm="1">
        <f t="array" ref="BI51">+_xll.EQNXTDZ($A$1,$B51,BI$1,$B$1)</f>
        <v>0</v>
      </c>
      <c r="BJ51" s="124" cm="1">
        <f t="array" ref="BJ51">+_xll.EQNXTDZ($A$1,$B51,BJ$1,$B$1)</f>
        <v>0</v>
      </c>
      <c r="BK51" s="124" cm="1">
        <f t="array" ref="BK51">+_xll.EQNXTDZ($A$1,$B51,BK$1,$B$1)</f>
        <v>0</v>
      </c>
    </row>
    <row r="52" spans="1:63" x14ac:dyDescent="0.25">
      <c r="A52" t="s">
        <v>274</v>
      </c>
      <c r="B52" t="s">
        <v>315</v>
      </c>
      <c r="C52" s="124" cm="1">
        <f t="array" ref="C52">+_xll.EQNXTDZ($A$1,$B52,C$1,$B$1)</f>
        <v>0</v>
      </c>
      <c r="D52" s="124" cm="1">
        <f t="array" ref="D52">+_xll.EQNXTDZ($A$1,$B52,D$1,$B$1)</f>
        <v>0</v>
      </c>
      <c r="E52" s="124" cm="1">
        <f t="array" ref="E52">+_xll.EQNXTDZ($A$1,$B52,E$1,$B$1)</f>
        <v>0</v>
      </c>
      <c r="F52" s="124" cm="1">
        <f t="array" ref="F52">+_xll.EQNXTDZ($A$1,$B52,F$1,$B$1)</f>
        <v>0</v>
      </c>
      <c r="G52" s="124" cm="1">
        <f t="array" ref="G52">+_xll.EQNXTDZ($A$1,$B52,G$1,$B$1)</f>
        <v>0</v>
      </c>
      <c r="H52" s="124" cm="1">
        <f t="array" ref="H52">+_xll.EQNXTDZ($A$1,$B52,H$1,$B$1)</f>
        <v>0</v>
      </c>
      <c r="I52" s="124" cm="1">
        <f t="array" ref="I52">+_xll.EQNXTDZ($A$1,$B52,I$1,$B$1)</f>
        <v>0</v>
      </c>
      <c r="J52" s="124" cm="1">
        <f t="array" ref="J52">+_xll.EQNXTDZ($A$1,$B52,J$1,$B$1)</f>
        <v>0</v>
      </c>
      <c r="K52" s="124" cm="1">
        <f t="array" ref="K52">+_xll.EQNXTDZ($A$1,$B52,K$1,$B$1)</f>
        <v>0</v>
      </c>
      <c r="L52" s="124" cm="1">
        <f t="array" ref="L52">+_xll.EQNXTDZ($A$1,$B52,L$1,$B$1)</f>
        <v>0</v>
      </c>
      <c r="M52" s="124" cm="1">
        <f t="array" ref="M52">+_xll.EQNXTDZ($A$1,$B52,M$1,$B$1)</f>
        <v>0</v>
      </c>
      <c r="N52" s="124" cm="1">
        <f t="array" ref="N52">+_xll.EQNXTDZ($A$1,$B52,N$1,$B$1)</f>
        <v>0</v>
      </c>
      <c r="O52" s="124" cm="1">
        <f t="array" ref="O52">+_xll.EQNXTDZ($A$1,$B52,O$1,$B$1)</f>
        <v>0</v>
      </c>
      <c r="P52" s="124" cm="1">
        <f t="array" ref="P52">+_xll.EQNXTDZ($A$1,$B52,P$1,$B$1)</f>
        <v>0</v>
      </c>
      <c r="Q52" s="124" cm="1">
        <f t="array" ref="Q52">+_xll.EQNXTDZ($A$1,$B52,Q$1,$B$1)</f>
        <v>0</v>
      </c>
      <c r="R52" s="124" cm="1">
        <f t="array" ref="R52">+_xll.EQNXTDZ($A$1,$B52,R$1,$B$1)</f>
        <v>0</v>
      </c>
      <c r="S52" s="124" cm="1">
        <f t="array" ref="S52">+_xll.EQNXTDZ($A$1,$B52,S$1,$B$1)</f>
        <v>0</v>
      </c>
      <c r="T52" s="124" cm="1">
        <f t="array" ref="T52">+_xll.EQNXTDZ($A$1,$B52,T$1,$B$1)</f>
        <v>0</v>
      </c>
      <c r="U52" s="124" cm="1">
        <f t="array" ref="U52">+_xll.EQNXTDZ($A$1,$B52,U$1,$B$1)</f>
        <v>0</v>
      </c>
      <c r="V52" s="124" cm="1">
        <f t="array" ref="V52">+_xll.EQNXTDZ($A$1,$B52,V$1,$B$1)</f>
        <v>0</v>
      </c>
      <c r="W52" s="124" cm="1">
        <f t="array" ref="W52">+_xll.EQNXTDZ($A$1,$B52,W$1,$B$1)</f>
        <v>0</v>
      </c>
      <c r="X52" s="124" cm="1">
        <f t="array" ref="X52">+_xll.EQNXTDZ($A$1,$B52,X$1,$B$1)</f>
        <v>0</v>
      </c>
      <c r="Y52" s="124" cm="1">
        <f t="array" ref="Y52">+_xll.EQNXTDZ($A$1,$B52,Y$1,$B$1)</f>
        <v>0</v>
      </c>
      <c r="Z52" s="124" cm="1">
        <f t="array" ref="Z52">+_xll.EQNXTDZ($A$1,$B52,Z$1,$B$1)</f>
        <v>0</v>
      </c>
      <c r="AA52" s="124" cm="1">
        <f t="array" ref="AA52">+_xll.EQNXTDZ($A$1,$B52,AA$1,$B$1)</f>
        <v>0</v>
      </c>
      <c r="AB52" s="124" cm="1">
        <f t="array" ref="AB52">+_xll.EQNXTDZ($A$1,$B52,AB$1,$B$1)</f>
        <v>0</v>
      </c>
      <c r="AC52" s="124" cm="1">
        <f t="array" ref="AC52">+_xll.EQNXTDZ($A$1,$B52,AC$1,$B$1)</f>
        <v>0</v>
      </c>
      <c r="AD52" s="124" cm="1">
        <f t="array" ref="AD52">+_xll.EQNXTDZ($A$1,$B52,AD$1,$B$1)</f>
        <v>0</v>
      </c>
      <c r="AE52" s="124" cm="1">
        <f t="array" ref="AE52">+_xll.EQNXTDZ($A$1,$B52,AE$1,$B$1)</f>
        <v>0</v>
      </c>
      <c r="AF52" s="124" cm="1">
        <f t="array" ref="AF52">+_xll.EQNXTDZ($A$1,$B52,AF$1,$B$1)</f>
        <v>0</v>
      </c>
      <c r="AG52" s="124" cm="1">
        <f t="array" ref="AG52">+_xll.EQNXTDZ($A$1,$B52,AG$1,$B$1)</f>
        <v>0</v>
      </c>
      <c r="AH52" s="124" cm="1">
        <f t="array" ref="AH52">+_xll.EQNXTDZ($A$1,$B52,AH$1,$B$1)</f>
        <v>0</v>
      </c>
      <c r="AI52" s="124" cm="1">
        <f t="array" ref="AI52">+_xll.EQNXTDZ($A$1,$B52,AI$1,$B$1)</f>
        <v>0</v>
      </c>
      <c r="AJ52" s="124" cm="1">
        <f t="array" ref="AJ52">+_xll.EQNXTDZ($A$1,$B52,AJ$1,$B$1)</f>
        <v>0</v>
      </c>
      <c r="AK52" s="124" cm="1">
        <f t="array" ref="AK52">+_xll.EQNXTDZ($A$1,$B52,AK$1,$B$1)</f>
        <v>0</v>
      </c>
      <c r="AL52" s="124" cm="1">
        <f t="array" ref="AL52">+_xll.EQNXTDZ($A$1,$B52,AL$1,$B$1)</f>
        <v>0</v>
      </c>
      <c r="AM52" s="124" cm="1">
        <f t="array" ref="AM52">+_xll.EQNXTDZ($A$1,$B52,AM$1,$B$1)</f>
        <v>0</v>
      </c>
      <c r="AN52" s="124" cm="1">
        <f t="array" ref="AN52">+_xll.EQNXTDZ($A$1,$B52,AN$1,$B$1)</f>
        <v>0</v>
      </c>
      <c r="AO52" s="124" cm="1">
        <f t="array" ref="AO52">+_xll.EQNXTDZ($A$1,$B52,AO$1,$B$1)</f>
        <v>0</v>
      </c>
      <c r="AP52" s="124" cm="1">
        <f t="array" ref="AP52">+_xll.EQNXTDZ($A$1,$B52,AP$1,$B$1)</f>
        <v>0</v>
      </c>
      <c r="AQ52" s="124" cm="1">
        <f t="array" ref="AQ52">+_xll.EQNXTDZ($A$1,$B52,AQ$1,$B$1)</f>
        <v>0</v>
      </c>
      <c r="AR52" s="124" cm="1">
        <f t="array" ref="AR52">+_xll.EQNXTDZ($A$1,$B52,AR$1,$B$1)</f>
        <v>0</v>
      </c>
      <c r="AS52" s="124" cm="1">
        <f t="array" ref="AS52">+_xll.EQNXTDZ($A$1,$B52,AS$1,$B$1)</f>
        <v>0</v>
      </c>
      <c r="AT52" s="124" cm="1">
        <f t="array" ref="AT52">+_xll.EQNXTDZ($A$1,$B52,AT$1,$B$1)</f>
        <v>0</v>
      </c>
      <c r="AU52" s="124" cm="1">
        <f t="array" ref="AU52">+_xll.EQNXTDZ($A$1,$B52,AU$1,$B$1)</f>
        <v>0</v>
      </c>
      <c r="AV52" s="124" cm="1">
        <f t="array" ref="AV52">+_xll.EQNXTDZ($A$1,$B52,AV$1,$B$1)</f>
        <v>0</v>
      </c>
      <c r="AW52" s="124" cm="1">
        <f t="array" ref="AW52">+_xll.EQNXTDZ($A$1,$B52,AW$1,$B$1)</f>
        <v>0</v>
      </c>
      <c r="AX52" s="124" cm="1">
        <f t="array" ref="AX52">+_xll.EQNXTDZ($A$1,$B52,AX$1,$B$1)</f>
        <v>0</v>
      </c>
      <c r="AY52" s="124" cm="1">
        <f t="array" ref="AY52">+_xll.EQNXTDZ($A$1,$B52,AY$1,$B$1)</f>
        <v>0</v>
      </c>
      <c r="AZ52" s="124" cm="1">
        <f t="array" ref="AZ52">+_xll.EQNXTDZ($A$1,$B52,AZ$1,$B$1)</f>
        <v>0</v>
      </c>
      <c r="BA52" s="124" cm="1">
        <f t="array" ref="BA52">+_xll.EQNXTDZ($A$1,$B52,BA$1,$B$1)</f>
        <v>0</v>
      </c>
      <c r="BB52" s="124" cm="1">
        <f t="array" ref="BB52">+_xll.EQNXTDZ($A$1,$B52,BB$1,$B$1)</f>
        <v>0</v>
      </c>
      <c r="BC52" s="124" cm="1">
        <f t="array" ref="BC52">+_xll.EQNXTDZ($A$1,$B52,BC$1,$B$1)</f>
        <v>0</v>
      </c>
      <c r="BD52" s="124" cm="1">
        <f t="array" ref="BD52">+_xll.EQNXTDZ($A$1,$B52,BD$1,$B$1)</f>
        <v>0</v>
      </c>
      <c r="BE52" s="124" cm="1">
        <f t="array" ref="BE52">+_xll.EQNXTDZ($A$1,$B52,BE$1,$B$1)</f>
        <v>0</v>
      </c>
      <c r="BF52" s="124" cm="1">
        <f t="array" ref="BF52">+_xll.EQNXTDZ($A$1,$B52,BF$1,$B$1)</f>
        <v>0</v>
      </c>
      <c r="BG52" s="124" cm="1">
        <f t="array" ref="BG52">+_xll.EQNXTDZ($A$1,$B52,BG$1,$B$1)</f>
        <v>0</v>
      </c>
      <c r="BH52" s="124" cm="1">
        <f t="array" ref="BH52">+_xll.EQNXTDZ($A$1,$B52,BH$1,$B$1)</f>
        <v>0</v>
      </c>
      <c r="BI52" s="124" cm="1">
        <f t="array" ref="BI52">+_xll.EQNXTDZ($A$1,$B52,BI$1,$B$1)</f>
        <v>0</v>
      </c>
      <c r="BJ52" s="124" cm="1">
        <f t="array" ref="BJ52">+_xll.EQNXTDZ($A$1,$B52,BJ$1,$B$1)</f>
        <v>0</v>
      </c>
      <c r="BK52" s="124" cm="1">
        <f t="array" ref="BK52">+_xll.EQNXTDZ($A$1,$B52,BK$1,$B$1)</f>
        <v>0</v>
      </c>
    </row>
    <row r="54" spans="1:63" x14ac:dyDescent="0.25"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</row>
    <row r="55" spans="1:63" x14ac:dyDescent="0.25">
      <c r="A55" t="s">
        <v>16</v>
      </c>
      <c r="B55" t="s">
        <v>316</v>
      </c>
      <c r="C55" s="124" cm="1">
        <f t="array" ref="C55">+_xll.EQNXTDZ($A$1,$B55,C$1,$B$1)</f>
        <v>0</v>
      </c>
      <c r="D55" s="124" cm="1">
        <f t="array" ref="D55">+_xll.EQNXTDZ($A$1,$B55,D$1,$B$1)</f>
        <v>0</v>
      </c>
      <c r="E55" s="124" cm="1">
        <f t="array" ref="E55">+_xll.EQNXTDZ($A$1,$B55,E$1,$B$1)</f>
        <v>0</v>
      </c>
      <c r="F55" s="124" cm="1">
        <f t="array" ref="F55">+_xll.EQNXTDZ($A$1,$B55,F$1,$B$1)</f>
        <v>0</v>
      </c>
      <c r="G55" s="124" cm="1">
        <f t="array" ref="G55">+_xll.EQNXTDZ($A$1,$B55,G$1,$B$1)</f>
        <v>0</v>
      </c>
      <c r="H55" s="124" cm="1">
        <f t="array" ref="H55">+_xll.EQNXTDZ($A$1,$B55,H$1,$B$1)</f>
        <v>0</v>
      </c>
      <c r="I55" s="124" cm="1">
        <f t="array" ref="I55">+_xll.EQNXTDZ($A$1,$B55,I$1,$B$1)</f>
        <v>0</v>
      </c>
      <c r="J55" s="124" cm="1">
        <f t="array" ref="J55">+_xll.EQNXTDZ($A$1,$B55,J$1,$B$1)</f>
        <v>0</v>
      </c>
      <c r="K55" s="124" cm="1">
        <f t="array" ref="K55">+_xll.EQNXTDZ($A$1,$B55,K$1,$B$1)</f>
        <v>0</v>
      </c>
      <c r="L55" s="124" cm="1">
        <f t="array" ref="L55">+_xll.EQNXTDZ($A$1,$B55,L$1,$B$1)</f>
        <v>0</v>
      </c>
      <c r="M55" s="124" cm="1">
        <f t="array" ref="M55">+_xll.EQNXTDZ($A$1,$B55,M$1,$B$1)</f>
        <v>0</v>
      </c>
      <c r="N55" s="124" cm="1">
        <f t="array" ref="N55">+_xll.EQNXTDZ($A$1,$B55,N$1,$B$1)</f>
        <v>0</v>
      </c>
      <c r="O55" s="124" cm="1">
        <f t="array" ref="O55">+_xll.EQNXTDZ($A$1,$B55,O$1,$B$1)</f>
        <v>0</v>
      </c>
      <c r="P55" s="124" cm="1">
        <f t="array" ref="P55">+_xll.EQNXTDZ($A$1,$B55,P$1,$B$1)</f>
        <v>0</v>
      </c>
      <c r="Q55" s="124" cm="1">
        <f t="array" ref="Q55">+_xll.EQNXTDZ($A$1,$B55,Q$1,$B$1)</f>
        <v>0</v>
      </c>
      <c r="R55" s="124" cm="1">
        <f t="array" ref="R55">+_xll.EQNXTDZ($A$1,$B55,R$1,$B$1)</f>
        <v>0</v>
      </c>
      <c r="S55" s="124" cm="1">
        <f t="array" ref="S55">+_xll.EQNXTDZ($A$1,$B55,S$1,$B$1)</f>
        <v>0</v>
      </c>
      <c r="T55" s="124" cm="1">
        <f t="array" ref="T55">+_xll.EQNXTDZ($A$1,$B55,T$1,$B$1)</f>
        <v>0</v>
      </c>
      <c r="U55" s="124" cm="1">
        <f t="array" ref="U55">+_xll.EQNXTDZ($A$1,$B55,U$1,$B$1)</f>
        <v>0</v>
      </c>
      <c r="V55" s="124" cm="1">
        <f t="array" ref="V55">+_xll.EQNXTDZ($A$1,$B55,V$1,$B$1)</f>
        <v>0</v>
      </c>
      <c r="W55" s="124" cm="1">
        <f t="array" ref="W55">+_xll.EQNXTDZ($A$1,$B55,W$1,$B$1)</f>
        <v>0</v>
      </c>
      <c r="X55" s="124" cm="1">
        <f t="array" ref="X55">+_xll.EQNXTDZ($A$1,$B55,X$1,$B$1)</f>
        <v>0</v>
      </c>
      <c r="Y55" s="124" cm="1">
        <f t="array" ref="Y55">+_xll.EQNXTDZ($A$1,$B55,Y$1,$B$1)</f>
        <v>0</v>
      </c>
      <c r="Z55" s="124" cm="1">
        <f t="array" ref="Z55">+_xll.EQNXTDZ($A$1,$B55,Z$1,$B$1)</f>
        <v>0</v>
      </c>
      <c r="AA55" s="124" cm="1">
        <f t="array" ref="AA55">+_xll.EQNXTDZ($A$1,$B55,AA$1,$B$1)</f>
        <v>0</v>
      </c>
      <c r="AB55" s="124" cm="1">
        <f t="array" ref="AB55">+_xll.EQNXTDZ($A$1,$B55,AB$1,$B$1)</f>
        <v>0</v>
      </c>
      <c r="AC55" s="124" cm="1">
        <f t="array" ref="AC55">+_xll.EQNXTDZ($A$1,$B55,AC$1,$B$1)</f>
        <v>0</v>
      </c>
      <c r="AD55" s="124" cm="1">
        <f t="array" ref="AD55">+_xll.EQNXTDZ($A$1,$B55,AD$1,$B$1)</f>
        <v>0</v>
      </c>
      <c r="AE55" s="124" cm="1">
        <f t="array" ref="AE55">+_xll.EQNXTDZ($A$1,$B55,AE$1,$B$1)</f>
        <v>0</v>
      </c>
      <c r="AF55" s="124" cm="1">
        <f t="array" ref="AF55">+_xll.EQNXTDZ($A$1,$B55,AF$1,$B$1)</f>
        <v>0</v>
      </c>
      <c r="AG55" s="124" cm="1">
        <f t="array" ref="AG55">+_xll.EQNXTDZ($A$1,$B55,AG$1,$B$1)</f>
        <v>0</v>
      </c>
      <c r="AH55" s="124" cm="1">
        <f t="array" ref="AH55">+_xll.EQNXTDZ($A$1,$B55,AH$1,$B$1)</f>
        <v>0</v>
      </c>
      <c r="AI55" s="124" cm="1">
        <f t="array" ref="AI55">+_xll.EQNXTDZ($A$1,$B55,AI$1,$B$1)</f>
        <v>0</v>
      </c>
      <c r="AJ55" s="124" cm="1">
        <f t="array" ref="AJ55">+_xll.EQNXTDZ($A$1,$B55,AJ$1,$B$1)</f>
        <v>0</v>
      </c>
      <c r="AK55" s="124" cm="1">
        <f t="array" ref="AK55">+_xll.EQNXTDZ($A$1,$B55,AK$1,$B$1)</f>
        <v>0</v>
      </c>
      <c r="AL55" s="124" cm="1">
        <f t="array" ref="AL55">+_xll.EQNXTDZ($A$1,$B55,AL$1,$B$1)</f>
        <v>0</v>
      </c>
      <c r="AM55" s="124" cm="1">
        <f t="array" ref="AM55">+_xll.EQNXTDZ($A$1,$B55,AM$1,$B$1)</f>
        <v>0</v>
      </c>
      <c r="AN55" s="124" cm="1">
        <f t="array" ref="AN55">+_xll.EQNXTDZ($A$1,$B55,AN$1,$B$1)</f>
        <v>0</v>
      </c>
      <c r="AO55" s="124" cm="1">
        <f t="array" ref="AO55">+_xll.EQNXTDZ($A$1,$B55,AO$1,$B$1)</f>
        <v>0</v>
      </c>
      <c r="AP55" s="124" cm="1">
        <f t="array" ref="AP55">+_xll.EQNXTDZ($A$1,$B55,AP$1,$B$1)</f>
        <v>0</v>
      </c>
      <c r="AQ55" s="124" cm="1">
        <f t="array" ref="AQ55">+_xll.EQNXTDZ($A$1,$B55,AQ$1,$B$1)</f>
        <v>0</v>
      </c>
      <c r="AR55" s="124" cm="1">
        <f t="array" ref="AR55">+_xll.EQNXTDZ($A$1,$B55,AR$1,$B$1)</f>
        <v>0</v>
      </c>
      <c r="AS55" s="124" cm="1">
        <f t="array" ref="AS55">+_xll.EQNXTDZ($A$1,$B55,AS$1,$B$1)</f>
        <v>0</v>
      </c>
      <c r="AT55" s="124" cm="1">
        <f t="array" ref="AT55">+_xll.EQNXTDZ($A$1,$B55,AT$1,$B$1)</f>
        <v>0</v>
      </c>
      <c r="AU55" s="124" cm="1">
        <f t="array" ref="AU55">+_xll.EQNXTDZ($A$1,$B55,AU$1,$B$1)</f>
        <v>0</v>
      </c>
      <c r="AV55" s="124" cm="1">
        <f t="array" ref="AV55">+_xll.EQNXTDZ($A$1,$B55,AV$1,$B$1)</f>
        <v>0</v>
      </c>
      <c r="AW55" s="124" cm="1">
        <f t="array" ref="AW55">+_xll.EQNXTDZ($A$1,$B55,AW$1,$B$1)</f>
        <v>0</v>
      </c>
      <c r="AX55" s="124" cm="1">
        <f t="array" ref="AX55">+_xll.EQNXTDZ($A$1,$B55,AX$1,$B$1)</f>
        <v>0</v>
      </c>
      <c r="AY55" s="124" cm="1">
        <f t="array" ref="AY55">+_xll.EQNXTDZ($A$1,$B55,AY$1,$B$1)</f>
        <v>0</v>
      </c>
      <c r="AZ55" s="124" cm="1">
        <f t="array" ref="AZ55">+_xll.EQNXTDZ($A$1,$B55,AZ$1,$B$1)</f>
        <v>0</v>
      </c>
      <c r="BA55" s="124" cm="1">
        <f t="array" ref="BA55">+_xll.EQNXTDZ($A$1,$B55,BA$1,$B$1)</f>
        <v>0</v>
      </c>
      <c r="BB55" s="124" cm="1">
        <f t="array" ref="BB55">+_xll.EQNXTDZ($A$1,$B55,BB$1,$B$1)</f>
        <v>0</v>
      </c>
      <c r="BC55" s="124" cm="1">
        <f t="array" ref="BC55">+_xll.EQNXTDZ($A$1,$B55,BC$1,$B$1)</f>
        <v>0</v>
      </c>
      <c r="BD55" s="124" cm="1">
        <f t="array" ref="BD55">+_xll.EQNXTDZ($A$1,$B55,BD$1,$B$1)</f>
        <v>0</v>
      </c>
      <c r="BE55" s="124" cm="1">
        <f t="array" ref="BE55">+_xll.EQNXTDZ($A$1,$B55,BE$1,$B$1)</f>
        <v>0</v>
      </c>
      <c r="BF55" s="124" cm="1">
        <f t="array" ref="BF55">+_xll.EQNXTDZ($A$1,$B55,BF$1,$B$1)</f>
        <v>0</v>
      </c>
      <c r="BG55" s="124" cm="1">
        <f t="array" ref="BG55">+_xll.EQNXTDZ($A$1,$B55,BG$1,$B$1)</f>
        <v>0</v>
      </c>
      <c r="BH55" s="124" cm="1">
        <f t="array" ref="BH55">+_xll.EQNXTDZ($A$1,$B55,BH$1,$B$1)</f>
        <v>0</v>
      </c>
      <c r="BI55" s="124" cm="1">
        <f t="array" ref="BI55">+_xll.EQNXTDZ($A$1,$B55,BI$1,$B$1)</f>
        <v>0</v>
      </c>
      <c r="BJ55" s="124" cm="1">
        <f t="array" ref="BJ55">+_xll.EQNXTDZ($A$1,$B55,BJ$1,$B$1)</f>
        <v>0</v>
      </c>
      <c r="BK55" s="124" cm="1">
        <f t="array" ref="BK55">+_xll.EQNXTDZ($A$1,$B55,BK$1,$B$1)</f>
        <v>0</v>
      </c>
    </row>
    <row r="56" spans="1:63" x14ac:dyDescent="0.25">
      <c r="A56" t="s">
        <v>149</v>
      </c>
      <c r="B56" t="s">
        <v>481</v>
      </c>
      <c r="C56" s="124" cm="1">
        <f t="array" ref="C56">+_xll.EQNXTDZ($A$1,$B56,C$1,$B$1)</f>
        <v>0</v>
      </c>
      <c r="D56" s="124" cm="1">
        <f t="array" ref="D56">+_xll.EQNXTDZ($A$1,$B56,D$1,$B$1)</f>
        <v>0</v>
      </c>
      <c r="E56" s="124" cm="1">
        <f t="array" ref="E56">+_xll.EQNXTDZ($A$1,$B56,E$1,$B$1)</f>
        <v>0</v>
      </c>
      <c r="F56" s="124" cm="1">
        <f t="array" ref="F56">+_xll.EQNXTDZ($A$1,$B56,F$1,$B$1)</f>
        <v>0</v>
      </c>
      <c r="G56" s="124" cm="1">
        <f t="array" ref="G56">+_xll.EQNXTDZ($A$1,$B56,G$1,$B$1)</f>
        <v>0</v>
      </c>
      <c r="H56" s="124" cm="1">
        <f t="array" ref="H56">+_xll.EQNXTDZ($A$1,$B56,H$1,$B$1)</f>
        <v>0</v>
      </c>
      <c r="I56" s="124" cm="1">
        <f t="array" ref="I56">+_xll.EQNXTDZ($A$1,$B56,I$1,$B$1)</f>
        <v>0</v>
      </c>
      <c r="J56" s="124" cm="1">
        <f t="array" ref="J56">+_xll.EQNXTDZ($A$1,$B56,J$1,$B$1)</f>
        <v>0</v>
      </c>
      <c r="K56" s="124" cm="1">
        <f t="array" ref="K56">+_xll.EQNXTDZ($A$1,$B56,K$1,$B$1)</f>
        <v>0</v>
      </c>
      <c r="L56" s="124" cm="1">
        <f t="array" ref="L56">+_xll.EQNXTDZ($A$1,$B56,L$1,$B$1)</f>
        <v>0</v>
      </c>
      <c r="M56" s="124" cm="1">
        <f t="array" ref="M56">+_xll.EQNXTDZ($A$1,$B56,M$1,$B$1)</f>
        <v>0</v>
      </c>
      <c r="N56" s="124" cm="1">
        <f t="array" ref="N56">+_xll.EQNXTDZ($A$1,$B56,N$1,$B$1)</f>
        <v>0</v>
      </c>
      <c r="O56" s="124" cm="1">
        <f t="array" ref="O56">+_xll.EQNXTDZ($A$1,$B56,O$1,$B$1)</f>
        <v>0</v>
      </c>
      <c r="P56" s="124" cm="1">
        <f t="array" ref="P56">+_xll.EQNXTDZ($A$1,$B56,P$1,$B$1)</f>
        <v>0</v>
      </c>
      <c r="Q56" s="124" cm="1">
        <f t="array" ref="Q56">+_xll.EQNXTDZ($A$1,$B56,Q$1,$B$1)</f>
        <v>0</v>
      </c>
      <c r="R56" s="124" cm="1">
        <f t="array" ref="R56">+_xll.EQNXTDZ($A$1,$B56,R$1,$B$1)</f>
        <v>0</v>
      </c>
      <c r="S56" s="124" cm="1">
        <f t="array" ref="S56">+_xll.EQNXTDZ($A$1,$B56,S$1,$B$1)</f>
        <v>0</v>
      </c>
      <c r="T56" s="124" cm="1">
        <f t="array" ref="T56">+_xll.EQNXTDZ($A$1,$B56,T$1,$B$1)</f>
        <v>0</v>
      </c>
      <c r="U56" s="124" cm="1">
        <f t="array" ref="U56">+_xll.EQNXTDZ($A$1,$B56,U$1,$B$1)</f>
        <v>0</v>
      </c>
      <c r="V56" s="124" cm="1">
        <f t="array" ref="V56">+_xll.EQNXTDZ($A$1,$B56,V$1,$B$1)</f>
        <v>0</v>
      </c>
      <c r="W56" s="124" cm="1">
        <f t="array" ref="W56">+_xll.EQNXTDZ($A$1,$B56,W$1,$B$1)</f>
        <v>0</v>
      </c>
      <c r="X56" s="124" cm="1">
        <f t="array" ref="X56">+_xll.EQNXTDZ($A$1,$B56,X$1,$B$1)</f>
        <v>0</v>
      </c>
      <c r="Y56" s="124" cm="1">
        <f t="array" ref="Y56">+_xll.EQNXTDZ($A$1,$B56,Y$1,$B$1)</f>
        <v>0</v>
      </c>
      <c r="Z56" s="124" cm="1">
        <f t="array" ref="Z56">+_xll.EQNXTDZ($A$1,$B56,Z$1,$B$1)</f>
        <v>0</v>
      </c>
      <c r="AA56" s="124" cm="1">
        <f t="array" ref="AA56">+_xll.EQNXTDZ($A$1,$B56,AA$1,$B$1)</f>
        <v>0</v>
      </c>
      <c r="AB56" s="124" cm="1">
        <f t="array" ref="AB56">+_xll.EQNXTDZ($A$1,$B56,AB$1,$B$1)</f>
        <v>0</v>
      </c>
      <c r="AC56" s="124" cm="1">
        <f t="array" ref="AC56">+_xll.EQNXTDZ($A$1,$B56,AC$1,$B$1)</f>
        <v>0</v>
      </c>
      <c r="AD56" s="124" cm="1">
        <f t="array" ref="AD56">+_xll.EQNXTDZ($A$1,$B56,AD$1,$B$1)</f>
        <v>0</v>
      </c>
      <c r="AE56" s="124" cm="1">
        <f t="array" ref="AE56">+_xll.EQNXTDZ($A$1,$B56,AE$1,$B$1)</f>
        <v>0</v>
      </c>
      <c r="AF56" s="124" cm="1">
        <f t="array" ref="AF56">+_xll.EQNXTDZ($A$1,$B56,AF$1,$B$1)</f>
        <v>0</v>
      </c>
      <c r="AG56" s="124" cm="1">
        <f t="array" ref="AG56">+_xll.EQNXTDZ($A$1,$B56,AG$1,$B$1)</f>
        <v>0</v>
      </c>
      <c r="AH56" s="124" cm="1">
        <f t="array" ref="AH56">+_xll.EQNXTDZ($A$1,$B56,AH$1,$B$1)</f>
        <v>0</v>
      </c>
      <c r="AI56" s="124" cm="1">
        <f t="array" ref="AI56">+_xll.EQNXTDZ($A$1,$B56,AI$1,$B$1)</f>
        <v>0</v>
      </c>
      <c r="AJ56" s="124" cm="1">
        <f t="array" ref="AJ56">+_xll.EQNXTDZ($A$1,$B56,AJ$1,$B$1)</f>
        <v>0</v>
      </c>
      <c r="AK56" s="124" cm="1">
        <f t="array" ref="AK56">+_xll.EQNXTDZ($A$1,$B56,AK$1,$B$1)</f>
        <v>0</v>
      </c>
      <c r="AL56" s="124" cm="1">
        <f t="array" ref="AL56">+_xll.EQNXTDZ($A$1,$B56,AL$1,$B$1)</f>
        <v>0</v>
      </c>
      <c r="AM56" s="124" cm="1">
        <f t="array" ref="AM56">+_xll.EQNXTDZ($A$1,$B56,AM$1,$B$1)</f>
        <v>0</v>
      </c>
      <c r="AN56" s="124" cm="1">
        <f t="array" ref="AN56">+_xll.EQNXTDZ($A$1,$B56,AN$1,$B$1)</f>
        <v>0</v>
      </c>
      <c r="AO56" s="124" cm="1">
        <f t="array" ref="AO56">+_xll.EQNXTDZ($A$1,$B56,AO$1,$B$1)</f>
        <v>0</v>
      </c>
      <c r="AP56" s="124" cm="1">
        <f t="array" ref="AP56">+_xll.EQNXTDZ($A$1,$B56,AP$1,$B$1)</f>
        <v>0</v>
      </c>
      <c r="AQ56" s="124" cm="1">
        <f t="array" ref="AQ56">+_xll.EQNXTDZ($A$1,$B56,AQ$1,$B$1)</f>
        <v>0</v>
      </c>
      <c r="AR56" s="124" cm="1">
        <f t="array" ref="AR56">+_xll.EQNXTDZ($A$1,$B56,AR$1,$B$1)</f>
        <v>0</v>
      </c>
      <c r="AS56" s="124" cm="1">
        <f t="array" ref="AS56">+_xll.EQNXTDZ($A$1,$B56,AS$1,$B$1)</f>
        <v>0</v>
      </c>
      <c r="AT56" s="124" cm="1">
        <f t="array" ref="AT56">+_xll.EQNXTDZ($A$1,$B56,AT$1,$B$1)</f>
        <v>0</v>
      </c>
      <c r="AU56" s="124" cm="1">
        <f t="array" ref="AU56">+_xll.EQNXTDZ($A$1,$B56,AU$1,$B$1)</f>
        <v>0</v>
      </c>
      <c r="AV56" s="124" cm="1">
        <f t="array" ref="AV56">+_xll.EQNXTDZ($A$1,$B56,AV$1,$B$1)</f>
        <v>0</v>
      </c>
      <c r="AW56" s="124" cm="1">
        <f t="array" ref="AW56">+_xll.EQNXTDZ($A$1,$B56,AW$1,$B$1)</f>
        <v>0</v>
      </c>
      <c r="AX56" s="124" cm="1">
        <f t="array" ref="AX56">+_xll.EQNXTDZ($A$1,$B56,AX$1,$B$1)</f>
        <v>0</v>
      </c>
      <c r="AY56" s="124" cm="1">
        <f t="array" ref="AY56">+_xll.EQNXTDZ($A$1,$B56,AY$1,$B$1)</f>
        <v>0</v>
      </c>
      <c r="AZ56" s="124" cm="1">
        <f t="array" ref="AZ56">+_xll.EQNXTDZ($A$1,$B56,AZ$1,$B$1)</f>
        <v>0</v>
      </c>
      <c r="BA56" s="124" cm="1">
        <f t="array" ref="BA56">+_xll.EQNXTDZ($A$1,$B56,BA$1,$B$1)</f>
        <v>0</v>
      </c>
      <c r="BB56" s="124" cm="1">
        <f t="array" ref="BB56">+_xll.EQNXTDZ($A$1,$B56,BB$1,$B$1)</f>
        <v>0</v>
      </c>
      <c r="BC56" s="124" cm="1">
        <f t="array" ref="BC56">+_xll.EQNXTDZ($A$1,$B56,BC$1,$B$1)</f>
        <v>0</v>
      </c>
      <c r="BD56" s="124" cm="1">
        <f t="array" ref="BD56">+_xll.EQNXTDZ($A$1,$B56,BD$1,$B$1)</f>
        <v>0</v>
      </c>
      <c r="BE56" s="124" cm="1">
        <f t="array" ref="BE56">+_xll.EQNXTDZ($A$1,$B56,BE$1,$B$1)</f>
        <v>0</v>
      </c>
      <c r="BF56" s="124" cm="1">
        <f t="array" ref="BF56">+_xll.EQNXTDZ($A$1,$B56,BF$1,$B$1)</f>
        <v>0</v>
      </c>
      <c r="BG56" s="124" cm="1">
        <f t="array" ref="BG56">+_xll.EQNXTDZ($A$1,$B56,BG$1,$B$1)</f>
        <v>0</v>
      </c>
      <c r="BH56" s="124" cm="1">
        <f t="array" ref="BH56">+_xll.EQNXTDZ($A$1,$B56,BH$1,$B$1)</f>
        <v>0</v>
      </c>
      <c r="BI56" s="124" cm="1">
        <f t="array" ref="BI56">+_xll.EQNXTDZ($A$1,$B56,BI$1,$B$1)</f>
        <v>0</v>
      </c>
      <c r="BJ56" s="124" cm="1">
        <f t="array" ref="BJ56">+_xll.EQNXTDZ($A$1,$B56,BJ$1,$B$1)</f>
        <v>0</v>
      </c>
      <c r="BK56" s="124" cm="1">
        <f t="array" ref="BK56">+_xll.EQNXTDZ($A$1,$B56,BK$1,$B$1)</f>
        <v>0</v>
      </c>
    </row>
    <row r="57" spans="1:63" x14ac:dyDescent="0.25">
      <c r="A57" t="s">
        <v>201</v>
      </c>
      <c r="B57" t="s">
        <v>317</v>
      </c>
      <c r="C57" s="124" cm="1">
        <f t="array" ref="C57">+_xll.EQNXTDZ($A$1,$B57,C$1,$B$1)</f>
        <v>0</v>
      </c>
      <c r="D57" s="124" cm="1">
        <f t="array" ref="D57">+_xll.EQNXTDZ($A$1,$B57,D$1,$B$1)</f>
        <v>0</v>
      </c>
      <c r="E57" s="124" cm="1">
        <f t="array" ref="E57">+_xll.EQNXTDZ($A$1,$B57,E$1,$B$1)</f>
        <v>0</v>
      </c>
      <c r="F57" s="124" cm="1">
        <f t="array" ref="F57">+_xll.EQNXTDZ($A$1,$B57,F$1,$B$1)</f>
        <v>0</v>
      </c>
      <c r="G57" s="124" cm="1">
        <f t="array" ref="G57">+_xll.EQNXTDZ($A$1,$B57,G$1,$B$1)</f>
        <v>0</v>
      </c>
      <c r="H57" s="124" cm="1">
        <f t="array" ref="H57">+_xll.EQNXTDZ($A$1,$B57,H$1,$B$1)</f>
        <v>0</v>
      </c>
      <c r="I57" s="124" cm="1">
        <f t="array" ref="I57">+_xll.EQNXTDZ($A$1,$B57,I$1,$B$1)</f>
        <v>0</v>
      </c>
      <c r="J57" s="124" cm="1">
        <f t="array" ref="J57">+_xll.EQNXTDZ($A$1,$B57,J$1,$B$1)</f>
        <v>0</v>
      </c>
      <c r="K57" s="124" cm="1">
        <f t="array" ref="K57">+_xll.EQNXTDZ($A$1,$B57,K$1,$B$1)</f>
        <v>0</v>
      </c>
      <c r="L57" s="124" cm="1">
        <f t="array" ref="L57">+_xll.EQNXTDZ($A$1,$B57,L$1,$B$1)</f>
        <v>0</v>
      </c>
      <c r="M57" s="124" cm="1">
        <f t="array" ref="M57">+_xll.EQNXTDZ($A$1,$B57,M$1,$B$1)</f>
        <v>0</v>
      </c>
      <c r="N57" s="124" cm="1">
        <f t="array" ref="N57">+_xll.EQNXTDZ($A$1,$B57,N$1,$B$1)</f>
        <v>0</v>
      </c>
      <c r="O57" s="124" cm="1">
        <f t="array" ref="O57">+_xll.EQNXTDZ($A$1,$B57,O$1,$B$1)</f>
        <v>0</v>
      </c>
      <c r="P57" s="124" cm="1">
        <f t="array" ref="P57">+_xll.EQNXTDZ($A$1,$B57,P$1,$B$1)</f>
        <v>0</v>
      </c>
      <c r="Q57" s="124" cm="1">
        <f t="array" ref="Q57">+_xll.EQNXTDZ($A$1,$B57,Q$1,$B$1)</f>
        <v>0</v>
      </c>
      <c r="R57" s="124" cm="1">
        <f t="array" ref="R57">+_xll.EQNXTDZ($A$1,$B57,R$1,$B$1)</f>
        <v>0</v>
      </c>
      <c r="S57" s="124" cm="1">
        <f t="array" ref="S57">+_xll.EQNXTDZ($A$1,$B57,S$1,$B$1)</f>
        <v>0</v>
      </c>
      <c r="T57" s="124" cm="1">
        <f t="array" ref="T57">+_xll.EQNXTDZ($A$1,$B57,T$1,$B$1)</f>
        <v>0</v>
      </c>
      <c r="U57" s="124" cm="1">
        <f t="array" ref="U57">+_xll.EQNXTDZ($A$1,$B57,U$1,$B$1)</f>
        <v>0</v>
      </c>
      <c r="V57" s="124" cm="1">
        <f t="array" ref="V57">+_xll.EQNXTDZ($A$1,$B57,V$1,$B$1)</f>
        <v>0</v>
      </c>
      <c r="W57" s="124" cm="1">
        <f t="array" ref="W57">+_xll.EQNXTDZ($A$1,$B57,W$1,$B$1)</f>
        <v>0</v>
      </c>
      <c r="X57" s="124" cm="1">
        <f t="array" ref="X57">+_xll.EQNXTDZ($A$1,$B57,X$1,$B$1)</f>
        <v>0</v>
      </c>
      <c r="Y57" s="124" cm="1">
        <f t="array" ref="Y57">+_xll.EQNXTDZ($A$1,$B57,Y$1,$B$1)</f>
        <v>0</v>
      </c>
      <c r="Z57" s="124" cm="1">
        <f t="array" ref="Z57">+_xll.EQNXTDZ($A$1,$B57,Z$1,$B$1)</f>
        <v>0</v>
      </c>
      <c r="AA57" s="124" cm="1">
        <f t="array" ref="AA57">+_xll.EQNXTDZ($A$1,$B57,AA$1,$B$1)</f>
        <v>0</v>
      </c>
      <c r="AB57" s="124" cm="1">
        <f t="array" ref="AB57">+_xll.EQNXTDZ($A$1,$B57,AB$1,$B$1)</f>
        <v>0</v>
      </c>
      <c r="AC57" s="124" cm="1">
        <f t="array" ref="AC57">+_xll.EQNXTDZ($A$1,$B57,AC$1,$B$1)</f>
        <v>0</v>
      </c>
      <c r="AD57" s="124" cm="1">
        <f t="array" ref="AD57">+_xll.EQNXTDZ($A$1,$B57,AD$1,$B$1)</f>
        <v>0</v>
      </c>
      <c r="AE57" s="124" cm="1">
        <f t="array" ref="AE57">+_xll.EQNXTDZ($A$1,$B57,AE$1,$B$1)</f>
        <v>0</v>
      </c>
      <c r="AF57" s="124" cm="1">
        <f t="array" ref="AF57">+_xll.EQNXTDZ($A$1,$B57,AF$1,$B$1)</f>
        <v>0</v>
      </c>
      <c r="AG57" s="124" cm="1">
        <f t="array" ref="AG57">+_xll.EQNXTDZ($A$1,$B57,AG$1,$B$1)</f>
        <v>0</v>
      </c>
      <c r="AH57" s="124" cm="1">
        <f t="array" ref="AH57">+_xll.EQNXTDZ($A$1,$B57,AH$1,$B$1)</f>
        <v>0</v>
      </c>
      <c r="AI57" s="124" cm="1">
        <f t="array" ref="AI57">+_xll.EQNXTDZ($A$1,$B57,AI$1,$B$1)</f>
        <v>0</v>
      </c>
      <c r="AJ57" s="124" cm="1">
        <f t="array" ref="AJ57">+_xll.EQNXTDZ($A$1,$B57,AJ$1,$B$1)</f>
        <v>0</v>
      </c>
      <c r="AK57" s="124" cm="1">
        <f t="array" ref="AK57">+_xll.EQNXTDZ($A$1,$B57,AK$1,$B$1)</f>
        <v>0</v>
      </c>
      <c r="AL57" s="124" cm="1">
        <f t="array" ref="AL57">+_xll.EQNXTDZ($A$1,$B57,AL$1,$B$1)</f>
        <v>0</v>
      </c>
      <c r="AM57" s="124" cm="1">
        <f t="array" ref="AM57">+_xll.EQNXTDZ($A$1,$B57,AM$1,$B$1)</f>
        <v>0</v>
      </c>
      <c r="AN57" s="124" cm="1">
        <f t="array" ref="AN57">+_xll.EQNXTDZ($A$1,$B57,AN$1,$B$1)</f>
        <v>0</v>
      </c>
      <c r="AO57" s="124" cm="1">
        <f t="array" ref="AO57">+_xll.EQNXTDZ($A$1,$B57,AO$1,$B$1)</f>
        <v>0</v>
      </c>
      <c r="AP57" s="124" cm="1">
        <f t="array" ref="AP57">+_xll.EQNXTDZ($A$1,$B57,AP$1,$B$1)</f>
        <v>0</v>
      </c>
      <c r="AQ57" s="124" cm="1">
        <f t="array" ref="AQ57">+_xll.EQNXTDZ($A$1,$B57,AQ$1,$B$1)</f>
        <v>0</v>
      </c>
      <c r="AR57" s="124" cm="1">
        <f t="array" ref="AR57">+_xll.EQNXTDZ($A$1,$B57,AR$1,$B$1)</f>
        <v>0</v>
      </c>
      <c r="AS57" s="124" cm="1">
        <f t="array" ref="AS57">+_xll.EQNXTDZ($A$1,$B57,AS$1,$B$1)</f>
        <v>0</v>
      </c>
      <c r="AT57" s="124" cm="1">
        <f t="array" ref="AT57">+_xll.EQNXTDZ($A$1,$B57,AT$1,$B$1)</f>
        <v>0</v>
      </c>
      <c r="AU57" s="124" cm="1">
        <f t="array" ref="AU57">+_xll.EQNXTDZ($A$1,$B57,AU$1,$B$1)</f>
        <v>0</v>
      </c>
      <c r="AV57" s="124" cm="1">
        <f t="array" ref="AV57">+_xll.EQNXTDZ($A$1,$B57,AV$1,$B$1)</f>
        <v>0</v>
      </c>
      <c r="AW57" s="124" cm="1">
        <f t="array" ref="AW57">+_xll.EQNXTDZ($A$1,$B57,AW$1,$B$1)</f>
        <v>0</v>
      </c>
      <c r="AX57" s="124" cm="1">
        <f t="array" ref="AX57">+_xll.EQNXTDZ($A$1,$B57,AX$1,$B$1)</f>
        <v>0</v>
      </c>
      <c r="AY57" s="124" cm="1">
        <f t="array" ref="AY57">+_xll.EQNXTDZ($A$1,$B57,AY$1,$B$1)</f>
        <v>0</v>
      </c>
      <c r="AZ57" s="124" cm="1">
        <f t="array" ref="AZ57">+_xll.EQNXTDZ($A$1,$B57,AZ$1,$B$1)</f>
        <v>0</v>
      </c>
      <c r="BA57" s="124" cm="1">
        <f t="array" ref="BA57">+_xll.EQNXTDZ($A$1,$B57,BA$1,$B$1)</f>
        <v>0</v>
      </c>
      <c r="BB57" s="124" cm="1">
        <f t="array" ref="BB57">+_xll.EQNXTDZ($A$1,$B57,BB$1,$B$1)</f>
        <v>0</v>
      </c>
      <c r="BC57" s="124" cm="1">
        <f t="array" ref="BC57">+_xll.EQNXTDZ($A$1,$B57,BC$1,$B$1)</f>
        <v>0</v>
      </c>
      <c r="BD57" s="124" cm="1">
        <f t="array" ref="BD57">+_xll.EQNXTDZ($A$1,$B57,BD$1,$B$1)</f>
        <v>0</v>
      </c>
      <c r="BE57" s="124" cm="1">
        <f t="array" ref="BE57">+_xll.EQNXTDZ($A$1,$B57,BE$1,$B$1)</f>
        <v>0</v>
      </c>
      <c r="BF57" s="124" cm="1">
        <f t="array" ref="BF57">+_xll.EQNXTDZ($A$1,$B57,BF$1,$B$1)</f>
        <v>0</v>
      </c>
      <c r="BG57" s="124" cm="1">
        <f t="array" ref="BG57">+_xll.EQNXTDZ($A$1,$B57,BG$1,$B$1)</f>
        <v>0</v>
      </c>
      <c r="BH57" s="124" cm="1">
        <f t="array" ref="BH57">+_xll.EQNXTDZ($A$1,$B57,BH$1,$B$1)</f>
        <v>0</v>
      </c>
      <c r="BI57" s="124" cm="1">
        <f t="array" ref="BI57">+_xll.EQNXTDZ($A$1,$B57,BI$1,$B$1)</f>
        <v>0</v>
      </c>
      <c r="BJ57" s="124" cm="1">
        <f t="array" ref="BJ57">+_xll.EQNXTDZ($A$1,$B57,BJ$1,$B$1)</f>
        <v>0</v>
      </c>
      <c r="BK57" s="124" cm="1">
        <f t="array" ref="BK57">+_xll.EQNXTDZ($A$1,$B57,BK$1,$B$1)</f>
        <v>0</v>
      </c>
    </row>
    <row r="58" spans="1:63" x14ac:dyDescent="0.25">
      <c r="A58" t="s">
        <v>19</v>
      </c>
      <c r="B58" t="s">
        <v>318</v>
      </c>
      <c r="C58" s="124" cm="1">
        <f t="array" ref="C58">+_xll.EQNXTDZ($A$1,$B58,C$1,$B$1)</f>
        <v>0</v>
      </c>
      <c r="D58" s="124" cm="1">
        <f t="array" ref="D58">+_xll.EQNXTDZ($A$1,$B58,D$1,$B$1)</f>
        <v>0</v>
      </c>
      <c r="E58" s="124" cm="1">
        <f t="array" ref="E58">+_xll.EQNXTDZ($A$1,$B58,E$1,$B$1)</f>
        <v>0</v>
      </c>
      <c r="F58" s="124" cm="1">
        <f t="array" ref="F58">+_xll.EQNXTDZ($A$1,$B58,F$1,$B$1)</f>
        <v>0</v>
      </c>
      <c r="G58" s="124" cm="1">
        <f t="array" ref="G58">+_xll.EQNXTDZ($A$1,$B58,G$1,$B$1)</f>
        <v>0</v>
      </c>
      <c r="H58" s="124" cm="1">
        <f t="array" ref="H58">+_xll.EQNXTDZ($A$1,$B58,H$1,$B$1)</f>
        <v>0</v>
      </c>
      <c r="I58" s="124" cm="1">
        <f t="array" ref="I58">+_xll.EQNXTDZ($A$1,$B58,I$1,$B$1)</f>
        <v>0</v>
      </c>
      <c r="J58" s="124" cm="1">
        <f t="array" ref="J58">+_xll.EQNXTDZ($A$1,$B58,J$1,$B$1)</f>
        <v>0</v>
      </c>
      <c r="K58" s="124" cm="1">
        <f t="array" ref="K58">+_xll.EQNXTDZ($A$1,$B58,K$1,$B$1)</f>
        <v>0</v>
      </c>
      <c r="L58" s="124" cm="1">
        <f t="array" ref="L58">+_xll.EQNXTDZ($A$1,$B58,L$1,$B$1)</f>
        <v>0</v>
      </c>
      <c r="M58" s="124" cm="1">
        <f t="array" ref="M58">+_xll.EQNXTDZ($A$1,$B58,M$1,$B$1)</f>
        <v>0</v>
      </c>
      <c r="N58" s="124" cm="1">
        <f t="array" ref="N58">+_xll.EQNXTDZ($A$1,$B58,N$1,$B$1)</f>
        <v>0</v>
      </c>
      <c r="O58" s="124" cm="1">
        <f t="array" ref="O58">+_xll.EQNXTDZ($A$1,$B58,O$1,$B$1)</f>
        <v>0</v>
      </c>
      <c r="P58" s="124" cm="1">
        <f t="array" ref="P58">+_xll.EQNXTDZ($A$1,$B58,P$1,$B$1)</f>
        <v>0</v>
      </c>
      <c r="Q58" s="124" cm="1">
        <f t="array" ref="Q58">+_xll.EQNXTDZ($A$1,$B58,Q$1,$B$1)</f>
        <v>0</v>
      </c>
      <c r="R58" s="124" cm="1">
        <f t="array" ref="R58">+_xll.EQNXTDZ($A$1,$B58,R$1,$B$1)</f>
        <v>0</v>
      </c>
      <c r="S58" s="124" cm="1">
        <f t="array" ref="S58">+_xll.EQNXTDZ($A$1,$B58,S$1,$B$1)</f>
        <v>0</v>
      </c>
      <c r="T58" s="124" cm="1">
        <f t="array" ref="T58">+_xll.EQNXTDZ($A$1,$B58,T$1,$B$1)</f>
        <v>0</v>
      </c>
      <c r="U58" s="124" cm="1">
        <f t="array" ref="U58">+_xll.EQNXTDZ($A$1,$B58,U$1,$B$1)</f>
        <v>0</v>
      </c>
      <c r="V58" s="124" cm="1">
        <f t="array" ref="V58">+_xll.EQNXTDZ($A$1,$B58,V$1,$B$1)</f>
        <v>0</v>
      </c>
      <c r="W58" s="124" cm="1">
        <f t="array" ref="W58">+_xll.EQNXTDZ($A$1,$B58,W$1,$B$1)</f>
        <v>0</v>
      </c>
      <c r="X58" s="124" cm="1">
        <f t="array" ref="X58">+_xll.EQNXTDZ($A$1,$B58,X$1,$B$1)</f>
        <v>0</v>
      </c>
      <c r="Y58" s="124" cm="1">
        <f t="array" ref="Y58">+_xll.EQNXTDZ($A$1,$B58,Y$1,$B$1)</f>
        <v>0</v>
      </c>
      <c r="Z58" s="124" cm="1">
        <f t="array" ref="Z58">+_xll.EQNXTDZ($A$1,$B58,Z$1,$B$1)</f>
        <v>0</v>
      </c>
      <c r="AA58" s="124" cm="1">
        <f t="array" ref="AA58">+_xll.EQNXTDZ($A$1,$B58,AA$1,$B$1)</f>
        <v>0</v>
      </c>
      <c r="AB58" s="124" cm="1">
        <f t="array" ref="AB58">+_xll.EQNXTDZ($A$1,$B58,AB$1,$B$1)</f>
        <v>0</v>
      </c>
      <c r="AC58" s="124" cm="1">
        <f t="array" ref="AC58">+_xll.EQNXTDZ($A$1,$B58,AC$1,$B$1)</f>
        <v>0</v>
      </c>
      <c r="AD58" s="124" cm="1">
        <f t="array" ref="AD58">+_xll.EQNXTDZ($A$1,$B58,AD$1,$B$1)</f>
        <v>0</v>
      </c>
      <c r="AE58" s="124" cm="1">
        <f t="array" ref="AE58">+_xll.EQNXTDZ($A$1,$B58,AE$1,$B$1)</f>
        <v>0</v>
      </c>
      <c r="AF58" s="124" cm="1">
        <f t="array" ref="AF58">+_xll.EQNXTDZ($A$1,$B58,AF$1,$B$1)</f>
        <v>0</v>
      </c>
      <c r="AG58" s="124" cm="1">
        <f t="array" ref="AG58">+_xll.EQNXTDZ($A$1,$B58,AG$1,$B$1)</f>
        <v>0</v>
      </c>
      <c r="AH58" s="124" cm="1">
        <f t="array" ref="AH58">+_xll.EQNXTDZ($A$1,$B58,AH$1,$B$1)</f>
        <v>0</v>
      </c>
      <c r="AI58" s="124" cm="1">
        <f t="array" ref="AI58">+_xll.EQNXTDZ($A$1,$B58,AI$1,$B$1)</f>
        <v>0</v>
      </c>
      <c r="AJ58" s="124" cm="1">
        <f t="array" ref="AJ58">+_xll.EQNXTDZ($A$1,$B58,AJ$1,$B$1)</f>
        <v>0</v>
      </c>
      <c r="AK58" s="124" cm="1">
        <f t="array" ref="AK58">+_xll.EQNXTDZ($A$1,$B58,AK$1,$B$1)</f>
        <v>0</v>
      </c>
      <c r="AL58" s="124" cm="1">
        <f t="array" ref="AL58">+_xll.EQNXTDZ($A$1,$B58,AL$1,$B$1)</f>
        <v>0</v>
      </c>
      <c r="AM58" s="124" cm="1">
        <f t="array" ref="AM58">+_xll.EQNXTDZ($A$1,$B58,AM$1,$B$1)</f>
        <v>0</v>
      </c>
      <c r="AN58" s="124" cm="1">
        <f t="array" ref="AN58">+_xll.EQNXTDZ($A$1,$B58,AN$1,$B$1)</f>
        <v>0</v>
      </c>
      <c r="AO58" s="124" cm="1">
        <f t="array" ref="AO58">+_xll.EQNXTDZ($A$1,$B58,AO$1,$B$1)</f>
        <v>0</v>
      </c>
      <c r="AP58" s="124" cm="1">
        <f t="array" ref="AP58">+_xll.EQNXTDZ($A$1,$B58,AP$1,$B$1)</f>
        <v>0</v>
      </c>
      <c r="AQ58" s="124" cm="1">
        <f t="array" ref="AQ58">+_xll.EQNXTDZ($A$1,$B58,AQ$1,$B$1)</f>
        <v>0</v>
      </c>
      <c r="AR58" s="124" cm="1">
        <f t="array" ref="AR58">+_xll.EQNXTDZ($A$1,$B58,AR$1,$B$1)</f>
        <v>0</v>
      </c>
      <c r="AS58" s="124" cm="1">
        <f t="array" ref="AS58">+_xll.EQNXTDZ($A$1,$B58,AS$1,$B$1)</f>
        <v>0</v>
      </c>
      <c r="AT58" s="124" cm="1">
        <f t="array" ref="AT58">+_xll.EQNXTDZ($A$1,$B58,AT$1,$B$1)</f>
        <v>0</v>
      </c>
      <c r="AU58" s="124" cm="1">
        <f t="array" ref="AU58">+_xll.EQNXTDZ($A$1,$B58,AU$1,$B$1)</f>
        <v>0</v>
      </c>
      <c r="AV58" s="124" cm="1">
        <f t="array" ref="AV58">+_xll.EQNXTDZ($A$1,$B58,AV$1,$B$1)</f>
        <v>0</v>
      </c>
      <c r="AW58" s="124" cm="1">
        <f t="array" ref="AW58">+_xll.EQNXTDZ($A$1,$B58,AW$1,$B$1)</f>
        <v>0</v>
      </c>
      <c r="AX58" s="124" cm="1">
        <f t="array" ref="AX58">+_xll.EQNXTDZ($A$1,$B58,AX$1,$B$1)</f>
        <v>0</v>
      </c>
      <c r="AY58" s="124" cm="1">
        <f t="array" ref="AY58">+_xll.EQNXTDZ($A$1,$B58,AY$1,$B$1)</f>
        <v>0</v>
      </c>
      <c r="AZ58" s="124" cm="1">
        <f t="array" ref="AZ58">+_xll.EQNXTDZ($A$1,$B58,AZ$1,$B$1)</f>
        <v>0</v>
      </c>
      <c r="BA58" s="124" cm="1">
        <f t="array" ref="BA58">+_xll.EQNXTDZ($A$1,$B58,BA$1,$B$1)</f>
        <v>0</v>
      </c>
      <c r="BB58" s="124" cm="1">
        <f t="array" ref="BB58">+_xll.EQNXTDZ($A$1,$B58,BB$1,$B$1)</f>
        <v>0</v>
      </c>
      <c r="BC58" s="124" cm="1">
        <f t="array" ref="BC58">+_xll.EQNXTDZ($A$1,$B58,BC$1,$B$1)</f>
        <v>0</v>
      </c>
      <c r="BD58" s="124" cm="1">
        <f t="array" ref="BD58">+_xll.EQNXTDZ($A$1,$B58,BD$1,$B$1)</f>
        <v>0</v>
      </c>
      <c r="BE58" s="124" cm="1">
        <f t="array" ref="BE58">+_xll.EQNXTDZ($A$1,$B58,BE$1,$B$1)</f>
        <v>0</v>
      </c>
      <c r="BF58" s="124" cm="1">
        <f t="array" ref="BF58">+_xll.EQNXTDZ($A$1,$B58,BF$1,$B$1)</f>
        <v>0</v>
      </c>
      <c r="BG58" s="124" cm="1">
        <f t="array" ref="BG58">+_xll.EQNXTDZ($A$1,$B58,BG$1,$B$1)</f>
        <v>0</v>
      </c>
      <c r="BH58" s="124" cm="1">
        <f t="array" ref="BH58">+_xll.EQNXTDZ($A$1,$B58,BH$1,$B$1)</f>
        <v>0</v>
      </c>
      <c r="BI58" s="124" cm="1">
        <f t="array" ref="BI58">+_xll.EQNXTDZ($A$1,$B58,BI$1,$B$1)</f>
        <v>0</v>
      </c>
      <c r="BJ58" s="124" cm="1">
        <f t="array" ref="BJ58">+_xll.EQNXTDZ($A$1,$B58,BJ$1,$B$1)</f>
        <v>0</v>
      </c>
      <c r="BK58" s="124" cm="1">
        <f t="array" ref="BK58">+_xll.EQNXTDZ($A$1,$B58,BK$1,$B$1)</f>
        <v>0</v>
      </c>
    </row>
    <row r="59" spans="1:63" x14ac:dyDescent="0.25">
      <c r="A59" t="s">
        <v>5</v>
      </c>
      <c r="B59" t="s">
        <v>319</v>
      </c>
      <c r="C59" s="124" cm="1">
        <f t="array" ref="C59">+_xll.EQNXTDZ($A$1,$B59,C$1,$B$1)</f>
        <v>0</v>
      </c>
      <c r="D59" s="124" cm="1">
        <f t="array" ref="D59">+_xll.EQNXTDZ($A$1,$B59,D$1,$B$1)</f>
        <v>0</v>
      </c>
      <c r="E59" s="124" cm="1">
        <f t="array" ref="E59">+_xll.EQNXTDZ($A$1,$B59,E$1,$B$1)</f>
        <v>0</v>
      </c>
      <c r="F59" s="124" cm="1">
        <f t="array" ref="F59">+_xll.EQNXTDZ($A$1,$B59,F$1,$B$1)</f>
        <v>0</v>
      </c>
      <c r="G59" s="124" cm="1">
        <f t="array" ref="G59">+_xll.EQNXTDZ($A$1,$B59,G$1,$B$1)</f>
        <v>0</v>
      </c>
      <c r="H59" s="124" cm="1">
        <f t="array" ref="H59">+_xll.EQNXTDZ($A$1,$B59,H$1,$B$1)</f>
        <v>0</v>
      </c>
      <c r="I59" s="124" cm="1">
        <f t="array" ref="I59">+_xll.EQNXTDZ($A$1,$B59,I$1,$B$1)</f>
        <v>0</v>
      </c>
      <c r="J59" s="124" cm="1">
        <f t="array" ref="J59">+_xll.EQNXTDZ($A$1,$B59,J$1,$B$1)</f>
        <v>0</v>
      </c>
      <c r="K59" s="124" cm="1">
        <f t="array" ref="K59">+_xll.EQNXTDZ($A$1,$B59,K$1,$B$1)</f>
        <v>0</v>
      </c>
      <c r="L59" s="124" cm="1">
        <f t="array" ref="L59">+_xll.EQNXTDZ($A$1,$B59,L$1,$B$1)</f>
        <v>0</v>
      </c>
      <c r="M59" s="124" cm="1">
        <f t="array" ref="M59">+_xll.EQNXTDZ($A$1,$B59,M$1,$B$1)</f>
        <v>0</v>
      </c>
      <c r="N59" s="124" cm="1">
        <f t="array" ref="N59">+_xll.EQNXTDZ($A$1,$B59,N$1,$B$1)</f>
        <v>0</v>
      </c>
      <c r="O59" s="124" cm="1">
        <f t="array" ref="O59">+_xll.EQNXTDZ($A$1,$B59,O$1,$B$1)</f>
        <v>0</v>
      </c>
      <c r="P59" s="124" cm="1">
        <f t="array" ref="P59">+_xll.EQNXTDZ($A$1,$B59,P$1,$B$1)</f>
        <v>0</v>
      </c>
      <c r="Q59" s="124" cm="1">
        <f t="array" ref="Q59">+_xll.EQNXTDZ($A$1,$B59,Q$1,$B$1)</f>
        <v>0</v>
      </c>
      <c r="R59" s="124" cm="1">
        <f t="array" ref="R59">+_xll.EQNXTDZ($A$1,$B59,R$1,$B$1)</f>
        <v>0</v>
      </c>
      <c r="S59" s="124" cm="1">
        <f t="array" ref="S59">+_xll.EQNXTDZ($A$1,$B59,S$1,$B$1)</f>
        <v>0</v>
      </c>
      <c r="T59" s="124" cm="1">
        <f t="array" ref="T59">+_xll.EQNXTDZ($A$1,$B59,T$1,$B$1)</f>
        <v>0</v>
      </c>
      <c r="U59" s="124" cm="1">
        <f t="array" ref="U59">+_xll.EQNXTDZ($A$1,$B59,U$1,$B$1)</f>
        <v>0</v>
      </c>
      <c r="V59" s="124" cm="1">
        <f t="array" ref="V59">+_xll.EQNXTDZ($A$1,$B59,V$1,$B$1)</f>
        <v>0</v>
      </c>
      <c r="W59" s="124" cm="1">
        <f t="array" ref="W59">+_xll.EQNXTDZ($A$1,$B59,W$1,$B$1)</f>
        <v>0</v>
      </c>
      <c r="X59" s="124" cm="1">
        <f t="array" ref="X59">+_xll.EQNXTDZ($A$1,$B59,X$1,$B$1)</f>
        <v>0</v>
      </c>
      <c r="Y59" s="124" cm="1">
        <f t="array" ref="Y59">+_xll.EQNXTDZ($A$1,$B59,Y$1,$B$1)</f>
        <v>0</v>
      </c>
      <c r="Z59" s="124" cm="1">
        <f t="array" ref="Z59">+_xll.EQNXTDZ($A$1,$B59,Z$1,$B$1)</f>
        <v>0</v>
      </c>
      <c r="AA59" s="124" cm="1">
        <f t="array" ref="AA59">+_xll.EQNXTDZ($A$1,$B59,AA$1,$B$1)</f>
        <v>0</v>
      </c>
      <c r="AB59" s="124" cm="1">
        <f t="array" ref="AB59">+_xll.EQNXTDZ($A$1,$B59,AB$1,$B$1)</f>
        <v>0</v>
      </c>
      <c r="AC59" s="124" cm="1">
        <f t="array" ref="AC59">+_xll.EQNXTDZ($A$1,$B59,AC$1,$B$1)</f>
        <v>0</v>
      </c>
      <c r="AD59" s="124" cm="1">
        <f t="array" ref="AD59">+_xll.EQNXTDZ($A$1,$B59,AD$1,$B$1)</f>
        <v>0</v>
      </c>
      <c r="AE59" s="124" cm="1">
        <f t="array" ref="AE59">+_xll.EQNXTDZ($A$1,$B59,AE$1,$B$1)</f>
        <v>0</v>
      </c>
      <c r="AF59" s="124" cm="1">
        <f t="array" ref="AF59">+_xll.EQNXTDZ($A$1,$B59,AF$1,$B$1)</f>
        <v>0</v>
      </c>
      <c r="AG59" s="124" cm="1">
        <f t="array" ref="AG59">+_xll.EQNXTDZ($A$1,$B59,AG$1,$B$1)</f>
        <v>0</v>
      </c>
      <c r="AH59" s="124" cm="1">
        <f t="array" ref="AH59">+_xll.EQNXTDZ($A$1,$B59,AH$1,$B$1)</f>
        <v>0</v>
      </c>
      <c r="AI59" s="124" cm="1">
        <f t="array" ref="AI59">+_xll.EQNXTDZ($A$1,$B59,AI$1,$B$1)</f>
        <v>0</v>
      </c>
      <c r="AJ59" s="124" cm="1">
        <f t="array" ref="AJ59">+_xll.EQNXTDZ($A$1,$B59,AJ$1,$B$1)</f>
        <v>0</v>
      </c>
      <c r="AK59" s="124" cm="1">
        <f t="array" ref="AK59">+_xll.EQNXTDZ($A$1,$B59,AK$1,$B$1)</f>
        <v>0</v>
      </c>
      <c r="AL59" s="124" cm="1">
        <f t="array" ref="AL59">+_xll.EQNXTDZ($A$1,$B59,AL$1,$B$1)</f>
        <v>0</v>
      </c>
      <c r="AM59" s="124" cm="1">
        <f t="array" ref="AM59">+_xll.EQNXTDZ($A$1,$B59,AM$1,$B$1)</f>
        <v>0</v>
      </c>
      <c r="AN59" s="124" cm="1">
        <f t="array" ref="AN59">+_xll.EQNXTDZ($A$1,$B59,AN$1,$B$1)</f>
        <v>0</v>
      </c>
      <c r="AO59" s="124" cm="1">
        <f t="array" ref="AO59">+_xll.EQNXTDZ($A$1,$B59,AO$1,$B$1)</f>
        <v>0</v>
      </c>
      <c r="AP59" s="124" cm="1">
        <f t="array" ref="AP59">+_xll.EQNXTDZ($A$1,$B59,AP$1,$B$1)</f>
        <v>0</v>
      </c>
      <c r="AQ59" s="124" cm="1">
        <f t="array" ref="AQ59">+_xll.EQNXTDZ($A$1,$B59,AQ$1,$B$1)</f>
        <v>0</v>
      </c>
      <c r="AR59" s="124" cm="1">
        <f t="array" ref="AR59">+_xll.EQNXTDZ($A$1,$B59,AR$1,$B$1)</f>
        <v>0</v>
      </c>
      <c r="AS59" s="124" cm="1">
        <f t="array" ref="AS59">+_xll.EQNXTDZ($A$1,$B59,AS$1,$B$1)</f>
        <v>0</v>
      </c>
      <c r="AT59" s="124" cm="1">
        <f t="array" ref="AT59">+_xll.EQNXTDZ($A$1,$B59,AT$1,$B$1)</f>
        <v>0</v>
      </c>
      <c r="AU59" s="124" cm="1">
        <f t="array" ref="AU59">+_xll.EQNXTDZ($A$1,$B59,AU$1,$B$1)</f>
        <v>0</v>
      </c>
      <c r="AV59" s="124" cm="1">
        <f t="array" ref="AV59">+_xll.EQNXTDZ($A$1,$B59,AV$1,$B$1)</f>
        <v>0</v>
      </c>
      <c r="AW59" s="124" cm="1">
        <f t="array" ref="AW59">+_xll.EQNXTDZ($A$1,$B59,AW$1,$B$1)</f>
        <v>0</v>
      </c>
      <c r="AX59" s="124" cm="1">
        <f t="array" ref="AX59">+_xll.EQNXTDZ($A$1,$B59,AX$1,$B$1)</f>
        <v>0</v>
      </c>
      <c r="AY59" s="124" cm="1">
        <f t="array" ref="AY59">+_xll.EQNXTDZ($A$1,$B59,AY$1,$B$1)</f>
        <v>0</v>
      </c>
      <c r="AZ59" s="124" cm="1">
        <f t="array" ref="AZ59">+_xll.EQNXTDZ($A$1,$B59,AZ$1,$B$1)</f>
        <v>0</v>
      </c>
      <c r="BA59" s="124" cm="1">
        <f t="array" ref="BA59">+_xll.EQNXTDZ($A$1,$B59,BA$1,$B$1)</f>
        <v>0</v>
      </c>
      <c r="BB59" s="124" cm="1">
        <f t="array" ref="BB59">+_xll.EQNXTDZ($A$1,$B59,BB$1,$B$1)</f>
        <v>0</v>
      </c>
      <c r="BC59" s="124" cm="1">
        <f t="array" ref="BC59">+_xll.EQNXTDZ($A$1,$B59,BC$1,$B$1)</f>
        <v>0</v>
      </c>
      <c r="BD59" s="124" cm="1">
        <f t="array" ref="BD59">+_xll.EQNXTDZ($A$1,$B59,BD$1,$B$1)</f>
        <v>0</v>
      </c>
      <c r="BE59" s="124" cm="1">
        <f t="array" ref="BE59">+_xll.EQNXTDZ($A$1,$B59,BE$1,$B$1)</f>
        <v>0</v>
      </c>
      <c r="BF59" s="124" cm="1">
        <f t="array" ref="BF59">+_xll.EQNXTDZ($A$1,$B59,BF$1,$B$1)</f>
        <v>0</v>
      </c>
      <c r="BG59" s="124" cm="1">
        <f t="array" ref="BG59">+_xll.EQNXTDZ($A$1,$B59,BG$1,$B$1)</f>
        <v>0</v>
      </c>
      <c r="BH59" s="124" cm="1">
        <f t="array" ref="BH59">+_xll.EQNXTDZ($A$1,$B59,BH$1,$B$1)</f>
        <v>0</v>
      </c>
      <c r="BI59" s="124" cm="1">
        <f t="array" ref="BI59">+_xll.EQNXTDZ($A$1,$B59,BI$1,$B$1)</f>
        <v>0</v>
      </c>
      <c r="BJ59" s="124" cm="1">
        <f t="array" ref="BJ59">+_xll.EQNXTDZ($A$1,$B59,BJ$1,$B$1)</f>
        <v>0</v>
      </c>
      <c r="BK59" s="124" cm="1">
        <f t="array" ref="BK59">+_xll.EQNXTDZ($A$1,$B59,BK$1,$B$1)</f>
        <v>0</v>
      </c>
    </row>
    <row r="60" spans="1:63" x14ac:dyDescent="0.25">
      <c r="A60" t="s">
        <v>202</v>
      </c>
      <c r="B60" t="s">
        <v>320</v>
      </c>
      <c r="C60" s="124" cm="1">
        <f t="array" ref="C60">+_xll.EQNXTDZ($A$1,$B60,C$1,$B$1)</f>
        <v>0</v>
      </c>
      <c r="D60" s="124" cm="1">
        <f t="array" ref="D60">+_xll.EQNXTDZ($A$1,$B60,D$1,$B$1)</f>
        <v>0</v>
      </c>
      <c r="E60" s="124" cm="1">
        <f t="array" ref="E60">+_xll.EQNXTDZ($A$1,$B60,E$1,$B$1)</f>
        <v>0</v>
      </c>
      <c r="F60" s="124" cm="1">
        <f t="array" ref="F60">+_xll.EQNXTDZ($A$1,$B60,F$1,$B$1)</f>
        <v>0</v>
      </c>
      <c r="G60" s="124" cm="1">
        <f t="array" ref="G60">+_xll.EQNXTDZ($A$1,$B60,G$1,$B$1)</f>
        <v>0</v>
      </c>
      <c r="H60" s="124" cm="1">
        <f t="array" ref="H60">+_xll.EQNXTDZ($A$1,$B60,H$1,$B$1)</f>
        <v>0</v>
      </c>
      <c r="I60" s="124" cm="1">
        <f t="array" ref="I60">+_xll.EQNXTDZ($A$1,$B60,I$1,$B$1)</f>
        <v>0</v>
      </c>
      <c r="J60" s="124" cm="1">
        <f t="array" ref="J60">+_xll.EQNXTDZ($A$1,$B60,J$1,$B$1)</f>
        <v>0</v>
      </c>
      <c r="K60" s="124" cm="1">
        <f t="array" ref="K60">+_xll.EQNXTDZ($A$1,$B60,K$1,$B$1)</f>
        <v>0</v>
      </c>
      <c r="L60" s="124" cm="1">
        <f t="array" ref="L60">+_xll.EQNXTDZ($A$1,$B60,L$1,$B$1)</f>
        <v>0</v>
      </c>
      <c r="M60" s="124" cm="1">
        <f t="array" ref="M60">+_xll.EQNXTDZ($A$1,$B60,M$1,$B$1)</f>
        <v>0</v>
      </c>
      <c r="N60" s="124" cm="1">
        <f t="array" ref="N60">+_xll.EQNXTDZ($A$1,$B60,N$1,$B$1)</f>
        <v>0</v>
      </c>
      <c r="O60" s="124" cm="1">
        <f t="array" ref="O60">+_xll.EQNXTDZ($A$1,$B60,O$1,$B$1)</f>
        <v>0</v>
      </c>
      <c r="P60" s="124" cm="1">
        <f t="array" ref="P60">+_xll.EQNXTDZ($A$1,$B60,P$1,$B$1)</f>
        <v>0</v>
      </c>
      <c r="Q60" s="124" cm="1">
        <f t="array" ref="Q60">+_xll.EQNXTDZ($A$1,$B60,Q$1,$B$1)</f>
        <v>0</v>
      </c>
      <c r="R60" s="124" cm="1">
        <f t="array" ref="R60">+_xll.EQNXTDZ($A$1,$B60,R$1,$B$1)</f>
        <v>0</v>
      </c>
      <c r="S60" s="124" cm="1">
        <f t="array" ref="S60">+_xll.EQNXTDZ($A$1,$B60,S$1,$B$1)</f>
        <v>0</v>
      </c>
      <c r="T60" s="124" cm="1">
        <f t="array" ref="T60">+_xll.EQNXTDZ($A$1,$B60,T$1,$B$1)</f>
        <v>0</v>
      </c>
      <c r="U60" s="124" cm="1">
        <f t="array" ref="U60">+_xll.EQNXTDZ($A$1,$B60,U$1,$B$1)</f>
        <v>0</v>
      </c>
      <c r="V60" s="124" cm="1">
        <f t="array" ref="V60">+_xll.EQNXTDZ($A$1,$B60,V$1,$B$1)</f>
        <v>0</v>
      </c>
      <c r="W60" s="124" cm="1">
        <f t="array" ref="W60">+_xll.EQNXTDZ($A$1,$B60,W$1,$B$1)</f>
        <v>0</v>
      </c>
      <c r="X60" s="124" cm="1">
        <f t="array" ref="X60">+_xll.EQNXTDZ($A$1,$B60,X$1,$B$1)</f>
        <v>0</v>
      </c>
      <c r="Y60" s="124" cm="1">
        <f t="array" ref="Y60">+_xll.EQNXTDZ($A$1,$B60,Y$1,$B$1)</f>
        <v>0</v>
      </c>
      <c r="Z60" s="124" cm="1">
        <f t="array" ref="Z60">+_xll.EQNXTDZ($A$1,$B60,Z$1,$B$1)</f>
        <v>0</v>
      </c>
      <c r="AA60" s="124" cm="1">
        <f t="array" ref="AA60">+_xll.EQNXTDZ($A$1,$B60,AA$1,$B$1)</f>
        <v>0</v>
      </c>
      <c r="AB60" s="124" cm="1">
        <f t="array" ref="AB60">+_xll.EQNXTDZ($A$1,$B60,AB$1,$B$1)</f>
        <v>0</v>
      </c>
      <c r="AC60" s="124" cm="1">
        <f t="array" ref="AC60">+_xll.EQNXTDZ($A$1,$B60,AC$1,$B$1)</f>
        <v>0</v>
      </c>
      <c r="AD60" s="124" cm="1">
        <f t="array" ref="AD60">+_xll.EQNXTDZ($A$1,$B60,AD$1,$B$1)</f>
        <v>0</v>
      </c>
      <c r="AE60" s="124" cm="1">
        <f t="array" ref="AE60">+_xll.EQNXTDZ($A$1,$B60,AE$1,$B$1)</f>
        <v>0</v>
      </c>
      <c r="AF60" s="124" cm="1">
        <f t="array" ref="AF60">+_xll.EQNXTDZ($A$1,$B60,AF$1,$B$1)</f>
        <v>0</v>
      </c>
      <c r="AG60" s="124" cm="1">
        <f t="array" ref="AG60">+_xll.EQNXTDZ($A$1,$B60,AG$1,$B$1)</f>
        <v>0</v>
      </c>
      <c r="AH60" s="124" cm="1">
        <f t="array" ref="AH60">+_xll.EQNXTDZ($A$1,$B60,AH$1,$B$1)</f>
        <v>0</v>
      </c>
      <c r="AI60" s="124" cm="1">
        <f t="array" ref="AI60">+_xll.EQNXTDZ($A$1,$B60,AI$1,$B$1)</f>
        <v>0</v>
      </c>
      <c r="AJ60" s="124" cm="1">
        <f t="array" ref="AJ60">+_xll.EQNXTDZ($A$1,$B60,AJ$1,$B$1)</f>
        <v>0</v>
      </c>
      <c r="AK60" s="124" cm="1">
        <f t="array" ref="AK60">+_xll.EQNXTDZ($A$1,$B60,AK$1,$B$1)</f>
        <v>0</v>
      </c>
      <c r="AL60" s="124" cm="1">
        <f t="array" ref="AL60">+_xll.EQNXTDZ($A$1,$B60,AL$1,$B$1)</f>
        <v>0</v>
      </c>
      <c r="AM60" s="124" cm="1">
        <f t="array" ref="AM60">+_xll.EQNXTDZ($A$1,$B60,AM$1,$B$1)</f>
        <v>0</v>
      </c>
      <c r="AN60" s="124" cm="1">
        <f t="array" ref="AN60">+_xll.EQNXTDZ($A$1,$B60,AN$1,$B$1)</f>
        <v>0</v>
      </c>
      <c r="AO60" s="124" cm="1">
        <f t="array" ref="AO60">+_xll.EQNXTDZ($A$1,$B60,AO$1,$B$1)</f>
        <v>0</v>
      </c>
      <c r="AP60" s="124" cm="1">
        <f t="array" ref="AP60">+_xll.EQNXTDZ($A$1,$B60,AP$1,$B$1)</f>
        <v>0</v>
      </c>
      <c r="AQ60" s="124" cm="1">
        <f t="array" ref="AQ60">+_xll.EQNXTDZ($A$1,$B60,AQ$1,$B$1)</f>
        <v>0</v>
      </c>
      <c r="AR60" s="124" cm="1">
        <f t="array" ref="AR60">+_xll.EQNXTDZ($A$1,$B60,AR$1,$B$1)</f>
        <v>0</v>
      </c>
      <c r="AS60" s="124" cm="1">
        <f t="array" ref="AS60">+_xll.EQNXTDZ($A$1,$B60,AS$1,$B$1)</f>
        <v>0</v>
      </c>
      <c r="AT60" s="124" cm="1">
        <f t="array" ref="AT60">+_xll.EQNXTDZ($A$1,$B60,AT$1,$B$1)</f>
        <v>0</v>
      </c>
      <c r="AU60" s="124" cm="1">
        <f t="array" ref="AU60">+_xll.EQNXTDZ($A$1,$B60,AU$1,$B$1)</f>
        <v>0</v>
      </c>
      <c r="AV60" s="124" cm="1">
        <f t="array" ref="AV60">+_xll.EQNXTDZ($A$1,$B60,AV$1,$B$1)</f>
        <v>0</v>
      </c>
      <c r="AW60" s="124" cm="1">
        <f t="array" ref="AW60">+_xll.EQNXTDZ($A$1,$B60,AW$1,$B$1)</f>
        <v>0</v>
      </c>
      <c r="AX60" s="124" cm="1">
        <f t="array" ref="AX60">+_xll.EQNXTDZ($A$1,$B60,AX$1,$B$1)</f>
        <v>0</v>
      </c>
      <c r="AY60" s="124" cm="1">
        <f t="array" ref="AY60">+_xll.EQNXTDZ($A$1,$B60,AY$1,$B$1)</f>
        <v>0</v>
      </c>
      <c r="AZ60" s="124" cm="1">
        <f t="array" ref="AZ60">+_xll.EQNXTDZ($A$1,$B60,AZ$1,$B$1)</f>
        <v>0</v>
      </c>
      <c r="BA60" s="124" cm="1">
        <f t="array" ref="BA60">+_xll.EQNXTDZ($A$1,$B60,BA$1,$B$1)</f>
        <v>0</v>
      </c>
      <c r="BB60" s="124" cm="1">
        <f t="array" ref="BB60">+_xll.EQNXTDZ($A$1,$B60,BB$1,$B$1)</f>
        <v>0</v>
      </c>
      <c r="BC60" s="124" cm="1">
        <f t="array" ref="BC60">+_xll.EQNXTDZ($A$1,$B60,BC$1,$B$1)</f>
        <v>0</v>
      </c>
      <c r="BD60" s="124" cm="1">
        <f t="array" ref="BD60">+_xll.EQNXTDZ($A$1,$B60,BD$1,$B$1)</f>
        <v>0</v>
      </c>
      <c r="BE60" s="124" cm="1">
        <f t="array" ref="BE60">+_xll.EQNXTDZ($A$1,$B60,BE$1,$B$1)</f>
        <v>0</v>
      </c>
      <c r="BF60" s="124" cm="1">
        <f t="array" ref="BF60">+_xll.EQNXTDZ($A$1,$B60,BF$1,$B$1)</f>
        <v>0</v>
      </c>
      <c r="BG60" s="124" cm="1">
        <f t="array" ref="BG60">+_xll.EQNXTDZ($A$1,$B60,BG$1,$B$1)</f>
        <v>0</v>
      </c>
      <c r="BH60" s="124" cm="1">
        <f t="array" ref="BH60">+_xll.EQNXTDZ($A$1,$B60,BH$1,$B$1)</f>
        <v>0</v>
      </c>
      <c r="BI60" s="124" cm="1">
        <f t="array" ref="BI60">+_xll.EQNXTDZ($A$1,$B60,BI$1,$B$1)</f>
        <v>0</v>
      </c>
      <c r="BJ60" s="124" cm="1">
        <f t="array" ref="BJ60">+_xll.EQNXTDZ($A$1,$B60,BJ$1,$B$1)</f>
        <v>0</v>
      </c>
      <c r="BK60" s="124" cm="1">
        <f t="array" ref="BK60">+_xll.EQNXTDZ($A$1,$B60,BK$1,$B$1)</f>
        <v>0</v>
      </c>
    </row>
    <row r="61" spans="1:63" x14ac:dyDescent="0.25">
      <c r="A61" t="s">
        <v>203</v>
      </c>
      <c r="B61" t="s">
        <v>321</v>
      </c>
      <c r="C61" s="124" cm="1">
        <f t="array" ref="C61">+_xll.EQNXTDZ($A$1,$B61,C$1,$B$1)</f>
        <v>0</v>
      </c>
      <c r="D61" s="124" cm="1">
        <f t="array" ref="D61">+_xll.EQNXTDZ($A$1,$B61,D$1,$B$1)</f>
        <v>0</v>
      </c>
      <c r="E61" s="124" cm="1">
        <f t="array" ref="E61">+_xll.EQNXTDZ($A$1,$B61,E$1,$B$1)</f>
        <v>0</v>
      </c>
      <c r="F61" s="124" cm="1">
        <f t="array" ref="F61">+_xll.EQNXTDZ($A$1,$B61,F$1,$B$1)</f>
        <v>0</v>
      </c>
      <c r="G61" s="124" cm="1">
        <f t="array" ref="G61">+_xll.EQNXTDZ($A$1,$B61,G$1,$B$1)</f>
        <v>0</v>
      </c>
      <c r="H61" s="124" cm="1">
        <f t="array" ref="H61">+_xll.EQNXTDZ($A$1,$B61,H$1,$B$1)</f>
        <v>0</v>
      </c>
      <c r="I61" s="124" cm="1">
        <f t="array" ref="I61">+_xll.EQNXTDZ($A$1,$B61,I$1,$B$1)</f>
        <v>0</v>
      </c>
      <c r="J61" s="124" cm="1">
        <f t="array" ref="J61">+_xll.EQNXTDZ($A$1,$B61,J$1,$B$1)</f>
        <v>0</v>
      </c>
      <c r="K61" s="124" cm="1">
        <f t="array" ref="K61">+_xll.EQNXTDZ($A$1,$B61,K$1,$B$1)</f>
        <v>0</v>
      </c>
      <c r="L61" s="124" cm="1">
        <f t="array" ref="L61">+_xll.EQNXTDZ($A$1,$B61,L$1,$B$1)</f>
        <v>0</v>
      </c>
      <c r="M61" s="124" cm="1">
        <f t="array" ref="M61">+_xll.EQNXTDZ($A$1,$B61,M$1,$B$1)</f>
        <v>0</v>
      </c>
      <c r="N61" s="124" cm="1">
        <f t="array" ref="N61">+_xll.EQNXTDZ($A$1,$B61,N$1,$B$1)</f>
        <v>0</v>
      </c>
      <c r="O61" s="124" cm="1">
        <f t="array" ref="O61">+_xll.EQNXTDZ($A$1,$B61,O$1,$B$1)</f>
        <v>0</v>
      </c>
      <c r="P61" s="124" cm="1">
        <f t="array" ref="P61">+_xll.EQNXTDZ($A$1,$B61,P$1,$B$1)</f>
        <v>0</v>
      </c>
      <c r="Q61" s="124" cm="1">
        <f t="array" ref="Q61">+_xll.EQNXTDZ($A$1,$B61,Q$1,$B$1)</f>
        <v>0</v>
      </c>
      <c r="R61" s="124" cm="1">
        <f t="array" ref="R61">+_xll.EQNXTDZ($A$1,$B61,R$1,$B$1)</f>
        <v>0</v>
      </c>
      <c r="S61" s="124" cm="1">
        <f t="array" ref="S61">+_xll.EQNXTDZ($A$1,$B61,S$1,$B$1)</f>
        <v>0</v>
      </c>
      <c r="T61" s="124" cm="1">
        <f t="array" ref="T61">+_xll.EQNXTDZ($A$1,$B61,T$1,$B$1)</f>
        <v>0</v>
      </c>
      <c r="U61" s="124" cm="1">
        <f t="array" ref="U61">+_xll.EQNXTDZ($A$1,$B61,U$1,$B$1)</f>
        <v>0</v>
      </c>
      <c r="V61" s="124" cm="1">
        <f t="array" ref="V61">+_xll.EQNXTDZ($A$1,$B61,V$1,$B$1)</f>
        <v>0</v>
      </c>
      <c r="W61" s="124" cm="1">
        <f t="array" ref="W61">+_xll.EQNXTDZ($A$1,$B61,W$1,$B$1)</f>
        <v>0</v>
      </c>
      <c r="X61" s="124" cm="1">
        <f t="array" ref="X61">+_xll.EQNXTDZ($A$1,$B61,X$1,$B$1)</f>
        <v>0</v>
      </c>
      <c r="Y61" s="124" cm="1">
        <f t="array" ref="Y61">+_xll.EQNXTDZ($A$1,$B61,Y$1,$B$1)</f>
        <v>0</v>
      </c>
      <c r="Z61" s="124" cm="1">
        <f t="array" ref="Z61">+_xll.EQNXTDZ($A$1,$B61,Z$1,$B$1)</f>
        <v>0</v>
      </c>
      <c r="AA61" s="124" cm="1">
        <f t="array" ref="AA61">+_xll.EQNXTDZ($A$1,$B61,AA$1,$B$1)</f>
        <v>0</v>
      </c>
      <c r="AB61" s="124" cm="1">
        <f t="array" ref="AB61">+_xll.EQNXTDZ($A$1,$B61,AB$1,$B$1)</f>
        <v>0</v>
      </c>
      <c r="AC61" s="124" cm="1">
        <f t="array" ref="AC61">+_xll.EQNXTDZ($A$1,$B61,AC$1,$B$1)</f>
        <v>0</v>
      </c>
      <c r="AD61" s="124" cm="1">
        <f t="array" ref="AD61">+_xll.EQNXTDZ($A$1,$B61,AD$1,$B$1)</f>
        <v>0</v>
      </c>
      <c r="AE61" s="124" cm="1">
        <f t="array" ref="AE61">+_xll.EQNXTDZ($A$1,$B61,AE$1,$B$1)</f>
        <v>0</v>
      </c>
      <c r="AF61" s="124" cm="1">
        <f t="array" ref="AF61">+_xll.EQNXTDZ($A$1,$B61,AF$1,$B$1)</f>
        <v>0</v>
      </c>
      <c r="AG61" s="124" cm="1">
        <f t="array" ref="AG61">+_xll.EQNXTDZ($A$1,$B61,AG$1,$B$1)</f>
        <v>0</v>
      </c>
      <c r="AH61" s="124" cm="1">
        <f t="array" ref="AH61">+_xll.EQNXTDZ($A$1,$B61,AH$1,$B$1)</f>
        <v>0</v>
      </c>
      <c r="AI61" s="124" cm="1">
        <f t="array" ref="AI61">+_xll.EQNXTDZ($A$1,$B61,AI$1,$B$1)</f>
        <v>0</v>
      </c>
      <c r="AJ61" s="124" cm="1">
        <f t="array" ref="AJ61">+_xll.EQNXTDZ($A$1,$B61,AJ$1,$B$1)</f>
        <v>0</v>
      </c>
      <c r="AK61" s="124" cm="1">
        <f t="array" ref="AK61">+_xll.EQNXTDZ($A$1,$B61,AK$1,$B$1)</f>
        <v>0</v>
      </c>
      <c r="AL61" s="124" cm="1">
        <f t="array" ref="AL61">+_xll.EQNXTDZ($A$1,$B61,AL$1,$B$1)</f>
        <v>0</v>
      </c>
      <c r="AM61" s="124" cm="1">
        <f t="array" ref="AM61">+_xll.EQNXTDZ($A$1,$B61,AM$1,$B$1)</f>
        <v>0</v>
      </c>
      <c r="AN61" s="124" cm="1">
        <f t="array" ref="AN61">+_xll.EQNXTDZ($A$1,$B61,AN$1,$B$1)</f>
        <v>0</v>
      </c>
      <c r="AO61" s="124" cm="1">
        <f t="array" ref="AO61">+_xll.EQNXTDZ($A$1,$B61,AO$1,$B$1)</f>
        <v>0</v>
      </c>
      <c r="AP61" s="124" cm="1">
        <f t="array" ref="AP61">+_xll.EQNXTDZ($A$1,$B61,AP$1,$B$1)</f>
        <v>0</v>
      </c>
      <c r="AQ61" s="124" cm="1">
        <f t="array" ref="AQ61">+_xll.EQNXTDZ($A$1,$B61,AQ$1,$B$1)</f>
        <v>0</v>
      </c>
      <c r="AR61" s="124" cm="1">
        <f t="array" ref="AR61">+_xll.EQNXTDZ($A$1,$B61,AR$1,$B$1)</f>
        <v>0</v>
      </c>
      <c r="AS61" s="124" cm="1">
        <f t="array" ref="AS61">+_xll.EQNXTDZ($A$1,$B61,AS$1,$B$1)</f>
        <v>0</v>
      </c>
      <c r="AT61" s="124" cm="1">
        <f t="array" ref="AT61">+_xll.EQNXTDZ($A$1,$B61,AT$1,$B$1)</f>
        <v>0</v>
      </c>
      <c r="AU61" s="124" cm="1">
        <f t="array" ref="AU61">+_xll.EQNXTDZ($A$1,$B61,AU$1,$B$1)</f>
        <v>0</v>
      </c>
      <c r="AV61" s="124" cm="1">
        <f t="array" ref="AV61">+_xll.EQNXTDZ($A$1,$B61,AV$1,$B$1)</f>
        <v>0</v>
      </c>
      <c r="AW61" s="124" cm="1">
        <f t="array" ref="AW61">+_xll.EQNXTDZ($A$1,$B61,AW$1,$B$1)</f>
        <v>0</v>
      </c>
      <c r="AX61" s="124" cm="1">
        <f t="array" ref="AX61">+_xll.EQNXTDZ($A$1,$B61,AX$1,$B$1)</f>
        <v>0</v>
      </c>
      <c r="AY61" s="124" cm="1">
        <f t="array" ref="AY61">+_xll.EQNXTDZ($A$1,$B61,AY$1,$B$1)</f>
        <v>0</v>
      </c>
      <c r="AZ61" s="124" cm="1">
        <f t="array" ref="AZ61">+_xll.EQNXTDZ($A$1,$B61,AZ$1,$B$1)</f>
        <v>0</v>
      </c>
      <c r="BA61" s="124" cm="1">
        <f t="array" ref="BA61">+_xll.EQNXTDZ($A$1,$B61,BA$1,$B$1)</f>
        <v>0</v>
      </c>
      <c r="BB61" s="124" cm="1">
        <f t="array" ref="BB61">+_xll.EQNXTDZ($A$1,$B61,BB$1,$B$1)</f>
        <v>0</v>
      </c>
      <c r="BC61" s="124" cm="1">
        <f t="array" ref="BC61">+_xll.EQNXTDZ($A$1,$B61,BC$1,$B$1)</f>
        <v>0</v>
      </c>
      <c r="BD61" s="124" cm="1">
        <f t="array" ref="BD61">+_xll.EQNXTDZ($A$1,$B61,BD$1,$B$1)</f>
        <v>0</v>
      </c>
      <c r="BE61" s="124" cm="1">
        <f t="array" ref="BE61">+_xll.EQNXTDZ($A$1,$B61,BE$1,$B$1)</f>
        <v>0</v>
      </c>
      <c r="BF61" s="124" cm="1">
        <f t="array" ref="BF61">+_xll.EQNXTDZ($A$1,$B61,BF$1,$B$1)</f>
        <v>0</v>
      </c>
      <c r="BG61" s="124" cm="1">
        <f t="array" ref="BG61">+_xll.EQNXTDZ($A$1,$B61,BG$1,$B$1)</f>
        <v>0</v>
      </c>
      <c r="BH61" s="124" cm="1">
        <f t="array" ref="BH61">+_xll.EQNXTDZ($A$1,$B61,BH$1,$B$1)</f>
        <v>0</v>
      </c>
      <c r="BI61" s="124" cm="1">
        <f t="array" ref="BI61">+_xll.EQNXTDZ($A$1,$B61,BI$1,$B$1)</f>
        <v>0</v>
      </c>
      <c r="BJ61" s="124" cm="1">
        <f t="array" ref="BJ61">+_xll.EQNXTDZ($A$1,$B61,BJ$1,$B$1)</f>
        <v>0</v>
      </c>
      <c r="BK61" s="124" cm="1">
        <f t="array" ref="BK61">+_xll.EQNXTDZ($A$1,$B61,BK$1,$B$1)</f>
        <v>0</v>
      </c>
    </row>
    <row r="62" spans="1:63" x14ac:dyDescent="0.25">
      <c r="A62" t="s">
        <v>204</v>
      </c>
      <c r="B62" t="s">
        <v>322</v>
      </c>
      <c r="C62" s="124" cm="1">
        <f t="array" ref="C62">+_xll.EQNXTDZ($A$1,$B62,C$1,$B$1)</f>
        <v>0</v>
      </c>
      <c r="D62" s="124" cm="1">
        <f t="array" ref="D62">+_xll.EQNXTDZ($A$1,$B62,D$1,$B$1)</f>
        <v>0</v>
      </c>
      <c r="E62" s="124" cm="1">
        <f t="array" ref="E62">+_xll.EQNXTDZ($A$1,$B62,E$1,$B$1)</f>
        <v>0</v>
      </c>
      <c r="F62" s="124" cm="1">
        <f t="array" ref="F62">+_xll.EQNXTDZ($A$1,$B62,F$1,$B$1)</f>
        <v>0</v>
      </c>
      <c r="G62" s="124" cm="1">
        <f t="array" ref="G62">+_xll.EQNXTDZ($A$1,$B62,G$1,$B$1)</f>
        <v>0</v>
      </c>
      <c r="H62" s="124" cm="1">
        <f t="array" ref="H62">+_xll.EQNXTDZ($A$1,$B62,H$1,$B$1)</f>
        <v>0</v>
      </c>
      <c r="I62" s="124" cm="1">
        <f t="array" ref="I62">+_xll.EQNXTDZ($A$1,$B62,I$1,$B$1)</f>
        <v>0</v>
      </c>
      <c r="J62" s="124" cm="1">
        <f t="array" ref="J62">+_xll.EQNXTDZ($A$1,$B62,J$1,$B$1)</f>
        <v>0</v>
      </c>
      <c r="K62" s="124" cm="1">
        <f t="array" ref="K62">+_xll.EQNXTDZ($A$1,$B62,K$1,$B$1)</f>
        <v>0</v>
      </c>
      <c r="L62" s="124" cm="1">
        <f t="array" ref="L62">+_xll.EQNXTDZ($A$1,$B62,L$1,$B$1)</f>
        <v>0</v>
      </c>
      <c r="M62" s="124" cm="1">
        <f t="array" ref="M62">+_xll.EQNXTDZ($A$1,$B62,M$1,$B$1)</f>
        <v>0</v>
      </c>
      <c r="N62" s="124" cm="1">
        <f t="array" ref="N62">+_xll.EQNXTDZ($A$1,$B62,N$1,$B$1)</f>
        <v>0</v>
      </c>
      <c r="O62" s="124" cm="1">
        <f t="array" ref="O62">+_xll.EQNXTDZ($A$1,$B62,O$1,$B$1)</f>
        <v>0</v>
      </c>
      <c r="P62" s="124" cm="1">
        <f t="array" ref="P62">+_xll.EQNXTDZ($A$1,$B62,P$1,$B$1)</f>
        <v>0</v>
      </c>
      <c r="Q62" s="124" cm="1">
        <f t="array" ref="Q62">+_xll.EQNXTDZ($A$1,$B62,Q$1,$B$1)</f>
        <v>0</v>
      </c>
      <c r="R62" s="124" cm="1">
        <f t="array" ref="R62">+_xll.EQNXTDZ($A$1,$B62,R$1,$B$1)</f>
        <v>0</v>
      </c>
      <c r="S62" s="124" cm="1">
        <f t="array" ref="S62">+_xll.EQNXTDZ($A$1,$B62,S$1,$B$1)</f>
        <v>0</v>
      </c>
      <c r="T62" s="124" cm="1">
        <f t="array" ref="T62">+_xll.EQNXTDZ($A$1,$B62,T$1,$B$1)</f>
        <v>0</v>
      </c>
      <c r="U62" s="124" cm="1">
        <f t="array" ref="U62">+_xll.EQNXTDZ($A$1,$B62,U$1,$B$1)</f>
        <v>0</v>
      </c>
      <c r="V62" s="124" cm="1">
        <f t="array" ref="V62">+_xll.EQNXTDZ($A$1,$B62,V$1,$B$1)</f>
        <v>0</v>
      </c>
      <c r="W62" s="124" cm="1">
        <f t="array" ref="W62">+_xll.EQNXTDZ($A$1,$B62,W$1,$B$1)</f>
        <v>0</v>
      </c>
      <c r="X62" s="124" cm="1">
        <f t="array" ref="X62">+_xll.EQNXTDZ($A$1,$B62,X$1,$B$1)</f>
        <v>0</v>
      </c>
      <c r="Y62" s="124" cm="1">
        <f t="array" ref="Y62">+_xll.EQNXTDZ($A$1,$B62,Y$1,$B$1)</f>
        <v>0</v>
      </c>
      <c r="Z62" s="124" cm="1">
        <f t="array" ref="Z62">+_xll.EQNXTDZ($A$1,$B62,Z$1,$B$1)</f>
        <v>0</v>
      </c>
      <c r="AA62" s="124" cm="1">
        <f t="array" ref="AA62">+_xll.EQNXTDZ($A$1,$B62,AA$1,$B$1)</f>
        <v>0</v>
      </c>
      <c r="AB62" s="124" cm="1">
        <f t="array" ref="AB62">+_xll.EQNXTDZ($A$1,$B62,AB$1,$B$1)</f>
        <v>0</v>
      </c>
      <c r="AC62" s="124" cm="1">
        <f t="array" ref="AC62">+_xll.EQNXTDZ($A$1,$B62,AC$1,$B$1)</f>
        <v>0</v>
      </c>
      <c r="AD62" s="124" cm="1">
        <f t="array" ref="AD62">+_xll.EQNXTDZ($A$1,$B62,AD$1,$B$1)</f>
        <v>0</v>
      </c>
      <c r="AE62" s="124" cm="1">
        <f t="array" ref="AE62">+_xll.EQNXTDZ($A$1,$B62,AE$1,$B$1)</f>
        <v>0</v>
      </c>
      <c r="AF62" s="124" cm="1">
        <f t="array" ref="AF62">+_xll.EQNXTDZ($A$1,$B62,AF$1,$B$1)</f>
        <v>0</v>
      </c>
      <c r="AG62" s="124" cm="1">
        <f t="array" ref="AG62">+_xll.EQNXTDZ($A$1,$B62,AG$1,$B$1)</f>
        <v>0</v>
      </c>
      <c r="AH62" s="124" cm="1">
        <f t="array" ref="AH62">+_xll.EQNXTDZ($A$1,$B62,AH$1,$B$1)</f>
        <v>0</v>
      </c>
      <c r="AI62" s="124" cm="1">
        <f t="array" ref="AI62">+_xll.EQNXTDZ($A$1,$B62,AI$1,$B$1)</f>
        <v>0</v>
      </c>
      <c r="AJ62" s="124" cm="1">
        <f t="array" ref="AJ62">+_xll.EQNXTDZ($A$1,$B62,AJ$1,$B$1)</f>
        <v>0</v>
      </c>
      <c r="AK62" s="124" cm="1">
        <f t="array" ref="AK62">+_xll.EQNXTDZ($A$1,$B62,AK$1,$B$1)</f>
        <v>0</v>
      </c>
      <c r="AL62" s="124" cm="1">
        <f t="array" ref="AL62">+_xll.EQNXTDZ($A$1,$B62,AL$1,$B$1)</f>
        <v>0</v>
      </c>
      <c r="AM62" s="124" cm="1">
        <f t="array" ref="AM62">+_xll.EQNXTDZ($A$1,$B62,AM$1,$B$1)</f>
        <v>0</v>
      </c>
      <c r="AN62" s="124" cm="1">
        <f t="array" ref="AN62">+_xll.EQNXTDZ($A$1,$B62,AN$1,$B$1)</f>
        <v>0</v>
      </c>
      <c r="AO62" s="124" cm="1">
        <f t="array" ref="AO62">+_xll.EQNXTDZ($A$1,$B62,AO$1,$B$1)</f>
        <v>0</v>
      </c>
      <c r="AP62" s="124" cm="1">
        <f t="array" ref="AP62">+_xll.EQNXTDZ($A$1,$B62,AP$1,$B$1)</f>
        <v>0</v>
      </c>
      <c r="AQ62" s="124" cm="1">
        <f t="array" ref="AQ62">+_xll.EQNXTDZ($A$1,$B62,AQ$1,$B$1)</f>
        <v>0</v>
      </c>
      <c r="AR62" s="124" cm="1">
        <f t="array" ref="AR62">+_xll.EQNXTDZ($A$1,$B62,AR$1,$B$1)</f>
        <v>0</v>
      </c>
      <c r="AS62" s="124" cm="1">
        <f t="array" ref="AS62">+_xll.EQNXTDZ($A$1,$B62,AS$1,$B$1)</f>
        <v>0</v>
      </c>
      <c r="AT62" s="124" cm="1">
        <f t="array" ref="AT62">+_xll.EQNXTDZ($A$1,$B62,AT$1,$B$1)</f>
        <v>0</v>
      </c>
      <c r="AU62" s="124" cm="1">
        <f t="array" ref="AU62">+_xll.EQNXTDZ($A$1,$B62,AU$1,$B$1)</f>
        <v>0</v>
      </c>
      <c r="AV62" s="124" cm="1">
        <f t="array" ref="AV62">+_xll.EQNXTDZ($A$1,$B62,AV$1,$B$1)</f>
        <v>0</v>
      </c>
      <c r="AW62" s="124" cm="1">
        <f t="array" ref="AW62">+_xll.EQNXTDZ($A$1,$B62,AW$1,$B$1)</f>
        <v>0</v>
      </c>
      <c r="AX62" s="124" cm="1">
        <f t="array" ref="AX62">+_xll.EQNXTDZ($A$1,$B62,AX$1,$B$1)</f>
        <v>0</v>
      </c>
      <c r="AY62" s="124" cm="1">
        <f t="array" ref="AY62">+_xll.EQNXTDZ($A$1,$B62,AY$1,$B$1)</f>
        <v>0</v>
      </c>
      <c r="AZ62" s="124" cm="1">
        <f t="array" ref="AZ62">+_xll.EQNXTDZ($A$1,$B62,AZ$1,$B$1)</f>
        <v>0</v>
      </c>
      <c r="BA62" s="124" cm="1">
        <f t="array" ref="BA62">+_xll.EQNXTDZ($A$1,$B62,BA$1,$B$1)</f>
        <v>0</v>
      </c>
      <c r="BB62" s="124" cm="1">
        <f t="array" ref="BB62">+_xll.EQNXTDZ($A$1,$B62,BB$1,$B$1)</f>
        <v>0</v>
      </c>
      <c r="BC62" s="124" cm="1">
        <f t="array" ref="BC62">+_xll.EQNXTDZ($A$1,$B62,BC$1,$B$1)</f>
        <v>0</v>
      </c>
      <c r="BD62" s="124" cm="1">
        <f t="array" ref="BD62">+_xll.EQNXTDZ($A$1,$B62,BD$1,$B$1)</f>
        <v>0</v>
      </c>
      <c r="BE62" s="124" cm="1">
        <f t="array" ref="BE62">+_xll.EQNXTDZ($A$1,$B62,BE$1,$B$1)</f>
        <v>0</v>
      </c>
      <c r="BF62" s="124" cm="1">
        <f t="array" ref="BF62">+_xll.EQNXTDZ($A$1,$B62,BF$1,$B$1)</f>
        <v>0</v>
      </c>
      <c r="BG62" s="124" cm="1">
        <f t="array" ref="BG62">+_xll.EQNXTDZ($A$1,$B62,BG$1,$B$1)</f>
        <v>0</v>
      </c>
      <c r="BH62" s="124" cm="1">
        <f t="array" ref="BH62">+_xll.EQNXTDZ($A$1,$B62,BH$1,$B$1)</f>
        <v>0</v>
      </c>
      <c r="BI62" s="124" cm="1">
        <f t="array" ref="BI62">+_xll.EQNXTDZ($A$1,$B62,BI$1,$B$1)</f>
        <v>0</v>
      </c>
      <c r="BJ62" s="124" cm="1">
        <f t="array" ref="BJ62">+_xll.EQNXTDZ($A$1,$B62,BJ$1,$B$1)</f>
        <v>0</v>
      </c>
      <c r="BK62" s="124" cm="1">
        <f t="array" ref="BK62">+_xll.EQNXTDZ($A$1,$B62,BK$1,$B$1)</f>
        <v>0</v>
      </c>
    </row>
    <row r="63" spans="1:63" x14ac:dyDescent="0.25">
      <c r="A63" t="s">
        <v>205</v>
      </c>
      <c r="B63" t="s">
        <v>323</v>
      </c>
      <c r="C63" s="124" cm="1">
        <f t="array" ref="C63">+_xll.EQNXTDZ($A$1,$B63,C$1,$B$1)</f>
        <v>0</v>
      </c>
      <c r="D63" s="124" cm="1">
        <f t="array" ref="D63">+_xll.EQNXTDZ($A$1,$B63,D$1,$B$1)</f>
        <v>0</v>
      </c>
      <c r="E63" s="124" cm="1">
        <f t="array" ref="E63">+_xll.EQNXTDZ($A$1,$B63,E$1,$B$1)</f>
        <v>0</v>
      </c>
      <c r="F63" s="124" cm="1">
        <f t="array" ref="F63">+_xll.EQNXTDZ($A$1,$B63,F$1,$B$1)</f>
        <v>0</v>
      </c>
      <c r="G63" s="124" cm="1">
        <f t="array" ref="G63">+_xll.EQNXTDZ($A$1,$B63,G$1,$B$1)</f>
        <v>0</v>
      </c>
      <c r="H63" s="124" cm="1">
        <f t="array" ref="H63">+_xll.EQNXTDZ($A$1,$B63,H$1,$B$1)</f>
        <v>0</v>
      </c>
      <c r="I63" s="124" cm="1">
        <f t="array" ref="I63">+_xll.EQNXTDZ($A$1,$B63,I$1,$B$1)</f>
        <v>0</v>
      </c>
      <c r="J63" s="124" cm="1">
        <f t="array" ref="J63">+_xll.EQNXTDZ($A$1,$B63,J$1,$B$1)</f>
        <v>0</v>
      </c>
      <c r="K63" s="124" cm="1">
        <f t="array" ref="K63">+_xll.EQNXTDZ($A$1,$B63,K$1,$B$1)</f>
        <v>0</v>
      </c>
      <c r="L63" s="124" cm="1">
        <f t="array" ref="L63">+_xll.EQNXTDZ($A$1,$B63,L$1,$B$1)</f>
        <v>0</v>
      </c>
      <c r="M63" s="124" cm="1">
        <f t="array" ref="M63">+_xll.EQNXTDZ($A$1,$B63,M$1,$B$1)</f>
        <v>0</v>
      </c>
      <c r="N63" s="124" cm="1">
        <f t="array" ref="N63">+_xll.EQNXTDZ($A$1,$B63,N$1,$B$1)</f>
        <v>0</v>
      </c>
      <c r="O63" s="124" cm="1">
        <f t="array" ref="O63">+_xll.EQNXTDZ($A$1,$B63,O$1,$B$1)</f>
        <v>0</v>
      </c>
      <c r="P63" s="124" cm="1">
        <f t="array" ref="P63">+_xll.EQNXTDZ($A$1,$B63,P$1,$B$1)</f>
        <v>0</v>
      </c>
      <c r="Q63" s="124" cm="1">
        <f t="array" ref="Q63">+_xll.EQNXTDZ($A$1,$B63,Q$1,$B$1)</f>
        <v>0</v>
      </c>
      <c r="R63" s="124" cm="1">
        <f t="array" ref="R63">+_xll.EQNXTDZ($A$1,$B63,R$1,$B$1)</f>
        <v>0</v>
      </c>
      <c r="S63" s="124" cm="1">
        <f t="array" ref="S63">+_xll.EQNXTDZ($A$1,$B63,S$1,$B$1)</f>
        <v>0</v>
      </c>
      <c r="T63" s="124" cm="1">
        <f t="array" ref="T63">+_xll.EQNXTDZ($A$1,$B63,T$1,$B$1)</f>
        <v>0</v>
      </c>
      <c r="U63" s="124" cm="1">
        <f t="array" ref="U63">+_xll.EQNXTDZ($A$1,$B63,U$1,$B$1)</f>
        <v>0</v>
      </c>
      <c r="V63" s="124" cm="1">
        <f t="array" ref="V63">+_xll.EQNXTDZ($A$1,$B63,V$1,$B$1)</f>
        <v>0</v>
      </c>
      <c r="W63" s="124" cm="1">
        <f t="array" ref="W63">+_xll.EQNXTDZ($A$1,$B63,W$1,$B$1)</f>
        <v>0</v>
      </c>
      <c r="X63" s="124" cm="1">
        <f t="array" ref="X63">+_xll.EQNXTDZ($A$1,$B63,X$1,$B$1)</f>
        <v>0</v>
      </c>
      <c r="Y63" s="124" cm="1">
        <f t="array" ref="Y63">+_xll.EQNXTDZ($A$1,$B63,Y$1,$B$1)</f>
        <v>0</v>
      </c>
      <c r="Z63" s="124" cm="1">
        <f t="array" ref="Z63">+_xll.EQNXTDZ($A$1,$B63,Z$1,$B$1)</f>
        <v>0</v>
      </c>
      <c r="AA63" s="124" cm="1">
        <f t="array" ref="AA63">+_xll.EQNXTDZ($A$1,$B63,AA$1,$B$1)</f>
        <v>0</v>
      </c>
      <c r="AB63" s="124" cm="1">
        <f t="array" ref="AB63">+_xll.EQNXTDZ($A$1,$B63,AB$1,$B$1)</f>
        <v>0</v>
      </c>
      <c r="AC63" s="124" cm="1">
        <f t="array" ref="AC63">+_xll.EQNXTDZ($A$1,$B63,AC$1,$B$1)</f>
        <v>0</v>
      </c>
      <c r="AD63" s="124" cm="1">
        <f t="array" ref="AD63">+_xll.EQNXTDZ($A$1,$B63,AD$1,$B$1)</f>
        <v>0</v>
      </c>
      <c r="AE63" s="124" cm="1">
        <f t="array" ref="AE63">+_xll.EQNXTDZ($A$1,$B63,AE$1,$B$1)</f>
        <v>0</v>
      </c>
      <c r="AF63" s="124" cm="1">
        <f t="array" ref="AF63">+_xll.EQNXTDZ($A$1,$B63,AF$1,$B$1)</f>
        <v>0</v>
      </c>
      <c r="AG63" s="124" cm="1">
        <f t="array" ref="AG63">+_xll.EQNXTDZ($A$1,$B63,AG$1,$B$1)</f>
        <v>0</v>
      </c>
      <c r="AH63" s="124" cm="1">
        <f t="array" ref="AH63">+_xll.EQNXTDZ($A$1,$B63,AH$1,$B$1)</f>
        <v>0</v>
      </c>
      <c r="AI63" s="124" cm="1">
        <f t="array" ref="AI63">+_xll.EQNXTDZ($A$1,$B63,AI$1,$B$1)</f>
        <v>0</v>
      </c>
      <c r="AJ63" s="124" cm="1">
        <f t="array" ref="AJ63">+_xll.EQNXTDZ($A$1,$B63,AJ$1,$B$1)</f>
        <v>0</v>
      </c>
      <c r="AK63" s="124" cm="1">
        <f t="array" ref="AK63">+_xll.EQNXTDZ($A$1,$B63,AK$1,$B$1)</f>
        <v>0</v>
      </c>
      <c r="AL63" s="124" cm="1">
        <f t="array" ref="AL63">+_xll.EQNXTDZ($A$1,$B63,AL$1,$B$1)</f>
        <v>0</v>
      </c>
      <c r="AM63" s="124" cm="1">
        <f t="array" ref="AM63">+_xll.EQNXTDZ($A$1,$B63,AM$1,$B$1)</f>
        <v>0</v>
      </c>
      <c r="AN63" s="124" cm="1">
        <f t="array" ref="AN63">+_xll.EQNXTDZ($A$1,$B63,AN$1,$B$1)</f>
        <v>0</v>
      </c>
      <c r="AO63" s="124" cm="1">
        <f t="array" ref="AO63">+_xll.EQNXTDZ($A$1,$B63,AO$1,$B$1)</f>
        <v>0</v>
      </c>
      <c r="AP63" s="124" cm="1">
        <f t="array" ref="AP63">+_xll.EQNXTDZ($A$1,$B63,AP$1,$B$1)</f>
        <v>0</v>
      </c>
      <c r="AQ63" s="124" cm="1">
        <f t="array" ref="AQ63">+_xll.EQNXTDZ($A$1,$B63,AQ$1,$B$1)</f>
        <v>0</v>
      </c>
      <c r="AR63" s="124" cm="1">
        <f t="array" ref="AR63">+_xll.EQNXTDZ($A$1,$B63,AR$1,$B$1)</f>
        <v>0</v>
      </c>
      <c r="AS63" s="124" cm="1">
        <f t="array" ref="AS63">+_xll.EQNXTDZ($A$1,$B63,AS$1,$B$1)</f>
        <v>0</v>
      </c>
      <c r="AT63" s="124" cm="1">
        <f t="array" ref="AT63">+_xll.EQNXTDZ($A$1,$B63,AT$1,$B$1)</f>
        <v>0</v>
      </c>
      <c r="AU63" s="124" cm="1">
        <f t="array" ref="AU63">+_xll.EQNXTDZ($A$1,$B63,AU$1,$B$1)</f>
        <v>0</v>
      </c>
      <c r="AV63" s="124" cm="1">
        <f t="array" ref="AV63">+_xll.EQNXTDZ($A$1,$B63,AV$1,$B$1)</f>
        <v>0</v>
      </c>
      <c r="AW63" s="124" cm="1">
        <f t="array" ref="AW63">+_xll.EQNXTDZ($A$1,$B63,AW$1,$B$1)</f>
        <v>0</v>
      </c>
      <c r="AX63" s="124" cm="1">
        <f t="array" ref="AX63">+_xll.EQNXTDZ($A$1,$B63,AX$1,$B$1)</f>
        <v>0</v>
      </c>
      <c r="AY63" s="124" cm="1">
        <f t="array" ref="AY63">+_xll.EQNXTDZ($A$1,$B63,AY$1,$B$1)</f>
        <v>0</v>
      </c>
      <c r="AZ63" s="124" cm="1">
        <f t="array" ref="AZ63">+_xll.EQNXTDZ($A$1,$B63,AZ$1,$B$1)</f>
        <v>0</v>
      </c>
      <c r="BA63" s="124" cm="1">
        <f t="array" ref="BA63">+_xll.EQNXTDZ($A$1,$B63,BA$1,$B$1)</f>
        <v>0</v>
      </c>
      <c r="BB63" s="124" cm="1">
        <f t="array" ref="BB63">+_xll.EQNXTDZ($A$1,$B63,BB$1,$B$1)</f>
        <v>0</v>
      </c>
      <c r="BC63" s="124" cm="1">
        <f t="array" ref="BC63">+_xll.EQNXTDZ($A$1,$B63,BC$1,$B$1)</f>
        <v>0</v>
      </c>
      <c r="BD63" s="124" cm="1">
        <f t="array" ref="BD63">+_xll.EQNXTDZ($A$1,$B63,BD$1,$B$1)</f>
        <v>0</v>
      </c>
      <c r="BE63" s="124" cm="1">
        <f t="array" ref="BE63">+_xll.EQNXTDZ($A$1,$B63,BE$1,$B$1)</f>
        <v>0</v>
      </c>
      <c r="BF63" s="124" cm="1">
        <f t="array" ref="BF63">+_xll.EQNXTDZ($A$1,$B63,BF$1,$B$1)</f>
        <v>0</v>
      </c>
      <c r="BG63" s="124" cm="1">
        <f t="array" ref="BG63">+_xll.EQNXTDZ($A$1,$B63,BG$1,$B$1)</f>
        <v>0</v>
      </c>
      <c r="BH63" s="124" cm="1">
        <f t="array" ref="BH63">+_xll.EQNXTDZ($A$1,$B63,BH$1,$B$1)</f>
        <v>0</v>
      </c>
      <c r="BI63" s="124" cm="1">
        <f t="array" ref="BI63">+_xll.EQNXTDZ($A$1,$B63,BI$1,$B$1)</f>
        <v>0</v>
      </c>
      <c r="BJ63" s="124" cm="1">
        <f t="array" ref="BJ63">+_xll.EQNXTDZ($A$1,$B63,BJ$1,$B$1)</f>
        <v>0</v>
      </c>
      <c r="BK63" s="124" cm="1">
        <f t="array" ref="BK63">+_xll.EQNXTDZ($A$1,$B63,BK$1,$B$1)</f>
        <v>0</v>
      </c>
    </row>
    <row r="64" spans="1:63" x14ac:dyDescent="0.25">
      <c r="A64" t="s">
        <v>206</v>
      </c>
      <c r="B64" t="s">
        <v>324</v>
      </c>
      <c r="C64" s="124" cm="1">
        <f t="array" ref="C64">+_xll.EQNXTDZ($A$1,$B64,C$1,$B$1)</f>
        <v>0</v>
      </c>
      <c r="D64" s="124" cm="1">
        <f t="array" ref="D64">+_xll.EQNXTDZ($A$1,$B64,D$1,$B$1)</f>
        <v>0</v>
      </c>
      <c r="E64" s="124" cm="1">
        <f t="array" ref="E64">+_xll.EQNXTDZ($A$1,$B64,E$1,$B$1)</f>
        <v>0</v>
      </c>
      <c r="F64" s="124" cm="1">
        <f t="array" ref="F64">+_xll.EQNXTDZ($A$1,$B64,F$1,$B$1)</f>
        <v>0</v>
      </c>
      <c r="G64" s="124" cm="1">
        <f t="array" ref="G64">+_xll.EQNXTDZ($A$1,$B64,G$1,$B$1)</f>
        <v>0</v>
      </c>
      <c r="H64" s="124" cm="1">
        <f t="array" ref="H64">+_xll.EQNXTDZ($A$1,$B64,H$1,$B$1)</f>
        <v>0</v>
      </c>
      <c r="I64" s="124" cm="1">
        <f t="array" ref="I64">+_xll.EQNXTDZ($A$1,$B64,I$1,$B$1)</f>
        <v>0</v>
      </c>
      <c r="J64" s="124" cm="1">
        <f t="array" ref="J64">+_xll.EQNXTDZ($A$1,$B64,J$1,$B$1)</f>
        <v>0</v>
      </c>
      <c r="K64" s="124" cm="1">
        <f t="array" ref="K64">+_xll.EQNXTDZ($A$1,$B64,K$1,$B$1)</f>
        <v>0</v>
      </c>
      <c r="L64" s="124" cm="1">
        <f t="array" ref="L64">+_xll.EQNXTDZ($A$1,$B64,L$1,$B$1)</f>
        <v>0</v>
      </c>
      <c r="M64" s="124" cm="1">
        <f t="array" ref="M64">+_xll.EQNXTDZ($A$1,$B64,M$1,$B$1)</f>
        <v>0</v>
      </c>
      <c r="N64" s="124" cm="1">
        <f t="array" ref="N64">+_xll.EQNXTDZ($A$1,$B64,N$1,$B$1)</f>
        <v>0</v>
      </c>
      <c r="O64" s="124" cm="1">
        <f t="array" ref="O64">+_xll.EQNXTDZ($A$1,$B64,O$1,$B$1)</f>
        <v>0</v>
      </c>
      <c r="P64" s="124" cm="1">
        <f t="array" ref="P64">+_xll.EQNXTDZ($A$1,$B64,P$1,$B$1)</f>
        <v>0</v>
      </c>
      <c r="Q64" s="124" cm="1">
        <f t="array" ref="Q64">+_xll.EQNXTDZ($A$1,$B64,Q$1,$B$1)</f>
        <v>0</v>
      </c>
      <c r="R64" s="124" cm="1">
        <f t="array" ref="R64">+_xll.EQNXTDZ($A$1,$B64,R$1,$B$1)</f>
        <v>0</v>
      </c>
      <c r="S64" s="124" cm="1">
        <f t="array" ref="S64">+_xll.EQNXTDZ($A$1,$B64,S$1,$B$1)</f>
        <v>0</v>
      </c>
      <c r="T64" s="124" cm="1">
        <f t="array" ref="T64">+_xll.EQNXTDZ($A$1,$B64,T$1,$B$1)</f>
        <v>0</v>
      </c>
      <c r="U64" s="124" cm="1">
        <f t="array" ref="U64">+_xll.EQNXTDZ($A$1,$B64,U$1,$B$1)</f>
        <v>0</v>
      </c>
      <c r="V64" s="124" cm="1">
        <f t="array" ref="V64">+_xll.EQNXTDZ($A$1,$B64,V$1,$B$1)</f>
        <v>0</v>
      </c>
      <c r="W64" s="124" cm="1">
        <f t="array" ref="W64">+_xll.EQNXTDZ($A$1,$B64,W$1,$B$1)</f>
        <v>0</v>
      </c>
      <c r="X64" s="124" cm="1">
        <f t="array" ref="X64">+_xll.EQNXTDZ($A$1,$B64,X$1,$B$1)</f>
        <v>0</v>
      </c>
      <c r="Y64" s="124" cm="1">
        <f t="array" ref="Y64">+_xll.EQNXTDZ($A$1,$B64,Y$1,$B$1)</f>
        <v>0</v>
      </c>
      <c r="Z64" s="124" cm="1">
        <f t="array" ref="Z64">+_xll.EQNXTDZ($A$1,$B64,Z$1,$B$1)</f>
        <v>0</v>
      </c>
      <c r="AA64" s="124" cm="1">
        <f t="array" ref="AA64">+_xll.EQNXTDZ($A$1,$B64,AA$1,$B$1)</f>
        <v>0</v>
      </c>
      <c r="AB64" s="124" cm="1">
        <f t="array" ref="AB64">+_xll.EQNXTDZ($A$1,$B64,AB$1,$B$1)</f>
        <v>0</v>
      </c>
      <c r="AC64" s="124" cm="1">
        <f t="array" ref="AC64">+_xll.EQNXTDZ($A$1,$B64,AC$1,$B$1)</f>
        <v>0</v>
      </c>
      <c r="AD64" s="124" cm="1">
        <f t="array" ref="AD64">+_xll.EQNXTDZ($A$1,$B64,AD$1,$B$1)</f>
        <v>0</v>
      </c>
      <c r="AE64" s="124" cm="1">
        <f t="array" ref="AE64">+_xll.EQNXTDZ($A$1,$B64,AE$1,$B$1)</f>
        <v>0</v>
      </c>
      <c r="AF64" s="124" cm="1">
        <f t="array" ref="AF64">+_xll.EQNXTDZ($A$1,$B64,AF$1,$B$1)</f>
        <v>0</v>
      </c>
      <c r="AG64" s="124" cm="1">
        <f t="array" ref="AG64">+_xll.EQNXTDZ($A$1,$B64,AG$1,$B$1)</f>
        <v>0</v>
      </c>
      <c r="AH64" s="124" cm="1">
        <f t="array" ref="AH64">+_xll.EQNXTDZ($A$1,$B64,AH$1,$B$1)</f>
        <v>0</v>
      </c>
      <c r="AI64" s="124" cm="1">
        <f t="array" ref="AI64">+_xll.EQNXTDZ($A$1,$B64,AI$1,$B$1)</f>
        <v>0</v>
      </c>
      <c r="AJ64" s="124" cm="1">
        <f t="array" ref="AJ64">+_xll.EQNXTDZ($A$1,$B64,AJ$1,$B$1)</f>
        <v>0</v>
      </c>
      <c r="AK64" s="124" cm="1">
        <f t="array" ref="AK64">+_xll.EQNXTDZ($A$1,$B64,AK$1,$B$1)</f>
        <v>0</v>
      </c>
      <c r="AL64" s="124" cm="1">
        <f t="array" ref="AL64">+_xll.EQNXTDZ($A$1,$B64,AL$1,$B$1)</f>
        <v>0</v>
      </c>
      <c r="AM64" s="124" cm="1">
        <f t="array" ref="AM64">+_xll.EQNXTDZ($A$1,$B64,AM$1,$B$1)</f>
        <v>0</v>
      </c>
      <c r="AN64" s="124" cm="1">
        <f t="array" ref="AN64">+_xll.EQNXTDZ($A$1,$B64,AN$1,$B$1)</f>
        <v>0</v>
      </c>
      <c r="AO64" s="124" cm="1">
        <f t="array" ref="AO64">+_xll.EQNXTDZ($A$1,$B64,AO$1,$B$1)</f>
        <v>0</v>
      </c>
      <c r="AP64" s="124" cm="1">
        <f t="array" ref="AP64">+_xll.EQNXTDZ($A$1,$B64,AP$1,$B$1)</f>
        <v>0</v>
      </c>
      <c r="AQ64" s="124" cm="1">
        <f t="array" ref="AQ64">+_xll.EQNXTDZ($A$1,$B64,AQ$1,$B$1)</f>
        <v>0</v>
      </c>
      <c r="AR64" s="124" cm="1">
        <f t="array" ref="AR64">+_xll.EQNXTDZ($A$1,$B64,AR$1,$B$1)</f>
        <v>0</v>
      </c>
      <c r="AS64" s="124" cm="1">
        <f t="array" ref="AS64">+_xll.EQNXTDZ($A$1,$B64,AS$1,$B$1)</f>
        <v>0</v>
      </c>
      <c r="AT64" s="124" cm="1">
        <f t="array" ref="AT64">+_xll.EQNXTDZ($A$1,$B64,AT$1,$B$1)</f>
        <v>0</v>
      </c>
      <c r="AU64" s="124" cm="1">
        <f t="array" ref="AU64">+_xll.EQNXTDZ($A$1,$B64,AU$1,$B$1)</f>
        <v>0</v>
      </c>
      <c r="AV64" s="124" cm="1">
        <f t="array" ref="AV64">+_xll.EQNXTDZ($A$1,$B64,AV$1,$B$1)</f>
        <v>0</v>
      </c>
      <c r="AW64" s="124" cm="1">
        <f t="array" ref="AW64">+_xll.EQNXTDZ($A$1,$B64,AW$1,$B$1)</f>
        <v>0</v>
      </c>
      <c r="AX64" s="124" cm="1">
        <f t="array" ref="AX64">+_xll.EQNXTDZ($A$1,$B64,AX$1,$B$1)</f>
        <v>0</v>
      </c>
      <c r="AY64" s="124" cm="1">
        <f t="array" ref="AY64">+_xll.EQNXTDZ($A$1,$B64,AY$1,$B$1)</f>
        <v>0</v>
      </c>
      <c r="AZ64" s="124" cm="1">
        <f t="array" ref="AZ64">+_xll.EQNXTDZ($A$1,$B64,AZ$1,$B$1)</f>
        <v>0</v>
      </c>
      <c r="BA64" s="124" cm="1">
        <f t="array" ref="BA64">+_xll.EQNXTDZ($A$1,$B64,BA$1,$B$1)</f>
        <v>0</v>
      </c>
      <c r="BB64" s="124" cm="1">
        <f t="array" ref="BB64">+_xll.EQNXTDZ($A$1,$B64,BB$1,$B$1)</f>
        <v>0</v>
      </c>
      <c r="BC64" s="124" cm="1">
        <f t="array" ref="BC64">+_xll.EQNXTDZ($A$1,$B64,BC$1,$B$1)</f>
        <v>0</v>
      </c>
      <c r="BD64" s="124" cm="1">
        <f t="array" ref="BD64">+_xll.EQNXTDZ($A$1,$B64,BD$1,$B$1)</f>
        <v>0</v>
      </c>
      <c r="BE64" s="124" cm="1">
        <f t="array" ref="BE64">+_xll.EQNXTDZ($A$1,$B64,BE$1,$B$1)</f>
        <v>0</v>
      </c>
      <c r="BF64" s="124" cm="1">
        <f t="array" ref="BF64">+_xll.EQNXTDZ($A$1,$B64,BF$1,$B$1)</f>
        <v>0</v>
      </c>
      <c r="BG64" s="124" cm="1">
        <f t="array" ref="BG64">+_xll.EQNXTDZ($A$1,$B64,BG$1,$B$1)</f>
        <v>0</v>
      </c>
      <c r="BH64" s="124" cm="1">
        <f t="array" ref="BH64">+_xll.EQNXTDZ($A$1,$B64,BH$1,$B$1)</f>
        <v>0</v>
      </c>
      <c r="BI64" s="124" cm="1">
        <f t="array" ref="BI64">+_xll.EQNXTDZ($A$1,$B64,BI$1,$B$1)</f>
        <v>0</v>
      </c>
      <c r="BJ64" s="124" cm="1">
        <f t="array" ref="BJ64">+_xll.EQNXTDZ($A$1,$B64,BJ$1,$B$1)</f>
        <v>0</v>
      </c>
      <c r="BK64" s="124" cm="1">
        <f t="array" ref="BK64">+_xll.EQNXTDZ($A$1,$B64,BK$1,$B$1)</f>
        <v>0</v>
      </c>
    </row>
    <row r="65" spans="1:63" x14ac:dyDescent="0.25">
      <c r="A65" t="s">
        <v>207</v>
      </c>
      <c r="B65" t="s">
        <v>325</v>
      </c>
      <c r="C65" s="124" cm="1">
        <f t="array" ref="C65">+_xll.EQNXTDZ($A$1,$B65,C$1,$B$1)</f>
        <v>0</v>
      </c>
      <c r="D65" s="124" cm="1">
        <f t="array" ref="D65">+_xll.EQNXTDZ($A$1,$B65,D$1,$B$1)</f>
        <v>0</v>
      </c>
      <c r="E65" s="124" cm="1">
        <f t="array" ref="E65">+_xll.EQNXTDZ($A$1,$B65,E$1,$B$1)</f>
        <v>0</v>
      </c>
      <c r="F65" s="124" cm="1">
        <f t="array" ref="F65">+_xll.EQNXTDZ($A$1,$B65,F$1,$B$1)</f>
        <v>0</v>
      </c>
      <c r="G65" s="124" cm="1">
        <f t="array" ref="G65">+_xll.EQNXTDZ($A$1,$B65,G$1,$B$1)</f>
        <v>0</v>
      </c>
      <c r="H65" s="124" cm="1">
        <f t="array" ref="H65">+_xll.EQNXTDZ($A$1,$B65,H$1,$B$1)</f>
        <v>0</v>
      </c>
      <c r="I65" s="124" cm="1">
        <f t="array" ref="I65">+_xll.EQNXTDZ($A$1,$B65,I$1,$B$1)</f>
        <v>0</v>
      </c>
      <c r="J65" s="124" cm="1">
        <f t="array" ref="J65">+_xll.EQNXTDZ($A$1,$B65,J$1,$B$1)</f>
        <v>0</v>
      </c>
      <c r="K65" s="124" cm="1">
        <f t="array" ref="K65">+_xll.EQNXTDZ($A$1,$B65,K$1,$B$1)</f>
        <v>0</v>
      </c>
      <c r="L65" s="124" cm="1">
        <f t="array" ref="L65">+_xll.EQNXTDZ($A$1,$B65,L$1,$B$1)</f>
        <v>0</v>
      </c>
      <c r="M65" s="124" cm="1">
        <f t="array" ref="M65">+_xll.EQNXTDZ($A$1,$B65,M$1,$B$1)</f>
        <v>0</v>
      </c>
      <c r="N65" s="124" cm="1">
        <f t="array" ref="N65">+_xll.EQNXTDZ($A$1,$B65,N$1,$B$1)</f>
        <v>0</v>
      </c>
      <c r="O65" s="124" cm="1">
        <f t="array" ref="O65">+_xll.EQNXTDZ($A$1,$B65,O$1,$B$1)</f>
        <v>0</v>
      </c>
      <c r="P65" s="124" cm="1">
        <f t="array" ref="P65">+_xll.EQNXTDZ($A$1,$B65,P$1,$B$1)</f>
        <v>0</v>
      </c>
      <c r="Q65" s="124" cm="1">
        <f t="array" ref="Q65">+_xll.EQNXTDZ($A$1,$B65,Q$1,$B$1)</f>
        <v>0</v>
      </c>
      <c r="R65" s="124" cm="1">
        <f t="array" ref="R65">+_xll.EQNXTDZ($A$1,$B65,R$1,$B$1)</f>
        <v>0</v>
      </c>
      <c r="S65" s="124" cm="1">
        <f t="array" ref="S65">+_xll.EQNXTDZ($A$1,$B65,S$1,$B$1)</f>
        <v>0</v>
      </c>
      <c r="T65" s="124" cm="1">
        <f t="array" ref="T65">+_xll.EQNXTDZ($A$1,$B65,T$1,$B$1)</f>
        <v>0</v>
      </c>
      <c r="U65" s="124" cm="1">
        <f t="array" ref="U65">+_xll.EQNXTDZ($A$1,$B65,U$1,$B$1)</f>
        <v>0</v>
      </c>
      <c r="V65" s="124" cm="1">
        <f t="array" ref="V65">+_xll.EQNXTDZ($A$1,$B65,V$1,$B$1)</f>
        <v>0</v>
      </c>
      <c r="W65" s="124" cm="1">
        <f t="array" ref="W65">+_xll.EQNXTDZ($A$1,$B65,W$1,$B$1)</f>
        <v>0</v>
      </c>
      <c r="X65" s="124" cm="1">
        <f t="array" ref="X65">+_xll.EQNXTDZ($A$1,$B65,X$1,$B$1)</f>
        <v>0</v>
      </c>
      <c r="Y65" s="124" cm="1">
        <f t="array" ref="Y65">+_xll.EQNXTDZ($A$1,$B65,Y$1,$B$1)</f>
        <v>0</v>
      </c>
      <c r="Z65" s="124" cm="1">
        <f t="array" ref="Z65">+_xll.EQNXTDZ($A$1,$B65,Z$1,$B$1)</f>
        <v>0</v>
      </c>
      <c r="AA65" s="124" cm="1">
        <f t="array" ref="AA65">+_xll.EQNXTDZ($A$1,$B65,AA$1,$B$1)</f>
        <v>0</v>
      </c>
      <c r="AB65" s="124" cm="1">
        <f t="array" ref="AB65">+_xll.EQNXTDZ($A$1,$B65,AB$1,$B$1)</f>
        <v>0</v>
      </c>
      <c r="AC65" s="124" cm="1">
        <f t="array" ref="AC65">+_xll.EQNXTDZ($A$1,$B65,AC$1,$B$1)</f>
        <v>0</v>
      </c>
      <c r="AD65" s="124" cm="1">
        <f t="array" ref="AD65">+_xll.EQNXTDZ($A$1,$B65,AD$1,$B$1)</f>
        <v>0</v>
      </c>
      <c r="AE65" s="124" cm="1">
        <f t="array" ref="AE65">+_xll.EQNXTDZ($A$1,$B65,AE$1,$B$1)</f>
        <v>0</v>
      </c>
      <c r="AF65" s="124" cm="1">
        <f t="array" ref="AF65">+_xll.EQNXTDZ($A$1,$B65,AF$1,$B$1)</f>
        <v>0</v>
      </c>
      <c r="AG65" s="124" cm="1">
        <f t="array" ref="AG65">+_xll.EQNXTDZ($A$1,$B65,AG$1,$B$1)</f>
        <v>0</v>
      </c>
      <c r="AH65" s="124" cm="1">
        <f t="array" ref="AH65">+_xll.EQNXTDZ($A$1,$B65,AH$1,$B$1)</f>
        <v>0</v>
      </c>
      <c r="AI65" s="124" cm="1">
        <f t="array" ref="AI65">+_xll.EQNXTDZ($A$1,$B65,AI$1,$B$1)</f>
        <v>0</v>
      </c>
      <c r="AJ65" s="124" cm="1">
        <f t="array" ref="AJ65">+_xll.EQNXTDZ($A$1,$B65,AJ$1,$B$1)</f>
        <v>0</v>
      </c>
      <c r="AK65" s="124" cm="1">
        <f t="array" ref="AK65">+_xll.EQNXTDZ($A$1,$B65,AK$1,$B$1)</f>
        <v>0</v>
      </c>
      <c r="AL65" s="124" cm="1">
        <f t="array" ref="AL65">+_xll.EQNXTDZ($A$1,$B65,AL$1,$B$1)</f>
        <v>0</v>
      </c>
      <c r="AM65" s="124" cm="1">
        <f t="array" ref="AM65">+_xll.EQNXTDZ($A$1,$B65,AM$1,$B$1)</f>
        <v>0</v>
      </c>
      <c r="AN65" s="124" cm="1">
        <f t="array" ref="AN65">+_xll.EQNXTDZ($A$1,$B65,AN$1,$B$1)</f>
        <v>0</v>
      </c>
      <c r="AO65" s="124" cm="1">
        <f t="array" ref="AO65">+_xll.EQNXTDZ($A$1,$B65,AO$1,$B$1)</f>
        <v>0</v>
      </c>
      <c r="AP65" s="124" cm="1">
        <f t="array" ref="AP65">+_xll.EQNXTDZ($A$1,$B65,AP$1,$B$1)</f>
        <v>0</v>
      </c>
      <c r="AQ65" s="124" cm="1">
        <f t="array" ref="AQ65">+_xll.EQNXTDZ($A$1,$B65,AQ$1,$B$1)</f>
        <v>0</v>
      </c>
      <c r="AR65" s="124" cm="1">
        <f t="array" ref="AR65">+_xll.EQNXTDZ($A$1,$B65,AR$1,$B$1)</f>
        <v>0</v>
      </c>
      <c r="AS65" s="124" cm="1">
        <f t="array" ref="AS65">+_xll.EQNXTDZ($A$1,$B65,AS$1,$B$1)</f>
        <v>0</v>
      </c>
      <c r="AT65" s="124" cm="1">
        <f t="array" ref="AT65">+_xll.EQNXTDZ($A$1,$B65,AT$1,$B$1)</f>
        <v>0</v>
      </c>
      <c r="AU65" s="124" cm="1">
        <f t="array" ref="AU65">+_xll.EQNXTDZ($A$1,$B65,AU$1,$B$1)</f>
        <v>0</v>
      </c>
      <c r="AV65" s="124" cm="1">
        <f t="array" ref="AV65">+_xll.EQNXTDZ($A$1,$B65,AV$1,$B$1)</f>
        <v>0</v>
      </c>
      <c r="AW65" s="124" cm="1">
        <f t="array" ref="AW65">+_xll.EQNXTDZ($A$1,$B65,AW$1,$B$1)</f>
        <v>0</v>
      </c>
      <c r="AX65" s="124" cm="1">
        <f t="array" ref="AX65">+_xll.EQNXTDZ($A$1,$B65,AX$1,$B$1)</f>
        <v>0</v>
      </c>
      <c r="AY65" s="124" cm="1">
        <f t="array" ref="AY65">+_xll.EQNXTDZ($A$1,$B65,AY$1,$B$1)</f>
        <v>0</v>
      </c>
      <c r="AZ65" s="124" cm="1">
        <f t="array" ref="AZ65">+_xll.EQNXTDZ($A$1,$B65,AZ$1,$B$1)</f>
        <v>0</v>
      </c>
      <c r="BA65" s="124" cm="1">
        <f t="array" ref="BA65">+_xll.EQNXTDZ($A$1,$B65,BA$1,$B$1)</f>
        <v>0</v>
      </c>
      <c r="BB65" s="124" cm="1">
        <f t="array" ref="BB65">+_xll.EQNXTDZ($A$1,$B65,BB$1,$B$1)</f>
        <v>0</v>
      </c>
      <c r="BC65" s="124" cm="1">
        <f t="array" ref="BC65">+_xll.EQNXTDZ($A$1,$B65,BC$1,$B$1)</f>
        <v>0</v>
      </c>
      <c r="BD65" s="124" cm="1">
        <f t="array" ref="BD65">+_xll.EQNXTDZ($A$1,$B65,BD$1,$B$1)</f>
        <v>0</v>
      </c>
      <c r="BE65" s="124" cm="1">
        <f t="array" ref="BE65">+_xll.EQNXTDZ($A$1,$B65,BE$1,$B$1)</f>
        <v>0</v>
      </c>
      <c r="BF65" s="124" cm="1">
        <f t="array" ref="BF65">+_xll.EQNXTDZ($A$1,$B65,BF$1,$B$1)</f>
        <v>0</v>
      </c>
      <c r="BG65" s="124" cm="1">
        <f t="array" ref="BG65">+_xll.EQNXTDZ($A$1,$B65,BG$1,$B$1)</f>
        <v>0</v>
      </c>
      <c r="BH65" s="124" cm="1">
        <f t="array" ref="BH65">+_xll.EQNXTDZ($A$1,$B65,BH$1,$B$1)</f>
        <v>0</v>
      </c>
      <c r="BI65" s="124" cm="1">
        <f t="array" ref="BI65">+_xll.EQNXTDZ($A$1,$B65,BI$1,$B$1)</f>
        <v>0</v>
      </c>
      <c r="BJ65" s="124" cm="1">
        <f t="array" ref="BJ65">+_xll.EQNXTDZ($A$1,$B65,BJ$1,$B$1)</f>
        <v>0</v>
      </c>
      <c r="BK65" s="124" cm="1">
        <f t="array" ref="BK65">+_xll.EQNXTDZ($A$1,$B65,BK$1,$B$1)</f>
        <v>0</v>
      </c>
    </row>
    <row r="66" spans="1:63" x14ac:dyDescent="0.25">
      <c r="A66" t="s">
        <v>94</v>
      </c>
      <c r="B66" t="s">
        <v>326</v>
      </c>
      <c r="C66" s="124" cm="1">
        <f t="array" ref="C66">+_xll.EQNXTDZ($A$1,$B66,C$1,$B$1)</f>
        <v>0</v>
      </c>
      <c r="D66" s="124" cm="1">
        <f t="array" ref="D66">+_xll.EQNXTDZ($A$1,$B66,D$1,$B$1)</f>
        <v>0</v>
      </c>
      <c r="E66" s="124" cm="1">
        <f t="array" ref="E66">+_xll.EQNXTDZ($A$1,$B66,E$1,$B$1)</f>
        <v>0</v>
      </c>
      <c r="F66" s="124" cm="1">
        <f t="array" ref="F66">+_xll.EQNXTDZ($A$1,$B66,F$1,$B$1)</f>
        <v>0</v>
      </c>
      <c r="G66" s="124" cm="1">
        <f t="array" ref="G66">+_xll.EQNXTDZ($A$1,$B66,G$1,$B$1)</f>
        <v>0</v>
      </c>
      <c r="H66" s="124" cm="1">
        <f t="array" ref="H66">+_xll.EQNXTDZ($A$1,$B66,H$1,$B$1)</f>
        <v>0</v>
      </c>
      <c r="I66" s="124" cm="1">
        <f t="array" ref="I66">+_xll.EQNXTDZ($A$1,$B66,I$1,$B$1)</f>
        <v>0</v>
      </c>
      <c r="J66" s="124" cm="1">
        <f t="array" ref="J66">+_xll.EQNXTDZ($A$1,$B66,J$1,$B$1)</f>
        <v>0</v>
      </c>
      <c r="K66" s="124" cm="1">
        <f t="array" ref="K66">+_xll.EQNXTDZ($A$1,$B66,K$1,$B$1)</f>
        <v>0</v>
      </c>
      <c r="L66" s="124" cm="1">
        <f t="array" ref="L66">+_xll.EQNXTDZ($A$1,$B66,L$1,$B$1)</f>
        <v>0</v>
      </c>
      <c r="M66" s="124" cm="1">
        <f t="array" ref="M66">+_xll.EQNXTDZ($A$1,$B66,M$1,$B$1)</f>
        <v>0</v>
      </c>
      <c r="N66" s="124" cm="1">
        <f t="array" ref="N66">+_xll.EQNXTDZ($A$1,$B66,N$1,$B$1)</f>
        <v>0</v>
      </c>
      <c r="O66" s="124" cm="1">
        <f t="array" ref="O66">+_xll.EQNXTDZ($A$1,$B66,O$1,$B$1)</f>
        <v>0</v>
      </c>
      <c r="P66" s="124" cm="1">
        <f t="array" ref="P66">+_xll.EQNXTDZ($A$1,$B66,P$1,$B$1)</f>
        <v>0</v>
      </c>
      <c r="Q66" s="124" cm="1">
        <f t="array" ref="Q66">+_xll.EQNXTDZ($A$1,$B66,Q$1,$B$1)</f>
        <v>0</v>
      </c>
      <c r="R66" s="124" cm="1">
        <f t="array" ref="R66">+_xll.EQNXTDZ($A$1,$B66,R$1,$B$1)</f>
        <v>0</v>
      </c>
      <c r="S66" s="124" cm="1">
        <f t="array" ref="S66">+_xll.EQNXTDZ($A$1,$B66,S$1,$B$1)</f>
        <v>0</v>
      </c>
      <c r="T66" s="124" cm="1">
        <f t="array" ref="T66">+_xll.EQNXTDZ($A$1,$B66,T$1,$B$1)</f>
        <v>0</v>
      </c>
      <c r="U66" s="124" cm="1">
        <f t="array" ref="U66">+_xll.EQNXTDZ($A$1,$B66,U$1,$B$1)</f>
        <v>0</v>
      </c>
      <c r="V66" s="124" cm="1">
        <f t="array" ref="V66">+_xll.EQNXTDZ($A$1,$B66,V$1,$B$1)</f>
        <v>0</v>
      </c>
      <c r="W66" s="124" cm="1">
        <f t="array" ref="W66">+_xll.EQNXTDZ($A$1,$B66,W$1,$B$1)</f>
        <v>0</v>
      </c>
      <c r="X66" s="124" cm="1">
        <f t="array" ref="X66">+_xll.EQNXTDZ($A$1,$B66,X$1,$B$1)</f>
        <v>0</v>
      </c>
      <c r="Y66" s="124" cm="1">
        <f t="array" ref="Y66">+_xll.EQNXTDZ($A$1,$B66,Y$1,$B$1)</f>
        <v>0</v>
      </c>
      <c r="Z66" s="124" cm="1">
        <f t="array" ref="Z66">+_xll.EQNXTDZ($A$1,$B66,Z$1,$B$1)</f>
        <v>0</v>
      </c>
      <c r="AA66" s="124" cm="1">
        <f t="array" ref="AA66">+_xll.EQNXTDZ($A$1,$B66,AA$1,$B$1)</f>
        <v>0</v>
      </c>
      <c r="AB66" s="124" cm="1">
        <f t="array" ref="AB66">+_xll.EQNXTDZ($A$1,$B66,AB$1,$B$1)</f>
        <v>0</v>
      </c>
      <c r="AC66" s="124" cm="1">
        <f t="array" ref="AC66">+_xll.EQNXTDZ($A$1,$B66,AC$1,$B$1)</f>
        <v>0</v>
      </c>
      <c r="AD66" s="124" cm="1">
        <f t="array" ref="AD66">+_xll.EQNXTDZ($A$1,$B66,AD$1,$B$1)</f>
        <v>0</v>
      </c>
      <c r="AE66" s="124" cm="1">
        <f t="array" ref="AE66">+_xll.EQNXTDZ($A$1,$B66,AE$1,$B$1)</f>
        <v>0</v>
      </c>
      <c r="AF66" s="124" cm="1">
        <f t="array" ref="AF66">+_xll.EQNXTDZ($A$1,$B66,AF$1,$B$1)</f>
        <v>0</v>
      </c>
      <c r="AG66" s="124" cm="1">
        <f t="array" ref="AG66">+_xll.EQNXTDZ($A$1,$B66,AG$1,$B$1)</f>
        <v>0</v>
      </c>
      <c r="AH66" s="124" cm="1">
        <f t="array" ref="AH66">+_xll.EQNXTDZ($A$1,$B66,AH$1,$B$1)</f>
        <v>0</v>
      </c>
      <c r="AI66" s="124" cm="1">
        <f t="array" ref="AI66">+_xll.EQNXTDZ($A$1,$B66,AI$1,$B$1)</f>
        <v>0</v>
      </c>
      <c r="AJ66" s="124" cm="1">
        <f t="array" ref="AJ66">+_xll.EQNXTDZ($A$1,$B66,AJ$1,$B$1)</f>
        <v>0</v>
      </c>
      <c r="AK66" s="124" cm="1">
        <f t="array" ref="AK66">+_xll.EQNXTDZ($A$1,$B66,AK$1,$B$1)</f>
        <v>0</v>
      </c>
      <c r="AL66" s="124" cm="1">
        <f t="array" ref="AL66">+_xll.EQNXTDZ($A$1,$B66,AL$1,$B$1)</f>
        <v>0</v>
      </c>
      <c r="AM66" s="124" cm="1">
        <f t="array" ref="AM66">+_xll.EQNXTDZ($A$1,$B66,AM$1,$B$1)</f>
        <v>0</v>
      </c>
      <c r="AN66" s="124" cm="1">
        <f t="array" ref="AN66">+_xll.EQNXTDZ($A$1,$B66,AN$1,$B$1)</f>
        <v>0</v>
      </c>
      <c r="AO66" s="124" cm="1">
        <f t="array" ref="AO66">+_xll.EQNXTDZ($A$1,$B66,AO$1,$B$1)</f>
        <v>0</v>
      </c>
      <c r="AP66" s="124" cm="1">
        <f t="array" ref="AP66">+_xll.EQNXTDZ($A$1,$B66,AP$1,$B$1)</f>
        <v>0</v>
      </c>
      <c r="AQ66" s="124" cm="1">
        <f t="array" ref="AQ66">+_xll.EQNXTDZ($A$1,$B66,AQ$1,$B$1)</f>
        <v>0</v>
      </c>
      <c r="AR66" s="124" cm="1">
        <f t="array" ref="AR66">+_xll.EQNXTDZ($A$1,$B66,AR$1,$B$1)</f>
        <v>0</v>
      </c>
      <c r="AS66" s="124" cm="1">
        <f t="array" ref="AS66">+_xll.EQNXTDZ($A$1,$B66,AS$1,$B$1)</f>
        <v>0</v>
      </c>
      <c r="AT66" s="124" cm="1">
        <f t="array" ref="AT66">+_xll.EQNXTDZ($A$1,$B66,AT$1,$B$1)</f>
        <v>0</v>
      </c>
      <c r="AU66" s="124" cm="1">
        <f t="array" ref="AU66">+_xll.EQNXTDZ($A$1,$B66,AU$1,$B$1)</f>
        <v>0</v>
      </c>
      <c r="AV66" s="124" cm="1">
        <f t="array" ref="AV66">+_xll.EQNXTDZ($A$1,$B66,AV$1,$B$1)</f>
        <v>0</v>
      </c>
      <c r="AW66" s="124" cm="1">
        <f t="array" ref="AW66">+_xll.EQNXTDZ($A$1,$B66,AW$1,$B$1)</f>
        <v>0</v>
      </c>
      <c r="AX66" s="124" cm="1">
        <f t="array" ref="AX66">+_xll.EQNXTDZ($A$1,$B66,AX$1,$B$1)</f>
        <v>0</v>
      </c>
      <c r="AY66" s="124" cm="1">
        <f t="array" ref="AY66">+_xll.EQNXTDZ($A$1,$B66,AY$1,$B$1)</f>
        <v>0</v>
      </c>
      <c r="AZ66" s="124" cm="1">
        <f t="array" ref="AZ66">+_xll.EQNXTDZ($A$1,$B66,AZ$1,$B$1)</f>
        <v>0</v>
      </c>
      <c r="BA66" s="124" cm="1">
        <f t="array" ref="BA66">+_xll.EQNXTDZ($A$1,$B66,BA$1,$B$1)</f>
        <v>0</v>
      </c>
      <c r="BB66" s="124" cm="1">
        <f t="array" ref="BB66">+_xll.EQNXTDZ($A$1,$B66,BB$1,$B$1)</f>
        <v>0</v>
      </c>
      <c r="BC66" s="124" cm="1">
        <f t="array" ref="BC66">+_xll.EQNXTDZ($A$1,$B66,BC$1,$B$1)</f>
        <v>0</v>
      </c>
      <c r="BD66" s="124" cm="1">
        <f t="array" ref="BD66">+_xll.EQNXTDZ($A$1,$B66,BD$1,$B$1)</f>
        <v>0</v>
      </c>
      <c r="BE66" s="124" cm="1">
        <f t="array" ref="BE66">+_xll.EQNXTDZ($A$1,$B66,BE$1,$B$1)</f>
        <v>0</v>
      </c>
      <c r="BF66" s="124" cm="1">
        <f t="array" ref="BF66">+_xll.EQNXTDZ($A$1,$B66,BF$1,$B$1)</f>
        <v>0</v>
      </c>
      <c r="BG66" s="124" cm="1">
        <f t="array" ref="BG66">+_xll.EQNXTDZ($A$1,$B66,BG$1,$B$1)</f>
        <v>0</v>
      </c>
      <c r="BH66" s="124" cm="1">
        <f t="array" ref="BH66">+_xll.EQNXTDZ($A$1,$B66,BH$1,$B$1)</f>
        <v>0</v>
      </c>
      <c r="BI66" s="124" cm="1">
        <f t="array" ref="BI66">+_xll.EQNXTDZ($A$1,$B66,BI$1,$B$1)</f>
        <v>0</v>
      </c>
      <c r="BJ66" s="124" cm="1">
        <f t="array" ref="BJ66">+_xll.EQNXTDZ($A$1,$B66,BJ$1,$B$1)</f>
        <v>0</v>
      </c>
      <c r="BK66" s="124" cm="1">
        <f t="array" ref="BK66">+_xll.EQNXTDZ($A$1,$B66,BK$1,$B$1)</f>
        <v>0</v>
      </c>
    </row>
    <row r="67" spans="1:63" x14ac:dyDescent="0.25">
      <c r="A67" t="s">
        <v>150</v>
      </c>
      <c r="B67" t="s">
        <v>327</v>
      </c>
      <c r="C67" s="124" cm="1">
        <f t="array" ref="C67">+_xll.EQNXTDZ($A$1,$B67,C$1,$B$1)</f>
        <v>0</v>
      </c>
      <c r="D67" s="124" cm="1">
        <f t="array" ref="D67">+_xll.EQNXTDZ($A$1,$B67,D$1,$B$1)</f>
        <v>0</v>
      </c>
      <c r="E67" s="124" cm="1">
        <f t="array" ref="E67">+_xll.EQNXTDZ($A$1,$B67,E$1,$B$1)</f>
        <v>0</v>
      </c>
      <c r="F67" s="124" cm="1">
        <f t="array" ref="F67">+_xll.EQNXTDZ($A$1,$B67,F$1,$B$1)</f>
        <v>0</v>
      </c>
      <c r="G67" s="124" cm="1">
        <f t="array" ref="G67">+_xll.EQNXTDZ($A$1,$B67,G$1,$B$1)</f>
        <v>0</v>
      </c>
      <c r="H67" s="124" cm="1">
        <f t="array" ref="H67">+_xll.EQNXTDZ($A$1,$B67,H$1,$B$1)</f>
        <v>0</v>
      </c>
      <c r="I67" s="124" cm="1">
        <f t="array" ref="I67">+_xll.EQNXTDZ($A$1,$B67,I$1,$B$1)</f>
        <v>0</v>
      </c>
      <c r="J67" s="124" cm="1">
        <f t="array" ref="J67">+_xll.EQNXTDZ($A$1,$B67,J$1,$B$1)</f>
        <v>0</v>
      </c>
      <c r="K67" s="124" cm="1">
        <f t="array" ref="K67">+_xll.EQNXTDZ($A$1,$B67,K$1,$B$1)</f>
        <v>0</v>
      </c>
      <c r="L67" s="124" cm="1">
        <f t="array" ref="L67">+_xll.EQNXTDZ($A$1,$B67,L$1,$B$1)</f>
        <v>0</v>
      </c>
      <c r="M67" s="124" cm="1">
        <f t="array" ref="M67">+_xll.EQNXTDZ($A$1,$B67,M$1,$B$1)</f>
        <v>0</v>
      </c>
      <c r="N67" s="124" cm="1">
        <f t="array" ref="N67">+_xll.EQNXTDZ($A$1,$B67,N$1,$B$1)</f>
        <v>0</v>
      </c>
      <c r="O67" s="124" cm="1">
        <f t="array" ref="O67">+_xll.EQNXTDZ($A$1,$B67,O$1,$B$1)</f>
        <v>0</v>
      </c>
      <c r="P67" s="124" cm="1">
        <f t="array" ref="P67">+_xll.EQNXTDZ($A$1,$B67,P$1,$B$1)</f>
        <v>0</v>
      </c>
      <c r="Q67" s="124" cm="1">
        <f t="array" ref="Q67">+_xll.EQNXTDZ($A$1,$B67,Q$1,$B$1)</f>
        <v>0</v>
      </c>
      <c r="R67" s="124" cm="1">
        <f t="array" ref="R67">+_xll.EQNXTDZ($A$1,$B67,R$1,$B$1)</f>
        <v>0</v>
      </c>
      <c r="S67" s="124" cm="1">
        <f t="array" ref="S67">+_xll.EQNXTDZ($A$1,$B67,S$1,$B$1)</f>
        <v>0</v>
      </c>
      <c r="T67" s="124" cm="1">
        <f t="array" ref="T67">+_xll.EQNXTDZ($A$1,$B67,T$1,$B$1)</f>
        <v>0</v>
      </c>
      <c r="U67" s="124" cm="1">
        <f t="array" ref="U67">+_xll.EQNXTDZ($A$1,$B67,U$1,$B$1)</f>
        <v>0</v>
      </c>
      <c r="V67" s="124" cm="1">
        <f t="array" ref="V67">+_xll.EQNXTDZ($A$1,$B67,V$1,$B$1)</f>
        <v>0</v>
      </c>
      <c r="W67" s="124" cm="1">
        <f t="array" ref="W67">+_xll.EQNXTDZ($A$1,$B67,W$1,$B$1)</f>
        <v>0</v>
      </c>
      <c r="X67" s="124" cm="1">
        <f t="array" ref="X67">+_xll.EQNXTDZ($A$1,$B67,X$1,$B$1)</f>
        <v>0</v>
      </c>
      <c r="Y67" s="124" cm="1">
        <f t="array" ref="Y67">+_xll.EQNXTDZ($A$1,$B67,Y$1,$B$1)</f>
        <v>0</v>
      </c>
      <c r="Z67" s="124" cm="1">
        <f t="array" ref="Z67">+_xll.EQNXTDZ($A$1,$B67,Z$1,$B$1)</f>
        <v>0</v>
      </c>
      <c r="AA67" s="124" cm="1">
        <f t="array" ref="AA67">+_xll.EQNXTDZ($A$1,$B67,AA$1,$B$1)</f>
        <v>0</v>
      </c>
      <c r="AB67" s="124" cm="1">
        <f t="array" ref="AB67">+_xll.EQNXTDZ($A$1,$B67,AB$1,$B$1)</f>
        <v>0</v>
      </c>
      <c r="AC67" s="124" cm="1">
        <f t="array" ref="AC67">+_xll.EQNXTDZ($A$1,$B67,AC$1,$B$1)</f>
        <v>0</v>
      </c>
      <c r="AD67" s="124" cm="1">
        <f t="array" ref="AD67">+_xll.EQNXTDZ($A$1,$B67,AD$1,$B$1)</f>
        <v>0</v>
      </c>
      <c r="AE67" s="124" cm="1">
        <f t="array" ref="AE67">+_xll.EQNXTDZ($A$1,$B67,AE$1,$B$1)</f>
        <v>0</v>
      </c>
      <c r="AF67" s="124" cm="1">
        <f t="array" ref="AF67">+_xll.EQNXTDZ($A$1,$B67,AF$1,$B$1)</f>
        <v>0</v>
      </c>
      <c r="AG67" s="124" cm="1">
        <f t="array" ref="AG67">+_xll.EQNXTDZ($A$1,$B67,AG$1,$B$1)</f>
        <v>0</v>
      </c>
      <c r="AH67" s="124" cm="1">
        <f t="array" ref="AH67">+_xll.EQNXTDZ($A$1,$B67,AH$1,$B$1)</f>
        <v>0</v>
      </c>
      <c r="AI67" s="124" cm="1">
        <f t="array" ref="AI67">+_xll.EQNXTDZ($A$1,$B67,AI$1,$B$1)</f>
        <v>0</v>
      </c>
      <c r="AJ67" s="124" cm="1">
        <f t="array" ref="AJ67">+_xll.EQNXTDZ($A$1,$B67,AJ$1,$B$1)</f>
        <v>0</v>
      </c>
      <c r="AK67" s="124" cm="1">
        <f t="array" ref="AK67">+_xll.EQNXTDZ($A$1,$B67,AK$1,$B$1)</f>
        <v>0</v>
      </c>
      <c r="AL67" s="124" cm="1">
        <f t="array" ref="AL67">+_xll.EQNXTDZ($A$1,$B67,AL$1,$B$1)</f>
        <v>0</v>
      </c>
      <c r="AM67" s="124" cm="1">
        <f t="array" ref="AM67">+_xll.EQNXTDZ($A$1,$B67,AM$1,$B$1)</f>
        <v>0</v>
      </c>
      <c r="AN67" s="124" cm="1">
        <f t="array" ref="AN67">+_xll.EQNXTDZ($A$1,$B67,AN$1,$B$1)</f>
        <v>0</v>
      </c>
      <c r="AO67" s="124" cm="1">
        <f t="array" ref="AO67">+_xll.EQNXTDZ($A$1,$B67,AO$1,$B$1)</f>
        <v>0</v>
      </c>
      <c r="AP67" s="124" cm="1">
        <f t="array" ref="AP67">+_xll.EQNXTDZ($A$1,$B67,AP$1,$B$1)</f>
        <v>0</v>
      </c>
      <c r="AQ67" s="124" cm="1">
        <f t="array" ref="AQ67">+_xll.EQNXTDZ($A$1,$B67,AQ$1,$B$1)</f>
        <v>0</v>
      </c>
      <c r="AR67" s="124" cm="1">
        <f t="array" ref="AR67">+_xll.EQNXTDZ($A$1,$B67,AR$1,$B$1)</f>
        <v>0</v>
      </c>
      <c r="AS67" s="124" cm="1">
        <f t="array" ref="AS67">+_xll.EQNXTDZ($A$1,$B67,AS$1,$B$1)</f>
        <v>0</v>
      </c>
      <c r="AT67" s="124" cm="1">
        <f t="array" ref="AT67">+_xll.EQNXTDZ($A$1,$B67,AT$1,$B$1)</f>
        <v>0</v>
      </c>
      <c r="AU67" s="124" cm="1">
        <f t="array" ref="AU67">+_xll.EQNXTDZ($A$1,$B67,AU$1,$B$1)</f>
        <v>0</v>
      </c>
      <c r="AV67" s="124" cm="1">
        <f t="array" ref="AV67">+_xll.EQNXTDZ($A$1,$B67,AV$1,$B$1)</f>
        <v>0</v>
      </c>
      <c r="AW67" s="124" cm="1">
        <f t="array" ref="AW67">+_xll.EQNXTDZ($A$1,$B67,AW$1,$B$1)</f>
        <v>0</v>
      </c>
      <c r="AX67" s="124" cm="1">
        <f t="array" ref="AX67">+_xll.EQNXTDZ($A$1,$B67,AX$1,$B$1)</f>
        <v>0</v>
      </c>
      <c r="AY67" s="124" cm="1">
        <f t="array" ref="AY67">+_xll.EQNXTDZ($A$1,$B67,AY$1,$B$1)</f>
        <v>0</v>
      </c>
      <c r="AZ67" s="124" cm="1">
        <f t="array" ref="AZ67">+_xll.EQNXTDZ($A$1,$B67,AZ$1,$B$1)</f>
        <v>0</v>
      </c>
      <c r="BA67" s="124" cm="1">
        <f t="array" ref="BA67">+_xll.EQNXTDZ($A$1,$B67,BA$1,$B$1)</f>
        <v>0</v>
      </c>
      <c r="BB67" s="124" cm="1">
        <f t="array" ref="BB67">+_xll.EQNXTDZ($A$1,$B67,BB$1,$B$1)</f>
        <v>0</v>
      </c>
      <c r="BC67" s="124" cm="1">
        <f t="array" ref="BC67">+_xll.EQNXTDZ($A$1,$B67,BC$1,$B$1)</f>
        <v>0</v>
      </c>
      <c r="BD67" s="124" cm="1">
        <f t="array" ref="BD67">+_xll.EQNXTDZ($A$1,$B67,BD$1,$B$1)</f>
        <v>0</v>
      </c>
      <c r="BE67" s="124" cm="1">
        <f t="array" ref="BE67">+_xll.EQNXTDZ($A$1,$B67,BE$1,$B$1)</f>
        <v>0</v>
      </c>
      <c r="BF67" s="124" cm="1">
        <f t="array" ref="BF67">+_xll.EQNXTDZ($A$1,$B67,BF$1,$B$1)</f>
        <v>0</v>
      </c>
      <c r="BG67" s="124" cm="1">
        <f t="array" ref="BG67">+_xll.EQNXTDZ($A$1,$B67,BG$1,$B$1)</f>
        <v>0</v>
      </c>
      <c r="BH67" s="124" cm="1">
        <f t="array" ref="BH67">+_xll.EQNXTDZ($A$1,$B67,BH$1,$B$1)</f>
        <v>0</v>
      </c>
      <c r="BI67" s="124" cm="1">
        <f t="array" ref="BI67">+_xll.EQNXTDZ($A$1,$B67,BI$1,$B$1)</f>
        <v>0</v>
      </c>
      <c r="BJ67" s="124" cm="1">
        <f t="array" ref="BJ67">+_xll.EQNXTDZ($A$1,$B67,BJ$1,$B$1)</f>
        <v>0</v>
      </c>
      <c r="BK67" s="124" cm="1">
        <f t="array" ref="BK67">+_xll.EQNXTDZ($A$1,$B67,BK$1,$B$1)</f>
        <v>0</v>
      </c>
    </row>
    <row r="68" spans="1:63" x14ac:dyDescent="0.25">
      <c r="A68" t="s">
        <v>98</v>
      </c>
      <c r="B68" t="s">
        <v>328</v>
      </c>
      <c r="C68" s="124" cm="1">
        <f t="array" ref="C68">+_xll.EQNXTDZ($A$1,$B68,C$1,$B$1)</f>
        <v>0</v>
      </c>
      <c r="D68" s="124" cm="1">
        <f t="array" ref="D68">+_xll.EQNXTDZ($A$1,$B68,D$1,$B$1)</f>
        <v>0</v>
      </c>
      <c r="E68" s="124" cm="1">
        <f t="array" ref="E68">+_xll.EQNXTDZ($A$1,$B68,E$1,$B$1)</f>
        <v>0</v>
      </c>
      <c r="F68" s="124" cm="1">
        <f t="array" ref="F68">+_xll.EQNXTDZ($A$1,$B68,F$1,$B$1)</f>
        <v>0</v>
      </c>
      <c r="G68" s="124" cm="1">
        <f t="array" ref="G68">+_xll.EQNXTDZ($A$1,$B68,G$1,$B$1)</f>
        <v>0</v>
      </c>
      <c r="H68" s="124" cm="1">
        <f t="array" ref="H68">+_xll.EQNXTDZ($A$1,$B68,H$1,$B$1)</f>
        <v>0</v>
      </c>
      <c r="I68" s="124" cm="1">
        <f t="array" ref="I68">+_xll.EQNXTDZ($A$1,$B68,I$1,$B$1)</f>
        <v>0</v>
      </c>
      <c r="J68" s="124" cm="1">
        <f t="array" ref="J68">+_xll.EQNXTDZ($A$1,$B68,J$1,$B$1)</f>
        <v>0</v>
      </c>
      <c r="K68" s="124" cm="1">
        <f t="array" ref="K68">+_xll.EQNXTDZ($A$1,$B68,K$1,$B$1)</f>
        <v>0</v>
      </c>
      <c r="L68" s="124" cm="1">
        <f t="array" ref="L68">+_xll.EQNXTDZ($A$1,$B68,L$1,$B$1)</f>
        <v>0</v>
      </c>
      <c r="M68" s="124" cm="1">
        <f t="array" ref="M68">+_xll.EQNXTDZ($A$1,$B68,M$1,$B$1)</f>
        <v>0</v>
      </c>
      <c r="N68" s="124" cm="1">
        <f t="array" ref="N68">+_xll.EQNXTDZ($A$1,$B68,N$1,$B$1)</f>
        <v>0</v>
      </c>
      <c r="O68" s="124" cm="1">
        <f t="array" ref="O68">+_xll.EQNXTDZ($A$1,$B68,O$1,$B$1)</f>
        <v>0</v>
      </c>
      <c r="P68" s="124" cm="1">
        <f t="array" ref="P68">+_xll.EQNXTDZ($A$1,$B68,P$1,$B$1)</f>
        <v>0</v>
      </c>
      <c r="Q68" s="124" cm="1">
        <f t="array" ref="Q68">+_xll.EQNXTDZ($A$1,$B68,Q$1,$B$1)</f>
        <v>0</v>
      </c>
      <c r="R68" s="124" cm="1">
        <f t="array" ref="R68">+_xll.EQNXTDZ($A$1,$B68,R$1,$B$1)</f>
        <v>0</v>
      </c>
      <c r="S68" s="124" cm="1">
        <f t="array" ref="S68">+_xll.EQNXTDZ($A$1,$B68,S$1,$B$1)</f>
        <v>0</v>
      </c>
      <c r="T68" s="124" cm="1">
        <f t="array" ref="T68">+_xll.EQNXTDZ($A$1,$B68,T$1,$B$1)</f>
        <v>0</v>
      </c>
      <c r="U68" s="124" cm="1">
        <f t="array" ref="U68">+_xll.EQNXTDZ($A$1,$B68,U$1,$B$1)</f>
        <v>0</v>
      </c>
      <c r="V68" s="124" cm="1">
        <f t="array" ref="V68">+_xll.EQNXTDZ($A$1,$B68,V$1,$B$1)</f>
        <v>0</v>
      </c>
      <c r="W68" s="124" cm="1">
        <f t="array" ref="W68">+_xll.EQNXTDZ($A$1,$B68,W$1,$B$1)</f>
        <v>0</v>
      </c>
      <c r="X68" s="124" cm="1">
        <f t="array" ref="X68">+_xll.EQNXTDZ($A$1,$B68,X$1,$B$1)</f>
        <v>0</v>
      </c>
      <c r="Y68" s="124" cm="1">
        <f t="array" ref="Y68">+_xll.EQNXTDZ($A$1,$B68,Y$1,$B$1)</f>
        <v>0</v>
      </c>
      <c r="Z68" s="124" cm="1">
        <f t="array" ref="Z68">+_xll.EQNXTDZ($A$1,$B68,Z$1,$B$1)</f>
        <v>0</v>
      </c>
      <c r="AA68" s="124" cm="1">
        <f t="array" ref="AA68">+_xll.EQNXTDZ($A$1,$B68,AA$1,$B$1)</f>
        <v>0</v>
      </c>
      <c r="AB68" s="124" cm="1">
        <f t="array" ref="AB68">+_xll.EQNXTDZ($A$1,$B68,AB$1,$B$1)</f>
        <v>0</v>
      </c>
      <c r="AC68" s="124" cm="1">
        <f t="array" ref="AC68">+_xll.EQNXTDZ($A$1,$B68,AC$1,$B$1)</f>
        <v>0</v>
      </c>
      <c r="AD68" s="124" cm="1">
        <f t="array" ref="AD68">+_xll.EQNXTDZ($A$1,$B68,AD$1,$B$1)</f>
        <v>0</v>
      </c>
      <c r="AE68" s="124" cm="1">
        <f t="array" ref="AE68">+_xll.EQNXTDZ($A$1,$B68,AE$1,$B$1)</f>
        <v>0</v>
      </c>
      <c r="AF68" s="124" cm="1">
        <f t="array" ref="AF68">+_xll.EQNXTDZ($A$1,$B68,AF$1,$B$1)</f>
        <v>0</v>
      </c>
      <c r="AG68" s="124" cm="1">
        <f t="array" ref="AG68">+_xll.EQNXTDZ($A$1,$B68,AG$1,$B$1)</f>
        <v>0</v>
      </c>
      <c r="AH68" s="124" cm="1">
        <f t="array" ref="AH68">+_xll.EQNXTDZ($A$1,$B68,AH$1,$B$1)</f>
        <v>0</v>
      </c>
      <c r="AI68" s="124" cm="1">
        <f t="array" ref="AI68">+_xll.EQNXTDZ($A$1,$B68,AI$1,$B$1)</f>
        <v>0</v>
      </c>
      <c r="AJ68" s="124" cm="1">
        <f t="array" ref="AJ68">+_xll.EQNXTDZ($A$1,$B68,AJ$1,$B$1)</f>
        <v>0</v>
      </c>
      <c r="AK68" s="124" cm="1">
        <f t="array" ref="AK68">+_xll.EQNXTDZ($A$1,$B68,AK$1,$B$1)</f>
        <v>0</v>
      </c>
      <c r="AL68" s="124" cm="1">
        <f t="array" ref="AL68">+_xll.EQNXTDZ($A$1,$B68,AL$1,$B$1)</f>
        <v>0</v>
      </c>
      <c r="AM68" s="124" cm="1">
        <f t="array" ref="AM68">+_xll.EQNXTDZ($A$1,$B68,AM$1,$B$1)</f>
        <v>0</v>
      </c>
      <c r="AN68" s="124" cm="1">
        <f t="array" ref="AN68">+_xll.EQNXTDZ($A$1,$B68,AN$1,$B$1)</f>
        <v>0</v>
      </c>
      <c r="AO68" s="124" cm="1">
        <f t="array" ref="AO68">+_xll.EQNXTDZ($A$1,$B68,AO$1,$B$1)</f>
        <v>0</v>
      </c>
      <c r="AP68" s="124" cm="1">
        <f t="array" ref="AP68">+_xll.EQNXTDZ($A$1,$B68,AP$1,$B$1)</f>
        <v>0</v>
      </c>
      <c r="AQ68" s="124" cm="1">
        <f t="array" ref="AQ68">+_xll.EQNXTDZ($A$1,$B68,AQ$1,$B$1)</f>
        <v>0</v>
      </c>
      <c r="AR68" s="124" cm="1">
        <f t="array" ref="AR68">+_xll.EQNXTDZ($A$1,$B68,AR$1,$B$1)</f>
        <v>0</v>
      </c>
      <c r="AS68" s="124" cm="1">
        <f t="array" ref="AS68">+_xll.EQNXTDZ($A$1,$B68,AS$1,$B$1)</f>
        <v>0</v>
      </c>
      <c r="AT68" s="124" cm="1">
        <f t="array" ref="AT68">+_xll.EQNXTDZ($A$1,$B68,AT$1,$B$1)</f>
        <v>0</v>
      </c>
      <c r="AU68" s="124" cm="1">
        <f t="array" ref="AU68">+_xll.EQNXTDZ($A$1,$B68,AU$1,$B$1)</f>
        <v>0</v>
      </c>
      <c r="AV68" s="124" cm="1">
        <f t="array" ref="AV68">+_xll.EQNXTDZ($A$1,$B68,AV$1,$B$1)</f>
        <v>0</v>
      </c>
      <c r="AW68" s="124" cm="1">
        <f t="array" ref="AW68">+_xll.EQNXTDZ($A$1,$B68,AW$1,$B$1)</f>
        <v>0</v>
      </c>
      <c r="AX68" s="124" cm="1">
        <f t="array" ref="AX68">+_xll.EQNXTDZ($A$1,$B68,AX$1,$B$1)</f>
        <v>0</v>
      </c>
      <c r="AY68" s="124" cm="1">
        <f t="array" ref="AY68">+_xll.EQNXTDZ($A$1,$B68,AY$1,$B$1)</f>
        <v>0</v>
      </c>
      <c r="AZ68" s="124" cm="1">
        <f t="array" ref="AZ68">+_xll.EQNXTDZ($A$1,$B68,AZ$1,$B$1)</f>
        <v>0</v>
      </c>
      <c r="BA68" s="124" cm="1">
        <f t="array" ref="BA68">+_xll.EQNXTDZ($A$1,$B68,BA$1,$B$1)</f>
        <v>0</v>
      </c>
      <c r="BB68" s="124" cm="1">
        <f t="array" ref="BB68">+_xll.EQNXTDZ($A$1,$B68,BB$1,$B$1)</f>
        <v>0</v>
      </c>
      <c r="BC68" s="124" cm="1">
        <f t="array" ref="BC68">+_xll.EQNXTDZ($A$1,$B68,BC$1,$B$1)</f>
        <v>0</v>
      </c>
      <c r="BD68" s="124" cm="1">
        <f t="array" ref="BD68">+_xll.EQNXTDZ($A$1,$B68,BD$1,$B$1)</f>
        <v>0</v>
      </c>
      <c r="BE68" s="124" cm="1">
        <f t="array" ref="BE68">+_xll.EQNXTDZ($A$1,$B68,BE$1,$B$1)</f>
        <v>0</v>
      </c>
      <c r="BF68" s="124" cm="1">
        <f t="array" ref="BF68">+_xll.EQNXTDZ($A$1,$B68,BF$1,$B$1)</f>
        <v>0</v>
      </c>
      <c r="BG68" s="124" cm="1">
        <f t="array" ref="BG68">+_xll.EQNXTDZ($A$1,$B68,BG$1,$B$1)</f>
        <v>0</v>
      </c>
      <c r="BH68" s="124" cm="1">
        <f t="array" ref="BH68">+_xll.EQNXTDZ($A$1,$B68,BH$1,$B$1)</f>
        <v>0</v>
      </c>
      <c r="BI68" s="124" cm="1">
        <f t="array" ref="BI68">+_xll.EQNXTDZ($A$1,$B68,BI$1,$B$1)</f>
        <v>0</v>
      </c>
      <c r="BJ68" s="124" cm="1">
        <f t="array" ref="BJ68">+_xll.EQNXTDZ($A$1,$B68,BJ$1,$B$1)</f>
        <v>0</v>
      </c>
      <c r="BK68" s="124" cm="1">
        <f t="array" ref="BK68">+_xll.EQNXTDZ($A$1,$B68,BK$1,$B$1)</f>
        <v>0</v>
      </c>
    </row>
    <row r="69" spans="1:63" x14ac:dyDescent="0.25">
      <c r="A69" t="s">
        <v>99</v>
      </c>
      <c r="B69" t="s">
        <v>329</v>
      </c>
      <c r="C69" s="124" cm="1">
        <f t="array" ref="C69">+_xll.EQNXTDZ($A$1,$B69,C$1,$B$1)</f>
        <v>0</v>
      </c>
      <c r="D69" s="124" cm="1">
        <f t="array" ref="D69">+_xll.EQNXTDZ($A$1,$B69,D$1,$B$1)</f>
        <v>0</v>
      </c>
      <c r="E69" s="124" cm="1">
        <f t="array" ref="E69">+_xll.EQNXTDZ($A$1,$B69,E$1,$B$1)</f>
        <v>0</v>
      </c>
      <c r="F69" s="124" cm="1">
        <f t="array" ref="F69">+_xll.EQNXTDZ($A$1,$B69,F$1,$B$1)</f>
        <v>0</v>
      </c>
      <c r="G69" s="124" cm="1">
        <f t="array" ref="G69">+_xll.EQNXTDZ($A$1,$B69,G$1,$B$1)</f>
        <v>0</v>
      </c>
      <c r="H69" s="124" cm="1">
        <f t="array" ref="H69">+_xll.EQNXTDZ($A$1,$B69,H$1,$B$1)</f>
        <v>0</v>
      </c>
      <c r="I69" s="124" cm="1">
        <f t="array" ref="I69">+_xll.EQNXTDZ($A$1,$B69,I$1,$B$1)</f>
        <v>0</v>
      </c>
      <c r="J69" s="124" cm="1">
        <f t="array" ref="J69">+_xll.EQNXTDZ($A$1,$B69,J$1,$B$1)</f>
        <v>0</v>
      </c>
      <c r="K69" s="124" cm="1">
        <f t="array" ref="K69">+_xll.EQNXTDZ($A$1,$B69,K$1,$B$1)</f>
        <v>0</v>
      </c>
      <c r="L69" s="124" cm="1">
        <f t="array" ref="L69">+_xll.EQNXTDZ($A$1,$B69,L$1,$B$1)</f>
        <v>0</v>
      </c>
      <c r="M69" s="124" cm="1">
        <f t="array" ref="M69">+_xll.EQNXTDZ($A$1,$B69,M$1,$B$1)</f>
        <v>0</v>
      </c>
      <c r="N69" s="124" cm="1">
        <f t="array" ref="N69">+_xll.EQNXTDZ($A$1,$B69,N$1,$B$1)</f>
        <v>0</v>
      </c>
      <c r="O69" s="124" cm="1">
        <f t="array" ref="O69">+_xll.EQNXTDZ($A$1,$B69,O$1,$B$1)</f>
        <v>0</v>
      </c>
      <c r="P69" s="124" cm="1">
        <f t="array" ref="P69">+_xll.EQNXTDZ($A$1,$B69,P$1,$B$1)</f>
        <v>0</v>
      </c>
      <c r="Q69" s="124" cm="1">
        <f t="array" ref="Q69">+_xll.EQNXTDZ($A$1,$B69,Q$1,$B$1)</f>
        <v>0</v>
      </c>
      <c r="R69" s="124" cm="1">
        <f t="array" ref="R69">+_xll.EQNXTDZ($A$1,$B69,R$1,$B$1)</f>
        <v>0</v>
      </c>
      <c r="S69" s="124" cm="1">
        <f t="array" ref="S69">+_xll.EQNXTDZ($A$1,$B69,S$1,$B$1)</f>
        <v>0</v>
      </c>
      <c r="T69" s="124" cm="1">
        <f t="array" ref="T69">+_xll.EQNXTDZ($A$1,$B69,T$1,$B$1)</f>
        <v>0</v>
      </c>
      <c r="U69" s="124" cm="1">
        <f t="array" ref="U69">+_xll.EQNXTDZ($A$1,$B69,U$1,$B$1)</f>
        <v>0</v>
      </c>
      <c r="V69" s="124" cm="1">
        <f t="array" ref="V69">+_xll.EQNXTDZ($A$1,$B69,V$1,$B$1)</f>
        <v>0</v>
      </c>
      <c r="W69" s="124" cm="1">
        <f t="array" ref="W69">+_xll.EQNXTDZ($A$1,$B69,W$1,$B$1)</f>
        <v>0</v>
      </c>
      <c r="X69" s="124" cm="1">
        <f t="array" ref="X69">+_xll.EQNXTDZ($A$1,$B69,X$1,$B$1)</f>
        <v>0</v>
      </c>
      <c r="Y69" s="124" cm="1">
        <f t="array" ref="Y69">+_xll.EQNXTDZ($A$1,$B69,Y$1,$B$1)</f>
        <v>0</v>
      </c>
      <c r="Z69" s="124" cm="1">
        <f t="array" ref="Z69">+_xll.EQNXTDZ($A$1,$B69,Z$1,$B$1)</f>
        <v>0</v>
      </c>
      <c r="AA69" s="124" cm="1">
        <f t="array" ref="AA69">+_xll.EQNXTDZ($A$1,$B69,AA$1,$B$1)</f>
        <v>0</v>
      </c>
      <c r="AB69" s="124" cm="1">
        <f t="array" ref="AB69">+_xll.EQNXTDZ($A$1,$B69,AB$1,$B$1)</f>
        <v>0</v>
      </c>
      <c r="AC69" s="124" cm="1">
        <f t="array" ref="AC69">+_xll.EQNXTDZ($A$1,$B69,AC$1,$B$1)</f>
        <v>0</v>
      </c>
      <c r="AD69" s="124" cm="1">
        <f t="array" ref="AD69">+_xll.EQNXTDZ($A$1,$B69,AD$1,$B$1)</f>
        <v>0</v>
      </c>
      <c r="AE69" s="124" cm="1">
        <f t="array" ref="AE69">+_xll.EQNXTDZ($A$1,$B69,AE$1,$B$1)</f>
        <v>0</v>
      </c>
      <c r="AF69" s="124" cm="1">
        <f t="array" ref="AF69">+_xll.EQNXTDZ($A$1,$B69,AF$1,$B$1)</f>
        <v>0</v>
      </c>
      <c r="AG69" s="124" cm="1">
        <f t="array" ref="AG69">+_xll.EQNXTDZ($A$1,$B69,AG$1,$B$1)</f>
        <v>0</v>
      </c>
      <c r="AH69" s="124" cm="1">
        <f t="array" ref="AH69">+_xll.EQNXTDZ($A$1,$B69,AH$1,$B$1)</f>
        <v>0</v>
      </c>
      <c r="AI69" s="124" cm="1">
        <f t="array" ref="AI69">+_xll.EQNXTDZ($A$1,$B69,AI$1,$B$1)</f>
        <v>0</v>
      </c>
      <c r="AJ69" s="124" cm="1">
        <f t="array" ref="AJ69">+_xll.EQNXTDZ($A$1,$B69,AJ$1,$B$1)</f>
        <v>0</v>
      </c>
      <c r="AK69" s="124" cm="1">
        <f t="array" ref="AK69">+_xll.EQNXTDZ($A$1,$B69,AK$1,$B$1)</f>
        <v>0</v>
      </c>
      <c r="AL69" s="124" cm="1">
        <f t="array" ref="AL69">+_xll.EQNXTDZ($A$1,$B69,AL$1,$B$1)</f>
        <v>0</v>
      </c>
      <c r="AM69" s="124" cm="1">
        <f t="array" ref="AM69">+_xll.EQNXTDZ($A$1,$B69,AM$1,$B$1)</f>
        <v>0</v>
      </c>
      <c r="AN69" s="124" cm="1">
        <f t="array" ref="AN69">+_xll.EQNXTDZ($A$1,$B69,AN$1,$B$1)</f>
        <v>0</v>
      </c>
      <c r="AO69" s="124" cm="1">
        <f t="array" ref="AO69">+_xll.EQNXTDZ($A$1,$B69,AO$1,$B$1)</f>
        <v>0</v>
      </c>
      <c r="AP69" s="124" cm="1">
        <f t="array" ref="AP69">+_xll.EQNXTDZ($A$1,$B69,AP$1,$B$1)</f>
        <v>0</v>
      </c>
      <c r="AQ69" s="124" cm="1">
        <f t="array" ref="AQ69">+_xll.EQNXTDZ($A$1,$B69,AQ$1,$B$1)</f>
        <v>0</v>
      </c>
      <c r="AR69" s="124" cm="1">
        <f t="array" ref="AR69">+_xll.EQNXTDZ($A$1,$B69,AR$1,$B$1)</f>
        <v>0</v>
      </c>
      <c r="AS69" s="124" cm="1">
        <f t="array" ref="AS69">+_xll.EQNXTDZ($A$1,$B69,AS$1,$B$1)</f>
        <v>0</v>
      </c>
      <c r="AT69" s="124" cm="1">
        <f t="array" ref="AT69">+_xll.EQNXTDZ($A$1,$B69,AT$1,$B$1)</f>
        <v>0</v>
      </c>
      <c r="AU69" s="124" cm="1">
        <f t="array" ref="AU69">+_xll.EQNXTDZ($A$1,$B69,AU$1,$B$1)</f>
        <v>0</v>
      </c>
      <c r="AV69" s="124" cm="1">
        <f t="array" ref="AV69">+_xll.EQNXTDZ($A$1,$B69,AV$1,$B$1)</f>
        <v>0</v>
      </c>
      <c r="AW69" s="124" cm="1">
        <f t="array" ref="AW69">+_xll.EQNXTDZ($A$1,$B69,AW$1,$B$1)</f>
        <v>0</v>
      </c>
      <c r="AX69" s="124" cm="1">
        <f t="array" ref="AX69">+_xll.EQNXTDZ($A$1,$B69,AX$1,$B$1)</f>
        <v>0</v>
      </c>
      <c r="AY69" s="124" cm="1">
        <f t="array" ref="AY69">+_xll.EQNXTDZ($A$1,$B69,AY$1,$B$1)</f>
        <v>0</v>
      </c>
      <c r="AZ69" s="124" cm="1">
        <f t="array" ref="AZ69">+_xll.EQNXTDZ($A$1,$B69,AZ$1,$B$1)</f>
        <v>0</v>
      </c>
      <c r="BA69" s="124" cm="1">
        <f t="array" ref="BA69">+_xll.EQNXTDZ($A$1,$B69,BA$1,$B$1)</f>
        <v>0</v>
      </c>
      <c r="BB69" s="124" cm="1">
        <f t="array" ref="BB69">+_xll.EQNXTDZ($A$1,$B69,BB$1,$B$1)</f>
        <v>0</v>
      </c>
      <c r="BC69" s="124" cm="1">
        <f t="array" ref="BC69">+_xll.EQNXTDZ($A$1,$B69,BC$1,$B$1)</f>
        <v>0</v>
      </c>
      <c r="BD69" s="124" cm="1">
        <f t="array" ref="BD69">+_xll.EQNXTDZ($A$1,$B69,BD$1,$B$1)</f>
        <v>0</v>
      </c>
      <c r="BE69" s="124" cm="1">
        <f t="array" ref="BE69">+_xll.EQNXTDZ($A$1,$B69,BE$1,$B$1)</f>
        <v>0</v>
      </c>
      <c r="BF69" s="124" cm="1">
        <f t="array" ref="BF69">+_xll.EQNXTDZ($A$1,$B69,BF$1,$B$1)</f>
        <v>0</v>
      </c>
      <c r="BG69" s="124" cm="1">
        <f t="array" ref="BG69">+_xll.EQNXTDZ($A$1,$B69,BG$1,$B$1)</f>
        <v>0</v>
      </c>
      <c r="BH69" s="124" cm="1">
        <f t="array" ref="BH69">+_xll.EQNXTDZ($A$1,$B69,BH$1,$B$1)</f>
        <v>0</v>
      </c>
      <c r="BI69" s="124" cm="1">
        <f t="array" ref="BI69">+_xll.EQNXTDZ($A$1,$B69,BI$1,$B$1)</f>
        <v>0</v>
      </c>
      <c r="BJ69" s="124" cm="1">
        <f t="array" ref="BJ69">+_xll.EQNXTDZ($A$1,$B69,BJ$1,$B$1)</f>
        <v>0</v>
      </c>
      <c r="BK69" s="124" cm="1">
        <f t="array" ref="BK69">+_xll.EQNXTDZ($A$1,$B69,BK$1,$B$1)</f>
        <v>0</v>
      </c>
    </row>
    <row r="70" spans="1:63" x14ac:dyDescent="0.25">
      <c r="A70" t="s">
        <v>208</v>
      </c>
      <c r="B70" t="s">
        <v>330</v>
      </c>
      <c r="C70" s="124" cm="1">
        <f t="array" ref="C70">+_xll.EQNXTDZ($A$1,$B70,C$1,$B$1)</f>
        <v>0</v>
      </c>
      <c r="D70" s="124" cm="1">
        <f t="array" ref="D70">+_xll.EQNXTDZ($A$1,$B70,D$1,$B$1)</f>
        <v>0</v>
      </c>
      <c r="E70" s="124" cm="1">
        <f t="array" ref="E70">+_xll.EQNXTDZ($A$1,$B70,E$1,$B$1)</f>
        <v>0</v>
      </c>
      <c r="F70" s="124" cm="1">
        <f t="array" ref="F70">+_xll.EQNXTDZ($A$1,$B70,F$1,$B$1)</f>
        <v>0</v>
      </c>
      <c r="G70" s="124" cm="1">
        <f t="array" ref="G70">+_xll.EQNXTDZ($A$1,$B70,G$1,$B$1)</f>
        <v>0</v>
      </c>
      <c r="H70" s="124" cm="1">
        <f t="array" ref="H70">+_xll.EQNXTDZ($A$1,$B70,H$1,$B$1)</f>
        <v>0</v>
      </c>
      <c r="I70" s="124" cm="1">
        <f t="array" ref="I70">+_xll.EQNXTDZ($A$1,$B70,I$1,$B$1)</f>
        <v>0</v>
      </c>
      <c r="J70" s="124" cm="1">
        <f t="array" ref="J70">+_xll.EQNXTDZ($A$1,$B70,J$1,$B$1)</f>
        <v>0</v>
      </c>
      <c r="K70" s="124" cm="1">
        <f t="array" ref="K70">+_xll.EQNXTDZ($A$1,$B70,K$1,$B$1)</f>
        <v>0</v>
      </c>
      <c r="L70" s="124" cm="1">
        <f t="array" ref="L70">+_xll.EQNXTDZ($A$1,$B70,L$1,$B$1)</f>
        <v>0</v>
      </c>
      <c r="M70" s="124" cm="1">
        <f t="array" ref="M70">+_xll.EQNXTDZ($A$1,$B70,M$1,$B$1)</f>
        <v>0</v>
      </c>
      <c r="N70" s="124" cm="1">
        <f t="array" ref="N70">+_xll.EQNXTDZ($A$1,$B70,N$1,$B$1)</f>
        <v>0</v>
      </c>
      <c r="O70" s="124" cm="1">
        <f t="array" ref="O70">+_xll.EQNXTDZ($A$1,$B70,O$1,$B$1)</f>
        <v>0</v>
      </c>
      <c r="P70" s="124" cm="1">
        <f t="array" ref="P70">+_xll.EQNXTDZ($A$1,$B70,P$1,$B$1)</f>
        <v>0</v>
      </c>
      <c r="Q70" s="124" cm="1">
        <f t="array" ref="Q70">+_xll.EQNXTDZ($A$1,$B70,Q$1,$B$1)</f>
        <v>0</v>
      </c>
      <c r="R70" s="124" cm="1">
        <f t="array" ref="R70">+_xll.EQNXTDZ($A$1,$B70,R$1,$B$1)</f>
        <v>0</v>
      </c>
      <c r="S70" s="124" cm="1">
        <f t="array" ref="S70">+_xll.EQNXTDZ($A$1,$B70,S$1,$B$1)</f>
        <v>0</v>
      </c>
      <c r="T70" s="124" cm="1">
        <f t="array" ref="T70">+_xll.EQNXTDZ($A$1,$B70,T$1,$B$1)</f>
        <v>0</v>
      </c>
      <c r="U70" s="124" cm="1">
        <f t="array" ref="U70">+_xll.EQNXTDZ($A$1,$B70,U$1,$B$1)</f>
        <v>0</v>
      </c>
      <c r="V70" s="124" cm="1">
        <f t="array" ref="V70">+_xll.EQNXTDZ($A$1,$B70,V$1,$B$1)</f>
        <v>0</v>
      </c>
      <c r="W70" s="124" cm="1">
        <f t="array" ref="W70">+_xll.EQNXTDZ($A$1,$B70,W$1,$B$1)</f>
        <v>0</v>
      </c>
      <c r="X70" s="124" cm="1">
        <f t="array" ref="X70">+_xll.EQNXTDZ($A$1,$B70,X$1,$B$1)</f>
        <v>0</v>
      </c>
      <c r="Y70" s="124" cm="1">
        <f t="array" ref="Y70">+_xll.EQNXTDZ($A$1,$B70,Y$1,$B$1)</f>
        <v>0</v>
      </c>
      <c r="Z70" s="124" cm="1">
        <f t="array" ref="Z70">+_xll.EQNXTDZ($A$1,$B70,Z$1,$B$1)</f>
        <v>0</v>
      </c>
      <c r="AA70" s="124" cm="1">
        <f t="array" ref="AA70">+_xll.EQNXTDZ($A$1,$B70,AA$1,$B$1)</f>
        <v>0</v>
      </c>
      <c r="AB70" s="124" cm="1">
        <f t="array" ref="AB70">+_xll.EQNXTDZ($A$1,$B70,AB$1,$B$1)</f>
        <v>0</v>
      </c>
      <c r="AC70" s="124" cm="1">
        <f t="array" ref="AC70">+_xll.EQNXTDZ($A$1,$B70,AC$1,$B$1)</f>
        <v>0</v>
      </c>
      <c r="AD70" s="124" cm="1">
        <f t="array" ref="AD70">+_xll.EQNXTDZ($A$1,$B70,AD$1,$B$1)</f>
        <v>0</v>
      </c>
      <c r="AE70" s="124" cm="1">
        <f t="array" ref="AE70">+_xll.EQNXTDZ($A$1,$B70,AE$1,$B$1)</f>
        <v>0</v>
      </c>
      <c r="AF70" s="124" cm="1">
        <f t="array" ref="AF70">+_xll.EQNXTDZ($A$1,$B70,AF$1,$B$1)</f>
        <v>0</v>
      </c>
      <c r="AG70" s="124" cm="1">
        <f t="array" ref="AG70">+_xll.EQNXTDZ($A$1,$B70,AG$1,$B$1)</f>
        <v>0</v>
      </c>
      <c r="AH70" s="124" cm="1">
        <f t="array" ref="AH70">+_xll.EQNXTDZ($A$1,$B70,AH$1,$B$1)</f>
        <v>0</v>
      </c>
      <c r="AI70" s="124" cm="1">
        <f t="array" ref="AI70">+_xll.EQNXTDZ($A$1,$B70,AI$1,$B$1)</f>
        <v>0</v>
      </c>
      <c r="AJ70" s="124" cm="1">
        <f t="array" ref="AJ70">+_xll.EQNXTDZ($A$1,$B70,AJ$1,$B$1)</f>
        <v>0</v>
      </c>
      <c r="AK70" s="124" cm="1">
        <f t="array" ref="AK70">+_xll.EQNXTDZ($A$1,$B70,AK$1,$B$1)</f>
        <v>0</v>
      </c>
      <c r="AL70" s="124" cm="1">
        <f t="array" ref="AL70">+_xll.EQNXTDZ($A$1,$B70,AL$1,$B$1)</f>
        <v>0</v>
      </c>
      <c r="AM70" s="124" cm="1">
        <f t="array" ref="AM70">+_xll.EQNXTDZ($A$1,$B70,AM$1,$B$1)</f>
        <v>0</v>
      </c>
      <c r="AN70" s="124" cm="1">
        <f t="array" ref="AN70">+_xll.EQNXTDZ($A$1,$B70,AN$1,$B$1)</f>
        <v>0</v>
      </c>
      <c r="AO70" s="124" cm="1">
        <f t="array" ref="AO70">+_xll.EQNXTDZ($A$1,$B70,AO$1,$B$1)</f>
        <v>0</v>
      </c>
      <c r="AP70" s="124" cm="1">
        <f t="array" ref="AP70">+_xll.EQNXTDZ($A$1,$B70,AP$1,$B$1)</f>
        <v>0</v>
      </c>
      <c r="AQ70" s="124" cm="1">
        <f t="array" ref="AQ70">+_xll.EQNXTDZ($A$1,$B70,AQ$1,$B$1)</f>
        <v>0</v>
      </c>
      <c r="AR70" s="124" cm="1">
        <f t="array" ref="AR70">+_xll.EQNXTDZ($A$1,$B70,AR$1,$B$1)</f>
        <v>0</v>
      </c>
      <c r="AS70" s="124" cm="1">
        <f t="array" ref="AS70">+_xll.EQNXTDZ($A$1,$B70,AS$1,$B$1)</f>
        <v>0</v>
      </c>
      <c r="AT70" s="124" cm="1">
        <f t="array" ref="AT70">+_xll.EQNXTDZ($A$1,$B70,AT$1,$B$1)</f>
        <v>0</v>
      </c>
      <c r="AU70" s="124" cm="1">
        <f t="array" ref="AU70">+_xll.EQNXTDZ($A$1,$B70,AU$1,$B$1)</f>
        <v>0</v>
      </c>
      <c r="AV70" s="124" cm="1">
        <f t="array" ref="AV70">+_xll.EQNXTDZ($A$1,$B70,AV$1,$B$1)</f>
        <v>0</v>
      </c>
      <c r="AW70" s="124" cm="1">
        <f t="array" ref="AW70">+_xll.EQNXTDZ($A$1,$B70,AW$1,$B$1)</f>
        <v>0</v>
      </c>
      <c r="AX70" s="124" cm="1">
        <f t="array" ref="AX70">+_xll.EQNXTDZ($A$1,$B70,AX$1,$B$1)</f>
        <v>0</v>
      </c>
      <c r="AY70" s="124" cm="1">
        <f t="array" ref="AY70">+_xll.EQNXTDZ($A$1,$B70,AY$1,$B$1)</f>
        <v>0</v>
      </c>
      <c r="AZ70" s="124" cm="1">
        <f t="array" ref="AZ70">+_xll.EQNXTDZ($A$1,$B70,AZ$1,$B$1)</f>
        <v>0</v>
      </c>
      <c r="BA70" s="124" cm="1">
        <f t="array" ref="BA70">+_xll.EQNXTDZ($A$1,$B70,BA$1,$B$1)</f>
        <v>0</v>
      </c>
      <c r="BB70" s="124" cm="1">
        <f t="array" ref="BB70">+_xll.EQNXTDZ($A$1,$B70,BB$1,$B$1)</f>
        <v>0</v>
      </c>
      <c r="BC70" s="124" cm="1">
        <f t="array" ref="BC70">+_xll.EQNXTDZ($A$1,$B70,BC$1,$B$1)</f>
        <v>0</v>
      </c>
      <c r="BD70" s="124" cm="1">
        <f t="array" ref="BD70">+_xll.EQNXTDZ($A$1,$B70,BD$1,$B$1)</f>
        <v>0</v>
      </c>
      <c r="BE70" s="124" cm="1">
        <f t="array" ref="BE70">+_xll.EQNXTDZ($A$1,$B70,BE$1,$B$1)</f>
        <v>0</v>
      </c>
      <c r="BF70" s="124" cm="1">
        <f t="array" ref="BF70">+_xll.EQNXTDZ($A$1,$B70,BF$1,$B$1)</f>
        <v>0</v>
      </c>
      <c r="BG70" s="124" cm="1">
        <f t="array" ref="BG70">+_xll.EQNXTDZ($A$1,$B70,BG$1,$B$1)</f>
        <v>0</v>
      </c>
      <c r="BH70" s="124" cm="1">
        <f t="array" ref="BH70">+_xll.EQNXTDZ($A$1,$B70,BH$1,$B$1)</f>
        <v>0</v>
      </c>
      <c r="BI70" s="124" cm="1">
        <f t="array" ref="BI70">+_xll.EQNXTDZ($A$1,$B70,BI$1,$B$1)</f>
        <v>0</v>
      </c>
      <c r="BJ70" s="124" cm="1">
        <f t="array" ref="BJ70">+_xll.EQNXTDZ($A$1,$B70,BJ$1,$B$1)</f>
        <v>0</v>
      </c>
      <c r="BK70" s="124" cm="1">
        <f t="array" ref="BK70">+_xll.EQNXTDZ($A$1,$B70,BK$1,$B$1)</f>
        <v>0</v>
      </c>
    </row>
    <row r="71" spans="1:63" x14ac:dyDescent="0.25">
      <c r="A71" t="s">
        <v>209</v>
      </c>
      <c r="B71" t="s">
        <v>331</v>
      </c>
      <c r="C71" s="124" cm="1">
        <f t="array" ref="C71">+_xll.EQNXTDZ($A$1,$B71,C$1,$B$1)</f>
        <v>0</v>
      </c>
      <c r="D71" s="124" cm="1">
        <f t="array" ref="D71">+_xll.EQNXTDZ($A$1,$B71,D$1,$B$1)</f>
        <v>0</v>
      </c>
      <c r="E71" s="124" cm="1">
        <f t="array" ref="E71">+_xll.EQNXTDZ($A$1,$B71,E$1,$B$1)</f>
        <v>0</v>
      </c>
      <c r="F71" s="124" cm="1">
        <f t="array" ref="F71">+_xll.EQNXTDZ($A$1,$B71,F$1,$B$1)</f>
        <v>0</v>
      </c>
      <c r="G71" s="124" cm="1">
        <f t="array" ref="G71">+_xll.EQNXTDZ($A$1,$B71,G$1,$B$1)</f>
        <v>0</v>
      </c>
      <c r="H71" s="124" cm="1">
        <f t="array" ref="H71">+_xll.EQNXTDZ($A$1,$B71,H$1,$B$1)</f>
        <v>0</v>
      </c>
      <c r="I71" s="124" cm="1">
        <f t="array" ref="I71">+_xll.EQNXTDZ($A$1,$B71,I$1,$B$1)</f>
        <v>0</v>
      </c>
      <c r="J71" s="124" cm="1">
        <f t="array" ref="J71">+_xll.EQNXTDZ($A$1,$B71,J$1,$B$1)</f>
        <v>0</v>
      </c>
      <c r="K71" s="124" cm="1">
        <f t="array" ref="K71">+_xll.EQNXTDZ($A$1,$B71,K$1,$B$1)</f>
        <v>0</v>
      </c>
      <c r="L71" s="124" cm="1">
        <f t="array" ref="L71">+_xll.EQNXTDZ($A$1,$B71,L$1,$B$1)</f>
        <v>0</v>
      </c>
      <c r="M71" s="124" cm="1">
        <f t="array" ref="M71">+_xll.EQNXTDZ($A$1,$B71,M$1,$B$1)</f>
        <v>0</v>
      </c>
      <c r="N71" s="124" cm="1">
        <f t="array" ref="N71">+_xll.EQNXTDZ($A$1,$B71,N$1,$B$1)</f>
        <v>0</v>
      </c>
      <c r="O71" s="124" cm="1">
        <f t="array" ref="O71">+_xll.EQNXTDZ($A$1,$B71,O$1,$B$1)</f>
        <v>0</v>
      </c>
      <c r="P71" s="124" cm="1">
        <f t="array" ref="P71">+_xll.EQNXTDZ($A$1,$B71,P$1,$B$1)</f>
        <v>0</v>
      </c>
      <c r="Q71" s="124" cm="1">
        <f t="array" ref="Q71">+_xll.EQNXTDZ($A$1,$B71,Q$1,$B$1)</f>
        <v>0</v>
      </c>
      <c r="R71" s="124" cm="1">
        <f t="array" ref="R71">+_xll.EQNXTDZ($A$1,$B71,R$1,$B$1)</f>
        <v>0</v>
      </c>
      <c r="S71" s="124" cm="1">
        <f t="array" ref="S71">+_xll.EQNXTDZ($A$1,$B71,S$1,$B$1)</f>
        <v>0</v>
      </c>
      <c r="T71" s="124" cm="1">
        <f t="array" ref="T71">+_xll.EQNXTDZ($A$1,$B71,T$1,$B$1)</f>
        <v>0</v>
      </c>
      <c r="U71" s="124" cm="1">
        <f t="array" ref="U71">+_xll.EQNXTDZ($A$1,$B71,U$1,$B$1)</f>
        <v>0</v>
      </c>
      <c r="V71" s="124" cm="1">
        <f t="array" ref="V71">+_xll.EQNXTDZ($A$1,$B71,V$1,$B$1)</f>
        <v>0</v>
      </c>
      <c r="W71" s="124" cm="1">
        <f t="array" ref="W71">+_xll.EQNXTDZ($A$1,$B71,W$1,$B$1)</f>
        <v>0</v>
      </c>
      <c r="X71" s="124" cm="1">
        <f t="array" ref="X71">+_xll.EQNXTDZ($A$1,$B71,X$1,$B$1)</f>
        <v>0</v>
      </c>
      <c r="Y71" s="124" cm="1">
        <f t="array" ref="Y71">+_xll.EQNXTDZ($A$1,$B71,Y$1,$B$1)</f>
        <v>0</v>
      </c>
      <c r="Z71" s="124" cm="1">
        <f t="array" ref="Z71">+_xll.EQNXTDZ($A$1,$B71,Z$1,$B$1)</f>
        <v>0</v>
      </c>
      <c r="AA71" s="124" cm="1">
        <f t="array" ref="AA71">+_xll.EQNXTDZ($A$1,$B71,AA$1,$B$1)</f>
        <v>0</v>
      </c>
      <c r="AB71" s="124" cm="1">
        <f t="array" ref="AB71">+_xll.EQNXTDZ($A$1,$B71,AB$1,$B$1)</f>
        <v>0</v>
      </c>
      <c r="AC71" s="124" cm="1">
        <f t="array" ref="AC71">+_xll.EQNXTDZ($A$1,$B71,AC$1,$B$1)</f>
        <v>0</v>
      </c>
      <c r="AD71" s="124" cm="1">
        <f t="array" ref="AD71">+_xll.EQNXTDZ($A$1,$B71,AD$1,$B$1)</f>
        <v>0</v>
      </c>
      <c r="AE71" s="124" cm="1">
        <f t="array" ref="AE71">+_xll.EQNXTDZ($A$1,$B71,AE$1,$B$1)</f>
        <v>0</v>
      </c>
      <c r="AF71" s="124" cm="1">
        <f t="array" ref="AF71">+_xll.EQNXTDZ($A$1,$B71,AF$1,$B$1)</f>
        <v>0</v>
      </c>
      <c r="AG71" s="124" cm="1">
        <f t="array" ref="AG71">+_xll.EQNXTDZ($A$1,$B71,AG$1,$B$1)</f>
        <v>0</v>
      </c>
      <c r="AH71" s="124" cm="1">
        <f t="array" ref="AH71">+_xll.EQNXTDZ($A$1,$B71,AH$1,$B$1)</f>
        <v>0</v>
      </c>
      <c r="AI71" s="124" cm="1">
        <f t="array" ref="AI71">+_xll.EQNXTDZ($A$1,$B71,AI$1,$B$1)</f>
        <v>0</v>
      </c>
      <c r="AJ71" s="124" cm="1">
        <f t="array" ref="AJ71">+_xll.EQNXTDZ($A$1,$B71,AJ$1,$B$1)</f>
        <v>0</v>
      </c>
      <c r="AK71" s="124" cm="1">
        <f t="array" ref="AK71">+_xll.EQNXTDZ($A$1,$B71,AK$1,$B$1)</f>
        <v>0</v>
      </c>
      <c r="AL71" s="124" cm="1">
        <f t="array" ref="AL71">+_xll.EQNXTDZ($A$1,$B71,AL$1,$B$1)</f>
        <v>0</v>
      </c>
      <c r="AM71" s="124" cm="1">
        <f t="array" ref="AM71">+_xll.EQNXTDZ($A$1,$B71,AM$1,$B$1)</f>
        <v>0</v>
      </c>
      <c r="AN71" s="124" cm="1">
        <f t="array" ref="AN71">+_xll.EQNXTDZ($A$1,$B71,AN$1,$B$1)</f>
        <v>0</v>
      </c>
      <c r="AO71" s="124" cm="1">
        <f t="array" ref="AO71">+_xll.EQNXTDZ($A$1,$B71,AO$1,$B$1)</f>
        <v>0</v>
      </c>
      <c r="AP71" s="124" cm="1">
        <f t="array" ref="AP71">+_xll.EQNXTDZ($A$1,$B71,AP$1,$B$1)</f>
        <v>0</v>
      </c>
      <c r="AQ71" s="124" cm="1">
        <f t="array" ref="AQ71">+_xll.EQNXTDZ($A$1,$B71,AQ$1,$B$1)</f>
        <v>0</v>
      </c>
      <c r="AR71" s="124" cm="1">
        <f t="array" ref="AR71">+_xll.EQNXTDZ($A$1,$B71,AR$1,$B$1)</f>
        <v>0</v>
      </c>
      <c r="AS71" s="124" cm="1">
        <f t="array" ref="AS71">+_xll.EQNXTDZ($A$1,$B71,AS$1,$B$1)</f>
        <v>0</v>
      </c>
      <c r="AT71" s="124" cm="1">
        <f t="array" ref="AT71">+_xll.EQNXTDZ($A$1,$B71,AT$1,$B$1)</f>
        <v>0</v>
      </c>
      <c r="AU71" s="124" cm="1">
        <f t="array" ref="AU71">+_xll.EQNXTDZ($A$1,$B71,AU$1,$B$1)</f>
        <v>0</v>
      </c>
      <c r="AV71" s="124" cm="1">
        <f t="array" ref="AV71">+_xll.EQNXTDZ($A$1,$B71,AV$1,$B$1)</f>
        <v>0</v>
      </c>
      <c r="AW71" s="124" cm="1">
        <f t="array" ref="AW71">+_xll.EQNXTDZ($A$1,$B71,AW$1,$B$1)</f>
        <v>0</v>
      </c>
      <c r="AX71" s="124" cm="1">
        <f t="array" ref="AX71">+_xll.EQNXTDZ($A$1,$B71,AX$1,$B$1)</f>
        <v>0</v>
      </c>
      <c r="AY71" s="124" cm="1">
        <f t="array" ref="AY71">+_xll.EQNXTDZ($A$1,$B71,AY$1,$B$1)</f>
        <v>0</v>
      </c>
      <c r="AZ71" s="124" cm="1">
        <f t="array" ref="AZ71">+_xll.EQNXTDZ($A$1,$B71,AZ$1,$B$1)</f>
        <v>0</v>
      </c>
      <c r="BA71" s="124" cm="1">
        <f t="array" ref="BA71">+_xll.EQNXTDZ($A$1,$B71,BA$1,$B$1)</f>
        <v>0</v>
      </c>
      <c r="BB71" s="124" cm="1">
        <f t="array" ref="BB71">+_xll.EQNXTDZ($A$1,$B71,BB$1,$B$1)</f>
        <v>0</v>
      </c>
      <c r="BC71" s="124" cm="1">
        <f t="array" ref="BC71">+_xll.EQNXTDZ($A$1,$B71,BC$1,$B$1)</f>
        <v>0</v>
      </c>
      <c r="BD71" s="124" cm="1">
        <f t="array" ref="BD71">+_xll.EQNXTDZ($A$1,$B71,BD$1,$B$1)</f>
        <v>0</v>
      </c>
      <c r="BE71" s="124" cm="1">
        <f t="array" ref="BE71">+_xll.EQNXTDZ($A$1,$B71,BE$1,$B$1)</f>
        <v>0</v>
      </c>
      <c r="BF71" s="124" cm="1">
        <f t="array" ref="BF71">+_xll.EQNXTDZ($A$1,$B71,BF$1,$B$1)</f>
        <v>0</v>
      </c>
      <c r="BG71" s="124" cm="1">
        <f t="array" ref="BG71">+_xll.EQNXTDZ($A$1,$B71,BG$1,$B$1)</f>
        <v>0</v>
      </c>
      <c r="BH71" s="124" cm="1">
        <f t="array" ref="BH71">+_xll.EQNXTDZ($A$1,$B71,BH$1,$B$1)</f>
        <v>0</v>
      </c>
      <c r="BI71" s="124" cm="1">
        <f t="array" ref="BI71">+_xll.EQNXTDZ($A$1,$B71,BI$1,$B$1)</f>
        <v>0</v>
      </c>
      <c r="BJ71" s="124" cm="1">
        <f t="array" ref="BJ71">+_xll.EQNXTDZ($A$1,$B71,BJ$1,$B$1)</f>
        <v>0</v>
      </c>
      <c r="BK71" s="124" cm="1">
        <f t="array" ref="BK71">+_xll.EQNXTDZ($A$1,$B71,BK$1,$B$1)</f>
        <v>0</v>
      </c>
    </row>
    <row r="72" spans="1:63" x14ac:dyDescent="0.25">
      <c r="A72" t="s">
        <v>210</v>
      </c>
      <c r="B72" t="s">
        <v>332</v>
      </c>
      <c r="C72" s="124" cm="1">
        <f t="array" ref="C72">+_xll.EQNXTDZ($A$1,$B72,C$1,$B$1)</f>
        <v>0</v>
      </c>
      <c r="D72" s="124" cm="1">
        <f t="array" ref="D72">+_xll.EQNXTDZ($A$1,$B72,D$1,$B$1)</f>
        <v>0</v>
      </c>
      <c r="E72" s="124" cm="1">
        <f t="array" ref="E72">+_xll.EQNXTDZ($A$1,$B72,E$1,$B$1)</f>
        <v>0</v>
      </c>
      <c r="F72" s="124" cm="1">
        <f t="array" ref="F72">+_xll.EQNXTDZ($A$1,$B72,F$1,$B$1)</f>
        <v>0</v>
      </c>
      <c r="G72" s="124" cm="1">
        <f t="array" ref="G72">+_xll.EQNXTDZ($A$1,$B72,G$1,$B$1)</f>
        <v>0</v>
      </c>
      <c r="H72" s="124" cm="1">
        <f t="array" ref="H72">+_xll.EQNXTDZ($A$1,$B72,H$1,$B$1)</f>
        <v>0</v>
      </c>
      <c r="I72" s="124" cm="1">
        <f t="array" ref="I72">+_xll.EQNXTDZ($A$1,$B72,I$1,$B$1)</f>
        <v>0</v>
      </c>
      <c r="J72" s="124" cm="1">
        <f t="array" ref="J72">+_xll.EQNXTDZ($A$1,$B72,J$1,$B$1)</f>
        <v>0</v>
      </c>
      <c r="K72" s="124" cm="1">
        <f t="array" ref="K72">+_xll.EQNXTDZ($A$1,$B72,K$1,$B$1)</f>
        <v>0</v>
      </c>
      <c r="L72" s="124" cm="1">
        <f t="array" ref="L72">+_xll.EQNXTDZ($A$1,$B72,L$1,$B$1)</f>
        <v>0</v>
      </c>
      <c r="M72" s="124" cm="1">
        <f t="array" ref="M72">+_xll.EQNXTDZ($A$1,$B72,M$1,$B$1)</f>
        <v>0</v>
      </c>
      <c r="N72" s="124" cm="1">
        <f t="array" ref="N72">+_xll.EQNXTDZ($A$1,$B72,N$1,$B$1)</f>
        <v>0</v>
      </c>
      <c r="O72" s="124" cm="1">
        <f t="array" ref="O72">+_xll.EQNXTDZ($A$1,$B72,O$1,$B$1)</f>
        <v>0</v>
      </c>
      <c r="P72" s="124" cm="1">
        <f t="array" ref="P72">+_xll.EQNXTDZ($A$1,$B72,P$1,$B$1)</f>
        <v>0</v>
      </c>
      <c r="Q72" s="124" cm="1">
        <f t="array" ref="Q72">+_xll.EQNXTDZ($A$1,$B72,Q$1,$B$1)</f>
        <v>0</v>
      </c>
      <c r="R72" s="124" cm="1">
        <f t="array" ref="R72">+_xll.EQNXTDZ($A$1,$B72,R$1,$B$1)</f>
        <v>0</v>
      </c>
      <c r="S72" s="124" cm="1">
        <f t="array" ref="S72">+_xll.EQNXTDZ($A$1,$B72,S$1,$B$1)</f>
        <v>0</v>
      </c>
      <c r="T72" s="124" cm="1">
        <f t="array" ref="T72">+_xll.EQNXTDZ($A$1,$B72,T$1,$B$1)</f>
        <v>0</v>
      </c>
      <c r="U72" s="124" cm="1">
        <f t="array" ref="U72">+_xll.EQNXTDZ($A$1,$B72,U$1,$B$1)</f>
        <v>0</v>
      </c>
      <c r="V72" s="124" cm="1">
        <f t="array" ref="V72">+_xll.EQNXTDZ($A$1,$B72,V$1,$B$1)</f>
        <v>0</v>
      </c>
      <c r="W72" s="124" cm="1">
        <f t="array" ref="W72">+_xll.EQNXTDZ($A$1,$B72,W$1,$B$1)</f>
        <v>0</v>
      </c>
      <c r="X72" s="124" cm="1">
        <f t="array" ref="X72">+_xll.EQNXTDZ($A$1,$B72,X$1,$B$1)</f>
        <v>0</v>
      </c>
      <c r="Y72" s="124" cm="1">
        <f t="array" ref="Y72">+_xll.EQNXTDZ($A$1,$B72,Y$1,$B$1)</f>
        <v>0</v>
      </c>
      <c r="Z72" s="124" cm="1">
        <f t="array" ref="Z72">+_xll.EQNXTDZ($A$1,$B72,Z$1,$B$1)</f>
        <v>0</v>
      </c>
      <c r="AA72" s="124" cm="1">
        <f t="array" ref="AA72">+_xll.EQNXTDZ($A$1,$B72,AA$1,$B$1)</f>
        <v>0</v>
      </c>
      <c r="AB72" s="124" cm="1">
        <f t="array" ref="AB72">+_xll.EQNXTDZ($A$1,$B72,AB$1,$B$1)</f>
        <v>0</v>
      </c>
      <c r="AC72" s="124" cm="1">
        <f t="array" ref="AC72">+_xll.EQNXTDZ($A$1,$B72,AC$1,$B$1)</f>
        <v>0</v>
      </c>
      <c r="AD72" s="124" cm="1">
        <f t="array" ref="AD72">+_xll.EQNXTDZ($A$1,$B72,AD$1,$B$1)</f>
        <v>0</v>
      </c>
      <c r="AE72" s="124" cm="1">
        <f t="array" ref="AE72">+_xll.EQNXTDZ($A$1,$B72,AE$1,$B$1)</f>
        <v>0</v>
      </c>
      <c r="AF72" s="124" cm="1">
        <f t="array" ref="AF72">+_xll.EQNXTDZ($A$1,$B72,AF$1,$B$1)</f>
        <v>0</v>
      </c>
      <c r="AG72" s="124" cm="1">
        <f t="array" ref="AG72">+_xll.EQNXTDZ($A$1,$B72,AG$1,$B$1)</f>
        <v>0</v>
      </c>
      <c r="AH72" s="124" cm="1">
        <f t="array" ref="AH72">+_xll.EQNXTDZ($A$1,$B72,AH$1,$B$1)</f>
        <v>0</v>
      </c>
      <c r="AI72" s="124" cm="1">
        <f t="array" ref="AI72">+_xll.EQNXTDZ($A$1,$B72,AI$1,$B$1)</f>
        <v>0</v>
      </c>
      <c r="AJ72" s="124" cm="1">
        <f t="array" ref="AJ72">+_xll.EQNXTDZ($A$1,$B72,AJ$1,$B$1)</f>
        <v>0</v>
      </c>
      <c r="AK72" s="124" cm="1">
        <f t="array" ref="AK72">+_xll.EQNXTDZ($A$1,$B72,AK$1,$B$1)</f>
        <v>0</v>
      </c>
      <c r="AL72" s="124" cm="1">
        <f t="array" ref="AL72">+_xll.EQNXTDZ($A$1,$B72,AL$1,$B$1)</f>
        <v>0</v>
      </c>
      <c r="AM72" s="124" cm="1">
        <f t="array" ref="AM72">+_xll.EQNXTDZ($A$1,$B72,AM$1,$B$1)</f>
        <v>0</v>
      </c>
      <c r="AN72" s="124" cm="1">
        <f t="array" ref="AN72">+_xll.EQNXTDZ($A$1,$B72,AN$1,$B$1)</f>
        <v>0</v>
      </c>
      <c r="AO72" s="124" cm="1">
        <f t="array" ref="AO72">+_xll.EQNXTDZ($A$1,$B72,AO$1,$B$1)</f>
        <v>0</v>
      </c>
      <c r="AP72" s="124" cm="1">
        <f t="array" ref="AP72">+_xll.EQNXTDZ($A$1,$B72,AP$1,$B$1)</f>
        <v>0</v>
      </c>
      <c r="AQ72" s="124" cm="1">
        <f t="array" ref="AQ72">+_xll.EQNXTDZ($A$1,$B72,AQ$1,$B$1)</f>
        <v>0</v>
      </c>
      <c r="AR72" s="124" cm="1">
        <f t="array" ref="AR72">+_xll.EQNXTDZ($A$1,$B72,AR$1,$B$1)</f>
        <v>0</v>
      </c>
      <c r="AS72" s="124" cm="1">
        <f t="array" ref="AS72">+_xll.EQNXTDZ($A$1,$B72,AS$1,$B$1)</f>
        <v>0</v>
      </c>
      <c r="AT72" s="124" cm="1">
        <f t="array" ref="AT72">+_xll.EQNXTDZ($A$1,$B72,AT$1,$B$1)</f>
        <v>0</v>
      </c>
      <c r="AU72" s="124" cm="1">
        <f t="array" ref="AU72">+_xll.EQNXTDZ($A$1,$B72,AU$1,$B$1)</f>
        <v>0</v>
      </c>
      <c r="AV72" s="124" cm="1">
        <f t="array" ref="AV72">+_xll.EQNXTDZ($A$1,$B72,AV$1,$B$1)</f>
        <v>0</v>
      </c>
      <c r="AW72" s="124" cm="1">
        <f t="array" ref="AW72">+_xll.EQNXTDZ($A$1,$B72,AW$1,$B$1)</f>
        <v>0</v>
      </c>
      <c r="AX72" s="124" cm="1">
        <f t="array" ref="AX72">+_xll.EQNXTDZ($A$1,$B72,AX$1,$B$1)</f>
        <v>0</v>
      </c>
      <c r="AY72" s="124" cm="1">
        <f t="array" ref="AY72">+_xll.EQNXTDZ($A$1,$B72,AY$1,$B$1)</f>
        <v>0</v>
      </c>
      <c r="AZ72" s="124" cm="1">
        <f t="array" ref="AZ72">+_xll.EQNXTDZ($A$1,$B72,AZ$1,$B$1)</f>
        <v>0</v>
      </c>
      <c r="BA72" s="124" cm="1">
        <f t="array" ref="BA72">+_xll.EQNXTDZ($A$1,$B72,BA$1,$B$1)</f>
        <v>0</v>
      </c>
      <c r="BB72" s="124" cm="1">
        <f t="array" ref="BB72">+_xll.EQNXTDZ($A$1,$B72,BB$1,$B$1)</f>
        <v>0</v>
      </c>
      <c r="BC72" s="124" cm="1">
        <f t="array" ref="BC72">+_xll.EQNXTDZ($A$1,$B72,BC$1,$B$1)</f>
        <v>0</v>
      </c>
      <c r="BD72" s="124" cm="1">
        <f t="array" ref="BD72">+_xll.EQNXTDZ($A$1,$B72,BD$1,$B$1)</f>
        <v>0</v>
      </c>
      <c r="BE72" s="124" cm="1">
        <f t="array" ref="BE72">+_xll.EQNXTDZ($A$1,$B72,BE$1,$B$1)</f>
        <v>0</v>
      </c>
      <c r="BF72" s="124" cm="1">
        <f t="array" ref="BF72">+_xll.EQNXTDZ($A$1,$B72,BF$1,$B$1)</f>
        <v>0</v>
      </c>
      <c r="BG72" s="124" cm="1">
        <f t="array" ref="BG72">+_xll.EQNXTDZ($A$1,$B72,BG$1,$B$1)</f>
        <v>0</v>
      </c>
      <c r="BH72" s="124" cm="1">
        <f t="array" ref="BH72">+_xll.EQNXTDZ($A$1,$B72,BH$1,$B$1)</f>
        <v>0</v>
      </c>
      <c r="BI72" s="124" cm="1">
        <f t="array" ref="BI72">+_xll.EQNXTDZ($A$1,$B72,BI$1,$B$1)</f>
        <v>0</v>
      </c>
      <c r="BJ72" s="124" cm="1">
        <f t="array" ref="BJ72">+_xll.EQNXTDZ($A$1,$B72,BJ$1,$B$1)</f>
        <v>0</v>
      </c>
      <c r="BK72" s="124" cm="1">
        <f t="array" ref="BK72">+_xll.EQNXTDZ($A$1,$B72,BK$1,$B$1)</f>
        <v>0</v>
      </c>
    </row>
    <row r="73" spans="1:63" x14ac:dyDescent="0.25">
      <c r="A73" t="s">
        <v>211</v>
      </c>
      <c r="B73" t="s">
        <v>333</v>
      </c>
      <c r="C73" s="124" cm="1">
        <f t="array" ref="C73">+_xll.EQNXTDZ($A$1,$B73,C$1,$B$1)</f>
        <v>0</v>
      </c>
      <c r="D73" s="124" cm="1">
        <f t="array" ref="D73">+_xll.EQNXTDZ($A$1,$B73,D$1,$B$1)</f>
        <v>0</v>
      </c>
      <c r="E73" s="124" cm="1">
        <f t="array" ref="E73">+_xll.EQNXTDZ($A$1,$B73,E$1,$B$1)</f>
        <v>0</v>
      </c>
      <c r="F73" s="124" cm="1">
        <f t="array" ref="F73">+_xll.EQNXTDZ($A$1,$B73,F$1,$B$1)</f>
        <v>0</v>
      </c>
      <c r="G73" s="124" cm="1">
        <f t="array" ref="G73">+_xll.EQNXTDZ($A$1,$B73,G$1,$B$1)</f>
        <v>0</v>
      </c>
      <c r="H73" s="124" cm="1">
        <f t="array" ref="H73">+_xll.EQNXTDZ($A$1,$B73,H$1,$B$1)</f>
        <v>0</v>
      </c>
      <c r="I73" s="124" cm="1">
        <f t="array" ref="I73">+_xll.EQNXTDZ($A$1,$B73,I$1,$B$1)</f>
        <v>0</v>
      </c>
      <c r="J73" s="124" cm="1">
        <f t="array" ref="J73">+_xll.EQNXTDZ($A$1,$B73,J$1,$B$1)</f>
        <v>0</v>
      </c>
      <c r="K73" s="124" cm="1">
        <f t="array" ref="K73">+_xll.EQNXTDZ($A$1,$B73,K$1,$B$1)</f>
        <v>0</v>
      </c>
      <c r="L73" s="124" cm="1">
        <f t="array" ref="L73">+_xll.EQNXTDZ($A$1,$B73,L$1,$B$1)</f>
        <v>0</v>
      </c>
      <c r="M73" s="124" cm="1">
        <f t="array" ref="M73">+_xll.EQNXTDZ($A$1,$B73,M$1,$B$1)</f>
        <v>0</v>
      </c>
      <c r="N73" s="124" cm="1">
        <f t="array" ref="N73">+_xll.EQNXTDZ($A$1,$B73,N$1,$B$1)</f>
        <v>0</v>
      </c>
      <c r="O73" s="124" cm="1">
        <f t="array" ref="O73">+_xll.EQNXTDZ($A$1,$B73,O$1,$B$1)</f>
        <v>0</v>
      </c>
      <c r="P73" s="124" cm="1">
        <f t="array" ref="P73">+_xll.EQNXTDZ($A$1,$B73,P$1,$B$1)</f>
        <v>0</v>
      </c>
      <c r="Q73" s="124" cm="1">
        <f t="array" ref="Q73">+_xll.EQNXTDZ($A$1,$B73,Q$1,$B$1)</f>
        <v>0</v>
      </c>
      <c r="R73" s="124" cm="1">
        <f t="array" ref="R73">+_xll.EQNXTDZ($A$1,$B73,R$1,$B$1)</f>
        <v>0</v>
      </c>
      <c r="S73" s="124" cm="1">
        <f t="array" ref="S73">+_xll.EQNXTDZ($A$1,$B73,S$1,$B$1)</f>
        <v>0</v>
      </c>
      <c r="T73" s="124" cm="1">
        <f t="array" ref="T73">+_xll.EQNXTDZ($A$1,$B73,T$1,$B$1)</f>
        <v>0</v>
      </c>
      <c r="U73" s="124" cm="1">
        <f t="array" ref="U73">+_xll.EQNXTDZ($A$1,$B73,U$1,$B$1)</f>
        <v>0</v>
      </c>
      <c r="V73" s="124" cm="1">
        <f t="array" ref="V73">+_xll.EQNXTDZ($A$1,$B73,V$1,$B$1)</f>
        <v>0</v>
      </c>
      <c r="W73" s="124" cm="1">
        <f t="array" ref="W73">+_xll.EQNXTDZ($A$1,$B73,W$1,$B$1)</f>
        <v>0</v>
      </c>
      <c r="X73" s="124" cm="1">
        <f t="array" ref="X73">+_xll.EQNXTDZ($A$1,$B73,X$1,$B$1)</f>
        <v>0</v>
      </c>
      <c r="Y73" s="124" cm="1">
        <f t="array" ref="Y73">+_xll.EQNXTDZ($A$1,$B73,Y$1,$B$1)</f>
        <v>0</v>
      </c>
      <c r="Z73" s="124" cm="1">
        <f t="array" ref="Z73">+_xll.EQNXTDZ($A$1,$B73,Z$1,$B$1)</f>
        <v>0</v>
      </c>
      <c r="AA73" s="124" cm="1">
        <f t="array" ref="AA73">+_xll.EQNXTDZ($A$1,$B73,AA$1,$B$1)</f>
        <v>0</v>
      </c>
      <c r="AB73" s="124" cm="1">
        <f t="array" ref="AB73">+_xll.EQNXTDZ($A$1,$B73,AB$1,$B$1)</f>
        <v>0</v>
      </c>
      <c r="AC73" s="124" cm="1">
        <f t="array" ref="AC73">+_xll.EQNXTDZ($A$1,$B73,AC$1,$B$1)</f>
        <v>0</v>
      </c>
      <c r="AD73" s="124" cm="1">
        <f t="array" ref="AD73">+_xll.EQNXTDZ($A$1,$B73,AD$1,$B$1)</f>
        <v>0</v>
      </c>
      <c r="AE73" s="124" cm="1">
        <f t="array" ref="AE73">+_xll.EQNXTDZ($A$1,$B73,AE$1,$B$1)</f>
        <v>0</v>
      </c>
      <c r="AF73" s="124" cm="1">
        <f t="array" ref="AF73">+_xll.EQNXTDZ($A$1,$B73,AF$1,$B$1)</f>
        <v>0</v>
      </c>
      <c r="AG73" s="124" cm="1">
        <f t="array" ref="AG73">+_xll.EQNXTDZ($A$1,$B73,AG$1,$B$1)</f>
        <v>0</v>
      </c>
      <c r="AH73" s="124" cm="1">
        <f t="array" ref="AH73">+_xll.EQNXTDZ($A$1,$B73,AH$1,$B$1)</f>
        <v>0</v>
      </c>
      <c r="AI73" s="124" cm="1">
        <f t="array" ref="AI73">+_xll.EQNXTDZ($A$1,$B73,AI$1,$B$1)</f>
        <v>0</v>
      </c>
      <c r="AJ73" s="124" cm="1">
        <f t="array" ref="AJ73">+_xll.EQNXTDZ($A$1,$B73,AJ$1,$B$1)</f>
        <v>0</v>
      </c>
      <c r="AK73" s="124" cm="1">
        <f t="array" ref="AK73">+_xll.EQNXTDZ($A$1,$B73,AK$1,$B$1)</f>
        <v>0</v>
      </c>
      <c r="AL73" s="124" cm="1">
        <f t="array" ref="AL73">+_xll.EQNXTDZ($A$1,$B73,AL$1,$B$1)</f>
        <v>0</v>
      </c>
      <c r="AM73" s="124" cm="1">
        <f t="array" ref="AM73">+_xll.EQNXTDZ($A$1,$B73,AM$1,$B$1)</f>
        <v>0</v>
      </c>
      <c r="AN73" s="124" cm="1">
        <f t="array" ref="AN73">+_xll.EQNXTDZ($A$1,$B73,AN$1,$B$1)</f>
        <v>0</v>
      </c>
      <c r="AO73" s="124" cm="1">
        <f t="array" ref="AO73">+_xll.EQNXTDZ($A$1,$B73,AO$1,$B$1)</f>
        <v>0</v>
      </c>
      <c r="AP73" s="124" cm="1">
        <f t="array" ref="AP73">+_xll.EQNXTDZ($A$1,$B73,AP$1,$B$1)</f>
        <v>0</v>
      </c>
      <c r="AQ73" s="124" cm="1">
        <f t="array" ref="AQ73">+_xll.EQNXTDZ($A$1,$B73,AQ$1,$B$1)</f>
        <v>0</v>
      </c>
      <c r="AR73" s="124" cm="1">
        <f t="array" ref="AR73">+_xll.EQNXTDZ($A$1,$B73,AR$1,$B$1)</f>
        <v>0</v>
      </c>
      <c r="AS73" s="124" cm="1">
        <f t="array" ref="AS73">+_xll.EQNXTDZ($A$1,$B73,AS$1,$B$1)</f>
        <v>0</v>
      </c>
      <c r="AT73" s="124" cm="1">
        <f t="array" ref="AT73">+_xll.EQNXTDZ($A$1,$B73,AT$1,$B$1)</f>
        <v>0</v>
      </c>
      <c r="AU73" s="124" cm="1">
        <f t="array" ref="AU73">+_xll.EQNXTDZ($A$1,$B73,AU$1,$B$1)</f>
        <v>0</v>
      </c>
      <c r="AV73" s="124" cm="1">
        <f t="array" ref="AV73">+_xll.EQNXTDZ($A$1,$B73,AV$1,$B$1)</f>
        <v>0</v>
      </c>
      <c r="AW73" s="124" cm="1">
        <f t="array" ref="AW73">+_xll.EQNXTDZ($A$1,$B73,AW$1,$B$1)</f>
        <v>0</v>
      </c>
      <c r="AX73" s="124" cm="1">
        <f t="array" ref="AX73">+_xll.EQNXTDZ($A$1,$B73,AX$1,$B$1)</f>
        <v>0</v>
      </c>
      <c r="AY73" s="124" cm="1">
        <f t="array" ref="AY73">+_xll.EQNXTDZ($A$1,$B73,AY$1,$B$1)</f>
        <v>0</v>
      </c>
      <c r="AZ73" s="124" cm="1">
        <f t="array" ref="AZ73">+_xll.EQNXTDZ($A$1,$B73,AZ$1,$B$1)</f>
        <v>0</v>
      </c>
      <c r="BA73" s="124" cm="1">
        <f t="array" ref="BA73">+_xll.EQNXTDZ($A$1,$B73,BA$1,$B$1)</f>
        <v>0</v>
      </c>
      <c r="BB73" s="124" cm="1">
        <f t="array" ref="BB73">+_xll.EQNXTDZ($A$1,$B73,BB$1,$B$1)</f>
        <v>0</v>
      </c>
      <c r="BC73" s="124" cm="1">
        <f t="array" ref="BC73">+_xll.EQNXTDZ($A$1,$B73,BC$1,$B$1)</f>
        <v>0</v>
      </c>
      <c r="BD73" s="124" cm="1">
        <f t="array" ref="BD73">+_xll.EQNXTDZ($A$1,$B73,BD$1,$B$1)</f>
        <v>0</v>
      </c>
      <c r="BE73" s="124" cm="1">
        <f t="array" ref="BE73">+_xll.EQNXTDZ($A$1,$B73,BE$1,$B$1)</f>
        <v>0</v>
      </c>
      <c r="BF73" s="124" cm="1">
        <f t="array" ref="BF73">+_xll.EQNXTDZ($A$1,$B73,BF$1,$B$1)</f>
        <v>0</v>
      </c>
      <c r="BG73" s="124" cm="1">
        <f t="array" ref="BG73">+_xll.EQNXTDZ($A$1,$B73,BG$1,$B$1)</f>
        <v>0</v>
      </c>
      <c r="BH73" s="124" cm="1">
        <f t="array" ref="BH73">+_xll.EQNXTDZ($A$1,$B73,BH$1,$B$1)</f>
        <v>0</v>
      </c>
      <c r="BI73" s="124" cm="1">
        <f t="array" ref="BI73">+_xll.EQNXTDZ($A$1,$B73,BI$1,$B$1)</f>
        <v>0</v>
      </c>
      <c r="BJ73" s="124" cm="1">
        <f t="array" ref="BJ73">+_xll.EQNXTDZ($A$1,$B73,BJ$1,$B$1)</f>
        <v>0</v>
      </c>
      <c r="BK73" s="124" cm="1">
        <f t="array" ref="BK73">+_xll.EQNXTDZ($A$1,$B73,BK$1,$B$1)</f>
        <v>0</v>
      </c>
    </row>
    <row r="74" spans="1:63" x14ac:dyDescent="0.25">
      <c r="A74" t="s">
        <v>212</v>
      </c>
      <c r="B74" t="s">
        <v>334</v>
      </c>
      <c r="C74" s="124" cm="1">
        <f t="array" ref="C74">+_xll.EQNXTDZ($A$1,$B74,C$1,$B$1)</f>
        <v>0</v>
      </c>
      <c r="D74" s="124" cm="1">
        <f t="array" ref="D74">+_xll.EQNXTDZ($A$1,$B74,D$1,$B$1)</f>
        <v>0</v>
      </c>
      <c r="E74" s="124" cm="1">
        <f t="array" ref="E74">+_xll.EQNXTDZ($A$1,$B74,E$1,$B$1)</f>
        <v>0</v>
      </c>
      <c r="F74" s="124" cm="1">
        <f t="array" ref="F74">+_xll.EQNXTDZ($A$1,$B74,F$1,$B$1)</f>
        <v>0</v>
      </c>
      <c r="G74" s="124" cm="1">
        <f t="array" ref="G74">+_xll.EQNXTDZ($A$1,$B74,G$1,$B$1)</f>
        <v>0</v>
      </c>
      <c r="H74" s="124" cm="1">
        <f t="array" ref="H74">+_xll.EQNXTDZ($A$1,$B74,H$1,$B$1)</f>
        <v>0</v>
      </c>
      <c r="I74" s="124" cm="1">
        <f t="array" ref="I74">+_xll.EQNXTDZ($A$1,$B74,I$1,$B$1)</f>
        <v>0</v>
      </c>
      <c r="J74" s="124" cm="1">
        <f t="array" ref="J74">+_xll.EQNXTDZ($A$1,$B74,J$1,$B$1)</f>
        <v>0</v>
      </c>
      <c r="K74" s="124" cm="1">
        <f t="array" ref="K74">+_xll.EQNXTDZ($A$1,$B74,K$1,$B$1)</f>
        <v>0</v>
      </c>
      <c r="L74" s="124" cm="1">
        <f t="array" ref="L74">+_xll.EQNXTDZ($A$1,$B74,L$1,$B$1)</f>
        <v>0</v>
      </c>
      <c r="M74" s="124" cm="1">
        <f t="array" ref="M74">+_xll.EQNXTDZ($A$1,$B74,M$1,$B$1)</f>
        <v>0</v>
      </c>
      <c r="N74" s="124" cm="1">
        <f t="array" ref="N74">+_xll.EQNXTDZ($A$1,$B74,N$1,$B$1)</f>
        <v>0</v>
      </c>
      <c r="O74" s="124" cm="1">
        <f t="array" ref="O74">+_xll.EQNXTDZ($A$1,$B74,O$1,$B$1)</f>
        <v>0</v>
      </c>
      <c r="P74" s="124" cm="1">
        <f t="array" ref="P74">+_xll.EQNXTDZ($A$1,$B74,P$1,$B$1)</f>
        <v>0</v>
      </c>
      <c r="Q74" s="124" cm="1">
        <f t="array" ref="Q74">+_xll.EQNXTDZ($A$1,$B74,Q$1,$B$1)</f>
        <v>0</v>
      </c>
      <c r="R74" s="124" cm="1">
        <f t="array" ref="R74">+_xll.EQNXTDZ($A$1,$B74,R$1,$B$1)</f>
        <v>0</v>
      </c>
      <c r="S74" s="124" cm="1">
        <f t="array" ref="S74">+_xll.EQNXTDZ($A$1,$B74,S$1,$B$1)</f>
        <v>0</v>
      </c>
      <c r="T74" s="124" cm="1">
        <f t="array" ref="T74">+_xll.EQNXTDZ($A$1,$B74,T$1,$B$1)</f>
        <v>0</v>
      </c>
      <c r="U74" s="124" cm="1">
        <f t="array" ref="U74">+_xll.EQNXTDZ($A$1,$B74,U$1,$B$1)</f>
        <v>0</v>
      </c>
      <c r="V74" s="124" cm="1">
        <f t="array" ref="V74">+_xll.EQNXTDZ($A$1,$B74,V$1,$B$1)</f>
        <v>0</v>
      </c>
      <c r="W74" s="124" cm="1">
        <f t="array" ref="W74">+_xll.EQNXTDZ($A$1,$B74,W$1,$B$1)</f>
        <v>0</v>
      </c>
      <c r="X74" s="124" cm="1">
        <f t="array" ref="X74">+_xll.EQNXTDZ($A$1,$B74,X$1,$B$1)</f>
        <v>0</v>
      </c>
      <c r="Y74" s="124" cm="1">
        <f t="array" ref="Y74">+_xll.EQNXTDZ($A$1,$B74,Y$1,$B$1)</f>
        <v>0</v>
      </c>
      <c r="Z74" s="124" cm="1">
        <f t="array" ref="Z74">+_xll.EQNXTDZ($A$1,$B74,Z$1,$B$1)</f>
        <v>0</v>
      </c>
      <c r="AA74" s="124" cm="1">
        <f t="array" ref="AA74">+_xll.EQNXTDZ($A$1,$B74,AA$1,$B$1)</f>
        <v>0</v>
      </c>
      <c r="AB74" s="124" cm="1">
        <f t="array" ref="AB74">+_xll.EQNXTDZ($A$1,$B74,AB$1,$B$1)</f>
        <v>0</v>
      </c>
      <c r="AC74" s="124" cm="1">
        <f t="array" ref="AC74">+_xll.EQNXTDZ($A$1,$B74,AC$1,$B$1)</f>
        <v>0</v>
      </c>
      <c r="AD74" s="124" cm="1">
        <f t="array" ref="AD74">+_xll.EQNXTDZ($A$1,$B74,AD$1,$B$1)</f>
        <v>0</v>
      </c>
      <c r="AE74" s="124" cm="1">
        <f t="array" ref="AE74">+_xll.EQNXTDZ($A$1,$B74,AE$1,$B$1)</f>
        <v>0</v>
      </c>
      <c r="AF74" s="124" cm="1">
        <f t="array" ref="AF74">+_xll.EQNXTDZ($A$1,$B74,AF$1,$B$1)</f>
        <v>0</v>
      </c>
      <c r="AG74" s="124" cm="1">
        <f t="array" ref="AG74">+_xll.EQNXTDZ($A$1,$B74,AG$1,$B$1)</f>
        <v>0</v>
      </c>
      <c r="AH74" s="124" cm="1">
        <f t="array" ref="AH74">+_xll.EQNXTDZ($A$1,$B74,AH$1,$B$1)</f>
        <v>0</v>
      </c>
      <c r="AI74" s="124" cm="1">
        <f t="array" ref="AI74">+_xll.EQNXTDZ($A$1,$B74,AI$1,$B$1)</f>
        <v>0</v>
      </c>
      <c r="AJ74" s="124" cm="1">
        <f t="array" ref="AJ74">+_xll.EQNXTDZ($A$1,$B74,AJ$1,$B$1)</f>
        <v>0</v>
      </c>
      <c r="AK74" s="124" cm="1">
        <f t="array" ref="AK74">+_xll.EQNXTDZ($A$1,$B74,AK$1,$B$1)</f>
        <v>0</v>
      </c>
      <c r="AL74" s="124" cm="1">
        <f t="array" ref="AL74">+_xll.EQNXTDZ($A$1,$B74,AL$1,$B$1)</f>
        <v>0</v>
      </c>
      <c r="AM74" s="124" cm="1">
        <f t="array" ref="AM74">+_xll.EQNXTDZ($A$1,$B74,AM$1,$B$1)</f>
        <v>0</v>
      </c>
      <c r="AN74" s="124" cm="1">
        <f t="array" ref="AN74">+_xll.EQNXTDZ($A$1,$B74,AN$1,$B$1)</f>
        <v>0</v>
      </c>
      <c r="AO74" s="124" cm="1">
        <f t="array" ref="AO74">+_xll.EQNXTDZ($A$1,$B74,AO$1,$B$1)</f>
        <v>0</v>
      </c>
      <c r="AP74" s="124" cm="1">
        <f t="array" ref="AP74">+_xll.EQNXTDZ($A$1,$B74,AP$1,$B$1)</f>
        <v>0</v>
      </c>
      <c r="AQ74" s="124" cm="1">
        <f t="array" ref="AQ74">+_xll.EQNXTDZ($A$1,$B74,AQ$1,$B$1)</f>
        <v>0</v>
      </c>
      <c r="AR74" s="124" cm="1">
        <f t="array" ref="AR74">+_xll.EQNXTDZ($A$1,$B74,AR$1,$B$1)</f>
        <v>0</v>
      </c>
      <c r="AS74" s="124" cm="1">
        <f t="array" ref="AS74">+_xll.EQNXTDZ($A$1,$B74,AS$1,$B$1)</f>
        <v>0</v>
      </c>
      <c r="AT74" s="124" cm="1">
        <f t="array" ref="AT74">+_xll.EQNXTDZ($A$1,$B74,AT$1,$B$1)</f>
        <v>0</v>
      </c>
      <c r="AU74" s="124" cm="1">
        <f t="array" ref="AU74">+_xll.EQNXTDZ($A$1,$B74,AU$1,$B$1)</f>
        <v>0</v>
      </c>
      <c r="AV74" s="124" cm="1">
        <f t="array" ref="AV74">+_xll.EQNXTDZ($A$1,$B74,AV$1,$B$1)</f>
        <v>0</v>
      </c>
      <c r="AW74" s="124" cm="1">
        <f t="array" ref="AW74">+_xll.EQNXTDZ($A$1,$B74,AW$1,$B$1)</f>
        <v>0</v>
      </c>
      <c r="AX74" s="124" cm="1">
        <f t="array" ref="AX74">+_xll.EQNXTDZ($A$1,$B74,AX$1,$B$1)</f>
        <v>0</v>
      </c>
      <c r="AY74" s="124" cm="1">
        <f t="array" ref="AY74">+_xll.EQNXTDZ($A$1,$B74,AY$1,$B$1)</f>
        <v>0</v>
      </c>
      <c r="AZ74" s="124" cm="1">
        <f t="array" ref="AZ74">+_xll.EQNXTDZ($A$1,$B74,AZ$1,$B$1)</f>
        <v>0</v>
      </c>
      <c r="BA74" s="124" cm="1">
        <f t="array" ref="BA74">+_xll.EQNXTDZ($A$1,$B74,BA$1,$B$1)</f>
        <v>0</v>
      </c>
      <c r="BB74" s="124" cm="1">
        <f t="array" ref="BB74">+_xll.EQNXTDZ($A$1,$B74,BB$1,$B$1)</f>
        <v>0</v>
      </c>
      <c r="BC74" s="124" cm="1">
        <f t="array" ref="BC74">+_xll.EQNXTDZ($A$1,$B74,BC$1,$B$1)</f>
        <v>0</v>
      </c>
      <c r="BD74" s="124" cm="1">
        <f t="array" ref="BD74">+_xll.EQNXTDZ($A$1,$B74,BD$1,$B$1)</f>
        <v>0</v>
      </c>
      <c r="BE74" s="124" cm="1">
        <f t="array" ref="BE74">+_xll.EQNXTDZ($A$1,$B74,BE$1,$B$1)</f>
        <v>0</v>
      </c>
      <c r="BF74" s="124" cm="1">
        <f t="array" ref="BF74">+_xll.EQNXTDZ($A$1,$B74,BF$1,$B$1)</f>
        <v>0</v>
      </c>
      <c r="BG74" s="124" cm="1">
        <f t="array" ref="BG74">+_xll.EQNXTDZ($A$1,$B74,BG$1,$B$1)</f>
        <v>0</v>
      </c>
      <c r="BH74" s="124" cm="1">
        <f t="array" ref="BH74">+_xll.EQNXTDZ($A$1,$B74,BH$1,$B$1)</f>
        <v>0</v>
      </c>
      <c r="BI74" s="124" cm="1">
        <f t="array" ref="BI74">+_xll.EQNXTDZ($A$1,$B74,BI$1,$B$1)</f>
        <v>0</v>
      </c>
      <c r="BJ74" s="124" cm="1">
        <f t="array" ref="BJ74">+_xll.EQNXTDZ($A$1,$B74,BJ$1,$B$1)</f>
        <v>0</v>
      </c>
      <c r="BK74" s="124" cm="1">
        <f t="array" ref="BK74">+_xll.EQNXTDZ($A$1,$B74,BK$1,$B$1)</f>
        <v>0</v>
      </c>
    </row>
    <row r="75" spans="1:63" x14ac:dyDescent="0.25">
      <c r="A75" t="s">
        <v>213</v>
      </c>
      <c r="B75" t="s">
        <v>335</v>
      </c>
      <c r="C75" s="124" cm="1">
        <f t="array" ref="C75">+_xll.EQNXTDZ($A$1,$B75,C$1,$B$1)</f>
        <v>0</v>
      </c>
      <c r="D75" s="124" cm="1">
        <f t="array" ref="D75">+_xll.EQNXTDZ($A$1,$B75,D$1,$B$1)</f>
        <v>0</v>
      </c>
      <c r="E75" s="124" cm="1">
        <f t="array" ref="E75">+_xll.EQNXTDZ($A$1,$B75,E$1,$B$1)</f>
        <v>0</v>
      </c>
      <c r="F75" s="124" cm="1">
        <f t="array" ref="F75">+_xll.EQNXTDZ($A$1,$B75,F$1,$B$1)</f>
        <v>0</v>
      </c>
      <c r="G75" s="124" cm="1">
        <f t="array" ref="G75">+_xll.EQNXTDZ($A$1,$B75,G$1,$B$1)</f>
        <v>0</v>
      </c>
      <c r="H75" s="124" cm="1">
        <f t="array" ref="H75">+_xll.EQNXTDZ($A$1,$B75,H$1,$B$1)</f>
        <v>0</v>
      </c>
      <c r="I75" s="124" cm="1">
        <f t="array" ref="I75">+_xll.EQNXTDZ($A$1,$B75,I$1,$B$1)</f>
        <v>0</v>
      </c>
      <c r="J75" s="124" cm="1">
        <f t="array" ref="J75">+_xll.EQNXTDZ($A$1,$B75,J$1,$B$1)</f>
        <v>0</v>
      </c>
      <c r="K75" s="124" cm="1">
        <f t="array" ref="K75">+_xll.EQNXTDZ($A$1,$B75,K$1,$B$1)</f>
        <v>0</v>
      </c>
      <c r="L75" s="124" cm="1">
        <f t="array" ref="L75">+_xll.EQNXTDZ($A$1,$B75,L$1,$B$1)</f>
        <v>0</v>
      </c>
      <c r="M75" s="124" cm="1">
        <f t="array" ref="M75">+_xll.EQNXTDZ($A$1,$B75,M$1,$B$1)</f>
        <v>0</v>
      </c>
      <c r="N75" s="124" cm="1">
        <f t="array" ref="N75">+_xll.EQNXTDZ($A$1,$B75,N$1,$B$1)</f>
        <v>0</v>
      </c>
      <c r="O75" s="124" cm="1">
        <f t="array" ref="O75">+_xll.EQNXTDZ($A$1,$B75,O$1,$B$1)</f>
        <v>0</v>
      </c>
      <c r="P75" s="124" cm="1">
        <f t="array" ref="P75">+_xll.EQNXTDZ($A$1,$B75,P$1,$B$1)</f>
        <v>0</v>
      </c>
      <c r="Q75" s="124" cm="1">
        <f t="array" ref="Q75">+_xll.EQNXTDZ($A$1,$B75,Q$1,$B$1)</f>
        <v>0</v>
      </c>
      <c r="R75" s="124" cm="1">
        <f t="array" ref="R75">+_xll.EQNXTDZ($A$1,$B75,R$1,$B$1)</f>
        <v>0</v>
      </c>
      <c r="S75" s="124" cm="1">
        <f t="array" ref="S75">+_xll.EQNXTDZ($A$1,$B75,S$1,$B$1)</f>
        <v>0</v>
      </c>
      <c r="T75" s="124" cm="1">
        <f t="array" ref="T75">+_xll.EQNXTDZ($A$1,$B75,T$1,$B$1)</f>
        <v>0</v>
      </c>
      <c r="U75" s="124" cm="1">
        <f t="array" ref="U75">+_xll.EQNXTDZ($A$1,$B75,U$1,$B$1)</f>
        <v>0</v>
      </c>
      <c r="V75" s="124" cm="1">
        <f t="array" ref="V75">+_xll.EQNXTDZ($A$1,$B75,V$1,$B$1)</f>
        <v>0</v>
      </c>
      <c r="W75" s="124" cm="1">
        <f t="array" ref="W75">+_xll.EQNXTDZ($A$1,$B75,W$1,$B$1)</f>
        <v>0</v>
      </c>
      <c r="X75" s="124" cm="1">
        <f t="array" ref="X75">+_xll.EQNXTDZ($A$1,$B75,X$1,$B$1)</f>
        <v>0</v>
      </c>
      <c r="Y75" s="124" cm="1">
        <f t="array" ref="Y75">+_xll.EQNXTDZ($A$1,$B75,Y$1,$B$1)</f>
        <v>0</v>
      </c>
      <c r="Z75" s="124" cm="1">
        <f t="array" ref="Z75">+_xll.EQNXTDZ($A$1,$B75,Z$1,$B$1)</f>
        <v>0</v>
      </c>
      <c r="AA75" s="124" cm="1">
        <f t="array" ref="AA75">+_xll.EQNXTDZ($A$1,$B75,AA$1,$B$1)</f>
        <v>0</v>
      </c>
      <c r="AB75" s="124" cm="1">
        <f t="array" ref="AB75">+_xll.EQNXTDZ($A$1,$B75,AB$1,$B$1)</f>
        <v>0</v>
      </c>
      <c r="AC75" s="124" cm="1">
        <f t="array" ref="AC75">+_xll.EQNXTDZ($A$1,$B75,AC$1,$B$1)</f>
        <v>0</v>
      </c>
      <c r="AD75" s="124" cm="1">
        <f t="array" ref="AD75">+_xll.EQNXTDZ($A$1,$B75,AD$1,$B$1)</f>
        <v>0</v>
      </c>
      <c r="AE75" s="124" cm="1">
        <f t="array" ref="AE75">+_xll.EQNXTDZ($A$1,$B75,AE$1,$B$1)</f>
        <v>0</v>
      </c>
      <c r="AF75" s="124" cm="1">
        <f t="array" ref="AF75">+_xll.EQNXTDZ($A$1,$B75,AF$1,$B$1)</f>
        <v>0</v>
      </c>
      <c r="AG75" s="124" cm="1">
        <f t="array" ref="AG75">+_xll.EQNXTDZ($A$1,$B75,AG$1,$B$1)</f>
        <v>0</v>
      </c>
      <c r="AH75" s="124" cm="1">
        <f t="array" ref="AH75">+_xll.EQNXTDZ($A$1,$B75,AH$1,$B$1)</f>
        <v>0</v>
      </c>
      <c r="AI75" s="124" cm="1">
        <f t="array" ref="AI75">+_xll.EQNXTDZ($A$1,$B75,AI$1,$B$1)</f>
        <v>0</v>
      </c>
      <c r="AJ75" s="124" cm="1">
        <f t="array" ref="AJ75">+_xll.EQNXTDZ($A$1,$B75,AJ$1,$B$1)</f>
        <v>0</v>
      </c>
      <c r="AK75" s="124" cm="1">
        <f t="array" ref="AK75">+_xll.EQNXTDZ($A$1,$B75,AK$1,$B$1)</f>
        <v>0</v>
      </c>
      <c r="AL75" s="124" cm="1">
        <f t="array" ref="AL75">+_xll.EQNXTDZ($A$1,$B75,AL$1,$B$1)</f>
        <v>0</v>
      </c>
      <c r="AM75" s="124" cm="1">
        <f t="array" ref="AM75">+_xll.EQNXTDZ($A$1,$B75,AM$1,$B$1)</f>
        <v>0</v>
      </c>
      <c r="AN75" s="124" cm="1">
        <f t="array" ref="AN75">+_xll.EQNXTDZ($A$1,$B75,AN$1,$B$1)</f>
        <v>0</v>
      </c>
      <c r="AO75" s="124" cm="1">
        <f t="array" ref="AO75">+_xll.EQNXTDZ($A$1,$B75,AO$1,$B$1)</f>
        <v>0</v>
      </c>
      <c r="AP75" s="124" cm="1">
        <f t="array" ref="AP75">+_xll.EQNXTDZ($A$1,$B75,AP$1,$B$1)</f>
        <v>0</v>
      </c>
      <c r="AQ75" s="124" cm="1">
        <f t="array" ref="AQ75">+_xll.EQNXTDZ($A$1,$B75,AQ$1,$B$1)</f>
        <v>0</v>
      </c>
      <c r="AR75" s="124" cm="1">
        <f t="array" ref="AR75">+_xll.EQNXTDZ($A$1,$B75,AR$1,$B$1)</f>
        <v>0</v>
      </c>
      <c r="AS75" s="124" cm="1">
        <f t="array" ref="AS75">+_xll.EQNXTDZ($A$1,$B75,AS$1,$B$1)</f>
        <v>0</v>
      </c>
      <c r="AT75" s="124" cm="1">
        <f t="array" ref="AT75">+_xll.EQNXTDZ($A$1,$B75,AT$1,$B$1)</f>
        <v>0</v>
      </c>
      <c r="AU75" s="124" cm="1">
        <f t="array" ref="AU75">+_xll.EQNXTDZ($A$1,$B75,AU$1,$B$1)</f>
        <v>0</v>
      </c>
      <c r="AV75" s="124" cm="1">
        <f t="array" ref="AV75">+_xll.EQNXTDZ($A$1,$B75,AV$1,$B$1)</f>
        <v>0</v>
      </c>
      <c r="AW75" s="124" cm="1">
        <f t="array" ref="AW75">+_xll.EQNXTDZ($A$1,$B75,AW$1,$B$1)</f>
        <v>0</v>
      </c>
      <c r="AX75" s="124" cm="1">
        <f t="array" ref="AX75">+_xll.EQNXTDZ($A$1,$B75,AX$1,$B$1)</f>
        <v>0</v>
      </c>
      <c r="AY75" s="124" cm="1">
        <f t="array" ref="AY75">+_xll.EQNXTDZ($A$1,$B75,AY$1,$B$1)</f>
        <v>0</v>
      </c>
      <c r="AZ75" s="124" cm="1">
        <f t="array" ref="AZ75">+_xll.EQNXTDZ($A$1,$B75,AZ$1,$B$1)</f>
        <v>0</v>
      </c>
      <c r="BA75" s="124" cm="1">
        <f t="array" ref="BA75">+_xll.EQNXTDZ($A$1,$B75,BA$1,$B$1)</f>
        <v>0</v>
      </c>
      <c r="BB75" s="124" cm="1">
        <f t="array" ref="BB75">+_xll.EQNXTDZ($A$1,$B75,BB$1,$B$1)</f>
        <v>0</v>
      </c>
      <c r="BC75" s="124" cm="1">
        <f t="array" ref="BC75">+_xll.EQNXTDZ($A$1,$B75,BC$1,$B$1)</f>
        <v>0</v>
      </c>
      <c r="BD75" s="124" cm="1">
        <f t="array" ref="BD75">+_xll.EQNXTDZ($A$1,$B75,BD$1,$B$1)</f>
        <v>0</v>
      </c>
      <c r="BE75" s="124" cm="1">
        <f t="array" ref="BE75">+_xll.EQNXTDZ($A$1,$B75,BE$1,$B$1)</f>
        <v>0</v>
      </c>
      <c r="BF75" s="124" cm="1">
        <f t="array" ref="BF75">+_xll.EQNXTDZ($A$1,$B75,BF$1,$B$1)</f>
        <v>0</v>
      </c>
      <c r="BG75" s="124" cm="1">
        <f t="array" ref="BG75">+_xll.EQNXTDZ($A$1,$B75,BG$1,$B$1)</f>
        <v>0</v>
      </c>
      <c r="BH75" s="124" cm="1">
        <f t="array" ref="BH75">+_xll.EQNXTDZ($A$1,$B75,BH$1,$B$1)</f>
        <v>0</v>
      </c>
      <c r="BI75" s="124" cm="1">
        <f t="array" ref="BI75">+_xll.EQNXTDZ($A$1,$B75,BI$1,$B$1)</f>
        <v>0</v>
      </c>
      <c r="BJ75" s="124" cm="1">
        <f t="array" ref="BJ75">+_xll.EQNXTDZ($A$1,$B75,BJ$1,$B$1)</f>
        <v>0</v>
      </c>
      <c r="BK75" s="124" cm="1">
        <f t="array" ref="BK75">+_xll.EQNXTDZ($A$1,$B75,BK$1,$B$1)</f>
        <v>0</v>
      </c>
    </row>
    <row r="76" spans="1:63" x14ac:dyDescent="0.25">
      <c r="A76" t="s">
        <v>214</v>
      </c>
      <c r="B76" t="s">
        <v>336</v>
      </c>
      <c r="C76" s="124" cm="1">
        <f t="array" ref="C76">+_xll.EQNXTDZ($A$1,$B76,C$1,$B$1)</f>
        <v>0</v>
      </c>
      <c r="D76" s="124" cm="1">
        <f t="array" ref="D76">+_xll.EQNXTDZ($A$1,$B76,D$1,$B$1)</f>
        <v>0</v>
      </c>
      <c r="E76" s="124" cm="1">
        <f t="array" ref="E76">+_xll.EQNXTDZ($A$1,$B76,E$1,$B$1)</f>
        <v>0</v>
      </c>
      <c r="F76" s="124" cm="1">
        <f t="array" ref="F76">+_xll.EQNXTDZ($A$1,$B76,F$1,$B$1)</f>
        <v>0</v>
      </c>
      <c r="G76" s="124" cm="1">
        <f t="array" ref="G76">+_xll.EQNXTDZ($A$1,$B76,G$1,$B$1)</f>
        <v>0</v>
      </c>
      <c r="H76" s="124" cm="1">
        <f t="array" ref="H76">+_xll.EQNXTDZ($A$1,$B76,H$1,$B$1)</f>
        <v>0</v>
      </c>
      <c r="I76" s="124" cm="1">
        <f t="array" ref="I76">+_xll.EQNXTDZ($A$1,$B76,I$1,$B$1)</f>
        <v>0</v>
      </c>
      <c r="J76" s="124" cm="1">
        <f t="array" ref="J76">+_xll.EQNXTDZ($A$1,$B76,J$1,$B$1)</f>
        <v>0</v>
      </c>
      <c r="K76" s="124" cm="1">
        <f t="array" ref="K76">+_xll.EQNXTDZ($A$1,$B76,K$1,$B$1)</f>
        <v>0</v>
      </c>
      <c r="L76" s="124" cm="1">
        <f t="array" ref="L76">+_xll.EQNXTDZ($A$1,$B76,L$1,$B$1)</f>
        <v>0</v>
      </c>
      <c r="M76" s="124" cm="1">
        <f t="array" ref="M76">+_xll.EQNXTDZ($A$1,$B76,M$1,$B$1)</f>
        <v>0</v>
      </c>
      <c r="N76" s="124" cm="1">
        <f t="array" ref="N76">+_xll.EQNXTDZ($A$1,$B76,N$1,$B$1)</f>
        <v>0</v>
      </c>
      <c r="O76" s="124" cm="1">
        <f t="array" ref="O76">+_xll.EQNXTDZ($A$1,$B76,O$1,$B$1)</f>
        <v>0</v>
      </c>
      <c r="P76" s="124" cm="1">
        <f t="array" ref="P76">+_xll.EQNXTDZ($A$1,$B76,P$1,$B$1)</f>
        <v>0</v>
      </c>
      <c r="Q76" s="124" cm="1">
        <f t="array" ref="Q76">+_xll.EQNXTDZ($A$1,$B76,Q$1,$B$1)</f>
        <v>0</v>
      </c>
      <c r="R76" s="124" cm="1">
        <f t="array" ref="R76">+_xll.EQNXTDZ($A$1,$B76,R$1,$B$1)</f>
        <v>0</v>
      </c>
      <c r="S76" s="124" cm="1">
        <f t="array" ref="S76">+_xll.EQNXTDZ($A$1,$B76,S$1,$B$1)</f>
        <v>0</v>
      </c>
      <c r="T76" s="124" cm="1">
        <f t="array" ref="T76">+_xll.EQNXTDZ($A$1,$B76,T$1,$B$1)</f>
        <v>0</v>
      </c>
      <c r="U76" s="124" cm="1">
        <f t="array" ref="U76">+_xll.EQNXTDZ($A$1,$B76,U$1,$B$1)</f>
        <v>0</v>
      </c>
      <c r="V76" s="124" cm="1">
        <f t="array" ref="V76">+_xll.EQNXTDZ($A$1,$B76,V$1,$B$1)</f>
        <v>0</v>
      </c>
      <c r="W76" s="124" cm="1">
        <f t="array" ref="W76">+_xll.EQNXTDZ($A$1,$B76,W$1,$B$1)</f>
        <v>0</v>
      </c>
      <c r="X76" s="124" cm="1">
        <f t="array" ref="X76">+_xll.EQNXTDZ($A$1,$B76,X$1,$B$1)</f>
        <v>0</v>
      </c>
      <c r="Y76" s="124" cm="1">
        <f t="array" ref="Y76">+_xll.EQNXTDZ($A$1,$B76,Y$1,$B$1)</f>
        <v>0</v>
      </c>
      <c r="Z76" s="124" cm="1">
        <f t="array" ref="Z76">+_xll.EQNXTDZ($A$1,$B76,Z$1,$B$1)</f>
        <v>0</v>
      </c>
      <c r="AA76" s="124" cm="1">
        <f t="array" ref="AA76">+_xll.EQNXTDZ($A$1,$B76,AA$1,$B$1)</f>
        <v>0</v>
      </c>
      <c r="AB76" s="124" cm="1">
        <f t="array" ref="AB76">+_xll.EQNXTDZ($A$1,$B76,AB$1,$B$1)</f>
        <v>0</v>
      </c>
      <c r="AC76" s="124" cm="1">
        <f t="array" ref="AC76">+_xll.EQNXTDZ($A$1,$B76,AC$1,$B$1)</f>
        <v>0</v>
      </c>
      <c r="AD76" s="124" cm="1">
        <f t="array" ref="AD76">+_xll.EQNXTDZ($A$1,$B76,AD$1,$B$1)</f>
        <v>0</v>
      </c>
      <c r="AE76" s="124" cm="1">
        <f t="array" ref="AE76">+_xll.EQNXTDZ($A$1,$B76,AE$1,$B$1)</f>
        <v>0</v>
      </c>
      <c r="AF76" s="124" cm="1">
        <f t="array" ref="AF76">+_xll.EQNXTDZ($A$1,$B76,AF$1,$B$1)</f>
        <v>0</v>
      </c>
      <c r="AG76" s="124" cm="1">
        <f t="array" ref="AG76">+_xll.EQNXTDZ($A$1,$B76,AG$1,$B$1)</f>
        <v>0</v>
      </c>
      <c r="AH76" s="124" cm="1">
        <f t="array" ref="AH76">+_xll.EQNXTDZ($A$1,$B76,AH$1,$B$1)</f>
        <v>0</v>
      </c>
      <c r="AI76" s="124" cm="1">
        <f t="array" ref="AI76">+_xll.EQNXTDZ($A$1,$B76,AI$1,$B$1)</f>
        <v>0</v>
      </c>
      <c r="AJ76" s="124" cm="1">
        <f t="array" ref="AJ76">+_xll.EQNXTDZ($A$1,$B76,AJ$1,$B$1)</f>
        <v>0</v>
      </c>
      <c r="AK76" s="124" cm="1">
        <f t="array" ref="AK76">+_xll.EQNXTDZ($A$1,$B76,AK$1,$B$1)</f>
        <v>0</v>
      </c>
      <c r="AL76" s="124" cm="1">
        <f t="array" ref="AL76">+_xll.EQNXTDZ($A$1,$B76,AL$1,$B$1)</f>
        <v>0</v>
      </c>
      <c r="AM76" s="124" cm="1">
        <f t="array" ref="AM76">+_xll.EQNXTDZ($A$1,$B76,AM$1,$B$1)</f>
        <v>0</v>
      </c>
      <c r="AN76" s="124" cm="1">
        <f t="array" ref="AN76">+_xll.EQNXTDZ($A$1,$B76,AN$1,$B$1)</f>
        <v>0</v>
      </c>
      <c r="AO76" s="124" cm="1">
        <f t="array" ref="AO76">+_xll.EQNXTDZ($A$1,$B76,AO$1,$B$1)</f>
        <v>0</v>
      </c>
      <c r="AP76" s="124" cm="1">
        <f t="array" ref="AP76">+_xll.EQNXTDZ($A$1,$B76,AP$1,$B$1)</f>
        <v>0</v>
      </c>
      <c r="AQ76" s="124" cm="1">
        <f t="array" ref="AQ76">+_xll.EQNXTDZ($A$1,$B76,AQ$1,$B$1)</f>
        <v>0</v>
      </c>
      <c r="AR76" s="124" cm="1">
        <f t="array" ref="AR76">+_xll.EQNXTDZ($A$1,$B76,AR$1,$B$1)</f>
        <v>0</v>
      </c>
      <c r="AS76" s="124" cm="1">
        <f t="array" ref="AS76">+_xll.EQNXTDZ($A$1,$B76,AS$1,$B$1)</f>
        <v>0</v>
      </c>
      <c r="AT76" s="124" cm="1">
        <f t="array" ref="AT76">+_xll.EQNXTDZ($A$1,$B76,AT$1,$B$1)</f>
        <v>0</v>
      </c>
      <c r="AU76" s="124" cm="1">
        <f t="array" ref="AU76">+_xll.EQNXTDZ($A$1,$B76,AU$1,$B$1)</f>
        <v>0</v>
      </c>
      <c r="AV76" s="124" cm="1">
        <f t="array" ref="AV76">+_xll.EQNXTDZ($A$1,$B76,AV$1,$B$1)</f>
        <v>0</v>
      </c>
      <c r="AW76" s="124" cm="1">
        <f t="array" ref="AW76">+_xll.EQNXTDZ($A$1,$B76,AW$1,$B$1)</f>
        <v>0</v>
      </c>
      <c r="AX76" s="124" cm="1">
        <f t="array" ref="AX76">+_xll.EQNXTDZ($A$1,$B76,AX$1,$B$1)</f>
        <v>0</v>
      </c>
      <c r="AY76" s="124" cm="1">
        <f t="array" ref="AY76">+_xll.EQNXTDZ($A$1,$B76,AY$1,$B$1)</f>
        <v>0</v>
      </c>
      <c r="AZ76" s="124" cm="1">
        <f t="array" ref="AZ76">+_xll.EQNXTDZ($A$1,$B76,AZ$1,$B$1)</f>
        <v>0</v>
      </c>
      <c r="BA76" s="124" cm="1">
        <f t="array" ref="BA76">+_xll.EQNXTDZ($A$1,$B76,BA$1,$B$1)</f>
        <v>0</v>
      </c>
      <c r="BB76" s="124" cm="1">
        <f t="array" ref="BB76">+_xll.EQNXTDZ($A$1,$B76,BB$1,$B$1)</f>
        <v>0</v>
      </c>
      <c r="BC76" s="124" cm="1">
        <f t="array" ref="BC76">+_xll.EQNXTDZ($A$1,$B76,BC$1,$B$1)</f>
        <v>0</v>
      </c>
      <c r="BD76" s="124" cm="1">
        <f t="array" ref="BD76">+_xll.EQNXTDZ($A$1,$B76,BD$1,$B$1)</f>
        <v>0</v>
      </c>
      <c r="BE76" s="124" cm="1">
        <f t="array" ref="BE76">+_xll.EQNXTDZ($A$1,$B76,BE$1,$B$1)</f>
        <v>0</v>
      </c>
      <c r="BF76" s="124" cm="1">
        <f t="array" ref="BF76">+_xll.EQNXTDZ($A$1,$B76,BF$1,$B$1)</f>
        <v>0</v>
      </c>
      <c r="BG76" s="124" cm="1">
        <f t="array" ref="BG76">+_xll.EQNXTDZ($A$1,$B76,BG$1,$B$1)</f>
        <v>0</v>
      </c>
      <c r="BH76" s="124" cm="1">
        <f t="array" ref="BH76">+_xll.EQNXTDZ($A$1,$B76,BH$1,$B$1)</f>
        <v>0</v>
      </c>
      <c r="BI76" s="124" cm="1">
        <f t="array" ref="BI76">+_xll.EQNXTDZ($A$1,$B76,BI$1,$B$1)</f>
        <v>0</v>
      </c>
      <c r="BJ76" s="124" cm="1">
        <f t="array" ref="BJ76">+_xll.EQNXTDZ($A$1,$B76,BJ$1,$B$1)</f>
        <v>0</v>
      </c>
      <c r="BK76" s="124" cm="1">
        <f t="array" ref="BK76">+_xll.EQNXTDZ($A$1,$B76,BK$1,$B$1)</f>
        <v>0</v>
      </c>
    </row>
    <row r="77" spans="1:63" x14ac:dyDescent="0.25">
      <c r="A77" t="s">
        <v>215</v>
      </c>
      <c r="B77" t="s">
        <v>337</v>
      </c>
      <c r="C77" s="124" cm="1">
        <f t="array" ref="C77">+_xll.EQNXTDZ($A$1,$B77,C$1,$B$1)</f>
        <v>0</v>
      </c>
      <c r="D77" s="124" cm="1">
        <f t="array" ref="D77">+_xll.EQNXTDZ($A$1,$B77,D$1,$B$1)</f>
        <v>0</v>
      </c>
      <c r="E77" s="124" cm="1">
        <f t="array" ref="E77">+_xll.EQNXTDZ($A$1,$B77,E$1,$B$1)</f>
        <v>0</v>
      </c>
      <c r="F77" s="124" cm="1">
        <f t="array" ref="F77">+_xll.EQNXTDZ($A$1,$B77,F$1,$B$1)</f>
        <v>0</v>
      </c>
      <c r="G77" s="124" cm="1">
        <f t="array" ref="G77">+_xll.EQNXTDZ($A$1,$B77,G$1,$B$1)</f>
        <v>0</v>
      </c>
      <c r="H77" s="124" cm="1">
        <f t="array" ref="H77">+_xll.EQNXTDZ($A$1,$B77,H$1,$B$1)</f>
        <v>0</v>
      </c>
      <c r="I77" s="124" cm="1">
        <f t="array" ref="I77">+_xll.EQNXTDZ($A$1,$B77,I$1,$B$1)</f>
        <v>0</v>
      </c>
      <c r="J77" s="124" cm="1">
        <f t="array" ref="J77">+_xll.EQNXTDZ($A$1,$B77,J$1,$B$1)</f>
        <v>0</v>
      </c>
      <c r="K77" s="124" cm="1">
        <f t="array" ref="K77">+_xll.EQNXTDZ($A$1,$B77,K$1,$B$1)</f>
        <v>0</v>
      </c>
      <c r="L77" s="124" cm="1">
        <f t="array" ref="L77">+_xll.EQNXTDZ($A$1,$B77,L$1,$B$1)</f>
        <v>0</v>
      </c>
      <c r="M77" s="124" cm="1">
        <f t="array" ref="M77">+_xll.EQNXTDZ($A$1,$B77,M$1,$B$1)</f>
        <v>0</v>
      </c>
      <c r="N77" s="124" cm="1">
        <f t="array" ref="N77">+_xll.EQNXTDZ($A$1,$B77,N$1,$B$1)</f>
        <v>0</v>
      </c>
      <c r="O77" s="124" cm="1">
        <f t="array" ref="O77">+_xll.EQNXTDZ($A$1,$B77,O$1,$B$1)</f>
        <v>0</v>
      </c>
      <c r="P77" s="124" cm="1">
        <f t="array" ref="P77">+_xll.EQNXTDZ($A$1,$B77,P$1,$B$1)</f>
        <v>0</v>
      </c>
      <c r="Q77" s="124" cm="1">
        <f t="array" ref="Q77">+_xll.EQNXTDZ($A$1,$B77,Q$1,$B$1)</f>
        <v>0</v>
      </c>
      <c r="R77" s="124" cm="1">
        <f t="array" ref="R77">+_xll.EQNXTDZ($A$1,$B77,R$1,$B$1)</f>
        <v>0</v>
      </c>
      <c r="S77" s="124" cm="1">
        <f t="array" ref="S77">+_xll.EQNXTDZ($A$1,$B77,S$1,$B$1)</f>
        <v>0</v>
      </c>
      <c r="T77" s="124" cm="1">
        <f t="array" ref="T77">+_xll.EQNXTDZ($A$1,$B77,T$1,$B$1)</f>
        <v>0</v>
      </c>
      <c r="U77" s="124" cm="1">
        <f t="array" ref="U77">+_xll.EQNXTDZ($A$1,$B77,U$1,$B$1)</f>
        <v>0</v>
      </c>
      <c r="V77" s="124" cm="1">
        <f t="array" ref="V77">+_xll.EQNXTDZ($A$1,$B77,V$1,$B$1)</f>
        <v>0</v>
      </c>
      <c r="W77" s="124" cm="1">
        <f t="array" ref="W77">+_xll.EQNXTDZ($A$1,$B77,W$1,$B$1)</f>
        <v>0</v>
      </c>
      <c r="X77" s="124" cm="1">
        <f t="array" ref="X77">+_xll.EQNXTDZ($A$1,$B77,X$1,$B$1)</f>
        <v>0</v>
      </c>
      <c r="Y77" s="124" cm="1">
        <f t="array" ref="Y77">+_xll.EQNXTDZ($A$1,$B77,Y$1,$B$1)</f>
        <v>0</v>
      </c>
      <c r="Z77" s="124" cm="1">
        <f t="array" ref="Z77">+_xll.EQNXTDZ($A$1,$B77,Z$1,$B$1)</f>
        <v>0</v>
      </c>
      <c r="AA77" s="124" cm="1">
        <f t="array" ref="AA77">+_xll.EQNXTDZ($A$1,$B77,AA$1,$B$1)</f>
        <v>0</v>
      </c>
      <c r="AB77" s="124" cm="1">
        <f t="array" ref="AB77">+_xll.EQNXTDZ($A$1,$B77,AB$1,$B$1)</f>
        <v>0</v>
      </c>
      <c r="AC77" s="124" cm="1">
        <f t="array" ref="AC77">+_xll.EQNXTDZ($A$1,$B77,AC$1,$B$1)</f>
        <v>0</v>
      </c>
      <c r="AD77" s="124" cm="1">
        <f t="array" ref="AD77">+_xll.EQNXTDZ($A$1,$B77,AD$1,$B$1)</f>
        <v>0</v>
      </c>
      <c r="AE77" s="124" cm="1">
        <f t="array" ref="AE77">+_xll.EQNXTDZ($A$1,$B77,AE$1,$B$1)</f>
        <v>0</v>
      </c>
      <c r="AF77" s="124" cm="1">
        <f t="array" ref="AF77">+_xll.EQNXTDZ($A$1,$B77,AF$1,$B$1)</f>
        <v>0</v>
      </c>
      <c r="AG77" s="124" cm="1">
        <f t="array" ref="AG77">+_xll.EQNXTDZ($A$1,$B77,AG$1,$B$1)</f>
        <v>0</v>
      </c>
      <c r="AH77" s="124" cm="1">
        <f t="array" ref="AH77">+_xll.EQNXTDZ($A$1,$B77,AH$1,$B$1)</f>
        <v>0</v>
      </c>
      <c r="AI77" s="124" cm="1">
        <f t="array" ref="AI77">+_xll.EQNXTDZ($A$1,$B77,AI$1,$B$1)</f>
        <v>0</v>
      </c>
      <c r="AJ77" s="124" cm="1">
        <f t="array" ref="AJ77">+_xll.EQNXTDZ($A$1,$B77,AJ$1,$B$1)</f>
        <v>0</v>
      </c>
      <c r="AK77" s="124" cm="1">
        <f t="array" ref="AK77">+_xll.EQNXTDZ($A$1,$B77,AK$1,$B$1)</f>
        <v>0</v>
      </c>
      <c r="AL77" s="124" cm="1">
        <f t="array" ref="AL77">+_xll.EQNXTDZ($A$1,$B77,AL$1,$B$1)</f>
        <v>0</v>
      </c>
      <c r="AM77" s="124" cm="1">
        <f t="array" ref="AM77">+_xll.EQNXTDZ($A$1,$B77,AM$1,$B$1)</f>
        <v>0</v>
      </c>
      <c r="AN77" s="124" cm="1">
        <f t="array" ref="AN77">+_xll.EQNXTDZ($A$1,$B77,AN$1,$B$1)</f>
        <v>0</v>
      </c>
      <c r="AO77" s="124" cm="1">
        <f t="array" ref="AO77">+_xll.EQNXTDZ($A$1,$B77,AO$1,$B$1)</f>
        <v>0</v>
      </c>
      <c r="AP77" s="124" cm="1">
        <f t="array" ref="AP77">+_xll.EQNXTDZ($A$1,$B77,AP$1,$B$1)</f>
        <v>0</v>
      </c>
      <c r="AQ77" s="124" cm="1">
        <f t="array" ref="AQ77">+_xll.EQNXTDZ($A$1,$B77,AQ$1,$B$1)</f>
        <v>0</v>
      </c>
      <c r="AR77" s="124" cm="1">
        <f t="array" ref="AR77">+_xll.EQNXTDZ($A$1,$B77,AR$1,$B$1)</f>
        <v>0</v>
      </c>
      <c r="AS77" s="124" cm="1">
        <f t="array" ref="AS77">+_xll.EQNXTDZ($A$1,$B77,AS$1,$B$1)</f>
        <v>0</v>
      </c>
      <c r="AT77" s="124" cm="1">
        <f t="array" ref="AT77">+_xll.EQNXTDZ($A$1,$B77,AT$1,$B$1)</f>
        <v>0</v>
      </c>
      <c r="AU77" s="124" cm="1">
        <f t="array" ref="AU77">+_xll.EQNXTDZ($A$1,$B77,AU$1,$B$1)</f>
        <v>0</v>
      </c>
      <c r="AV77" s="124" cm="1">
        <f t="array" ref="AV77">+_xll.EQNXTDZ($A$1,$B77,AV$1,$B$1)</f>
        <v>0</v>
      </c>
      <c r="AW77" s="124" cm="1">
        <f t="array" ref="AW77">+_xll.EQNXTDZ($A$1,$B77,AW$1,$B$1)</f>
        <v>0</v>
      </c>
      <c r="AX77" s="124" cm="1">
        <f t="array" ref="AX77">+_xll.EQNXTDZ($A$1,$B77,AX$1,$B$1)</f>
        <v>0</v>
      </c>
      <c r="AY77" s="124" cm="1">
        <f t="array" ref="AY77">+_xll.EQNXTDZ($A$1,$B77,AY$1,$B$1)</f>
        <v>0</v>
      </c>
      <c r="AZ77" s="124" cm="1">
        <f t="array" ref="AZ77">+_xll.EQNXTDZ($A$1,$B77,AZ$1,$B$1)</f>
        <v>0</v>
      </c>
      <c r="BA77" s="124" cm="1">
        <f t="array" ref="BA77">+_xll.EQNXTDZ($A$1,$B77,BA$1,$B$1)</f>
        <v>0</v>
      </c>
      <c r="BB77" s="124" cm="1">
        <f t="array" ref="BB77">+_xll.EQNXTDZ($A$1,$B77,BB$1,$B$1)</f>
        <v>0</v>
      </c>
      <c r="BC77" s="124" cm="1">
        <f t="array" ref="BC77">+_xll.EQNXTDZ($A$1,$B77,BC$1,$B$1)</f>
        <v>0</v>
      </c>
      <c r="BD77" s="124" cm="1">
        <f t="array" ref="BD77">+_xll.EQNXTDZ($A$1,$B77,BD$1,$B$1)</f>
        <v>0</v>
      </c>
      <c r="BE77" s="124" cm="1">
        <f t="array" ref="BE77">+_xll.EQNXTDZ($A$1,$B77,BE$1,$B$1)</f>
        <v>0</v>
      </c>
      <c r="BF77" s="124" cm="1">
        <f t="array" ref="BF77">+_xll.EQNXTDZ($A$1,$B77,BF$1,$B$1)</f>
        <v>0</v>
      </c>
      <c r="BG77" s="124" cm="1">
        <f t="array" ref="BG77">+_xll.EQNXTDZ($A$1,$B77,BG$1,$B$1)</f>
        <v>0</v>
      </c>
      <c r="BH77" s="124" cm="1">
        <f t="array" ref="BH77">+_xll.EQNXTDZ($A$1,$B77,BH$1,$B$1)</f>
        <v>0</v>
      </c>
      <c r="BI77" s="124" cm="1">
        <f t="array" ref="BI77">+_xll.EQNXTDZ($A$1,$B77,BI$1,$B$1)</f>
        <v>0</v>
      </c>
      <c r="BJ77" s="124" cm="1">
        <f t="array" ref="BJ77">+_xll.EQNXTDZ($A$1,$B77,BJ$1,$B$1)</f>
        <v>0</v>
      </c>
      <c r="BK77" s="124" cm="1">
        <f t="array" ref="BK77">+_xll.EQNXTDZ($A$1,$B77,BK$1,$B$1)</f>
        <v>0</v>
      </c>
    </row>
    <row r="78" spans="1:63" x14ac:dyDescent="0.25">
      <c r="A78" t="s">
        <v>216</v>
      </c>
      <c r="B78" t="s">
        <v>338</v>
      </c>
      <c r="C78" s="124" cm="1">
        <f t="array" ref="C78">+_xll.EQNXTDZ($A$1,$B78,C$1,$B$1)</f>
        <v>0</v>
      </c>
      <c r="D78" s="124" cm="1">
        <f t="array" ref="D78">+_xll.EQNXTDZ($A$1,$B78,D$1,$B$1)</f>
        <v>0</v>
      </c>
      <c r="E78" s="124" cm="1">
        <f t="array" ref="E78">+_xll.EQNXTDZ($A$1,$B78,E$1,$B$1)</f>
        <v>0</v>
      </c>
      <c r="F78" s="124" cm="1">
        <f t="array" ref="F78">+_xll.EQNXTDZ($A$1,$B78,F$1,$B$1)</f>
        <v>0</v>
      </c>
      <c r="G78" s="124" cm="1">
        <f t="array" ref="G78">+_xll.EQNXTDZ($A$1,$B78,G$1,$B$1)</f>
        <v>0</v>
      </c>
      <c r="H78" s="124" cm="1">
        <f t="array" ref="H78">+_xll.EQNXTDZ($A$1,$B78,H$1,$B$1)</f>
        <v>0</v>
      </c>
      <c r="I78" s="124" cm="1">
        <f t="array" ref="I78">+_xll.EQNXTDZ($A$1,$B78,I$1,$B$1)</f>
        <v>0</v>
      </c>
      <c r="J78" s="124" cm="1">
        <f t="array" ref="J78">+_xll.EQNXTDZ($A$1,$B78,J$1,$B$1)</f>
        <v>0</v>
      </c>
      <c r="K78" s="124" cm="1">
        <f t="array" ref="K78">+_xll.EQNXTDZ($A$1,$B78,K$1,$B$1)</f>
        <v>0</v>
      </c>
      <c r="L78" s="124" cm="1">
        <f t="array" ref="L78">+_xll.EQNXTDZ($A$1,$B78,L$1,$B$1)</f>
        <v>0</v>
      </c>
      <c r="M78" s="124" cm="1">
        <f t="array" ref="M78">+_xll.EQNXTDZ($A$1,$B78,M$1,$B$1)</f>
        <v>0</v>
      </c>
      <c r="N78" s="124" cm="1">
        <f t="array" ref="N78">+_xll.EQNXTDZ($A$1,$B78,N$1,$B$1)</f>
        <v>0</v>
      </c>
      <c r="O78" s="124" cm="1">
        <f t="array" ref="O78">+_xll.EQNXTDZ($A$1,$B78,O$1,$B$1)</f>
        <v>0</v>
      </c>
      <c r="P78" s="124" cm="1">
        <f t="array" ref="P78">+_xll.EQNXTDZ($A$1,$B78,P$1,$B$1)</f>
        <v>0</v>
      </c>
      <c r="Q78" s="124" cm="1">
        <f t="array" ref="Q78">+_xll.EQNXTDZ($A$1,$B78,Q$1,$B$1)</f>
        <v>0</v>
      </c>
      <c r="R78" s="124" cm="1">
        <f t="array" ref="R78">+_xll.EQNXTDZ($A$1,$B78,R$1,$B$1)</f>
        <v>0</v>
      </c>
      <c r="S78" s="124" cm="1">
        <f t="array" ref="S78">+_xll.EQNXTDZ($A$1,$B78,S$1,$B$1)</f>
        <v>0</v>
      </c>
      <c r="T78" s="124" cm="1">
        <f t="array" ref="T78">+_xll.EQNXTDZ($A$1,$B78,T$1,$B$1)</f>
        <v>0</v>
      </c>
      <c r="U78" s="124" cm="1">
        <f t="array" ref="U78">+_xll.EQNXTDZ($A$1,$B78,U$1,$B$1)</f>
        <v>0</v>
      </c>
      <c r="V78" s="124" cm="1">
        <f t="array" ref="V78">+_xll.EQNXTDZ($A$1,$B78,V$1,$B$1)</f>
        <v>0</v>
      </c>
      <c r="W78" s="124" cm="1">
        <f t="array" ref="W78">+_xll.EQNXTDZ($A$1,$B78,W$1,$B$1)</f>
        <v>0</v>
      </c>
      <c r="X78" s="124" cm="1">
        <f t="array" ref="X78">+_xll.EQNXTDZ($A$1,$B78,X$1,$B$1)</f>
        <v>0</v>
      </c>
      <c r="Y78" s="124" cm="1">
        <f t="array" ref="Y78">+_xll.EQNXTDZ($A$1,$B78,Y$1,$B$1)</f>
        <v>0</v>
      </c>
      <c r="Z78" s="124" cm="1">
        <f t="array" ref="Z78">+_xll.EQNXTDZ($A$1,$B78,Z$1,$B$1)</f>
        <v>0</v>
      </c>
      <c r="AA78" s="124" cm="1">
        <f t="array" ref="AA78">+_xll.EQNXTDZ($A$1,$B78,AA$1,$B$1)</f>
        <v>0</v>
      </c>
      <c r="AB78" s="124" cm="1">
        <f t="array" ref="AB78">+_xll.EQNXTDZ($A$1,$B78,AB$1,$B$1)</f>
        <v>0</v>
      </c>
      <c r="AC78" s="124" cm="1">
        <f t="array" ref="AC78">+_xll.EQNXTDZ($A$1,$B78,AC$1,$B$1)</f>
        <v>0</v>
      </c>
      <c r="AD78" s="124" cm="1">
        <f t="array" ref="AD78">+_xll.EQNXTDZ($A$1,$B78,AD$1,$B$1)</f>
        <v>0</v>
      </c>
      <c r="AE78" s="124" cm="1">
        <f t="array" ref="AE78">+_xll.EQNXTDZ($A$1,$B78,AE$1,$B$1)</f>
        <v>0</v>
      </c>
      <c r="AF78" s="124" cm="1">
        <f t="array" ref="AF78">+_xll.EQNXTDZ($A$1,$B78,AF$1,$B$1)</f>
        <v>0</v>
      </c>
      <c r="AG78" s="124" cm="1">
        <f t="array" ref="AG78">+_xll.EQNXTDZ($A$1,$B78,AG$1,$B$1)</f>
        <v>0</v>
      </c>
      <c r="AH78" s="124" cm="1">
        <f t="array" ref="AH78">+_xll.EQNXTDZ($A$1,$B78,AH$1,$B$1)</f>
        <v>0</v>
      </c>
      <c r="AI78" s="124" cm="1">
        <f t="array" ref="AI78">+_xll.EQNXTDZ($A$1,$B78,AI$1,$B$1)</f>
        <v>0</v>
      </c>
      <c r="AJ78" s="124" cm="1">
        <f t="array" ref="AJ78">+_xll.EQNXTDZ($A$1,$B78,AJ$1,$B$1)</f>
        <v>0</v>
      </c>
      <c r="AK78" s="124" cm="1">
        <f t="array" ref="AK78">+_xll.EQNXTDZ($A$1,$B78,AK$1,$B$1)</f>
        <v>0</v>
      </c>
      <c r="AL78" s="124" cm="1">
        <f t="array" ref="AL78">+_xll.EQNXTDZ($A$1,$B78,AL$1,$B$1)</f>
        <v>0</v>
      </c>
      <c r="AM78" s="124" cm="1">
        <f t="array" ref="AM78">+_xll.EQNXTDZ($A$1,$B78,AM$1,$B$1)</f>
        <v>0</v>
      </c>
      <c r="AN78" s="124" cm="1">
        <f t="array" ref="AN78">+_xll.EQNXTDZ($A$1,$B78,AN$1,$B$1)</f>
        <v>0</v>
      </c>
      <c r="AO78" s="124" cm="1">
        <f t="array" ref="AO78">+_xll.EQNXTDZ($A$1,$B78,AO$1,$B$1)</f>
        <v>0</v>
      </c>
      <c r="AP78" s="124" cm="1">
        <f t="array" ref="AP78">+_xll.EQNXTDZ($A$1,$B78,AP$1,$B$1)</f>
        <v>0</v>
      </c>
      <c r="AQ78" s="124" cm="1">
        <f t="array" ref="AQ78">+_xll.EQNXTDZ($A$1,$B78,AQ$1,$B$1)</f>
        <v>0</v>
      </c>
      <c r="AR78" s="124" cm="1">
        <f t="array" ref="AR78">+_xll.EQNXTDZ($A$1,$B78,AR$1,$B$1)</f>
        <v>0</v>
      </c>
      <c r="AS78" s="124" cm="1">
        <f t="array" ref="AS78">+_xll.EQNXTDZ($A$1,$B78,AS$1,$B$1)</f>
        <v>0</v>
      </c>
      <c r="AT78" s="124" cm="1">
        <f t="array" ref="AT78">+_xll.EQNXTDZ($A$1,$B78,AT$1,$B$1)</f>
        <v>0</v>
      </c>
      <c r="AU78" s="124" cm="1">
        <f t="array" ref="AU78">+_xll.EQNXTDZ($A$1,$B78,AU$1,$B$1)</f>
        <v>0</v>
      </c>
      <c r="AV78" s="124" cm="1">
        <f t="array" ref="AV78">+_xll.EQNXTDZ($A$1,$B78,AV$1,$B$1)</f>
        <v>0</v>
      </c>
      <c r="AW78" s="124" cm="1">
        <f t="array" ref="AW78">+_xll.EQNXTDZ($A$1,$B78,AW$1,$B$1)</f>
        <v>0</v>
      </c>
      <c r="AX78" s="124" cm="1">
        <f t="array" ref="AX78">+_xll.EQNXTDZ($A$1,$B78,AX$1,$B$1)</f>
        <v>0</v>
      </c>
      <c r="AY78" s="124" cm="1">
        <f t="array" ref="AY78">+_xll.EQNXTDZ($A$1,$B78,AY$1,$B$1)</f>
        <v>0</v>
      </c>
      <c r="AZ78" s="124" cm="1">
        <f t="array" ref="AZ78">+_xll.EQNXTDZ($A$1,$B78,AZ$1,$B$1)</f>
        <v>0</v>
      </c>
      <c r="BA78" s="124" cm="1">
        <f t="array" ref="BA78">+_xll.EQNXTDZ($A$1,$B78,BA$1,$B$1)</f>
        <v>0</v>
      </c>
      <c r="BB78" s="124" cm="1">
        <f t="array" ref="BB78">+_xll.EQNXTDZ($A$1,$B78,BB$1,$B$1)</f>
        <v>0</v>
      </c>
      <c r="BC78" s="124" cm="1">
        <f t="array" ref="BC78">+_xll.EQNXTDZ($A$1,$B78,BC$1,$B$1)</f>
        <v>0</v>
      </c>
      <c r="BD78" s="124" cm="1">
        <f t="array" ref="BD78">+_xll.EQNXTDZ($A$1,$B78,BD$1,$B$1)</f>
        <v>0</v>
      </c>
      <c r="BE78" s="124" cm="1">
        <f t="array" ref="BE78">+_xll.EQNXTDZ($A$1,$B78,BE$1,$B$1)</f>
        <v>0</v>
      </c>
      <c r="BF78" s="124" cm="1">
        <f t="array" ref="BF78">+_xll.EQNXTDZ($A$1,$B78,BF$1,$B$1)</f>
        <v>0</v>
      </c>
      <c r="BG78" s="124" cm="1">
        <f t="array" ref="BG78">+_xll.EQNXTDZ($A$1,$B78,BG$1,$B$1)</f>
        <v>0</v>
      </c>
      <c r="BH78" s="124" cm="1">
        <f t="array" ref="BH78">+_xll.EQNXTDZ($A$1,$B78,BH$1,$B$1)</f>
        <v>0</v>
      </c>
      <c r="BI78" s="124" cm="1">
        <f t="array" ref="BI78">+_xll.EQNXTDZ($A$1,$B78,BI$1,$B$1)</f>
        <v>0</v>
      </c>
      <c r="BJ78" s="124" cm="1">
        <f t="array" ref="BJ78">+_xll.EQNXTDZ($A$1,$B78,BJ$1,$B$1)</f>
        <v>0</v>
      </c>
      <c r="BK78" s="124" cm="1">
        <f t="array" ref="BK78">+_xll.EQNXTDZ($A$1,$B78,BK$1,$B$1)</f>
        <v>0</v>
      </c>
    </row>
    <row r="79" spans="1:63" x14ac:dyDescent="0.25">
      <c r="A79" t="s">
        <v>217</v>
      </c>
      <c r="B79" t="s">
        <v>339</v>
      </c>
      <c r="C79" s="124" cm="1">
        <f t="array" ref="C79">+_xll.EQNXTDZ($A$1,$B79,C$1,$B$1)</f>
        <v>0</v>
      </c>
      <c r="D79" s="124" cm="1">
        <f t="array" ref="D79">+_xll.EQNXTDZ($A$1,$B79,D$1,$B$1)</f>
        <v>0</v>
      </c>
      <c r="E79" s="124" cm="1">
        <f t="array" ref="E79">+_xll.EQNXTDZ($A$1,$B79,E$1,$B$1)</f>
        <v>0</v>
      </c>
      <c r="F79" s="124" cm="1">
        <f t="array" ref="F79">+_xll.EQNXTDZ($A$1,$B79,F$1,$B$1)</f>
        <v>0</v>
      </c>
      <c r="G79" s="124" cm="1">
        <f t="array" ref="G79">+_xll.EQNXTDZ($A$1,$B79,G$1,$B$1)</f>
        <v>0</v>
      </c>
      <c r="H79" s="124" cm="1">
        <f t="array" ref="H79">+_xll.EQNXTDZ($A$1,$B79,H$1,$B$1)</f>
        <v>0</v>
      </c>
      <c r="I79" s="124" cm="1">
        <f t="array" ref="I79">+_xll.EQNXTDZ($A$1,$B79,I$1,$B$1)</f>
        <v>0</v>
      </c>
      <c r="J79" s="124" cm="1">
        <f t="array" ref="J79">+_xll.EQNXTDZ($A$1,$B79,J$1,$B$1)</f>
        <v>0</v>
      </c>
      <c r="K79" s="124" cm="1">
        <f t="array" ref="K79">+_xll.EQNXTDZ($A$1,$B79,K$1,$B$1)</f>
        <v>0</v>
      </c>
      <c r="L79" s="124" cm="1">
        <f t="array" ref="L79">+_xll.EQNXTDZ($A$1,$B79,L$1,$B$1)</f>
        <v>0</v>
      </c>
      <c r="M79" s="124" cm="1">
        <f t="array" ref="M79">+_xll.EQNXTDZ($A$1,$B79,M$1,$B$1)</f>
        <v>0</v>
      </c>
      <c r="N79" s="124" cm="1">
        <f t="array" ref="N79">+_xll.EQNXTDZ($A$1,$B79,N$1,$B$1)</f>
        <v>0</v>
      </c>
      <c r="O79" s="124" cm="1">
        <f t="array" ref="O79">+_xll.EQNXTDZ($A$1,$B79,O$1,$B$1)</f>
        <v>0</v>
      </c>
      <c r="P79" s="124" cm="1">
        <f t="array" ref="P79">+_xll.EQNXTDZ($A$1,$B79,P$1,$B$1)</f>
        <v>0</v>
      </c>
      <c r="Q79" s="124" cm="1">
        <f t="array" ref="Q79">+_xll.EQNXTDZ($A$1,$B79,Q$1,$B$1)</f>
        <v>0</v>
      </c>
      <c r="R79" s="124" cm="1">
        <f t="array" ref="R79">+_xll.EQNXTDZ($A$1,$B79,R$1,$B$1)</f>
        <v>0</v>
      </c>
      <c r="S79" s="124" cm="1">
        <f t="array" ref="S79">+_xll.EQNXTDZ($A$1,$B79,S$1,$B$1)</f>
        <v>0</v>
      </c>
      <c r="T79" s="124" cm="1">
        <f t="array" ref="T79">+_xll.EQNXTDZ($A$1,$B79,T$1,$B$1)</f>
        <v>0</v>
      </c>
      <c r="U79" s="124" cm="1">
        <f t="array" ref="U79">+_xll.EQNXTDZ($A$1,$B79,U$1,$B$1)</f>
        <v>0</v>
      </c>
      <c r="V79" s="124" cm="1">
        <f t="array" ref="V79">+_xll.EQNXTDZ($A$1,$B79,V$1,$B$1)</f>
        <v>0</v>
      </c>
      <c r="W79" s="124" cm="1">
        <f t="array" ref="W79">+_xll.EQNXTDZ($A$1,$B79,W$1,$B$1)</f>
        <v>0</v>
      </c>
      <c r="X79" s="124" cm="1">
        <f t="array" ref="X79">+_xll.EQNXTDZ($A$1,$B79,X$1,$B$1)</f>
        <v>0</v>
      </c>
      <c r="Y79" s="124" cm="1">
        <f t="array" ref="Y79">+_xll.EQNXTDZ($A$1,$B79,Y$1,$B$1)</f>
        <v>0</v>
      </c>
      <c r="Z79" s="124" cm="1">
        <f t="array" ref="Z79">+_xll.EQNXTDZ($A$1,$B79,Z$1,$B$1)</f>
        <v>0</v>
      </c>
      <c r="AA79" s="124" cm="1">
        <f t="array" ref="AA79">+_xll.EQNXTDZ($A$1,$B79,AA$1,$B$1)</f>
        <v>0</v>
      </c>
      <c r="AB79" s="124" cm="1">
        <f t="array" ref="AB79">+_xll.EQNXTDZ($A$1,$B79,AB$1,$B$1)</f>
        <v>0</v>
      </c>
      <c r="AC79" s="124" cm="1">
        <f t="array" ref="AC79">+_xll.EQNXTDZ($A$1,$B79,AC$1,$B$1)</f>
        <v>0</v>
      </c>
      <c r="AD79" s="124" cm="1">
        <f t="array" ref="AD79">+_xll.EQNXTDZ($A$1,$B79,AD$1,$B$1)</f>
        <v>0</v>
      </c>
      <c r="AE79" s="124" cm="1">
        <f t="array" ref="AE79">+_xll.EQNXTDZ($A$1,$B79,AE$1,$B$1)</f>
        <v>0</v>
      </c>
      <c r="AF79" s="124" cm="1">
        <f t="array" ref="AF79">+_xll.EQNXTDZ($A$1,$B79,AF$1,$B$1)</f>
        <v>0</v>
      </c>
      <c r="AG79" s="124" cm="1">
        <f t="array" ref="AG79">+_xll.EQNXTDZ($A$1,$B79,AG$1,$B$1)</f>
        <v>0</v>
      </c>
      <c r="AH79" s="124" cm="1">
        <f t="array" ref="AH79">+_xll.EQNXTDZ($A$1,$B79,AH$1,$B$1)</f>
        <v>0</v>
      </c>
      <c r="AI79" s="124" cm="1">
        <f t="array" ref="AI79">+_xll.EQNXTDZ($A$1,$B79,AI$1,$B$1)</f>
        <v>0</v>
      </c>
      <c r="AJ79" s="124" cm="1">
        <f t="array" ref="AJ79">+_xll.EQNXTDZ($A$1,$B79,AJ$1,$B$1)</f>
        <v>0</v>
      </c>
      <c r="AK79" s="124" cm="1">
        <f t="array" ref="AK79">+_xll.EQNXTDZ($A$1,$B79,AK$1,$B$1)</f>
        <v>0</v>
      </c>
      <c r="AL79" s="124" cm="1">
        <f t="array" ref="AL79">+_xll.EQNXTDZ($A$1,$B79,AL$1,$B$1)</f>
        <v>0</v>
      </c>
      <c r="AM79" s="124" cm="1">
        <f t="array" ref="AM79">+_xll.EQNXTDZ($A$1,$B79,AM$1,$B$1)</f>
        <v>0</v>
      </c>
      <c r="AN79" s="124" cm="1">
        <f t="array" ref="AN79">+_xll.EQNXTDZ($A$1,$B79,AN$1,$B$1)</f>
        <v>0</v>
      </c>
      <c r="AO79" s="124" cm="1">
        <f t="array" ref="AO79">+_xll.EQNXTDZ($A$1,$B79,AO$1,$B$1)</f>
        <v>0</v>
      </c>
      <c r="AP79" s="124" cm="1">
        <f t="array" ref="AP79">+_xll.EQNXTDZ($A$1,$B79,AP$1,$B$1)</f>
        <v>0</v>
      </c>
      <c r="AQ79" s="124" cm="1">
        <f t="array" ref="AQ79">+_xll.EQNXTDZ($A$1,$B79,AQ$1,$B$1)</f>
        <v>0</v>
      </c>
      <c r="AR79" s="124" cm="1">
        <f t="array" ref="AR79">+_xll.EQNXTDZ($A$1,$B79,AR$1,$B$1)</f>
        <v>0</v>
      </c>
      <c r="AS79" s="124" cm="1">
        <f t="array" ref="AS79">+_xll.EQNXTDZ($A$1,$B79,AS$1,$B$1)</f>
        <v>0</v>
      </c>
      <c r="AT79" s="124" cm="1">
        <f t="array" ref="AT79">+_xll.EQNXTDZ($A$1,$B79,AT$1,$B$1)</f>
        <v>0</v>
      </c>
      <c r="AU79" s="124" cm="1">
        <f t="array" ref="AU79">+_xll.EQNXTDZ($A$1,$B79,AU$1,$B$1)</f>
        <v>0</v>
      </c>
      <c r="AV79" s="124" cm="1">
        <f t="array" ref="AV79">+_xll.EQNXTDZ($A$1,$B79,AV$1,$B$1)</f>
        <v>0</v>
      </c>
      <c r="AW79" s="124" cm="1">
        <f t="array" ref="AW79">+_xll.EQNXTDZ($A$1,$B79,AW$1,$B$1)</f>
        <v>0</v>
      </c>
      <c r="AX79" s="124" cm="1">
        <f t="array" ref="AX79">+_xll.EQNXTDZ($A$1,$B79,AX$1,$B$1)</f>
        <v>0</v>
      </c>
      <c r="AY79" s="124" cm="1">
        <f t="array" ref="AY79">+_xll.EQNXTDZ($A$1,$B79,AY$1,$B$1)</f>
        <v>0</v>
      </c>
      <c r="AZ79" s="124" cm="1">
        <f t="array" ref="AZ79">+_xll.EQNXTDZ($A$1,$B79,AZ$1,$B$1)</f>
        <v>0</v>
      </c>
      <c r="BA79" s="124" cm="1">
        <f t="array" ref="BA79">+_xll.EQNXTDZ($A$1,$B79,BA$1,$B$1)</f>
        <v>0</v>
      </c>
      <c r="BB79" s="124" cm="1">
        <f t="array" ref="BB79">+_xll.EQNXTDZ($A$1,$B79,BB$1,$B$1)</f>
        <v>0</v>
      </c>
      <c r="BC79" s="124" cm="1">
        <f t="array" ref="BC79">+_xll.EQNXTDZ($A$1,$B79,BC$1,$B$1)</f>
        <v>0</v>
      </c>
      <c r="BD79" s="124" cm="1">
        <f t="array" ref="BD79">+_xll.EQNXTDZ($A$1,$B79,BD$1,$B$1)</f>
        <v>0</v>
      </c>
      <c r="BE79" s="124" cm="1">
        <f t="array" ref="BE79">+_xll.EQNXTDZ($A$1,$B79,BE$1,$B$1)</f>
        <v>0</v>
      </c>
      <c r="BF79" s="124" cm="1">
        <f t="array" ref="BF79">+_xll.EQNXTDZ($A$1,$B79,BF$1,$B$1)</f>
        <v>0</v>
      </c>
      <c r="BG79" s="124" cm="1">
        <f t="array" ref="BG79">+_xll.EQNXTDZ($A$1,$B79,BG$1,$B$1)</f>
        <v>0</v>
      </c>
      <c r="BH79" s="124" cm="1">
        <f t="array" ref="BH79">+_xll.EQNXTDZ($A$1,$B79,BH$1,$B$1)</f>
        <v>0</v>
      </c>
      <c r="BI79" s="124" cm="1">
        <f t="array" ref="BI79">+_xll.EQNXTDZ($A$1,$B79,BI$1,$B$1)</f>
        <v>0</v>
      </c>
      <c r="BJ79" s="124" cm="1">
        <f t="array" ref="BJ79">+_xll.EQNXTDZ($A$1,$B79,BJ$1,$B$1)</f>
        <v>0</v>
      </c>
      <c r="BK79" s="124" cm="1">
        <f t="array" ref="BK79">+_xll.EQNXTDZ($A$1,$B79,BK$1,$B$1)</f>
        <v>0</v>
      </c>
    </row>
    <row r="80" spans="1:63" x14ac:dyDescent="0.25">
      <c r="A80" t="s">
        <v>218</v>
      </c>
      <c r="B80" t="s">
        <v>340</v>
      </c>
      <c r="C80" s="124" cm="1">
        <f t="array" ref="C80">+_xll.EQNXTDZ($A$1,$B80,C$1,$B$1)</f>
        <v>0</v>
      </c>
      <c r="D80" s="124" cm="1">
        <f t="array" ref="D80">+_xll.EQNXTDZ($A$1,$B80,D$1,$B$1)</f>
        <v>0</v>
      </c>
      <c r="E80" s="124" cm="1">
        <f t="array" ref="E80">+_xll.EQNXTDZ($A$1,$B80,E$1,$B$1)</f>
        <v>0</v>
      </c>
      <c r="F80" s="124" cm="1">
        <f t="array" ref="F80">+_xll.EQNXTDZ($A$1,$B80,F$1,$B$1)</f>
        <v>0</v>
      </c>
      <c r="G80" s="124" cm="1">
        <f t="array" ref="G80">+_xll.EQNXTDZ($A$1,$B80,G$1,$B$1)</f>
        <v>0</v>
      </c>
      <c r="H80" s="124" cm="1">
        <f t="array" ref="H80">+_xll.EQNXTDZ($A$1,$B80,H$1,$B$1)</f>
        <v>0</v>
      </c>
      <c r="I80" s="124" cm="1">
        <f t="array" ref="I80">+_xll.EQNXTDZ($A$1,$B80,I$1,$B$1)</f>
        <v>0</v>
      </c>
      <c r="J80" s="124" cm="1">
        <f t="array" ref="J80">+_xll.EQNXTDZ($A$1,$B80,J$1,$B$1)</f>
        <v>0</v>
      </c>
      <c r="K80" s="124" cm="1">
        <f t="array" ref="K80">+_xll.EQNXTDZ($A$1,$B80,K$1,$B$1)</f>
        <v>0</v>
      </c>
      <c r="L80" s="124" cm="1">
        <f t="array" ref="L80">+_xll.EQNXTDZ($A$1,$B80,L$1,$B$1)</f>
        <v>0</v>
      </c>
      <c r="M80" s="124" cm="1">
        <f t="array" ref="M80">+_xll.EQNXTDZ($A$1,$B80,M$1,$B$1)</f>
        <v>0</v>
      </c>
      <c r="N80" s="124" cm="1">
        <f t="array" ref="N80">+_xll.EQNXTDZ($A$1,$B80,N$1,$B$1)</f>
        <v>0</v>
      </c>
      <c r="O80" s="124" cm="1">
        <f t="array" ref="O80">+_xll.EQNXTDZ($A$1,$B80,O$1,$B$1)</f>
        <v>0</v>
      </c>
      <c r="P80" s="124" cm="1">
        <f t="array" ref="P80">+_xll.EQNXTDZ($A$1,$B80,P$1,$B$1)</f>
        <v>0</v>
      </c>
      <c r="Q80" s="124" cm="1">
        <f t="array" ref="Q80">+_xll.EQNXTDZ($A$1,$B80,Q$1,$B$1)</f>
        <v>0</v>
      </c>
      <c r="R80" s="124" cm="1">
        <f t="array" ref="R80">+_xll.EQNXTDZ($A$1,$B80,R$1,$B$1)</f>
        <v>0</v>
      </c>
      <c r="S80" s="124" cm="1">
        <f t="array" ref="S80">+_xll.EQNXTDZ($A$1,$B80,S$1,$B$1)</f>
        <v>0</v>
      </c>
      <c r="T80" s="124" cm="1">
        <f t="array" ref="T80">+_xll.EQNXTDZ($A$1,$B80,T$1,$B$1)</f>
        <v>0</v>
      </c>
      <c r="U80" s="124" cm="1">
        <f t="array" ref="U80">+_xll.EQNXTDZ($A$1,$B80,U$1,$B$1)</f>
        <v>0</v>
      </c>
      <c r="V80" s="124" cm="1">
        <f t="array" ref="V80">+_xll.EQNXTDZ($A$1,$B80,V$1,$B$1)</f>
        <v>0</v>
      </c>
      <c r="W80" s="124" cm="1">
        <f t="array" ref="W80">+_xll.EQNXTDZ($A$1,$B80,W$1,$B$1)</f>
        <v>0</v>
      </c>
      <c r="X80" s="124" cm="1">
        <f t="array" ref="X80">+_xll.EQNXTDZ($A$1,$B80,X$1,$B$1)</f>
        <v>0</v>
      </c>
      <c r="Y80" s="124" cm="1">
        <f t="array" ref="Y80">+_xll.EQNXTDZ($A$1,$B80,Y$1,$B$1)</f>
        <v>0</v>
      </c>
      <c r="Z80" s="124" cm="1">
        <f t="array" ref="Z80">+_xll.EQNXTDZ($A$1,$B80,Z$1,$B$1)</f>
        <v>0</v>
      </c>
      <c r="AA80" s="124" cm="1">
        <f t="array" ref="AA80">+_xll.EQNXTDZ($A$1,$B80,AA$1,$B$1)</f>
        <v>0</v>
      </c>
      <c r="AB80" s="124" cm="1">
        <f t="array" ref="AB80">+_xll.EQNXTDZ($A$1,$B80,AB$1,$B$1)</f>
        <v>0</v>
      </c>
      <c r="AC80" s="124" cm="1">
        <f t="array" ref="AC80">+_xll.EQNXTDZ($A$1,$B80,AC$1,$B$1)</f>
        <v>0</v>
      </c>
      <c r="AD80" s="124" cm="1">
        <f t="array" ref="AD80">+_xll.EQNXTDZ($A$1,$B80,AD$1,$B$1)</f>
        <v>0</v>
      </c>
      <c r="AE80" s="124" cm="1">
        <f t="array" ref="AE80">+_xll.EQNXTDZ($A$1,$B80,AE$1,$B$1)</f>
        <v>0</v>
      </c>
      <c r="AF80" s="124" cm="1">
        <f t="array" ref="AF80">+_xll.EQNXTDZ($A$1,$B80,AF$1,$B$1)</f>
        <v>0</v>
      </c>
      <c r="AG80" s="124" cm="1">
        <f t="array" ref="AG80">+_xll.EQNXTDZ($A$1,$B80,AG$1,$B$1)</f>
        <v>0</v>
      </c>
      <c r="AH80" s="124" cm="1">
        <f t="array" ref="AH80">+_xll.EQNXTDZ($A$1,$B80,AH$1,$B$1)</f>
        <v>0</v>
      </c>
      <c r="AI80" s="124" cm="1">
        <f t="array" ref="AI80">+_xll.EQNXTDZ($A$1,$B80,AI$1,$B$1)</f>
        <v>0</v>
      </c>
      <c r="AJ80" s="124" cm="1">
        <f t="array" ref="AJ80">+_xll.EQNXTDZ($A$1,$B80,AJ$1,$B$1)</f>
        <v>0</v>
      </c>
      <c r="AK80" s="124" cm="1">
        <f t="array" ref="AK80">+_xll.EQNXTDZ($A$1,$B80,AK$1,$B$1)</f>
        <v>0</v>
      </c>
      <c r="AL80" s="124" cm="1">
        <f t="array" ref="AL80">+_xll.EQNXTDZ($A$1,$B80,AL$1,$B$1)</f>
        <v>0</v>
      </c>
      <c r="AM80" s="124" cm="1">
        <f t="array" ref="AM80">+_xll.EQNXTDZ($A$1,$B80,AM$1,$B$1)</f>
        <v>0</v>
      </c>
      <c r="AN80" s="124" cm="1">
        <f t="array" ref="AN80">+_xll.EQNXTDZ($A$1,$B80,AN$1,$B$1)</f>
        <v>0</v>
      </c>
      <c r="AO80" s="124" cm="1">
        <f t="array" ref="AO80">+_xll.EQNXTDZ($A$1,$B80,AO$1,$B$1)</f>
        <v>0</v>
      </c>
      <c r="AP80" s="124" cm="1">
        <f t="array" ref="AP80">+_xll.EQNXTDZ($A$1,$B80,AP$1,$B$1)</f>
        <v>0</v>
      </c>
      <c r="AQ80" s="124" cm="1">
        <f t="array" ref="AQ80">+_xll.EQNXTDZ($A$1,$B80,AQ$1,$B$1)</f>
        <v>0</v>
      </c>
      <c r="AR80" s="124" cm="1">
        <f t="array" ref="AR80">+_xll.EQNXTDZ($A$1,$B80,AR$1,$B$1)</f>
        <v>0</v>
      </c>
      <c r="AS80" s="124" cm="1">
        <f t="array" ref="AS80">+_xll.EQNXTDZ($A$1,$B80,AS$1,$B$1)</f>
        <v>0</v>
      </c>
      <c r="AT80" s="124" cm="1">
        <f t="array" ref="AT80">+_xll.EQNXTDZ($A$1,$B80,AT$1,$B$1)</f>
        <v>0</v>
      </c>
      <c r="AU80" s="124" cm="1">
        <f t="array" ref="AU80">+_xll.EQNXTDZ($A$1,$B80,AU$1,$B$1)</f>
        <v>0</v>
      </c>
      <c r="AV80" s="124" cm="1">
        <f t="array" ref="AV80">+_xll.EQNXTDZ($A$1,$B80,AV$1,$B$1)</f>
        <v>0</v>
      </c>
      <c r="AW80" s="124" cm="1">
        <f t="array" ref="AW80">+_xll.EQNXTDZ($A$1,$B80,AW$1,$B$1)</f>
        <v>0</v>
      </c>
      <c r="AX80" s="124" cm="1">
        <f t="array" ref="AX80">+_xll.EQNXTDZ($A$1,$B80,AX$1,$B$1)</f>
        <v>0</v>
      </c>
      <c r="AY80" s="124" cm="1">
        <f t="array" ref="AY80">+_xll.EQNXTDZ($A$1,$B80,AY$1,$B$1)</f>
        <v>0</v>
      </c>
      <c r="AZ80" s="124" cm="1">
        <f t="array" ref="AZ80">+_xll.EQNXTDZ($A$1,$B80,AZ$1,$B$1)</f>
        <v>0</v>
      </c>
      <c r="BA80" s="124" cm="1">
        <f t="array" ref="BA80">+_xll.EQNXTDZ($A$1,$B80,BA$1,$B$1)</f>
        <v>0</v>
      </c>
      <c r="BB80" s="124" cm="1">
        <f t="array" ref="BB80">+_xll.EQNXTDZ($A$1,$B80,BB$1,$B$1)</f>
        <v>0</v>
      </c>
      <c r="BC80" s="124" cm="1">
        <f t="array" ref="BC80">+_xll.EQNXTDZ($A$1,$B80,BC$1,$B$1)</f>
        <v>0</v>
      </c>
      <c r="BD80" s="124" cm="1">
        <f t="array" ref="BD80">+_xll.EQNXTDZ($A$1,$B80,BD$1,$B$1)</f>
        <v>0</v>
      </c>
      <c r="BE80" s="124" cm="1">
        <f t="array" ref="BE80">+_xll.EQNXTDZ($A$1,$B80,BE$1,$B$1)</f>
        <v>0</v>
      </c>
      <c r="BF80" s="124" cm="1">
        <f t="array" ref="BF80">+_xll.EQNXTDZ($A$1,$B80,BF$1,$B$1)</f>
        <v>0</v>
      </c>
      <c r="BG80" s="124" cm="1">
        <f t="array" ref="BG80">+_xll.EQNXTDZ($A$1,$B80,BG$1,$B$1)</f>
        <v>0</v>
      </c>
      <c r="BH80" s="124" cm="1">
        <f t="array" ref="BH80">+_xll.EQNXTDZ($A$1,$B80,BH$1,$B$1)</f>
        <v>0</v>
      </c>
      <c r="BI80" s="124" cm="1">
        <f t="array" ref="BI80">+_xll.EQNXTDZ($A$1,$B80,BI$1,$B$1)</f>
        <v>0</v>
      </c>
      <c r="BJ80" s="124" cm="1">
        <f t="array" ref="BJ80">+_xll.EQNXTDZ($A$1,$B80,BJ$1,$B$1)</f>
        <v>0</v>
      </c>
      <c r="BK80" s="124" cm="1">
        <f t="array" ref="BK80">+_xll.EQNXTDZ($A$1,$B80,BK$1,$B$1)</f>
        <v>0</v>
      </c>
    </row>
    <row r="81" spans="1:63" x14ac:dyDescent="0.25">
      <c r="A81" t="s">
        <v>219</v>
      </c>
      <c r="B81" t="s">
        <v>341</v>
      </c>
      <c r="C81" s="124" cm="1">
        <f t="array" ref="C81">+_xll.EQNXTDZ($A$1,$B81,C$1,$B$1)</f>
        <v>0</v>
      </c>
      <c r="D81" s="124" cm="1">
        <f t="array" ref="D81">+_xll.EQNXTDZ($A$1,$B81,D$1,$B$1)</f>
        <v>0</v>
      </c>
      <c r="E81" s="124" cm="1">
        <f t="array" ref="E81">+_xll.EQNXTDZ($A$1,$B81,E$1,$B$1)</f>
        <v>0</v>
      </c>
      <c r="F81" s="124" cm="1">
        <f t="array" ref="F81">+_xll.EQNXTDZ($A$1,$B81,F$1,$B$1)</f>
        <v>0</v>
      </c>
      <c r="G81" s="124" cm="1">
        <f t="array" ref="G81">+_xll.EQNXTDZ($A$1,$B81,G$1,$B$1)</f>
        <v>0</v>
      </c>
      <c r="H81" s="124" cm="1">
        <f t="array" ref="H81">+_xll.EQNXTDZ($A$1,$B81,H$1,$B$1)</f>
        <v>0</v>
      </c>
      <c r="I81" s="124" cm="1">
        <f t="array" ref="I81">+_xll.EQNXTDZ($A$1,$B81,I$1,$B$1)</f>
        <v>0</v>
      </c>
      <c r="J81" s="124" cm="1">
        <f t="array" ref="J81">+_xll.EQNXTDZ($A$1,$B81,J$1,$B$1)</f>
        <v>0</v>
      </c>
      <c r="K81" s="124" cm="1">
        <f t="array" ref="K81">+_xll.EQNXTDZ($A$1,$B81,K$1,$B$1)</f>
        <v>0</v>
      </c>
      <c r="L81" s="124" cm="1">
        <f t="array" ref="L81">+_xll.EQNXTDZ($A$1,$B81,L$1,$B$1)</f>
        <v>0</v>
      </c>
      <c r="M81" s="124" cm="1">
        <f t="array" ref="M81">+_xll.EQNXTDZ($A$1,$B81,M$1,$B$1)</f>
        <v>0</v>
      </c>
      <c r="N81" s="124" cm="1">
        <f t="array" ref="N81">+_xll.EQNXTDZ($A$1,$B81,N$1,$B$1)</f>
        <v>0</v>
      </c>
      <c r="O81" s="124" cm="1">
        <f t="array" ref="O81">+_xll.EQNXTDZ($A$1,$B81,O$1,$B$1)</f>
        <v>0</v>
      </c>
      <c r="P81" s="124" cm="1">
        <f t="array" ref="P81">+_xll.EQNXTDZ($A$1,$B81,P$1,$B$1)</f>
        <v>0</v>
      </c>
      <c r="Q81" s="124" cm="1">
        <f t="array" ref="Q81">+_xll.EQNXTDZ($A$1,$B81,Q$1,$B$1)</f>
        <v>0</v>
      </c>
      <c r="R81" s="124" cm="1">
        <f t="array" ref="R81">+_xll.EQNXTDZ($A$1,$B81,R$1,$B$1)</f>
        <v>0</v>
      </c>
      <c r="S81" s="124" cm="1">
        <f t="array" ref="S81">+_xll.EQNXTDZ($A$1,$B81,S$1,$B$1)</f>
        <v>0</v>
      </c>
      <c r="T81" s="124" cm="1">
        <f t="array" ref="T81">+_xll.EQNXTDZ($A$1,$B81,T$1,$B$1)</f>
        <v>0</v>
      </c>
      <c r="U81" s="124" cm="1">
        <f t="array" ref="U81">+_xll.EQNXTDZ($A$1,$B81,U$1,$B$1)</f>
        <v>0</v>
      </c>
      <c r="V81" s="124" cm="1">
        <f t="array" ref="V81">+_xll.EQNXTDZ($A$1,$B81,V$1,$B$1)</f>
        <v>0</v>
      </c>
      <c r="W81" s="124" cm="1">
        <f t="array" ref="W81">+_xll.EQNXTDZ($A$1,$B81,W$1,$B$1)</f>
        <v>0</v>
      </c>
      <c r="X81" s="124" cm="1">
        <f t="array" ref="X81">+_xll.EQNXTDZ($A$1,$B81,X$1,$B$1)</f>
        <v>0</v>
      </c>
      <c r="Y81" s="124" cm="1">
        <f t="array" ref="Y81">+_xll.EQNXTDZ($A$1,$B81,Y$1,$B$1)</f>
        <v>0</v>
      </c>
      <c r="Z81" s="124" cm="1">
        <f t="array" ref="Z81">+_xll.EQNXTDZ($A$1,$B81,Z$1,$B$1)</f>
        <v>0</v>
      </c>
      <c r="AA81" s="124" cm="1">
        <f t="array" ref="AA81">+_xll.EQNXTDZ($A$1,$B81,AA$1,$B$1)</f>
        <v>0</v>
      </c>
      <c r="AB81" s="124" cm="1">
        <f t="array" ref="AB81">+_xll.EQNXTDZ($A$1,$B81,AB$1,$B$1)</f>
        <v>0</v>
      </c>
      <c r="AC81" s="124" cm="1">
        <f t="array" ref="AC81">+_xll.EQNXTDZ($A$1,$B81,AC$1,$B$1)</f>
        <v>0</v>
      </c>
      <c r="AD81" s="124" cm="1">
        <f t="array" ref="AD81">+_xll.EQNXTDZ($A$1,$B81,AD$1,$B$1)</f>
        <v>0</v>
      </c>
      <c r="AE81" s="124" cm="1">
        <f t="array" ref="AE81">+_xll.EQNXTDZ($A$1,$B81,AE$1,$B$1)</f>
        <v>0</v>
      </c>
      <c r="AF81" s="124" cm="1">
        <f t="array" ref="AF81">+_xll.EQNXTDZ($A$1,$B81,AF$1,$B$1)</f>
        <v>0</v>
      </c>
      <c r="AG81" s="124" cm="1">
        <f t="array" ref="AG81">+_xll.EQNXTDZ($A$1,$B81,AG$1,$B$1)</f>
        <v>0</v>
      </c>
      <c r="AH81" s="124" cm="1">
        <f t="array" ref="AH81">+_xll.EQNXTDZ($A$1,$B81,AH$1,$B$1)</f>
        <v>0</v>
      </c>
      <c r="AI81" s="124" cm="1">
        <f t="array" ref="AI81">+_xll.EQNXTDZ($A$1,$B81,AI$1,$B$1)</f>
        <v>0</v>
      </c>
      <c r="AJ81" s="124" cm="1">
        <f t="array" ref="AJ81">+_xll.EQNXTDZ($A$1,$B81,AJ$1,$B$1)</f>
        <v>0</v>
      </c>
      <c r="AK81" s="124" cm="1">
        <f t="array" ref="AK81">+_xll.EQNXTDZ($A$1,$B81,AK$1,$B$1)</f>
        <v>0</v>
      </c>
      <c r="AL81" s="124" cm="1">
        <f t="array" ref="AL81">+_xll.EQNXTDZ($A$1,$B81,AL$1,$B$1)</f>
        <v>0</v>
      </c>
      <c r="AM81" s="124" cm="1">
        <f t="array" ref="AM81">+_xll.EQNXTDZ($A$1,$B81,AM$1,$B$1)</f>
        <v>0</v>
      </c>
      <c r="AN81" s="124" cm="1">
        <f t="array" ref="AN81">+_xll.EQNXTDZ($A$1,$B81,AN$1,$B$1)</f>
        <v>0</v>
      </c>
      <c r="AO81" s="124" cm="1">
        <f t="array" ref="AO81">+_xll.EQNXTDZ($A$1,$B81,AO$1,$B$1)</f>
        <v>0</v>
      </c>
      <c r="AP81" s="124" cm="1">
        <f t="array" ref="AP81">+_xll.EQNXTDZ($A$1,$B81,AP$1,$B$1)</f>
        <v>0</v>
      </c>
      <c r="AQ81" s="124" cm="1">
        <f t="array" ref="AQ81">+_xll.EQNXTDZ($A$1,$B81,AQ$1,$B$1)</f>
        <v>0</v>
      </c>
      <c r="AR81" s="124" cm="1">
        <f t="array" ref="AR81">+_xll.EQNXTDZ($A$1,$B81,AR$1,$B$1)</f>
        <v>0</v>
      </c>
      <c r="AS81" s="124" cm="1">
        <f t="array" ref="AS81">+_xll.EQNXTDZ($A$1,$B81,AS$1,$B$1)</f>
        <v>0</v>
      </c>
      <c r="AT81" s="124" cm="1">
        <f t="array" ref="AT81">+_xll.EQNXTDZ($A$1,$B81,AT$1,$B$1)</f>
        <v>0</v>
      </c>
      <c r="AU81" s="124" cm="1">
        <f t="array" ref="AU81">+_xll.EQNXTDZ($A$1,$B81,AU$1,$B$1)</f>
        <v>0</v>
      </c>
      <c r="AV81" s="124" cm="1">
        <f t="array" ref="AV81">+_xll.EQNXTDZ($A$1,$B81,AV$1,$B$1)</f>
        <v>0</v>
      </c>
      <c r="AW81" s="124" cm="1">
        <f t="array" ref="AW81">+_xll.EQNXTDZ($A$1,$B81,AW$1,$B$1)</f>
        <v>0</v>
      </c>
      <c r="AX81" s="124" cm="1">
        <f t="array" ref="AX81">+_xll.EQNXTDZ($A$1,$B81,AX$1,$B$1)</f>
        <v>0</v>
      </c>
      <c r="AY81" s="124" cm="1">
        <f t="array" ref="AY81">+_xll.EQNXTDZ($A$1,$B81,AY$1,$B$1)</f>
        <v>0</v>
      </c>
      <c r="AZ81" s="124" cm="1">
        <f t="array" ref="AZ81">+_xll.EQNXTDZ($A$1,$B81,AZ$1,$B$1)</f>
        <v>0</v>
      </c>
      <c r="BA81" s="124" cm="1">
        <f t="array" ref="BA81">+_xll.EQNXTDZ($A$1,$B81,BA$1,$B$1)</f>
        <v>0</v>
      </c>
      <c r="BB81" s="124" cm="1">
        <f t="array" ref="BB81">+_xll.EQNXTDZ($A$1,$B81,BB$1,$B$1)</f>
        <v>0</v>
      </c>
      <c r="BC81" s="124" cm="1">
        <f t="array" ref="BC81">+_xll.EQNXTDZ($A$1,$B81,BC$1,$B$1)</f>
        <v>0</v>
      </c>
      <c r="BD81" s="124" cm="1">
        <f t="array" ref="BD81">+_xll.EQNXTDZ($A$1,$B81,BD$1,$B$1)</f>
        <v>0</v>
      </c>
      <c r="BE81" s="124" cm="1">
        <f t="array" ref="BE81">+_xll.EQNXTDZ($A$1,$B81,BE$1,$B$1)</f>
        <v>0</v>
      </c>
      <c r="BF81" s="124" cm="1">
        <f t="array" ref="BF81">+_xll.EQNXTDZ($A$1,$B81,BF$1,$B$1)</f>
        <v>0</v>
      </c>
      <c r="BG81" s="124" cm="1">
        <f t="array" ref="BG81">+_xll.EQNXTDZ($A$1,$B81,BG$1,$B$1)</f>
        <v>0</v>
      </c>
      <c r="BH81" s="124" cm="1">
        <f t="array" ref="BH81">+_xll.EQNXTDZ($A$1,$B81,BH$1,$B$1)</f>
        <v>0</v>
      </c>
      <c r="BI81" s="124" cm="1">
        <f t="array" ref="BI81">+_xll.EQNXTDZ($A$1,$B81,BI$1,$B$1)</f>
        <v>0</v>
      </c>
      <c r="BJ81" s="124" cm="1">
        <f t="array" ref="BJ81">+_xll.EQNXTDZ($A$1,$B81,BJ$1,$B$1)</f>
        <v>0</v>
      </c>
      <c r="BK81" s="124" cm="1">
        <f t="array" ref="BK81">+_xll.EQNXTDZ($A$1,$B81,BK$1,$B$1)</f>
        <v>0</v>
      </c>
    </row>
    <row r="82" spans="1:63" x14ac:dyDescent="0.25">
      <c r="A82" t="s">
        <v>220</v>
      </c>
      <c r="B82" t="s">
        <v>342</v>
      </c>
      <c r="C82" s="124" cm="1">
        <f t="array" ref="C82">+_xll.EQNXTDZ($A$1,$B82,C$1,$B$1)</f>
        <v>0</v>
      </c>
      <c r="D82" s="124" cm="1">
        <f t="array" ref="D82">+_xll.EQNXTDZ($A$1,$B82,D$1,$B$1)</f>
        <v>0</v>
      </c>
      <c r="E82" s="124" cm="1">
        <f t="array" ref="E82">+_xll.EQNXTDZ($A$1,$B82,E$1,$B$1)</f>
        <v>0</v>
      </c>
      <c r="F82" s="124" cm="1">
        <f t="array" ref="F82">+_xll.EQNXTDZ($A$1,$B82,F$1,$B$1)</f>
        <v>0</v>
      </c>
      <c r="G82" s="124" cm="1">
        <f t="array" ref="G82">+_xll.EQNXTDZ($A$1,$B82,G$1,$B$1)</f>
        <v>0</v>
      </c>
      <c r="H82" s="124" cm="1">
        <f t="array" ref="H82">+_xll.EQNXTDZ($A$1,$B82,H$1,$B$1)</f>
        <v>0</v>
      </c>
      <c r="I82" s="124" cm="1">
        <f t="array" ref="I82">+_xll.EQNXTDZ($A$1,$B82,I$1,$B$1)</f>
        <v>0</v>
      </c>
      <c r="J82" s="124" cm="1">
        <f t="array" ref="J82">+_xll.EQNXTDZ($A$1,$B82,J$1,$B$1)</f>
        <v>0</v>
      </c>
      <c r="K82" s="124" cm="1">
        <f t="array" ref="K82">+_xll.EQNXTDZ($A$1,$B82,K$1,$B$1)</f>
        <v>0</v>
      </c>
      <c r="L82" s="124" cm="1">
        <f t="array" ref="L82">+_xll.EQNXTDZ($A$1,$B82,L$1,$B$1)</f>
        <v>0</v>
      </c>
      <c r="M82" s="124" cm="1">
        <f t="array" ref="M82">+_xll.EQNXTDZ($A$1,$B82,M$1,$B$1)</f>
        <v>0</v>
      </c>
      <c r="N82" s="124" cm="1">
        <f t="array" ref="N82">+_xll.EQNXTDZ($A$1,$B82,N$1,$B$1)</f>
        <v>0</v>
      </c>
      <c r="O82" s="124" cm="1">
        <f t="array" ref="O82">+_xll.EQNXTDZ($A$1,$B82,O$1,$B$1)</f>
        <v>0</v>
      </c>
      <c r="P82" s="124" cm="1">
        <f t="array" ref="P82">+_xll.EQNXTDZ($A$1,$B82,P$1,$B$1)</f>
        <v>0</v>
      </c>
      <c r="Q82" s="124" cm="1">
        <f t="array" ref="Q82">+_xll.EQNXTDZ($A$1,$B82,Q$1,$B$1)</f>
        <v>0</v>
      </c>
      <c r="R82" s="124" cm="1">
        <f t="array" ref="R82">+_xll.EQNXTDZ($A$1,$B82,R$1,$B$1)</f>
        <v>0</v>
      </c>
      <c r="S82" s="124" cm="1">
        <f t="array" ref="S82">+_xll.EQNXTDZ($A$1,$B82,S$1,$B$1)</f>
        <v>0</v>
      </c>
      <c r="T82" s="124" cm="1">
        <f t="array" ref="T82">+_xll.EQNXTDZ($A$1,$B82,T$1,$B$1)</f>
        <v>0</v>
      </c>
      <c r="U82" s="124" cm="1">
        <f t="array" ref="U82">+_xll.EQNXTDZ($A$1,$B82,U$1,$B$1)</f>
        <v>0</v>
      </c>
      <c r="V82" s="124" cm="1">
        <f t="array" ref="V82">+_xll.EQNXTDZ($A$1,$B82,V$1,$B$1)</f>
        <v>0</v>
      </c>
      <c r="W82" s="124" cm="1">
        <f t="array" ref="W82">+_xll.EQNXTDZ($A$1,$B82,W$1,$B$1)</f>
        <v>0</v>
      </c>
      <c r="X82" s="124" cm="1">
        <f t="array" ref="X82">+_xll.EQNXTDZ($A$1,$B82,X$1,$B$1)</f>
        <v>0</v>
      </c>
      <c r="Y82" s="124" cm="1">
        <f t="array" ref="Y82">+_xll.EQNXTDZ($A$1,$B82,Y$1,$B$1)</f>
        <v>0</v>
      </c>
      <c r="Z82" s="124" cm="1">
        <f t="array" ref="Z82">+_xll.EQNXTDZ($A$1,$B82,Z$1,$B$1)</f>
        <v>0</v>
      </c>
      <c r="AA82" s="124" cm="1">
        <f t="array" ref="AA82">+_xll.EQNXTDZ($A$1,$B82,AA$1,$B$1)</f>
        <v>0</v>
      </c>
      <c r="AB82" s="124" cm="1">
        <f t="array" ref="AB82">+_xll.EQNXTDZ($A$1,$B82,AB$1,$B$1)</f>
        <v>0</v>
      </c>
      <c r="AC82" s="124" cm="1">
        <f t="array" ref="AC82">+_xll.EQNXTDZ($A$1,$B82,AC$1,$B$1)</f>
        <v>0</v>
      </c>
      <c r="AD82" s="124" cm="1">
        <f t="array" ref="AD82">+_xll.EQNXTDZ($A$1,$B82,AD$1,$B$1)</f>
        <v>0</v>
      </c>
      <c r="AE82" s="124" cm="1">
        <f t="array" ref="AE82">+_xll.EQNXTDZ($A$1,$B82,AE$1,$B$1)</f>
        <v>0</v>
      </c>
      <c r="AF82" s="124" cm="1">
        <f t="array" ref="AF82">+_xll.EQNXTDZ($A$1,$B82,AF$1,$B$1)</f>
        <v>0</v>
      </c>
      <c r="AG82" s="124" cm="1">
        <f t="array" ref="AG82">+_xll.EQNXTDZ($A$1,$B82,AG$1,$B$1)</f>
        <v>0</v>
      </c>
      <c r="AH82" s="124" cm="1">
        <f t="array" ref="AH82">+_xll.EQNXTDZ($A$1,$B82,AH$1,$B$1)</f>
        <v>0</v>
      </c>
      <c r="AI82" s="124" cm="1">
        <f t="array" ref="AI82">+_xll.EQNXTDZ($A$1,$B82,AI$1,$B$1)</f>
        <v>0</v>
      </c>
      <c r="AJ82" s="124" cm="1">
        <f t="array" ref="AJ82">+_xll.EQNXTDZ($A$1,$B82,AJ$1,$B$1)</f>
        <v>0</v>
      </c>
      <c r="AK82" s="124" cm="1">
        <f t="array" ref="AK82">+_xll.EQNXTDZ($A$1,$B82,AK$1,$B$1)</f>
        <v>0</v>
      </c>
      <c r="AL82" s="124" cm="1">
        <f t="array" ref="AL82">+_xll.EQNXTDZ($A$1,$B82,AL$1,$B$1)</f>
        <v>0</v>
      </c>
      <c r="AM82" s="124" cm="1">
        <f t="array" ref="AM82">+_xll.EQNXTDZ($A$1,$B82,AM$1,$B$1)</f>
        <v>0</v>
      </c>
      <c r="AN82" s="124" cm="1">
        <f t="array" ref="AN82">+_xll.EQNXTDZ($A$1,$B82,AN$1,$B$1)</f>
        <v>0</v>
      </c>
      <c r="AO82" s="124" cm="1">
        <f t="array" ref="AO82">+_xll.EQNXTDZ($A$1,$B82,AO$1,$B$1)</f>
        <v>0</v>
      </c>
      <c r="AP82" s="124" cm="1">
        <f t="array" ref="AP82">+_xll.EQNXTDZ($A$1,$B82,AP$1,$B$1)</f>
        <v>0</v>
      </c>
      <c r="AQ82" s="124" cm="1">
        <f t="array" ref="AQ82">+_xll.EQNXTDZ($A$1,$B82,AQ$1,$B$1)</f>
        <v>0</v>
      </c>
      <c r="AR82" s="124" cm="1">
        <f t="array" ref="AR82">+_xll.EQNXTDZ($A$1,$B82,AR$1,$B$1)</f>
        <v>0</v>
      </c>
      <c r="AS82" s="124" cm="1">
        <f t="array" ref="AS82">+_xll.EQNXTDZ($A$1,$B82,AS$1,$B$1)</f>
        <v>0</v>
      </c>
      <c r="AT82" s="124" cm="1">
        <f t="array" ref="AT82">+_xll.EQNXTDZ($A$1,$B82,AT$1,$B$1)</f>
        <v>0</v>
      </c>
      <c r="AU82" s="124" cm="1">
        <f t="array" ref="AU82">+_xll.EQNXTDZ($A$1,$B82,AU$1,$B$1)</f>
        <v>0</v>
      </c>
      <c r="AV82" s="124" cm="1">
        <f t="array" ref="AV82">+_xll.EQNXTDZ($A$1,$B82,AV$1,$B$1)</f>
        <v>0</v>
      </c>
      <c r="AW82" s="124" cm="1">
        <f t="array" ref="AW82">+_xll.EQNXTDZ($A$1,$B82,AW$1,$B$1)</f>
        <v>0</v>
      </c>
      <c r="AX82" s="124" cm="1">
        <f t="array" ref="AX82">+_xll.EQNXTDZ($A$1,$B82,AX$1,$B$1)</f>
        <v>0</v>
      </c>
      <c r="AY82" s="124" cm="1">
        <f t="array" ref="AY82">+_xll.EQNXTDZ($A$1,$B82,AY$1,$B$1)</f>
        <v>0</v>
      </c>
      <c r="AZ82" s="124" cm="1">
        <f t="array" ref="AZ82">+_xll.EQNXTDZ($A$1,$B82,AZ$1,$B$1)</f>
        <v>0</v>
      </c>
      <c r="BA82" s="124" cm="1">
        <f t="array" ref="BA82">+_xll.EQNXTDZ($A$1,$B82,BA$1,$B$1)</f>
        <v>0</v>
      </c>
      <c r="BB82" s="124" cm="1">
        <f t="array" ref="BB82">+_xll.EQNXTDZ($A$1,$B82,BB$1,$B$1)</f>
        <v>0</v>
      </c>
      <c r="BC82" s="124" cm="1">
        <f t="array" ref="BC82">+_xll.EQNXTDZ($A$1,$B82,BC$1,$B$1)</f>
        <v>0</v>
      </c>
      <c r="BD82" s="124" cm="1">
        <f t="array" ref="BD82">+_xll.EQNXTDZ($A$1,$B82,BD$1,$B$1)</f>
        <v>0</v>
      </c>
      <c r="BE82" s="124" cm="1">
        <f t="array" ref="BE82">+_xll.EQNXTDZ($A$1,$B82,BE$1,$B$1)</f>
        <v>0</v>
      </c>
      <c r="BF82" s="124" cm="1">
        <f t="array" ref="BF82">+_xll.EQNXTDZ($A$1,$B82,BF$1,$B$1)</f>
        <v>0</v>
      </c>
      <c r="BG82" s="124" cm="1">
        <f t="array" ref="BG82">+_xll.EQNXTDZ($A$1,$B82,BG$1,$B$1)</f>
        <v>0</v>
      </c>
      <c r="BH82" s="124" cm="1">
        <f t="array" ref="BH82">+_xll.EQNXTDZ($A$1,$B82,BH$1,$B$1)</f>
        <v>0</v>
      </c>
      <c r="BI82" s="124" cm="1">
        <f t="array" ref="BI82">+_xll.EQNXTDZ($A$1,$B82,BI$1,$B$1)</f>
        <v>0</v>
      </c>
      <c r="BJ82" s="124" cm="1">
        <f t="array" ref="BJ82">+_xll.EQNXTDZ($A$1,$B82,BJ$1,$B$1)</f>
        <v>0</v>
      </c>
      <c r="BK82" s="124" cm="1">
        <f t="array" ref="BK82">+_xll.EQNXTDZ($A$1,$B82,BK$1,$B$1)</f>
        <v>0</v>
      </c>
    </row>
    <row r="83" spans="1:63" x14ac:dyDescent="0.25">
      <c r="A83" t="s">
        <v>221</v>
      </c>
      <c r="B83" t="s">
        <v>343</v>
      </c>
      <c r="C83" s="124" cm="1">
        <f t="array" ref="C83">+_xll.EQNXTDZ($A$1,$B83,C$1,$B$1)</f>
        <v>0</v>
      </c>
      <c r="D83" s="124" cm="1">
        <f t="array" ref="D83">+_xll.EQNXTDZ($A$1,$B83,D$1,$B$1)</f>
        <v>0</v>
      </c>
      <c r="E83" s="124" cm="1">
        <f t="array" ref="E83">+_xll.EQNXTDZ($A$1,$B83,E$1,$B$1)</f>
        <v>0</v>
      </c>
      <c r="F83" s="124" cm="1">
        <f t="array" ref="F83">+_xll.EQNXTDZ($A$1,$B83,F$1,$B$1)</f>
        <v>0</v>
      </c>
      <c r="G83" s="124" cm="1">
        <f t="array" ref="G83">+_xll.EQNXTDZ($A$1,$B83,G$1,$B$1)</f>
        <v>0</v>
      </c>
      <c r="H83" s="124" cm="1">
        <f t="array" ref="H83">+_xll.EQNXTDZ($A$1,$B83,H$1,$B$1)</f>
        <v>0</v>
      </c>
      <c r="I83" s="124" cm="1">
        <f t="array" ref="I83">+_xll.EQNXTDZ($A$1,$B83,I$1,$B$1)</f>
        <v>0</v>
      </c>
      <c r="J83" s="124" cm="1">
        <f t="array" ref="J83">+_xll.EQNXTDZ($A$1,$B83,J$1,$B$1)</f>
        <v>0</v>
      </c>
      <c r="K83" s="124" cm="1">
        <f t="array" ref="K83">+_xll.EQNXTDZ($A$1,$B83,K$1,$B$1)</f>
        <v>0</v>
      </c>
      <c r="L83" s="124" cm="1">
        <f t="array" ref="L83">+_xll.EQNXTDZ($A$1,$B83,L$1,$B$1)</f>
        <v>0</v>
      </c>
      <c r="M83" s="124" cm="1">
        <f t="array" ref="M83">+_xll.EQNXTDZ($A$1,$B83,M$1,$B$1)</f>
        <v>0</v>
      </c>
      <c r="N83" s="124" cm="1">
        <f t="array" ref="N83">+_xll.EQNXTDZ($A$1,$B83,N$1,$B$1)</f>
        <v>0</v>
      </c>
      <c r="O83" s="124" cm="1">
        <f t="array" ref="O83">+_xll.EQNXTDZ($A$1,$B83,O$1,$B$1)</f>
        <v>0</v>
      </c>
      <c r="P83" s="124" cm="1">
        <f t="array" ref="P83">+_xll.EQNXTDZ($A$1,$B83,P$1,$B$1)</f>
        <v>0</v>
      </c>
      <c r="Q83" s="124" cm="1">
        <f t="array" ref="Q83">+_xll.EQNXTDZ($A$1,$B83,Q$1,$B$1)</f>
        <v>0</v>
      </c>
      <c r="R83" s="124" cm="1">
        <f t="array" ref="R83">+_xll.EQNXTDZ($A$1,$B83,R$1,$B$1)</f>
        <v>0</v>
      </c>
      <c r="S83" s="124" cm="1">
        <f t="array" ref="S83">+_xll.EQNXTDZ($A$1,$B83,S$1,$B$1)</f>
        <v>0</v>
      </c>
      <c r="T83" s="124" cm="1">
        <f t="array" ref="T83">+_xll.EQNXTDZ($A$1,$B83,T$1,$B$1)</f>
        <v>0</v>
      </c>
      <c r="U83" s="124" cm="1">
        <f t="array" ref="U83">+_xll.EQNXTDZ($A$1,$B83,U$1,$B$1)</f>
        <v>0</v>
      </c>
      <c r="V83" s="124" cm="1">
        <f t="array" ref="V83">+_xll.EQNXTDZ($A$1,$B83,V$1,$B$1)</f>
        <v>0</v>
      </c>
      <c r="W83" s="124" cm="1">
        <f t="array" ref="W83">+_xll.EQNXTDZ($A$1,$B83,W$1,$B$1)</f>
        <v>0</v>
      </c>
      <c r="X83" s="124" cm="1">
        <f t="array" ref="X83">+_xll.EQNXTDZ($A$1,$B83,X$1,$B$1)</f>
        <v>0</v>
      </c>
      <c r="Y83" s="124" cm="1">
        <f t="array" ref="Y83">+_xll.EQNXTDZ($A$1,$B83,Y$1,$B$1)</f>
        <v>0</v>
      </c>
      <c r="Z83" s="124" cm="1">
        <f t="array" ref="Z83">+_xll.EQNXTDZ($A$1,$B83,Z$1,$B$1)</f>
        <v>0</v>
      </c>
      <c r="AA83" s="124" cm="1">
        <f t="array" ref="AA83">+_xll.EQNXTDZ($A$1,$B83,AA$1,$B$1)</f>
        <v>0</v>
      </c>
      <c r="AB83" s="124" cm="1">
        <f t="array" ref="AB83">+_xll.EQNXTDZ($A$1,$B83,AB$1,$B$1)</f>
        <v>0</v>
      </c>
      <c r="AC83" s="124" cm="1">
        <f t="array" ref="AC83">+_xll.EQNXTDZ($A$1,$B83,AC$1,$B$1)</f>
        <v>0</v>
      </c>
      <c r="AD83" s="124" cm="1">
        <f t="array" ref="AD83">+_xll.EQNXTDZ($A$1,$B83,AD$1,$B$1)</f>
        <v>0</v>
      </c>
      <c r="AE83" s="124" cm="1">
        <f t="array" ref="AE83">+_xll.EQNXTDZ($A$1,$B83,AE$1,$B$1)</f>
        <v>0</v>
      </c>
      <c r="AF83" s="124" cm="1">
        <f t="array" ref="AF83">+_xll.EQNXTDZ($A$1,$B83,AF$1,$B$1)</f>
        <v>0</v>
      </c>
      <c r="AG83" s="124" cm="1">
        <f t="array" ref="AG83">+_xll.EQNXTDZ($A$1,$B83,AG$1,$B$1)</f>
        <v>0</v>
      </c>
      <c r="AH83" s="124" cm="1">
        <f t="array" ref="AH83">+_xll.EQNXTDZ($A$1,$B83,AH$1,$B$1)</f>
        <v>0</v>
      </c>
      <c r="AI83" s="124" cm="1">
        <f t="array" ref="AI83">+_xll.EQNXTDZ($A$1,$B83,AI$1,$B$1)</f>
        <v>0</v>
      </c>
      <c r="AJ83" s="124" cm="1">
        <f t="array" ref="AJ83">+_xll.EQNXTDZ($A$1,$B83,AJ$1,$B$1)</f>
        <v>0</v>
      </c>
      <c r="AK83" s="124" cm="1">
        <f t="array" ref="AK83">+_xll.EQNXTDZ($A$1,$B83,AK$1,$B$1)</f>
        <v>0</v>
      </c>
      <c r="AL83" s="124" cm="1">
        <f t="array" ref="AL83">+_xll.EQNXTDZ($A$1,$B83,AL$1,$B$1)</f>
        <v>0</v>
      </c>
      <c r="AM83" s="124" cm="1">
        <f t="array" ref="AM83">+_xll.EQNXTDZ($A$1,$B83,AM$1,$B$1)</f>
        <v>0</v>
      </c>
      <c r="AN83" s="124" cm="1">
        <f t="array" ref="AN83">+_xll.EQNXTDZ($A$1,$B83,AN$1,$B$1)</f>
        <v>0</v>
      </c>
      <c r="AO83" s="124" cm="1">
        <f t="array" ref="AO83">+_xll.EQNXTDZ($A$1,$B83,AO$1,$B$1)</f>
        <v>0</v>
      </c>
      <c r="AP83" s="124" cm="1">
        <f t="array" ref="AP83">+_xll.EQNXTDZ($A$1,$B83,AP$1,$B$1)</f>
        <v>0</v>
      </c>
      <c r="AQ83" s="124" cm="1">
        <f t="array" ref="AQ83">+_xll.EQNXTDZ($A$1,$B83,AQ$1,$B$1)</f>
        <v>0</v>
      </c>
      <c r="AR83" s="124" cm="1">
        <f t="array" ref="AR83">+_xll.EQNXTDZ($A$1,$B83,AR$1,$B$1)</f>
        <v>0</v>
      </c>
      <c r="AS83" s="124" cm="1">
        <f t="array" ref="AS83">+_xll.EQNXTDZ($A$1,$B83,AS$1,$B$1)</f>
        <v>0</v>
      </c>
      <c r="AT83" s="124" cm="1">
        <f t="array" ref="AT83">+_xll.EQNXTDZ($A$1,$B83,AT$1,$B$1)</f>
        <v>0</v>
      </c>
      <c r="AU83" s="124" cm="1">
        <f t="array" ref="AU83">+_xll.EQNXTDZ($A$1,$B83,AU$1,$B$1)</f>
        <v>0</v>
      </c>
      <c r="AV83" s="124" cm="1">
        <f t="array" ref="AV83">+_xll.EQNXTDZ($A$1,$B83,AV$1,$B$1)</f>
        <v>0</v>
      </c>
      <c r="AW83" s="124" cm="1">
        <f t="array" ref="AW83">+_xll.EQNXTDZ($A$1,$B83,AW$1,$B$1)</f>
        <v>0</v>
      </c>
      <c r="AX83" s="124" cm="1">
        <f t="array" ref="AX83">+_xll.EQNXTDZ($A$1,$B83,AX$1,$B$1)</f>
        <v>0</v>
      </c>
      <c r="AY83" s="124" cm="1">
        <f t="array" ref="AY83">+_xll.EQNXTDZ($A$1,$B83,AY$1,$B$1)</f>
        <v>0</v>
      </c>
      <c r="AZ83" s="124" cm="1">
        <f t="array" ref="AZ83">+_xll.EQNXTDZ($A$1,$B83,AZ$1,$B$1)</f>
        <v>0</v>
      </c>
      <c r="BA83" s="124" cm="1">
        <f t="array" ref="BA83">+_xll.EQNXTDZ($A$1,$B83,BA$1,$B$1)</f>
        <v>0</v>
      </c>
      <c r="BB83" s="124" cm="1">
        <f t="array" ref="BB83">+_xll.EQNXTDZ($A$1,$B83,BB$1,$B$1)</f>
        <v>0</v>
      </c>
      <c r="BC83" s="124" cm="1">
        <f t="array" ref="BC83">+_xll.EQNXTDZ($A$1,$B83,BC$1,$B$1)</f>
        <v>0</v>
      </c>
      <c r="BD83" s="124" cm="1">
        <f t="array" ref="BD83">+_xll.EQNXTDZ($A$1,$B83,BD$1,$B$1)</f>
        <v>0</v>
      </c>
      <c r="BE83" s="124" cm="1">
        <f t="array" ref="BE83">+_xll.EQNXTDZ($A$1,$B83,BE$1,$B$1)</f>
        <v>0</v>
      </c>
      <c r="BF83" s="124" cm="1">
        <f t="array" ref="BF83">+_xll.EQNXTDZ($A$1,$B83,BF$1,$B$1)</f>
        <v>0</v>
      </c>
      <c r="BG83" s="124" cm="1">
        <f t="array" ref="BG83">+_xll.EQNXTDZ($A$1,$B83,BG$1,$B$1)</f>
        <v>0</v>
      </c>
      <c r="BH83" s="124" cm="1">
        <f t="array" ref="BH83">+_xll.EQNXTDZ($A$1,$B83,BH$1,$B$1)</f>
        <v>0</v>
      </c>
      <c r="BI83" s="124" cm="1">
        <f t="array" ref="BI83">+_xll.EQNXTDZ($A$1,$B83,BI$1,$B$1)</f>
        <v>0</v>
      </c>
      <c r="BJ83" s="124" cm="1">
        <f t="array" ref="BJ83">+_xll.EQNXTDZ($A$1,$B83,BJ$1,$B$1)</f>
        <v>0</v>
      </c>
      <c r="BK83" s="124" cm="1">
        <f t="array" ref="BK83">+_xll.EQNXTDZ($A$1,$B83,BK$1,$B$1)</f>
        <v>0</v>
      </c>
    </row>
    <row r="84" spans="1:63" x14ac:dyDescent="0.25">
      <c r="A84" t="s">
        <v>222</v>
      </c>
      <c r="B84" t="s">
        <v>344</v>
      </c>
      <c r="C84" s="124" cm="1">
        <f t="array" ref="C84">+_xll.EQNXTDZ($A$1,$B84,C$1,$B$1)</f>
        <v>0</v>
      </c>
      <c r="D84" s="124" cm="1">
        <f t="array" ref="D84">+_xll.EQNXTDZ($A$1,$B84,D$1,$B$1)</f>
        <v>0</v>
      </c>
      <c r="E84" s="124" cm="1">
        <f t="array" ref="E84">+_xll.EQNXTDZ($A$1,$B84,E$1,$B$1)</f>
        <v>0</v>
      </c>
      <c r="F84" s="124" cm="1">
        <f t="array" ref="F84">+_xll.EQNXTDZ($A$1,$B84,F$1,$B$1)</f>
        <v>0</v>
      </c>
      <c r="G84" s="124" cm="1">
        <f t="array" ref="G84">+_xll.EQNXTDZ($A$1,$B84,G$1,$B$1)</f>
        <v>0</v>
      </c>
      <c r="H84" s="124" cm="1">
        <f t="array" ref="H84">+_xll.EQNXTDZ($A$1,$B84,H$1,$B$1)</f>
        <v>0</v>
      </c>
      <c r="I84" s="124" cm="1">
        <f t="array" ref="I84">+_xll.EQNXTDZ($A$1,$B84,I$1,$B$1)</f>
        <v>0</v>
      </c>
      <c r="J84" s="124" cm="1">
        <f t="array" ref="J84">+_xll.EQNXTDZ($A$1,$B84,J$1,$B$1)</f>
        <v>0</v>
      </c>
      <c r="K84" s="124" cm="1">
        <f t="array" ref="K84">+_xll.EQNXTDZ($A$1,$B84,K$1,$B$1)</f>
        <v>0</v>
      </c>
      <c r="L84" s="124" cm="1">
        <f t="array" ref="L84">+_xll.EQNXTDZ($A$1,$B84,L$1,$B$1)</f>
        <v>0</v>
      </c>
      <c r="M84" s="124" cm="1">
        <f t="array" ref="M84">+_xll.EQNXTDZ($A$1,$B84,M$1,$B$1)</f>
        <v>0</v>
      </c>
      <c r="N84" s="124" cm="1">
        <f t="array" ref="N84">+_xll.EQNXTDZ($A$1,$B84,N$1,$B$1)</f>
        <v>0</v>
      </c>
      <c r="O84" s="124" cm="1">
        <f t="array" ref="O84">+_xll.EQNXTDZ($A$1,$B84,O$1,$B$1)</f>
        <v>0</v>
      </c>
      <c r="P84" s="124" cm="1">
        <f t="array" ref="P84">+_xll.EQNXTDZ($A$1,$B84,P$1,$B$1)</f>
        <v>0</v>
      </c>
      <c r="Q84" s="124" cm="1">
        <f t="array" ref="Q84">+_xll.EQNXTDZ($A$1,$B84,Q$1,$B$1)</f>
        <v>0</v>
      </c>
      <c r="R84" s="124" cm="1">
        <f t="array" ref="R84">+_xll.EQNXTDZ($A$1,$B84,R$1,$B$1)</f>
        <v>0</v>
      </c>
      <c r="S84" s="124" cm="1">
        <f t="array" ref="S84">+_xll.EQNXTDZ($A$1,$B84,S$1,$B$1)</f>
        <v>0</v>
      </c>
      <c r="T84" s="124" cm="1">
        <f t="array" ref="T84">+_xll.EQNXTDZ($A$1,$B84,T$1,$B$1)</f>
        <v>0</v>
      </c>
      <c r="U84" s="124" cm="1">
        <f t="array" ref="U84">+_xll.EQNXTDZ($A$1,$B84,U$1,$B$1)</f>
        <v>0</v>
      </c>
      <c r="V84" s="124" cm="1">
        <f t="array" ref="V84">+_xll.EQNXTDZ($A$1,$B84,V$1,$B$1)</f>
        <v>0</v>
      </c>
      <c r="W84" s="124" cm="1">
        <f t="array" ref="W84">+_xll.EQNXTDZ($A$1,$B84,W$1,$B$1)</f>
        <v>0</v>
      </c>
      <c r="X84" s="124" cm="1">
        <f t="array" ref="X84">+_xll.EQNXTDZ($A$1,$B84,X$1,$B$1)</f>
        <v>0</v>
      </c>
      <c r="Y84" s="124" cm="1">
        <f t="array" ref="Y84">+_xll.EQNXTDZ($A$1,$B84,Y$1,$B$1)</f>
        <v>0</v>
      </c>
      <c r="Z84" s="124" cm="1">
        <f t="array" ref="Z84">+_xll.EQNXTDZ($A$1,$B84,Z$1,$B$1)</f>
        <v>0</v>
      </c>
      <c r="AA84" s="124" cm="1">
        <f t="array" ref="AA84">+_xll.EQNXTDZ($A$1,$B84,AA$1,$B$1)</f>
        <v>0</v>
      </c>
      <c r="AB84" s="124" cm="1">
        <f t="array" ref="AB84">+_xll.EQNXTDZ($A$1,$B84,AB$1,$B$1)</f>
        <v>0</v>
      </c>
      <c r="AC84" s="124" cm="1">
        <f t="array" ref="AC84">+_xll.EQNXTDZ($A$1,$B84,AC$1,$B$1)</f>
        <v>0</v>
      </c>
      <c r="AD84" s="124" cm="1">
        <f t="array" ref="AD84">+_xll.EQNXTDZ($A$1,$B84,AD$1,$B$1)</f>
        <v>0</v>
      </c>
      <c r="AE84" s="124" cm="1">
        <f t="array" ref="AE84">+_xll.EQNXTDZ($A$1,$B84,AE$1,$B$1)</f>
        <v>0</v>
      </c>
      <c r="AF84" s="124" cm="1">
        <f t="array" ref="AF84">+_xll.EQNXTDZ($A$1,$B84,AF$1,$B$1)</f>
        <v>0</v>
      </c>
      <c r="AG84" s="124" cm="1">
        <f t="array" ref="AG84">+_xll.EQNXTDZ($A$1,$B84,AG$1,$B$1)</f>
        <v>0</v>
      </c>
      <c r="AH84" s="124" cm="1">
        <f t="array" ref="AH84">+_xll.EQNXTDZ($A$1,$B84,AH$1,$B$1)</f>
        <v>0</v>
      </c>
      <c r="AI84" s="124" cm="1">
        <f t="array" ref="AI84">+_xll.EQNXTDZ($A$1,$B84,AI$1,$B$1)</f>
        <v>0</v>
      </c>
      <c r="AJ84" s="124" cm="1">
        <f t="array" ref="AJ84">+_xll.EQNXTDZ($A$1,$B84,AJ$1,$B$1)</f>
        <v>0</v>
      </c>
      <c r="AK84" s="124" cm="1">
        <f t="array" ref="AK84">+_xll.EQNXTDZ($A$1,$B84,AK$1,$B$1)</f>
        <v>0</v>
      </c>
      <c r="AL84" s="124" cm="1">
        <f t="array" ref="AL84">+_xll.EQNXTDZ($A$1,$B84,AL$1,$B$1)</f>
        <v>0</v>
      </c>
      <c r="AM84" s="124" cm="1">
        <f t="array" ref="AM84">+_xll.EQNXTDZ($A$1,$B84,AM$1,$B$1)</f>
        <v>0</v>
      </c>
      <c r="AN84" s="124" cm="1">
        <f t="array" ref="AN84">+_xll.EQNXTDZ($A$1,$B84,AN$1,$B$1)</f>
        <v>0</v>
      </c>
      <c r="AO84" s="124" cm="1">
        <f t="array" ref="AO84">+_xll.EQNXTDZ($A$1,$B84,AO$1,$B$1)</f>
        <v>0</v>
      </c>
      <c r="AP84" s="124" cm="1">
        <f t="array" ref="AP84">+_xll.EQNXTDZ($A$1,$B84,AP$1,$B$1)</f>
        <v>0</v>
      </c>
      <c r="AQ84" s="124" cm="1">
        <f t="array" ref="AQ84">+_xll.EQNXTDZ($A$1,$B84,AQ$1,$B$1)</f>
        <v>0</v>
      </c>
      <c r="AR84" s="124" cm="1">
        <f t="array" ref="AR84">+_xll.EQNXTDZ($A$1,$B84,AR$1,$B$1)</f>
        <v>0</v>
      </c>
      <c r="AS84" s="124" cm="1">
        <f t="array" ref="AS84">+_xll.EQNXTDZ($A$1,$B84,AS$1,$B$1)</f>
        <v>0</v>
      </c>
      <c r="AT84" s="124" cm="1">
        <f t="array" ref="AT84">+_xll.EQNXTDZ($A$1,$B84,AT$1,$B$1)</f>
        <v>0</v>
      </c>
      <c r="AU84" s="124" cm="1">
        <f t="array" ref="AU84">+_xll.EQNXTDZ($A$1,$B84,AU$1,$B$1)</f>
        <v>0</v>
      </c>
      <c r="AV84" s="124" cm="1">
        <f t="array" ref="AV84">+_xll.EQNXTDZ($A$1,$B84,AV$1,$B$1)</f>
        <v>0</v>
      </c>
      <c r="AW84" s="124" cm="1">
        <f t="array" ref="AW84">+_xll.EQNXTDZ($A$1,$B84,AW$1,$B$1)</f>
        <v>0</v>
      </c>
      <c r="AX84" s="124" cm="1">
        <f t="array" ref="AX84">+_xll.EQNXTDZ($A$1,$B84,AX$1,$B$1)</f>
        <v>0</v>
      </c>
      <c r="AY84" s="124" cm="1">
        <f t="array" ref="AY84">+_xll.EQNXTDZ($A$1,$B84,AY$1,$B$1)</f>
        <v>0</v>
      </c>
      <c r="AZ84" s="124" cm="1">
        <f t="array" ref="AZ84">+_xll.EQNXTDZ($A$1,$B84,AZ$1,$B$1)</f>
        <v>0</v>
      </c>
      <c r="BA84" s="124" cm="1">
        <f t="array" ref="BA84">+_xll.EQNXTDZ($A$1,$B84,BA$1,$B$1)</f>
        <v>0</v>
      </c>
      <c r="BB84" s="124" cm="1">
        <f t="array" ref="BB84">+_xll.EQNXTDZ($A$1,$B84,BB$1,$B$1)</f>
        <v>0</v>
      </c>
      <c r="BC84" s="124" cm="1">
        <f t="array" ref="BC84">+_xll.EQNXTDZ($A$1,$B84,BC$1,$B$1)</f>
        <v>0</v>
      </c>
      <c r="BD84" s="124" cm="1">
        <f t="array" ref="BD84">+_xll.EQNXTDZ($A$1,$B84,BD$1,$B$1)</f>
        <v>0</v>
      </c>
      <c r="BE84" s="124" cm="1">
        <f t="array" ref="BE84">+_xll.EQNXTDZ($A$1,$B84,BE$1,$B$1)</f>
        <v>0</v>
      </c>
      <c r="BF84" s="124" cm="1">
        <f t="array" ref="BF84">+_xll.EQNXTDZ($A$1,$B84,BF$1,$B$1)</f>
        <v>0</v>
      </c>
      <c r="BG84" s="124" cm="1">
        <f t="array" ref="BG84">+_xll.EQNXTDZ($A$1,$B84,BG$1,$B$1)</f>
        <v>0</v>
      </c>
      <c r="BH84" s="124" cm="1">
        <f t="array" ref="BH84">+_xll.EQNXTDZ($A$1,$B84,BH$1,$B$1)</f>
        <v>0</v>
      </c>
      <c r="BI84" s="124" cm="1">
        <f t="array" ref="BI84">+_xll.EQNXTDZ($A$1,$B84,BI$1,$B$1)</f>
        <v>0</v>
      </c>
      <c r="BJ84" s="124" cm="1">
        <f t="array" ref="BJ84">+_xll.EQNXTDZ($A$1,$B84,BJ$1,$B$1)</f>
        <v>0</v>
      </c>
      <c r="BK84" s="124" cm="1">
        <f t="array" ref="BK84">+_xll.EQNXTDZ($A$1,$B84,BK$1,$B$1)</f>
        <v>0</v>
      </c>
    </row>
    <row r="85" spans="1:63" x14ac:dyDescent="0.25">
      <c r="A85" t="s">
        <v>223</v>
      </c>
      <c r="B85" t="s">
        <v>345</v>
      </c>
      <c r="C85" s="124" cm="1">
        <f t="array" ref="C85">+_xll.EQNXTDZ($A$1,$B85,C$1,$B$1)</f>
        <v>0</v>
      </c>
      <c r="D85" s="124" cm="1">
        <f t="array" ref="D85">+_xll.EQNXTDZ($A$1,$B85,D$1,$B$1)</f>
        <v>0</v>
      </c>
      <c r="E85" s="124" cm="1">
        <f t="array" ref="E85">+_xll.EQNXTDZ($A$1,$B85,E$1,$B$1)</f>
        <v>0</v>
      </c>
      <c r="F85" s="124" cm="1">
        <f t="array" ref="F85">+_xll.EQNXTDZ($A$1,$B85,F$1,$B$1)</f>
        <v>0</v>
      </c>
      <c r="G85" s="124" cm="1">
        <f t="array" ref="G85">+_xll.EQNXTDZ($A$1,$B85,G$1,$B$1)</f>
        <v>0</v>
      </c>
      <c r="H85" s="124" cm="1">
        <f t="array" ref="H85">+_xll.EQNXTDZ($A$1,$B85,H$1,$B$1)</f>
        <v>0</v>
      </c>
      <c r="I85" s="124" cm="1">
        <f t="array" ref="I85">+_xll.EQNXTDZ($A$1,$B85,I$1,$B$1)</f>
        <v>0</v>
      </c>
      <c r="J85" s="124" cm="1">
        <f t="array" ref="J85">+_xll.EQNXTDZ($A$1,$B85,J$1,$B$1)</f>
        <v>0</v>
      </c>
      <c r="K85" s="124" cm="1">
        <f t="array" ref="K85">+_xll.EQNXTDZ($A$1,$B85,K$1,$B$1)</f>
        <v>0</v>
      </c>
      <c r="L85" s="124" cm="1">
        <f t="array" ref="L85">+_xll.EQNXTDZ($A$1,$B85,L$1,$B$1)</f>
        <v>0</v>
      </c>
      <c r="M85" s="124" cm="1">
        <f t="array" ref="M85">+_xll.EQNXTDZ($A$1,$B85,M$1,$B$1)</f>
        <v>0</v>
      </c>
      <c r="N85" s="124" cm="1">
        <f t="array" ref="N85">+_xll.EQNXTDZ($A$1,$B85,N$1,$B$1)</f>
        <v>0</v>
      </c>
      <c r="O85" s="124" cm="1">
        <f t="array" ref="O85">+_xll.EQNXTDZ($A$1,$B85,O$1,$B$1)</f>
        <v>0</v>
      </c>
      <c r="P85" s="124" cm="1">
        <f t="array" ref="P85">+_xll.EQNXTDZ($A$1,$B85,P$1,$B$1)</f>
        <v>0</v>
      </c>
      <c r="Q85" s="124" cm="1">
        <f t="array" ref="Q85">+_xll.EQNXTDZ($A$1,$B85,Q$1,$B$1)</f>
        <v>0</v>
      </c>
      <c r="R85" s="124" cm="1">
        <f t="array" ref="R85">+_xll.EQNXTDZ($A$1,$B85,R$1,$B$1)</f>
        <v>0</v>
      </c>
      <c r="S85" s="124" cm="1">
        <f t="array" ref="S85">+_xll.EQNXTDZ($A$1,$B85,S$1,$B$1)</f>
        <v>0</v>
      </c>
      <c r="T85" s="124" cm="1">
        <f t="array" ref="T85">+_xll.EQNXTDZ($A$1,$B85,T$1,$B$1)</f>
        <v>0</v>
      </c>
      <c r="U85" s="124" cm="1">
        <f t="array" ref="U85">+_xll.EQNXTDZ($A$1,$B85,U$1,$B$1)</f>
        <v>0</v>
      </c>
      <c r="V85" s="124" cm="1">
        <f t="array" ref="V85">+_xll.EQNXTDZ($A$1,$B85,V$1,$B$1)</f>
        <v>0</v>
      </c>
      <c r="W85" s="124" cm="1">
        <f t="array" ref="W85">+_xll.EQNXTDZ($A$1,$B85,W$1,$B$1)</f>
        <v>0</v>
      </c>
      <c r="X85" s="124" cm="1">
        <f t="array" ref="X85">+_xll.EQNXTDZ($A$1,$B85,X$1,$B$1)</f>
        <v>0</v>
      </c>
      <c r="Y85" s="124" cm="1">
        <f t="array" ref="Y85">+_xll.EQNXTDZ($A$1,$B85,Y$1,$B$1)</f>
        <v>0</v>
      </c>
      <c r="Z85" s="124" cm="1">
        <f t="array" ref="Z85">+_xll.EQNXTDZ($A$1,$B85,Z$1,$B$1)</f>
        <v>0</v>
      </c>
      <c r="AA85" s="124" cm="1">
        <f t="array" ref="AA85">+_xll.EQNXTDZ($A$1,$B85,AA$1,$B$1)</f>
        <v>0</v>
      </c>
      <c r="AB85" s="124" cm="1">
        <f t="array" ref="AB85">+_xll.EQNXTDZ($A$1,$B85,AB$1,$B$1)</f>
        <v>0</v>
      </c>
      <c r="AC85" s="124" cm="1">
        <f t="array" ref="AC85">+_xll.EQNXTDZ($A$1,$B85,AC$1,$B$1)</f>
        <v>0</v>
      </c>
      <c r="AD85" s="124" cm="1">
        <f t="array" ref="AD85">+_xll.EQNXTDZ($A$1,$B85,AD$1,$B$1)</f>
        <v>0</v>
      </c>
      <c r="AE85" s="124" cm="1">
        <f t="array" ref="AE85">+_xll.EQNXTDZ($A$1,$B85,AE$1,$B$1)</f>
        <v>0</v>
      </c>
      <c r="AF85" s="124" cm="1">
        <f t="array" ref="AF85">+_xll.EQNXTDZ($A$1,$B85,AF$1,$B$1)</f>
        <v>0</v>
      </c>
      <c r="AG85" s="124" cm="1">
        <f t="array" ref="AG85">+_xll.EQNXTDZ($A$1,$B85,AG$1,$B$1)</f>
        <v>0</v>
      </c>
      <c r="AH85" s="124" cm="1">
        <f t="array" ref="AH85">+_xll.EQNXTDZ($A$1,$B85,AH$1,$B$1)</f>
        <v>0</v>
      </c>
      <c r="AI85" s="124" cm="1">
        <f t="array" ref="AI85">+_xll.EQNXTDZ($A$1,$B85,AI$1,$B$1)</f>
        <v>0</v>
      </c>
      <c r="AJ85" s="124" cm="1">
        <f t="array" ref="AJ85">+_xll.EQNXTDZ($A$1,$B85,AJ$1,$B$1)</f>
        <v>0</v>
      </c>
      <c r="AK85" s="124" cm="1">
        <f t="array" ref="AK85">+_xll.EQNXTDZ($A$1,$B85,AK$1,$B$1)</f>
        <v>0</v>
      </c>
      <c r="AL85" s="124" cm="1">
        <f t="array" ref="AL85">+_xll.EQNXTDZ($A$1,$B85,AL$1,$B$1)</f>
        <v>0</v>
      </c>
      <c r="AM85" s="124" cm="1">
        <f t="array" ref="AM85">+_xll.EQNXTDZ($A$1,$B85,AM$1,$B$1)</f>
        <v>0</v>
      </c>
      <c r="AN85" s="124" cm="1">
        <f t="array" ref="AN85">+_xll.EQNXTDZ($A$1,$B85,AN$1,$B$1)</f>
        <v>0</v>
      </c>
      <c r="AO85" s="124" cm="1">
        <f t="array" ref="AO85">+_xll.EQNXTDZ($A$1,$B85,AO$1,$B$1)</f>
        <v>0</v>
      </c>
      <c r="AP85" s="124" cm="1">
        <f t="array" ref="AP85">+_xll.EQNXTDZ($A$1,$B85,AP$1,$B$1)</f>
        <v>0</v>
      </c>
      <c r="AQ85" s="124" cm="1">
        <f t="array" ref="AQ85">+_xll.EQNXTDZ($A$1,$B85,AQ$1,$B$1)</f>
        <v>0</v>
      </c>
      <c r="AR85" s="124" cm="1">
        <f t="array" ref="AR85">+_xll.EQNXTDZ($A$1,$B85,AR$1,$B$1)</f>
        <v>0</v>
      </c>
      <c r="AS85" s="124" cm="1">
        <f t="array" ref="AS85">+_xll.EQNXTDZ($A$1,$B85,AS$1,$B$1)</f>
        <v>0</v>
      </c>
      <c r="AT85" s="124" cm="1">
        <f t="array" ref="AT85">+_xll.EQNXTDZ($A$1,$B85,AT$1,$B$1)</f>
        <v>0</v>
      </c>
      <c r="AU85" s="124" cm="1">
        <f t="array" ref="AU85">+_xll.EQNXTDZ($A$1,$B85,AU$1,$B$1)</f>
        <v>0</v>
      </c>
      <c r="AV85" s="124" cm="1">
        <f t="array" ref="AV85">+_xll.EQNXTDZ($A$1,$B85,AV$1,$B$1)</f>
        <v>0</v>
      </c>
      <c r="AW85" s="124" cm="1">
        <f t="array" ref="AW85">+_xll.EQNXTDZ($A$1,$B85,AW$1,$B$1)</f>
        <v>0</v>
      </c>
      <c r="AX85" s="124" cm="1">
        <f t="array" ref="AX85">+_xll.EQNXTDZ($A$1,$B85,AX$1,$B$1)</f>
        <v>0</v>
      </c>
      <c r="AY85" s="124" cm="1">
        <f t="array" ref="AY85">+_xll.EQNXTDZ($A$1,$B85,AY$1,$B$1)</f>
        <v>0</v>
      </c>
      <c r="AZ85" s="124" cm="1">
        <f t="array" ref="AZ85">+_xll.EQNXTDZ($A$1,$B85,AZ$1,$B$1)</f>
        <v>0</v>
      </c>
      <c r="BA85" s="124" cm="1">
        <f t="array" ref="BA85">+_xll.EQNXTDZ($A$1,$B85,BA$1,$B$1)</f>
        <v>0</v>
      </c>
      <c r="BB85" s="124" cm="1">
        <f t="array" ref="BB85">+_xll.EQNXTDZ($A$1,$B85,BB$1,$B$1)</f>
        <v>0</v>
      </c>
      <c r="BC85" s="124" cm="1">
        <f t="array" ref="BC85">+_xll.EQNXTDZ($A$1,$B85,BC$1,$B$1)</f>
        <v>0</v>
      </c>
      <c r="BD85" s="124" cm="1">
        <f t="array" ref="BD85">+_xll.EQNXTDZ($A$1,$B85,BD$1,$B$1)</f>
        <v>0</v>
      </c>
      <c r="BE85" s="124" cm="1">
        <f t="array" ref="BE85">+_xll.EQNXTDZ($A$1,$B85,BE$1,$B$1)</f>
        <v>0</v>
      </c>
      <c r="BF85" s="124" cm="1">
        <f t="array" ref="BF85">+_xll.EQNXTDZ($A$1,$B85,BF$1,$B$1)</f>
        <v>0</v>
      </c>
      <c r="BG85" s="124" cm="1">
        <f t="array" ref="BG85">+_xll.EQNXTDZ($A$1,$B85,BG$1,$B$1)</f>
        <v>0</v>
      </c>
      <c r="BH85" s="124" cm="1">
        <f t="array" ref="BH85">+_xll.EQNXTDZ($A$1,$B85,BH$1,$B$1)</f>
        <v>0</v>
      </c>
      <c r="BI85" s="124" cm="1">
        <f t="array" ref="BI85">+_xll.EQNXTDZ($A$1,$B85,BI$1,$B$1)</f>
        <v>0</v>
      </c>
      <c r="BJ85" s="124" cm="1">
        <f t="array" ref="BJ85">+_xll.EQNXTDZ($A$1,$B85,BJ$1,$B$1)</f>
        <v>0</v>
      </c>
      <c r="BK85" s="124" cm="1">
        <f t="array" ref="BK85">+_xll.EQNXTDZ($A$1,$B85,BK$1,$B$1)</f>
        <v>0</v>
      </c>
    </row>
    <row r="86" spans="1:63" x14ac:dyDescent="0.25">
      <c r="A86" t="s">
        <v>224</v>
      </c>
      <c r="B86" t="s">
        <v>346</v>
      </c>
      <c r="C86" s="124" cm="1">
        <f t="array" ref="C86">+_xll.EQNXTDZ($A$1,$B86,C$1,$B$1)</f>
        <v>0</v>
      </c>
      <c r="D86" s="124" cm="1">
        <f t="array" ref="D86">+_xll.EQNXTDZ($A$1,$B86,D$1,$B$1)</f>
        <v>0</v>
      </c>
      <c r="E86" s="124" cm="1">
        <f t="array" ref="E86">+_xll.EQNXTDZ($A$1,$B86,E$1,$B$1)</f>
        <v>0</v>
      </c>
      <c r="F86" s="124" cm="1">
        <f t="array" ref="F86">+_xll.EQNXTDZ($A$1,$B86,F$1,$B$1)</f>
        <v>0</v>
      </c>
      <c r="G86" s="124" cm="1">
        <f t="array" ref="G86">+_xll.EQNXTDZ($A$1,$B86,G$1,$B$1)</f>
        <v>0</v>
      </c>
      <c r="H86" s="124" cm="1">
        <f t="array" ref="H86">+_xll.EQNXTDZ($A$1,$B86,H$1,$B$1)</f>
        <v>0</v>
      </c>
      <c r="I86" s="124" cm="1">
        <f t="array" ref="I86">+_xll.EQNXTDZ($A$1,$B86,I$1,$B$1)</f>
        <v>0</v>
      </c>
      <c r="J86" s="124" cm="1">
        <f t="array" ref="J86">+_xll.EQNXTDZ($A$1,$B86,J$1,$B$1)</f>
        <v>0</v>
      </c>
      <c r="K86" s="124" cm="1">
        <f t="array" ref="K86">+_xll.EQNXTDZ($A$1,$B86,K$1,$B$1)</f>
        <v>0</v>
      </c>
      <c r="L86" s="124" cm="1">
        <f t="array" ref="L86">+_xll.EQNXTDZ($A$1,$B86,L$1,$B$1)</f>
        <v>0</v>
      </c>
      <c r="M86" s="124" cm="1">
        <f t="array" ref="M86">+_xll.EQNXTDZ($A$1,$B86,M$1,$B$1)</f>
        <v>0</v>
      </c>
      <c r="N86" s="124" cm="1">
        <f t="array" ref="N86">+_xll.EQNXTDZ($A$1,$B86,N$1,$B$1)</f>
        <v>0</v>
      </c>
      <c r="O86" s="124" cm="1">
        <f t="array" ref="O86">+_xll.EQNXTDZ($A$1,$B86,O$1,$B$1)</f>
        <v>0</v>
      </c>
      <c r="P86" s="124" cm="1">
        <f t="array" ref="P86">+_xll.EQNXTDZ($A$1,$B86,P$1,$B$1)</f>
        <v>0</v>
      </c>
      <c r="Q86" s="124" cm="1">
        <f t="array" ref="Q86">+_xll.EQNXTDZ($A$1,$B86,Q$1,$B$1)</f>
        <v>0</v>
      </c>
      <c r="R86" s="124" cm="1">
        <f t="array" ref="R86">+_xll.EQNXTDZ($A$1,$B86,R$1,$B$1)</f>
        <v>0</v>
      </c>
      <c r="S86" s="124" cm="1">
        <f t="array" ref="S86">+_xll.EQNXTDZ($A$1,$B86,S$1,$B$1)</f>
        <v>0</v>
      </c>
      <c r="T86" s="124" cm="1">
        <f t="array" ref="T86">+_xll.EQNXTDZ($A$1,$B86,T$1,$B$1)</f>
        <v>0</v>
      </c>
      <c r="U86" s="124" cm="1">
        <f t="array" ref="U86">+_xll.EQNXTDZ($A$1,$B86,U$1,$B$1)</f>
        <v>0</v>
      </c>
      <c r="V86" s="124" cm="1">
        <f t="array" ref="V86">+_xll.EQNXTDZ($A$1,$B86,V$1,$B$1)</f>
        <v>0</v>
      </c>
      <c r="W86" s="124" cm="1">
        <f t="array" ref="W86">+_xll.EQNXTDZ($A$1,$B86,W$1,$B$1)</f>
        <v>0</v>
      </c>
      <c r="X86" s="124" cm="1">
        <f t="array" ref="X86">+_xll.EQNXTDZ($A$1,$B86,X$1,$B$1)</f>
        <v>0</v>
      </c>
      <c r="Y86" s="124" cm="1">
        <f t="array" ref="Y86">+_xll.EQNXTDZ($A$1,$B86,Y$1,$B$1)</f>
        <v>0</v>
      </c>
      <c r="Z86" s="124" cm="1">
        <f t="array" ref="Z86">+_xll.EQNXTDZ($A$1,$B86,Z$1,$B$1)</f>
        <v>0</v>
      </c>
      <c r="AA86" s="124" cm="1">
        <f t="array" ref="AA86">+_xll.EQNXTDZ($A$1,$B86,AA$1,$B$1)</f>
        <v>0</v>
      </c>
      <c r="AB86" s="124" cm="1">
        <f t="array" ref="AB86">+_xll.EQNXTDZ($A$1,$B86,AB$1,$B$1)</f>
        <v>0</v>
      </c>
      <c r="AC86" s="124" cm="1">
        <f t="array" ref="AC86">+_xll.EQNXTDZ($A$1,$B86,AC$1,$B$1)</f>
        <v>0</v>
      </c>
      <c r="AD86" s="124" cm="1">
        <f t="array" ref="AD86">+_xll.EQNXTDZ($A$1,$B86,AD$1,$B$1)</f>
        <v>0</v>
      </c>
      <c r="AE86" s="124" cm="1">
        <f t="array" ref="AE86">+_xll.EQNXTDZ($A$1,$B86,AE$1,$B$1)</f>
        <v>0</v>
      </c>
      <c r="AF86" s="124" cm="1">
        <f t="array" ref="AF86">+_xll.EQNXTDZ($A$1,$B86,AF$1,$B$1)</f>
        <v>0</v>
      </c>
      <c r="AG86" s="124" cm="1">
        <f t="array" ref="AG86">+_xll.EQNXTDZ($A$1,$B86,AG$1,$B$1)</f>
        <v>0</v>
      </c>
      <c r="AH86" s="124" cm="1">
        <f t="array" ref="AH86">+_xll.EQNXTDZ($A$1,$B86,AH$1,$B$1)</f>
        <v>0</v>
      </c>
      <c r="AI86" s="124" cm="1">
        <f t="array" ref="AI86">+_xll.EQNXTDZ($A$1,$B86,AI$1,$B$1)</f>
        <v>0</v>
      </c>
      <c r="AJ86" s="124" cm="1">
        <f t="array" ref="AJ86">+_xll.EQNXTDZ($A$1,$B86,AJ$1,$B$1)</f>
        <v>0</v>
      </c>
      <c r="AK86" s="124" cm="1">
        <f t="array" ref="AK86">+_xll.EQNXTDZ($A$1,$B86,AK$1,$B$1)</f>
        <v>0</v>
      </c>
      <c r="AL86" s="124" cm="1">
        <f t="array" ref="AL86">+_xll.EQNXTDZ($A$1,$B86,AL$1,$B$1)</f>
        <v>0</v>
      </c>
      <c r="AM86" s="124" cm="1">
        <f t="array" ref="AM86">+_xll.EQNXTDZ($A$1,$B86,AM$1,$B$1)</f>
        <v>0</v>
      </c>
      <c r="AN86" s="124" cm="1">
        <f t="array" ref="AN86">+_xll.EQNXTDZ($A$1,$B86,AN$1,$B$1)</f>
        <v>0</v>
      </c>
      <c r="AO86" s="124" cm="1">
        <f t="array" ref="AO86">+_xll.EQNXTDZ($A$1,$B86,AO$1,$B$1)</f>
        <v>0</v>
      </c>
      <c r="AP86" s="124" cm="1">
        <f t="array" ref="AP86">+_xll.EQNXTDZ($A$1,$B86,AP$1,$B$1)</f>
        <v>0</v>
      </c>
      <c r="AQ86" s="124" cm="1">
        <f t="array" ref="AQ86">+_xll.EQNXTDZ($A$1,$B86,AQ$1,$B$1)</f>
        <v>0</v>
      </c>
      <c r="AR86" s="124" cm="1">
        <f t="array" ref="AR86">+_xll.EQNXTDZ($A$1,$B86,AR$1,$B$1)</f>
        <v>0</v>
      </c>
      <c r="AS86" s="124" cm="1">
        <f t="array" ref="AS86">+_xll.EQNXTDZ($A$1,$B86,AS$1,$B$1)</f>
        <v>0</v>
      </c>
      <c r="AT86" s="124" cm="1">
        <f t="array" ref="AT86">+_xll.EQNXTDZ($A$1,$B86,AT$1,$B$1)</f>
        <v>0</v>
      </c>
      <c r="AU86" s="124" cm="1">
        <f t="array" ref="AU86">+_xll.EQNXTDZ($A$1,$B86,AU$1,$B$1)</f>
        <v>0</v>
      </c>
      <c r="AV86" s="124" cm="1">
        <f t="array" ref="AV86">+_xll.EQNXTDZ($A$1,$B86,AV$1,$B$1)</f>
        <v>0</v>
      </c>
      <c r="AW86" s="124" cm="1">
        <f t="array" ref="AW86">+_xll.EQNXTDZ($A$1,$B86,AW$1,$B$1)</f>
        <v>0</v>
      </c>
      <c r="AX86" s="124" cm="1">
        <f t="array" ref="AX86">+_xll.EQNXTDZ($A$1,$B86,AX$1,$B$1)</f>
        <v>0</v>
      </c>
      <c r="AY86" s="124" cm="1">
        <f t="array" ref="AY86">+_xll.EQNXTDZ($A$1,$B86,AY$1,$B$1)</f>
        <v>0</v>
      </c>
      <c r="AZ86" s="124" cm="1">
        <f t="array" ref="AZ86">+_xll.EQNXTDZ($A$1,$B86,AZ$1,$B$1)</f>
        <v>0</v>
      </c>
      <c r="BA86" s="124" cm="1">
        <f t="array" ref="BA86">+_xll.EQNXTDZ($A$1,$B86,BA$1,$B$1)</f>
        <v>0</v>
      </c>
      <c r="BB86" s="124" cm="1">
        <f t="array" ref="BB86">+_xll.EQNXTDZ($A$1,$B86,BB$1,$B$1)</f>
        <v>0</v>
      </c>
      <c r="BC86" s="124" cm="1">
        <f t="array" ref="BC86">+_xll.EQNXTDZ($A$1,$B86,BC$1,$B$1)</f>
        <v>0</v>
      </c>
      <c r="BD86" s="124" cm="1">
        <f t="array" ref="BD86">+_xll.EQNXTDZ($A$1,$B86,BD$1,$B$1)</f>
        <v>0</v>
      </c>
      <c r="BE86" s="124" cm="1">
        <f t="array" ref="BE86">+_xll.EQNXTDZ($A$1,$B86,BE$1,$B$1)</f>
        <v>0</v>
      </c>
      <c r="BF86" s="124" cm="1">
        <f t="array" ref="BF86">+_xll.EQNXTDZ($A$1,$B86,BF$1,$B$1)</f>
        <v>0</v>
      </c>
      <c r="BG86" s="124" cm="1">
        <f t="array" ref="BG86">+_xll.EQNXTDZ($A$1,$B86,BG$1,$B$1)</f>
        <v>0</v>
      </c>
      <c r="BH86" s="124" cm="1">
        <f t="array" ref="BH86">+_xll.EQNXTDZ($A$1,$B86,BH$1,$B$1)</f>
        <v>0</v>
      </c>
      <c r="BI86" s="124" cm="1">
        <f t="array" ref="BI86">+_xll.EQNXTDZ($A$1,$B86,BI$1,$B$1)</f>
        <v>0</v>
      </c>
      <c r="BJ86" s="124" cm="1">
        <f t="array" ref="BJ86">+_xll.EQNXTDZ($A$1,$B86,BJ$1,$B$1)</f>
        <v>0</v>
      </c>
      <c r="BK86" s="124" cm="1">
        <f t="array" ref="BK86">+_xll.EQNXTDZ($A$1,$B86,BK$1,$B$1)</f>
        <v>0</v>
      </c>
    </row>
    <row r="87" spans="1:63" x14ac:dyDescent="0.25">
      <c r="A87" t="s">
        <v>225</v>
      </c>
      <c r="B87" t="s">
        <v>347</v>
      </c>
      <c r="C87" s="124" cm="1">
        <f t="array" ref="C87">+_xll.EQNXTDZ($A$1,$B87,C$1,$B$1)</f>
        <v>0</v>
      </c>
      <c r="D87" s="124" cm="1">
        <f t="array" ref="D87">+_xll.EQNXTDZ($A$1,$B87,D$1,$B$1)</f>
        <v>0</v>
      </c>
      <c r="E87" s="124" cm="1">
        <f t="array" ref="E87">+_xll.EQNXTDZ($A$1,$B87,E$1,$B$1)</f>
        <v>0</v>
      </c>
      <c r="F87" s="124" cm="1">
        <f t="array" ref="F87">+_xll.EQNXTDZ($A$1,$B87,F$1,$B$1)</f>
        <v>0</v>
      </c>
      <c r="G87" s="124" cm="1">
        <f t="array" ref="G87">+_xll.EQNXTDZ($A$1,$B87,G$1,$B$1)</f>
        <v>0</v>
      </c>
      <c r="H87" s="124" cm="1">
        <f t="array" ref="H87">+_xll.EQNXTDZ($A$1,$B87,H$1,$B$1)</f>
        <v>0</v>
      </c>
      <c r="I87" s="124" cm="1">
        <f t="array" ref="I87">+_xll.EQNXTDZ($A$1,$B87,I$1,$B$1)</f>
        <v>0</v>
      </c>
      <c r="J87" s="124" cm="1">
        <f t="array" ref="J87">+_xll.EQNXTDZ($A$1,$B87,J$1,$B$1)</f>
        <v>0</v>
      </c>
      <c r="K87" s="124" cm="1">
        <f t="array" ref="K87">+_xll.EQNXTDZ($A$1,$B87,K$1,$B$1)</f>
        <v>0</v>
      </c>
      <c r="L87" s="124" cm="1">
        <f t="array" ref="L87">+_xll.EQNXTDZ($A$1,$B87,L$1,$B$1)</f>
        <v>0</v>
      </c>
      <c r="M87" s="124" cm="1">
        <f t="array" ref="M87">+_xll.EQNXTDZ($A$1,$B87,M$1,$B$1)</f>
        <v>0</v>
      </c>
      <c r="N87" s="124" cm="1">
        <f t="array" ref="N87">+_xll.EQNXTDZ($A$1,$B87,N$1,$B$1)</f>
        <v>0</v>
      </c>
      <c r="O87" s="124" cm="1">
        <f t="array" ref="O87">+_xll.EQNXTDZ($A$1,$B87,O$1,$B$1)</f>
        <v>0</v>
      </c>
      <c r="P87" s="124" cm="1">
        <f t="array" ref="P87">+_xll.EQNXTDZ($A$1,$B87,P$1,$B$1)</f>
        <v>0</v>
      </c>
      <c r="Q87" s="124" cm="1">
        <f t="array" ref="Q87">+_xll.EQNXTDZ($A$1,$B87,Q$1,$B$1)</f>
        <v>0</v>
      </c>
      <c r="R87" s="124" cm="1">
        <f t="array" ref="R87">+_xll.EQNXTDZ($A$1,$B87,R$1,$B$1)</f>
        <v>0</v>
      </c>
      <c r="S87" s="124" cm="1">
        <f t="array" ref="S87">+_xll.EQNXTDZ($A$1,$B87,S$1,$B$1)</f>
        <v>0</v>
      </c>
      <c r="T87" s="124" cm="1">
        <f t="array" ref="T87">+_xll.EQNXTDZ($A$1,$B87,T$1,$B$1)</f>
        <v>0</v>
      </c>
      <c r="U87" s="124" cm="1">
        <f t="array" ref="U87">+_xll.EQNXTDZ($A$1,$B87,U$1,$B$1)</f>
        <v>0</v>
      </c>
      <c r="V87" s="124" cm="1">
        <f t="array" ref="V87">+_xll.EQNXTDZ($A$1,$B87,V$1,$B$1)</f>
        <v>0</v>
      </c>
      <c r="W87" s="124" cm="1">
        <f t="array" ref="W87">+_xll.EQNXTDZ($A$1,$B87,W$1,$B$1)</f>
        <v>0</v>
      </c>
      <c r="X87" s="124" cm="1">
        <f t="array" ref="X87">+_xll.EQNXTDZ($A$1,$B87,X$1,$B$1)</f>
        <v>0</v>
      </c>
      <c r="Y87" s="124" cm="1">
        <f t="array" ref="Y87">+_xll.EQNXTDZ($A$1,$B87,Y$1,$B$1)</f>
        <v>0</v>
      </c>
      <c r="Z87" s="124" cm="1">
        <f t="array" ref="Z87">+_xll.EQNXTDZ($A$1,$B87,Z$1,$B$1)</f>
        <v>0</v>
      </c>
      <c r="AA87" s="124" cm="1">
        <f t="array" ref="AA87">+_xll.EQNXTDZ($A$1,$B87,AA$1,$B$1)</f>
        <v>0</v>
      </c>
      <c r="AB87" s="124" cm="1">
        <f t="array" ref="AB87">+_xll.EQNXTDZ($A$1,$B87,AB$1,$B$1)</f>
        <v>0</v>
      </c>
      <c r="AC87" s="124" cm="1">
        <f t="array" ref="AC87">+_xll.EQNXTDZ($A$1,$B87,AC$1,$B$1)</f>
        <v>0</v>
      </c>
      <c r="AD87" s="124" cm="1">
        <f t="array" ref="AD87">+_xll.EQNXTDZ($A$1,$B87,AD$1,$B$1)</f>
        <v>0</v>
      </c>
      <c r="AE87" s="124" cm="1">
        <f t="array" ref="AE87">+_xll.EQNXTDZ($A$1,$B87,AE$1,$B$1)</f>
        <v>0</v>
      </c>
      <c r="AF87" s="124" cm="1">
        <f t="array" ref="AF87">+_xll.EQNXTDZ($A$1,$B87,AF$1,$B$1)</f>
        <v>0</v>
      </c>
      <c r="AG87" s="124" cm="1">
        <f t="array" ref="AG87">+_xll.EQNXTDZ($A$1,$B87,AG$1,$B$1)</f>
        <v>0</v>
      </c>
      <c r="AH87" s="124" cm="1">
        <f t="array" ref="AH87">+_xll.EQNXTDZ($A$1,$B87,AH$1,$B$1)</f>
        <v>0</v>
      </c>
      <c r="AI87" s="124" cm="1">
        <f t="array" ref="AI87">+_xll.EQNXTDZ($A$1,$B87,AI$1,$B$1)</f>
        <v>0</v>
      </c>
      <c r="AJ87" s="124" cm="1">
        <f t="array" ref="AJ87">+_xll.EQNXTDZ($A$1,$B87,AJ$1,$B$1)</f>
        <v>0</v>
      </c>
      <c r="AK87" s="124" cm="1">
        <f t="array" ref="AK87">+_xll.EQNXTDZ($A$1,$B87,AK$1,$B$1)</f>
        <v>0</v>
      </c>
      <c r="AL87" s="124" cm="1">
        <f t="array" ref="AL87">+_xll.EQNXTDZ($A$1,$B87,AL$1,$B$1)</f>
        <v>0</v>
      </c>
      <c r="AM87" s="124" cm="1">
        <f t="array" ref="AM87">+_xll.EQNXTDZ($A$1,$B87,AM$1,$B$1)</f>
        <v>0</v>
      </c>
      <c r="AN87" s="124" cm="1">
        <f t="array" ref="AN87">+_xll.EQNXTDZ($A$1,$B87,AN$1,$B$1)</f>
        <v>0</v>
      </c>
      <c r="AO87" s="124" cm="1">
        <f t="array" ref="AO87">+_xll.EQNXTDZ($A$1,$B87,AO$1,$B$1)</f>
        <v>0</v>
      </c>
      <c r="AP87" s="124" cm="1">
        <f t="array" ref="AP87">+_xll.EQNXTDZ($A$1,$B87,AP$1,$B$1)</f>
        <v>0</v>
      </c>
      <c r="AQ87" s="124" cm="1">
        <f t="array" ref="AQ87">+_xll.EQNXTDZ($A$1,$B87,AQ$1,$B$1)</f>
        <v>0</v>
      </c>
      <c r="AR87" s="124" cm="1">
        <f t="array" ref="AR87">+_xll.EQNXTDZ($A$1,$B87,AR$1,$B$1)</f>
        <v>0</v>
      </c>
      <c r="AS87" s="124" cm="1">
        <f t="array" ref="AS87">+_xll.EQNXTDZ($A$1,$B87,AS$1,$B$1)</f>
        <v>0</v>
      </c>
      <c r="AT87" s="124" cm="1">
        <f t="array" ref="AT87">+_xll.EQNXTDZ($A$1,$B87,AT$1,$B$1)</f>
        <v>0</v>
      </c>
      <c r="AU87" s="124" cm="1">
        <f t="array" ref="AU87">+_xll.EQNXTDZ($A$1,$B87,AU$1,$B$1)</f>
        <v>0</v>
      </c>
      <c r="AV87" s="124" cm="1">
        <f t="array" ref="AV87">+_xll.EQNXTDZ($A$1,$B87,AV$1,$B$1)</f>
        <v>0</v>
      </c>
      <c r="AW87" s="124" cm="1">
        <f t="array" ref="AW87">+_xll.EQNXTDZ($A$1,$B87,AW$1,$B$1)</f>
        <v>0</v>
      </c>
      <c r="AX87" s="124" cm="1">
        <f t="array" ref="AX87">+_xll.EQNXTDZ($A$1,$B87,AX$1,$B$1)</f>
        <v>0</v>
      </c>
      <c r="AY87" s="124" cm="1">
        <f t="array" ref="AY87">+_xll.EQNXTDZ($A$1,$B87,AY$1,$B$1)</f>
        <v>0</v>
      </c>
      <c r="AZ87" s="124" cm="1">
        <f t="array" ref="AZ87">+_xll.EQNXTDZ($A$1,$B87,AZ$1,$B$1)</f>
        <v>0</v>
      </c>
      <c r="BA87" s="124" cm="1">
        <f t="array" ref="BA87">+_xll.EQNXTDZ($A$1,$B87,BA$1,$B$1)</f>
        <v>0</v>
      </c>
      <c r="BB87" s="124" cm="1">
        <f t="array" ref="BB87">+_xll.EQNXTDZ($A$1,$B87,BB$1,$B$1)</f>
        <v>0</v>
      </c>
      <c r="BC87" s="124" cm="1">
        <f t="array" ref="BC87">+_xll.EQNXTDZ($A$1,$B87,BC$1,$B$1)</f>
        <v>0</v>
      </c>
      <c r="BD87" s="124" cm="1">
        <f t="array" ref="BD87">+_xll.EQNXTDZ($A$1,$B87,BD$1,$B$1)</f>
        <v>0</v>
      </c>
      <c r="BE87" s="124" cm="1">
        <f t="array" ref="BE87">+_xll.EQNXTDZ($A$1,$B87,BE$1,$B$1)</f>
        <v>0</v>
      </c>
      <c r="BF87" s="124" cm="1">
        <f t="array" ref="BF87">+_xll.EQNXTDZ($A$1,$B87,BF$1,$B$1)</f>
        <v>0</v>
      </c>
      <c r="BG87" s="124" cm="1">
        <f t="array" ref="BG87">+_xll.EQNXTDZ($A$1,$B87,BG$1,$B$1)</f>
        <v>0</v>
      </c>
      <c r="BH87" s="124" cm="1">
        <f t="array" ref="BH87">+_xll.EQNXTDZ($A$1,$B87,BH$1,$B$1)</f>
        <v>0</v>
      </c>
      <c r="BI87" s="124" cm="1">
        <f t="array" ref="BI87">+_xll.EQNXTDZ($A$1,$B87,BI$1,$B$1)</f>
        <v>0</v>
      </c>
      <c r="BJ87" s="124" cm="1">
        <f t="array" ref="BJ87">+_xll.EQNXTDZ($A$1,$B87,BJ$1,$B$1)</f>
        <v>0</v>
      </c>
      <c r="BK87" s="124" cm="1">
        <f t="array" ref="BK87">+_xll.EQNXTDZ($A$1,$B87,BK$1,$B$1)</f>
        <v>0</v>
      </c>
    </row>
    <row r="88" spans="1:63" x14ac:dyDescent="0.25">
      <c r="A88" t="s">
        <v>226</v>
      </c>
      <c r="B88" t="s">
        <v>348</v>
      </c>
      <c r="C88" s="124" cm="1">
        <f t="array" ref="C88">+_xll.EQNXTDZ($A$1,$B88,C$1,$B$1)</f>
        <v>0</v>
      </c>
      <c r="D88" s="124" cm="1">
        <f t="array" ref="D88">+_xll.EQNXTDZ($A$1,$B88,D$1,$B$1)</f>
        <v>0</v>
      </c>
      <c r="E88" s="124" cm="1">
        <f t="array" ref="E88">+_xll.EQNXTDZ($A$1,$B88,E$1,$B$1)</f>
        <v>0</v>
      </c>
      <c r="F88" s="124" cm="1">
        <f t="array" ref="F88">+_xll.EQNXTDZ($A$1,$B88,F$1,$B$1)</f>
        <v>0</v>
      </c>
      <c r="G88" s="124" cm="1">
        <f t="array" ref="G88">+_xll.EQNXTDZ($A$1,$B88,G$1,$B$1)</f>
        <v>0</v>
      </c>
      <c r="H88" s="124" cm="1">
        <f t="array" ref="H88">+_xll.EQNXTDZ($A$1,$B88,H$1,$B$1)</f>
        <v>0</v>
      </c>
      <c r="I88" s="124" cm="1">
        <f t="array" ref="I88">+_xll.EQNXTDZ($A$1,$B88,I$1,$B$1)</f>
        <v>0</v>
      </c>
      <c r="J88" s="124" cm="1">
        <f t="array" ref="J88">+_xll.EQNXTDZ($A$1,$B88,J$1,$B$1)</f>
        <v>0</v>
      </c>
      <c r="K88" s="124" cm="1">
        <f t="array" ref="K88">+_xll.EQNXTDZ($A$1,$B88,K$1,$B$1)</f>
        <v>0</v>
      </c>
      <c r="L88" s="124" cm="1">
        <f t="array" ref="L88">+_xll.EQNXTDZ($A$1,$B88,L$1,$B$1)</f>
        <v>0</v>
      </c>
      <c r="M88" s="124" cm="1">
        <f t="array" ref="M88">+_xll.EQNXTDZ($A$1,$B88,M$1,$B$1)</f>
        <v>0</v>
      </c>
      <c r="N88" s="124" cm="1">
        <f t="array" ref="N88">+_xll.EQNXTDZ($A$1,$B88,N$1,$B$1)</f>
        <v>0</v>
      </c>
      <c r="O88" s="124" cm="1">
        <f t="array" ref="O88">+_xll.EQNXTDZ($A$1,$B88,O$1,$B$1)</f>
        <v>0</v>
      </c>
      <c r="P88" s="124" cm="1">
        <f t="array" ref="P88">+_xll.EQNXTDZ($A$1,$B88,P$1,$B$1)</f>
        <v>0</v>
      </c>
      <c r="Q88" s="124" cm="1">
        <f t="array" ref="Q88">+_xll.EQNXTDZ($A$1,$B88,Q$1,$B$1)</f>
        <v>0</v>
      </c>
      <c r="R88" s="124" cm="1">
        <f t="array" ref="R88">+_xll.EQNXTDZ($A$1,$B88,R$1,$B$1)</f>
        <v>0</v>
      </c>
      <c r="S88" s="124" cm="1">
        <f t="array" ref="S88">+_xll.EQNXTDZ($A$1,$B88,S$1,$B$1)</f>
        <v>0</v>
      </c>
      <c r="T88" s="124" cm="1">
        <f t="array" ref="T88">+_xll.EQNXTDZ($A$1,$B88,T$1,$B$1)</f>
        <v>0</v>
      </c>
      <c r="U88" s="124" cm="1">
        <f t="array" ref="U88">+_xll.EQNXTDZ($A$1,$B88,U$1,$B$1)</f>
        <v>0</v>
      </c>
      <c r="V88" s="124" cm="1">
        <f t="array" ref="V88">+_xll.EQNXTDZ($A$1,$B88,V$1,$B$1)</f>
        <v>0</v>
      </c>
      <c r="W88" s="124" cm="1">
        <f t="array" ref="W88">+_xll.EQNXTDZ($A$1,$B88,W$1,$B$1)</f>
        <v>0</v>
      </c>
      <c r="X88" s="124" cm="1">
        <f t="array" ref="X88">+_xll.EQNXTDZ($A$1,$B88,X$1,$B$1)</f>
        <v>0</v>
      </c>
      <c r="Y88" s="124" cm="1">
        <f t="array" ref="Y88">+_xll.EQNXTDZ($A$1,$B88,Y$1,$B$1)</f>
        <v>0</v>
      </c>
      <c r="Z88" s="124" cm="1">
        <f t="array" ref="Z88">+_xll.EQNXTDZ($A$1,$B88,Z$1,$B$1)</f>
        <v>0</v>
      </c>
      <c r="AA88" s="124" cm="1">
        <f t="array" ref="AA88">+_xll.EQNXTDZ($A$1,$B88,AA$1,$B$1)</f>
        <v>0</v>
      </c>
      <c r="AB88" s="124" cm="1">
        <f t="array" ref="AB88">+_xll.EQNXTDZ($A$1,$B88,AB$1,$B$1)</f>
        <v>0</v>
      </c>
      <c r="AC88" s="124" cm="1">
        <f t="array" ref="AC88">+_xll.EQNXTDZ($A$1,$B88,AC$1,$B$1)</f>
        <v>0</v>
      </c>
      <c r="AD88" s="124" cm="1">
        <f t="array" ref="AD88">+_xll.EQNXTDZ($A$1,$B88,AD$1,$B$1)</f>
        <v>0</v>
      </c>
      <c r="AE88" s="124" cm="1">
        <f t="array" ref="AE88">+_xll.EQNXTDZ($A$1,$B88,AE$1,$B$1)</f>
        <v>0</v>
      </c>
      <c r="AF88" s="124" cm="1">
        <f t="array" ref="AF88">+_xll.EQNXTDZ($A$1,$B88,AF$1,$B$1)</f>
        <v>0</v>
      </c>
      <c r="AG88" s="124" cm="1">
        <f t="array" ref="AG88">+_xll.EQNXTDZ($A$1,$B88,AG$1,$B$1)</f>
        <v>0</v>
      </c>
      <c r="AH88" s="124" cm="1">
        <f t="array" ref="AH88">+_xll.EQNXTDZ($A$1,$B88,AH$1,$B$1)</f>
        <v>0</v>
      </c>
      <c r="AI88" s="124" cm="1">
        <f t="array" ref="AI88">+_xll.EQNXTDZ($A$1,$B88,AI$1,$B$1)</f>
        <v>0</v>
      </c>
      <c r="AJ88" s="124" cm="1">
        <f t="array" ref="AJ88">+_xll.EQNXTDZ($A$1,$B88,AJ$1,$B$1)</f>
        <v>0</v>
      </c>
      <c r="AK88" s="124" cm="1">
        <f t="array" ref="AK88">+_xll.EQNXTDZ($A$1,$B88,AK$1,$B$1)</f>
        <v>0</v>
      </c>
      <c r="AL88" s="124" cm="1">
        <f t="array" ref="AL88">+_xll.EQNXTDZ($A$1,$B88,AL$1,$B$1)</f>
        <v>0</v>
      </c>
      <c r="AM88" s="124" cm="1">
        <f t="array" ref="AM88">+_xll.EQNXTDZ($A$1,$B88,AM$1,$B$1)</f>
        <v>0</v>
      </c>
      <c r="AN88" s="124" cm="1">
        <f t="array" ref="AN88">+_xll.EQNXTDZ($A$1,$B88,AN$1,$B$1)</f>
        <v>0</v>
      </c>
      <c r="AO88" s="124" cm="1">
        <f t="array" ref="AO88">+_xll.EQNXTDZ($A$1,$B88,AO$1,$B$1)</f>
        <v>0</v>
      </c>
      <c r="AP88" s="124" cm="1">
        <f t="array" ref="AP88">+_xll.EQNXTDZ($A$1,$B88,AP$1,$B$1)</f>
        <v>0</v>
      </c>
      <c r="AQ88" s="124" cm="1">
        <f t="array" ref="AQ88">+_xll.EQNXTDZ($A$1,$B88,AQ$1,$B$1)</f>
        <v>0</v>
      </c>
      <c r="AR88" s="124" cm="1">
        <f t="array" ref="AR88">+_xll.EQNXTDZ($A$1,$B88,AR$1,$B$1)</f>
        <v>0</v>
      </c>
      <c r="AS88" s="124" cm="1">
        <f t="array" ref="AS88">+_xll.EQNXTDZ($A$1,$B88,AS$1,$B$1)</f>
        <v>0</v>
      </c>
      <c r="AT88" s="124" cm="1">
        <f t="array" ref="AT88">+_xll.EQNXTDZ($A$1,$B88,AT$1,$B$1)</f>
        <v>0</v>
      </c>
      <c r="AU88" s="124" cm="1">
        <f t="array" ref="AU88">+_xll.EQNXTDZ($A$1,$B88,AU$1,$B$1)</f>
        <v>0</v>
      </c>
      <c r="AV88" s="124" cm="1">
        <f t="array" ref="AV88">+_xll.EQNXTDZ($A$1,$B88,AV$1,$B$1)</f>
        <v>0</v>
      </c>
      <c r="AW88" s="124" cm="1">
        <f t="array" ref="AW88">+_xll.EQNXTDZ($A$1,$B88,AW$1,$B$1)</f>
        <v>0</v>
      </c>
      <c r="AX88" s="124" cm="1">
        <f t="array" ref="AX88">+_xll.EQNXTDZ($A$1,$B88,AX$1,$B$1)</f>
        <v>0</v>
      </c>
      <c r="AY88" s="124" cm="1">
        <f t="array" ref="AY88">+_xll.EQNXTDZ($A$1,$B88,AY$1,$B$1)</f>
        <v>0</v>
      </c>
      <c r="AZ88" s="124" cm="1">
        <f t="array" ref="AZ88">+_xll.EQNXTDZ($A$1,$B88,AZ$1,$B$1)</f>
        <v>0</v>
      </c>
      <c r="BA88" s="124" cm="1">
        <f t="array" ref="BA88">+_xll.EQNXTDZ($A$1,$B88,BA$1,$B$1)</f>
        <v>0</v>
      </c>
      <c r="BB88" s="124" cm="1">
        <f t="array" ref="BB88">+_xll.EQNXTDZ($A$1,$B88,BB$1,$B$1)</f>
        <v>0</v>
      </c>
      <c r="BC88" s="124" cm="1">
        <f t="array" ref="BC88">+_xll.EQNXTDZ($A$1,$B88,BC$1,$B$1)</f>
        <v>0</v>
      </c>
      <c r="BD88" s="124" cm="1">
        <f t="array" ref="BD88">+_xll.EQNXTDZ($A$1,$B88,BD$1,$B$1)</f>
        <v>0</v>
      </c>
      <c r="BE88" s="124" cm="1">
        <f t="array" ref="BE88">+_xll.EQNXTDZ($A$1,$B88,BE$1,$B$1)</f>
        <v>0</v>
      </c>
      <c r="BF88" s="124" cm="1">
        <f t="array" ref="BF88">+_xll.EQNXTDZ($A$1,$B88,BF$1,$B$1)</f>
        <v>0</v>
      </c>
      <c r="BG88" s="124" cm="1">
        <f t="array" ref="BG88">+_xll.EQNXTDZ($A$1,$B88,BG$1,$B$1)</f>
        <v>0</v>
      </c>
      <c r="BH88" s="124" cm="1">
        <f t="array" ref="BH88">+_xll.EQNXTDZ($A$1,$B88,BH$1,$B$1)</f>
        <v>0</v>
      </c>
      <c r="BI88" s="124" cm="1">
        <f t="array" ref="BI88">+_xll.EQNXTDZ($A$1,$B88,BI$1,$B$1)</f>
        <v>0</v>
      </c>
      <c r="BJ88" s="124" cm="1">
        <f t="array" ref="BJ88">+_xll.EQNXTDZ($A$1,$B88,BJ$1,$B$1)</f>
        <v>0</v>
      </c>
      <c r="BK88" s="124" cm="1">
        <f t="array" ref="BK88">+_xll.EQNXTDZ($A$1,$B88,BK$1,$B$1)</f>
        <v>0</v>
      </c>
    </row>
    <row r="89" spans="1:63" x14ac:dyDescent="0.25">
      <c r="A89" t="s">
        <v>227</v>
      </c>
      <c r="B89" t="s">
        <v>349</v>
      </c>
      <c r="C89" s="124" cm="1">
        <f t="array" ref="C89">+_xll.EQNXTDZ($A$1,$B89,C$1,$B$1)</f>
        <v>0</v>
      </c>
      <c r="D89" s="124" cm="1">
        <f t="array" ref="D89">+_xll.EQNXTDZ($A$1,$B89,D$1,$B$1)</f>
        <v>0</v>
      </c>
      <c r="E89" s="124" cm="1">
        <f t="array" ref="E89">+_xll.EQNXTDZ($A$1,$B89,E$1,$B$1)</f>
        <v>0</v>
      </c>
      <c r="F89" s="124" cm="1">
        <f t="array" ref="F89">+_xll.EQNXTDZ($A$1,$B89,F$1,$B$1)</f>
        <v>0</v>
      </c>
      <c r="G89" s="124" cm="1">
        <f t="array" ref="G89">+_xll.EQNXTDZ($A$1,$B89,G$1,$B$1)</f>
        <v>0</v>
      </c>
      <c r="H89" s="124" cm="1">
        <f t="array" ref="H89">+_xll.EQNXTDZ($A$1,$B89,H$1,$B$1)</f>
        <v>0</v>
      </c>
      <c r="I89" s="124" cm="1">
        <f t="array" ref="I89">+_xll.EQNXTDZ($A$1,$B89,I$1,$B$1)</f>
        <v>0</v>
      </c>
      <c r="J89" s="124" cm="1">
        <f t="array" ref="J89">+_xll.EQNXTDZ($A$1,$B89,J$1,$B$1)</f>
        <v>0</v>
      </c>
      <c r="K89" s="124" cm="1">
        <f t="array" ref="K89">+_xll.EQNXTDZ($A$1,$B89,K$1,$B$1)</f>
        <v>0</v>
      </c>
      <c r="L89" s="124" cm="1">
        <f t="array" ref="L89">+_xll.EQNXTDZ($A$1,$B89,L$1,$B$1)</f>
        <v>0</v>
      </c>
      <c r="M89" s="124" cm="1">
        <f t="array" ref="M89">+_xll.EQNXTDZ($A$1,$B89,M$1,$B$1)</f>
        <v>0</v>
      </c>
      <c r="N89" s="124" cm="1">
        <f t="array" ref="N89">+_xll.EQNXTDZ($A$1,$B89,N$1,$B$1)</f>
        <v>0</v>
      </c>
      <c r="O89" s="124" cm="1">
        <f t="array" ref="O89">+_xll.EQNXTDZ($A$1,$B89,O$1,$B$1)</f>
        <v>0</v>
      </c>
      <c r="P89" s="124" cm="1">
        <f t="array" ref="P89">+_xll.EQNXTDZ($A$1,$B89,P$1,$B$1)</f>
        <v>0</v>
      </c>
      <c r="Q89" s="124" cm="1">
        <f t="array" ref="Q89">+_xll.EQNXTDZ($A$1,$B89,Q$1,$B$1)</f>
        <v>0</v>
      </c>
      <c r="R89" s="124" cm="1">
        <f t="array" ref="R89">+_xll.EQNXTDZ($A$1,$B89,R$1,$B$1)</f>
        <v>0</v>
      </c>
      <c r="S89" s="124" cm="1">
        <f t="array" ref="S89">+_xll.EQNXTDZ($A$1,$B89,S$1,$B$1)</f>
        <v>0</v>
      </c>
      <c r="T89" s="124" cm="1">
        <f t="array" ref="T89">+_xll.EQNXTDZ($A$1,$B89,T$1,$B$1)</f>
        <v>0</v>
      </c>
      <c r="U89" s="124" cm="1">
        <f t="array" ref="U89">+_xll.EQNXTDZ($A$1,$B89,U$1,$B$1)</f>
        <v>0</v>
      </c>
      <c r="V89" s="124" cm="1">
        <f t="array" ref="V89">+_xll.EQNXTDZ($A$1,$B89,V$1,$B$1)</f>
        <v>0</v>
      </c>
      <c r="W89" s="124" cm="1">
        <f t="array" ref="W89">+_xll.EQNXTDZ($A$1,$B89,W$1,$B$1)</f>
        <v>0</v>
      </c>
      <c r="X89" s="124" cm="1">
        <f t="array" ref="X89">+_xll.EQNXTDZ($A$1,$B89,X$1,$B$1)</f>
        <v>0</v>
      </c>
      <c r="Y89" s="124" cm="1">
        <f t="array" ref="Y89">+_xll.EQNXTDZ($A$1,$B89,Y$1,$B$1)</f>
        <v>0</v>
      </c>
      <c r="Z89" s="124" cm="1">
        <f t="array" ref="Z89">+_xll.EQNXTDZ($A$1,$B89,Z$1,$B$1)</f>
        <v>0</v>
      </c>
      <c r="AA89" s="124" cm="1">
        <f t="array" ref="AA89">+_xll.EQNXTDZ($A$1,$B89,AA$1,$B$1)</f>
        <v>0</v>
      </c>
      <c r="AB89" s="124" cm="1">
        <f t="array" ref="AB89">+_xll.EQNXTDZ($A$1,$B89,AB$1,$B$1)</f>
        <v>0</v>
      </c>
      <c r="AC89" s="124" cm="1">
        <f t="array" ref="AC89">+_xll.EQNXTDZ($A$1,$B89,AC$1,$B$1)</f>
        <v>0</v>
      </c>
      <c r="AD89" s="124" cm="1">
        <f t="array" ref="AD89">+_xll.EQNXTDZ($A$1,$B89,AD$1,$B$1)</f>
        <v>0</v>
      </c>
      <c r="AE89" s="124" cm="1">
        <f t="array" ref="AE89">+_xll.EQNXTDZ($A$1,$B89,AE$1,$B$1)</f>
        <v>0</v>
      </c>
      <c r="AF89" s="124" cm="1">
        <f t="array" ref="AF89">+_xll.EQNXTDZ($A$1,$B89,AF$1,$B$1)</f>
        <v>0</v>
      </c>
      <c r="AG89" s="124" cm="1">
        <f t="array" ref="AG89">+_xll.EQNXTDZ($A$1,$B89,AG$1,$B$1)</f>
        <v>0</v>
      </c>
      <c r="AH89" s="124" cm="1">
        <f t="array" ref="AH89">+_xll.EQNXTDZ($A$1,$B89,AH$1,$B$1)</f>
        <v>0</v>
      </c>
      <c r="AI89" s="124" cm="1">
        <f t="array" ref="AI89">+_xll.EQNXTDZ($A$1,$B89,AI$1,$B$1)</f>
        <v>0</v>
      </c>
      <c r="AJ89" s="124" cm="1">
        <f t="array" ref="AJ89">+_xll.EQNXTDZ($A$1,$B89,AJ$1,$B$1)</f>
        <v>0</v>
      </c>
      <c r="AK89" s="124" cm="1">
        <f t="array" ref="AK89">+_xll.EQNXTDZ($A$1,$B89,AK$1,$B$1)</f>
        <v>0</v>
      </c>
      <c r="AL89" s="124" cm="1">
        <f t="array" ref="AL89">+_xll.EQNXTDZ($A$1,$B89,AL$1,$B$1)</f>
        <v>0</v>
      </c>
      <c r="AM89" s="124" cm="1">
        <f t="array" ref="AM89">+_xll.EQNXTDZ($A$1,$B89,AM$1,$B$1)</f>
        <v>0</v>
      </c>
      <c r="AN89" s="124" cm="1">
        <f t="array" ref="AN89">+_xll.EQNXTDZ($A$1,$B89,AN$1,$B$1)</f>
        <v>0</v>
      </c>
      <c r="AO89" s="124" cm="1">
        <f t="array" ref="AO89">+_xll.EQNXTDZ($A$1,$B89,AO$1,$B$1)</f>
        <v>0</v>
      </c>
      <c r="AP89" s="124" cm="1">
        <f t="array" ref="AP89">+_xll.EQNXTDZ($A$1,$B89,AP$1,$B$1)</f>
        <v>0</v>
      </c>
      <c r="AQ89" s="124" cm="1">
        <f t="array" ref="AQ89">+_xll.EQNXTDZ($A$1,$B89,AQ$1,$B$1)</f>
        <v>0</v>
      </c>
      <c r="AR89" s="124" cm="1">
        <f t="array" ref="AR89">+_xll.EQNXTDZ($A$1,$B89,AR$1,$B$1)</f>
        <v>0</v>
      </c>
      <c r="AS89" s="124" cm="1">
        <f t="array" ref="AS89">+_xll.EQNXTDZ($A$1,$B89,AS$1,$B$1)</f>
        <v>0</v>
      </c>
      <c r="AT89" s="124" cm="1">
        <f t="array" ref="AT89">+_xll.EQNXTDZ($A$1,$B89,AT$1,$B$1)</f>
        <v>0</v>
      </c>
      <c r="AU89" s="124" cm="1">
        <f t="array" ref="AU89">+_xll.EQNXTDZ($A$1,$B89,AU$1,$B$1)</f>
        <v>0</v>
      </c>
      <c r="AV89" s="124" cm="1">
        <f t="array" ref="AV89">+_xll.EQNXTDZ($A$1,$B89,AV$1,$B$1)</f>
        <v>0</v>
      </c>
      <c r="AW89" s="124" cm="1">
        <f t="array" ref="AW89">+_xll.EQNXTDZ($A$1,$B89,AW$1,$B$1)</f>
        <v>0</v>
      </c>
      <c r="AX89" s="124" cm="1">
        <f t="array" ref="AX89">+_xll.EQNXTDZ($A$1,$B89,AX$1,$B$1)</f>
        <v>0</v>
      </c>
      <c r="AY89" s="124" cm="1">
        <f t="array" ref="AY89">+_xll.EQNXTDZ($A$1,$B89,AY$1,$B$1)</f>
        <v>0</v>
      </c>
      <c r="AZ89" s="124" cm="1">
        <f t="array" ref="AZ89">+_xll.EQNXTDZ($A$1,$B89,AZ$1,$B$1)</f>
        <v>0</v>
      </c>
      <c r="BA89" s="124" cm="1">
        <f t="array" ref="BA89">+_xll.EQNXTDZ($A$1,$B89,BA$1,$B$1)</f>
        <v>0</v>
      </c>
      <c r="BB89" s="124" cm="1">
        <f t="array" ref="BB89">+_xll.EQNXTDZ($A$1,$B89,BB$1,$B$1)</f>
        <v>0</v>
      </c>
      <c r="BC89" s="124" cm="1">
        <f t="array" ref="BC89">+_xll.EQNXTDZ($A$1,$B89,BC$1,$B$1)</f>
        <v>0</v>
      </c>
      <c r="BD89" s="124" cm="1">
        <f t="array" ref="BD89">+_xll.EQNXTDZ($A$1,$B89,BD$1,$B$1)</f>
        <v>0</v>
      </c>
      <c r="BE89" s="124" cm="1">
        <f t="array" ref="BE89">+_xll.EQNXTDZ($A$1,$B89,BE$1,$B$1)</f>
        <v>0</v>
      </c>
      <c r="BF89" s="124" cm="1">
        <f t="array" ref="BF89">+_xll.EQNXTDZ($A$1,$B89,BF$1,$B$1)</f>
        <v>0</v>
      </c>
      <c r="BG89" s="124" cm="1">
        <f t="array" ref="BG89">+_xll.EQNXTDZ($A$1,$B89,BG$1,$B$1)</f>
        <v>0</v>
      </c>
      <c r="BH89" s="124" cm="1">
        <f t="array" ref="BH89">+_xll.EQNXTDZ($A$1,$B89,BH$1,$B$1)</f>
        <v>0</v>
      </c>
      <c r="BI89" s="124" cm="1">
        <f t="array" ref="BI89">+_xll.EQNXTDZ($A$1,$B89,BI$1,$B$1)</f>
        <v>0</v>
      </c>
      <c r="BJ89" s="124" cm="1">
        <f t="array" ref="BJ89">+_xll.EQNXTDZ($A$1,$B89,BJ$1,$B$1)</f>
        <v>0</v>
      </c>
      <c r="BK89" s="124" cm="1">
        <f t="array" ref="BK89">+_xll.EQNXTDZ($A$1,$B89,BK$1,$B$1)</f>
        <v>0</v>
      </c>
    </row>
    <row r="90" spans="1:63" x14ac:dyDescent="0.25">
      <c r="A90" s="140" t="s">
        <v>491</v>
      </c>
      <c r="B90" t="s">
        <v>493</v>
      </c>
      <c r="C90" s="124" cm="1">
        <f t="array" ref="C90">+_xll.EQNXTDZ($A$1,$B90,C$1,$B$1)</f>
        <v>0</v>
      </c>
      <c r="D90" s="124" cm="1">
        <f t="array" ref="D90">+_xll.EQNXTDZ($A$1,$B90,D$1,$B$1)</f>
        <v>0</v>
      </c>
      <c r="E90" s="124" cm="1">
        <f t="array" ref="E90">+_xll.EQNXTDZ($A$1,$B90,E$1,$B$1)</f>
        <v>0</v>
      </c>
      <c r="F90" s="124" cm="1">
        <f t="array" ref="F90">+_xll.EQNXTDZ($A$1,$B90,F$1,$B$1)</f>
        <v>0</v>
      </c>
      <c r="G90" s="124" cm="1">
        <f t="array" ref="G90">+_xll.EQNXTDZ($A$1,$B90,G$1,$B$1)</f>
        <v>0</v>
      </c>
      <c r="H90" s="124" cm="1">
        <f t="array" ref="H90">+_xll.EQNXTDZ($A$1,$B90,H$1,$B$1)</f>
        <v>0</v>
      </c>
      <c r="I90" s="124" cm="1">
        <f t="array" ref="I90">+_xll.EQNXTDZ($A$1,$B90,I$1,$B$1)</f>
        <v>0</v>
      </c>
      <c r="J90" s="124" cm="1">
        <f t="array" ref="J90">+_xll.EQNXTDZ($A$1,$B90,J$1,$B$1)</f>
        <v>0</v>
      </c>
      <c r="K90" s="124" cm="1">
        <f t="array" ref="K90">+_xll.EQNXTDZ($A$1,$B90,K$1,$B$1)</f>
        <v>0</v>
      </c>
      <c r="L90" s="124" cm="1">
        <f t="array" ref="L90">+_xll.EQNXTDZ($A$1,$B90,L$1,$B$1)</f>
        <v>0</v>
      </c>
      <c r="M90" s="124" cm="1">
        <f t="array" ref="M90">+_xll.EQNXTDZ($A$1,$B90,M$1,$B$1)</f>
        <v>0</v>
      </c>
      <c r="N90" s="124" cm="1">
        <f t="array" ref="N90">+_xll.EQNXTDZ($A$1,$B90,N$1,$B$1)</f>
        <v>0</v>
      </c>
      <c r="O90" s="124" cm="1">
        <f t="array" ref="O90">+_xll.EQNXTDZ($A$1,$B90,O$1,$B$1)</f>
        <v>0</v>
      </c>
      <c r="P90" s="124" cm="1">
        <f t="array" ref="P90">+_xll.EQNXTDZ($A$1,$B90,P$1,$B$1)</f>
        <v>0</v>
      </c>
      <c r="Q90" s="124" cm="1">
        <f t="array" ref="Q90">+_xll.EQNXTDZ($A$1,$B90,Q$1,$B$1)</f>
        <v>0</v>
      </c>
      <c r="R90" s="124" cm="1">
        <f t="array" ref="R90">+_xll.EQNXTDZ($A$1,$B90,R$1,$B$1)</f>
        <v>0</v>
      </c>
      <c r="S90" s="124" cm="1">
        <f t="array" ref="S90">+_xll.EQNXTDZ($A$1,$B90,S$1,$B$1)</f>
        <v>0</v>
      </c>
      <c r="T90" s="124" cm="1">
        <f t="array" ref="T90">+_xll.EQNXTDZ($A$1,$B90,T$1,$B$1)</f>
        <v>0</v>
      </c>
      <c r="U90" s="124" cm="1">
        <f t="array" ref="U90">+_xll.EQNXTDZ($A$1,$B90,U$1,$B$1)</f>
        <v>0</v>
      </c>
      <c r="V90" s="124" cm="1">
        <f t="array" ref="V90">+_xll.EQNXTDZ($A$1,$B90,V$1,$B$1)</f>
        <v>0</v>
      </c>
      <c r="W90" s="124" cm="1">
        <f t="array" ref="W90">+_xll.EQNXTDZ($A$1,$B90,W$1,$B$1)</f>
        <v>0</v>
      </c>
      <c r="X90" s="124" cm="1">
        <f t="array" ref="X90">+_xll.EQNXTDZ($A$1,$B90,X$1,$B$1)</f>
        <v>0</v>
      </c>
      <c r="Y90" s="124" cm="1">
        <f t="array" ref="Y90">+_xll.EQNXTDZ($A$1,$B90,Y$1,$B$1)</f>
        <v>0</v>
      </c>
      <c r="Z90" s="124" cm="1">
        <f t="array" ref="Z90">+_xll.EQNXTDZ($A$1,$B90,Z$1,$B$1)</f>
        <v>0</v>
      </c>
      <c r="AA90" s="124" cm="1">
        <f t="array" ref="AA90">+_xll.EQNXTDZ($A$1,$B90,AA$1,$B$1)</f>
        <v>0</v>
      </c>
      <c r="AB90" s="124" cm="1">
        <f t="array" ref="AB90">+_xll.EQNXTDZ($A$1,$B90,AB$1,$B$1)</f>
        <v>0</v>
      </c>
      <c r="AC90" s="124" cm="1">
        <f t="array" ref="AC90">+_xll.EQNXTDZ($A$1,$B90,AC$1,$B$1)</f>
        <v>0</v>
      </c>
      <c r="AD90" s="124" cm="1">
        <f t="array" ref="AD90">+_xll.EQNXTDZ($A$1,$B90,AD$1,$B$1)</f>
        <v>0</v>
      </c>
      <c r="AE90" s="124" cm="1">
        <f t="array" ref="AE90">+_xll.EQNXTDZ($A$1,$B90,AE$1,$B$1)</f>
        <v>0</v>
      </c>
      <c r="AF90" s="124" cm="1">
        <f t="array" ref="AF90">+_xll.EQNXTDZ($A$1,$B90,AF$1,$B$1)</f>
        <v>0</v>
      </c>
      <c r="AG90" s="124" cm="1">
        <f t="array" ref="AG90">+_xll.EQNXTDZ($A$1,$B90,AG$1,$B$1)</f>
        <v>0</v>
      </c>
      <c r="AH90" s="124" cm="1">
        <f t="array" ref="AH90">+_xll.EQNXTDZ($A$1,$B90,AH$1,$B$1)</f>
        <v>0</v>
      </c>
      <c r="AI90" s="124" cm="1">
        <f t="array" ref="AI90">+_xll.EQNXTDZ($A$1,$B90,AI$1,$B$1)</f>
        <v>0</v>
      </c>
      <c r="AJ90" s="124" cm="1">
        <f t="array" ref="AJ90">+_xll.EQNXTDZ($A$1,$B90,AJ$1,$B$1)</f>
        <v>0</v>
      </c>
      <c r="AK90" s="124" cm="1">
        <f t="array" ref="AK90">+_xll.EQNXTDZ($A$1,$B90,AK$1,$B$1)</f>
        <v>0</v>
      </c>
      <c r="AL90" s="124" cm="1">
        <f t="array" ref="AL90">+_xll.EQNXTDZ($A$1,$B90,AL$1,$B$1)</f>
        <v>0</v>
      </c>
      <c r="AM90" s="124" cm="1">
        <f t="array" ref="AM90">+_xll.EQNXTDZ($A$1,$B90,AM$1,$B$1)</f>
        <v>0</v>
      </c>
      <c r="AN90" s="124" cm="1">
        <f t="array" ref="AN90">+_xll.EQNXTDZ($A$1,$B90,AN$1,$B$1)</f>
        <v>0</v>
      </c>
      <c r="AO90" s="124" cm="1">
        <f t="array" ref="AO90">+_xll.EQNXTDZ($A$1,$B90,AO$1,$B$1)</f>
        <v>0</v>
      </c>
      <c r="AP90" s="124" cm="1">
        <f t="array" ref="AP90">+_xll.EQNXTDZ($A$1,$B90,AP$1,$B$1)</f>
        <v>0</v>
      </c>
      <c r="AQ90" s="124" cm="1">
        <f t="array" ref="AQ90">+_xll.EQNXTDZ($A$1,$B90,AQ$1,$B$1)</f>
        <v>0</v>
      </c>
      <c r="AR90" s="124" cm="1">
        <f t="array" ref="AR90">+_xll.EQNXTDZ($A$1,$B90,AR$1,$B$1)</f>
        <v>0</v>
      </c>
      <c r="AS90" s="124" cm="1">
        <f t="array" ref="AS90">+_xll.EQNXTDZ($A$1,$B90,AS$1,$B$1)</f>
        <v>0</v>
      </c>
      <c r="AT90" s="124" cm="1">
        <f t="array" ref="AT90">+_xll.EQNXTDZ($A$1,$B90,AT$1,$B$1)</f>
        <v>0</v>
      </c>
      <c r="AU90" s="124" cm="1">
        <f t="array" ref="AU90">+_xll.EQNXTDZ($A$1,$B90,AU$1,$B$1)</f>
        <v>0</v>
      </c>
      <c r="AV90" s="124" cm="1">
        <f t="array" ref="AV90">+_xll.EQNXTDZ($A$1,$B90,AV$1,$B$1)</f>
        <v>0</v>
      </c>
      <c r="AW90" s="124" cm="1">
        <f t="array" ref="AW90">+_xll.EQNXTDZ($A$1,$B90,AW$1,$B$1)</f>
        <v>0</v>
      </c>
      <c r="AX90" s="124" cm="1">
        <f t="array" ref="AX90">+_xll.EQNXTDZ($A$1,$B90,AX$1,$B$1)</f>
        <v>0</v>
      </c>
      <c r="AY90" s="124" cm="1">
        <f t="array" ref="AY90">+_xll.EQNXTDZ($A$1,$B90,AY$1,$B$1)</f>
        <v>0</v>
      </c>
      <c r="AZ90" s="124" cm="1">
        <f t="array" ref="AZ90">+_xll.EQNXTDZ($A$1,$B90,AZ$1,$B$1)</f>
        <v>0</v>
      </c>
      <c r="BA90" s="124" cm="1">
        <f t="array" ref="BA90">+_xll.EQNXTDZ($A$1,$B90,BA$1,$B$1)</f>
        <v>0</v>
      </c>
      <c r="BB90" s="124" cm="1">
        <f t="array" ref="BB90">+_xll.EQNXTDZ($A$1,$B90,BB$1,$B$1)</f>
        <v>0</v>
      </c>
      <c r="BC90" s="124" cm="1">
        <f t="array" ref="BC90">+_xll.EQNXTDZ($A$1,$B90,BC$1,$B$1)</f>
        <v>0</v>
      </c>
      <c r="BD90" s="124" cm="1">
        <f t="array" ref="BD90">+_xll.EQNXTDZ($A$1,$B90,BD$1,$B$1)</f>
        <v>0</v>
      </c>
      <c r="BE90" s="124" cm="1">
        <f t="array" ref="BE90">+_xll.EQNXTDZ($A$1,$B90,BE$1,$B$1)</f>
        <v>0</v>
      </c>
      <c r="BF90" s="124" cm="1">
        <f t="array" ref="BF90">+_xll.EQNXTDZ($A$1,$B90,BF$1,$B$1)</f>
        <v>0</v>
      </c>
      <c r="BG90" s="124" cm="1">
        <f t="array" ref="BG90">+_xll.EQNXTDZ($A$1,$B90,BG$1,$B$1)</f>
        <v>0</v>
      </c>
      <c r="BH90" s="124" cm="1">
        <f t="array" ref="BH90">+_xll.EQNXTDZ($A$1,$B90,BH$1,$B$1)</f>
        <v>0</v>
      </c>
      <c r="BI90" s="124" cm="1">
        <f t="array" ref="BI90">+_xll.EQNXTDZ($A$1,$B90,BI$1,$B$1)</f>
        <v>0</v>
      </c>
      <c r="BJ90" s="124" cm="1">
        <f t="array" ref="BJ90">+_xll.EQNXTDZ($A$1,$B90,BJ$1,$B$1)</f>
        <v>0</v>
      </c>
      <c r="BK90" s="124" cm="1">
        <f t="array" ref="BK90">+_xll.EQNXTDZ($A$1,$B90,BK$1,$B$1)</f>
        <v>0</v>
      </c>
    </row>
    <row r="91" spans="1:63" x14ac:dyDescent="0.25">
      <c r="A91" s="140" t="s">
        <v>89</v>
      </c>
      <c r="B91" t="s">
        <v>494</v>
      </c>
      <c r="C91" s="124" cm="1">
        <f t="array" ref="C91">+_xll.EQNXTDZ($A$1,$B91,C$1,$B$1)</f>
        <v>0</v>
      </c>
      <c r="D91" s="124" cm="1">
        <f t="array" ref="D91">+_xll.EQNXTDZ($A$1,$B91,D$1,$B$1)</f>
        <v>0</v>
      </c>
      <c r="E91" s="124" cm="1">
        <f t="array" ref="E91">+_xll.EQNXTDZ($A$1,$B91,E$1,$B$1)</f>
        <v>0</v>
      </c>
      <c r="F91" s="124" cm="1">
        <f t="array" ref="F91">+_xll.EQNXTDZ($A$1,$B91,F$1,$B$1)</f>
        <v>0</v>
      </c>
      <c r="G91" s="124" cm="1">
        <f t="array" ref="G91">+_xll.EQNXTDZ($A$1,$B91,G$1,$B$1)</f>
        <v>0</v>
      </c>
      <c r="H91" s="124" cm="1">
        <f t="array" ref="H91">+_xll.EQNXTDZ($A$1,$B91,H$1,$B$1)</f>
        <v>0</v>
      </c>
      <c r="I91" s="124" cm="1">
        <f t="array" ref="I91">+_xll.EQNXTDZ($A$1,$B91,I$1,$B$1)</f>
        <v>0</v>
      </c>
      <c r="J91" s="124" cm="1">
        <f t="array" ref="J91">+_xll.EQNXTDZ($A$1,$B91,J$1,$B$1)</f>
        <v>0</v>
      </c>
      <c r="K91" s="124" cm="1">
        <f t="array" ref="K91">+_xll.EQNXTDZ($A$1,$B91,K$1,$B$1)</f>
        <v>0</v>
      </c>
      <c r="L91" s="124" cm="1">
        <f t="array" ref="L91">+_xll.EQNXTDZ($A$1,$B91,L$1,$B$1)</f>
        <v>0</v>
      </c>
      <c r="M91" s="124" cm="1">
        <f t="array" ref="M91">+_xll.EQNXTDZ($A$1,$B91,M$1,$B$1)</f>
        <v>0</v>
      </c>
      <c r="N91" s="124" cm="1">
        <f t="array" ref="N91">+_xll.EQNXTDZ($A$1,$B91,N$1,$B$1)</f>
        <v>0</v>
      </c>
      <c r="O91" s="124" cm="1">
        <f t="array" ref="O91">+_xll.EQNXTDZ($A$1,$B91,O$1,$B$1)</f>
        <v>0</v>
      </c>
      <c r="P91" s="124" cm="1">
        <f t="array" ref="P91">+_xll.EQNXTDZ($A$1,$B91,P$1,$B$1)</f>
        <v>0</v>
      </c>
      <c r="Q91" s="124" cm="1">
        <f t="array" ref="Q91">+_xll.EQNXTDZ($A$1,$B91,Q$1,$B$1)</f>
        <v>0</v>
      </c>
      <c r="R91" s="124" cm="1">
        <f t="array" ref="R91">+_xll.EQNXTDZ($A$1,$B91,R$1,$B$1)</f>
        <v>0</v>
      </c>
      <c r="S91" s="124" cm="1">
        <f t="array" ref="S91">+_xll.EQNXTDZ($A$1,$B91,S$1,$B$1)</f>
        <v>0</v>
      </c>
      <c r="T91" s="124" cm="1">
        <f t="array" ref="T91">+_xll.EQNXTDZ($A$1,$B91,T$1,$B$1)</f>
        <v>0</v>
      </c>
      <c r="U91" s="124" cm="1">
        <f t="array" ref="U91">+_xll.EQNXTDZ($A$1,$B91,U$1,$B$1)</f>
        <v>0</v>
      </c>
      <c r="V91" s="124" cm="1">
        <f t="array" ref="V91">+_xll.EQNXTDZ($A$1,$B91,V$1,$B$1)</f>
        <v>0</v>
      </c>
      <c r="W91" s="124" cm="1">
        <f t="array" ref="W91">+_xll.EQNXTDZ($A$1,$B91,W$1,$B$1)</f>
        <v>0</v>
      </c>
      <c r="X91" s="124" cm="1">
        <f t="array" ref="X91">+_xll.EQNXTDZ($A$1,$B91,X$1,$B$1)</f>
        <v>0</v>
      </c>
      <c r="Y91" s="124" cm="1">
        <f t="array" ref="Y91">+_xll.EQNXTDZ($A$1,$B91,Y$1,$B$1)</f>
        <v>0</v>
      </c>
      <c r="Z91" s="124" cm="1">
        <f t="array" ref="Z91">+_xll.EQNXTDZ($A$1,$B91,Z$1,$B$1)</f>
        <v>0</v>
      </c>
      <c r="AA91" s="124" cm="1">
        <f t="array" ref="AA91">+_xll.EQNXTDZ($A$1,$B91,AA$1,$B$1)</f>
        <v>0</v>
      </c>
      <c r="AB91" s="124" cm="1">
        <f t="array" ref="AB91">+_xll.EQNXTDZ($A$1,$B91,AB$1,$B$1)</f>
        <v>0</v>
      </c>
      <c r="AC91" s="124" cm="1">
        <f t="array" ref="AC91">+_xll.EQNXTDZ($A$1,$B91,AC$1,$B$1)</f>
        <v>0</v>
      </c>
      <c r="AD91" s="124" cm="1">
        <f t="array" ref="AD91">+_xll.EQNXTDZ($A$1,$B91,AD$1,$B$1)</f>
        <v>0</v>
      </c>
      <c r="AE91" s="124" cm="1">
        <f t="array" ref="AE91">+_xll.EQNXTDZ($A$1,$B91,AE$1,$B$1)</f>
        <v>0</v>
      </c>
      <c r="AF91" s="124" cm="1">
        <f t="array" ref="AF91">+_xll.EQNXTDZ($A$1,$B91,AF$1,$B$1)</f>
        <v>0</v>
      </c>
      <c r="AG91" s="124" cm="1">
        <f t="array" ref="AG91">+_xll.EQNXTDZ($A$1,$B91,AG$1,$B$1)</f>
        <v>0</v>
      </c>
      <c r="AH91" s="124" cm="1">
        <f t="array" ref="AH91">+_xll.EQNXTDZ($A$1,$B91,AH$1,$B$1)</f>
        <v>0</v>
      </c>
      <c r="AI91" s="124" cm="1">
        <f t="array" ref="AI91">+_xll.EQNXTDZ($A$1,$B91,AI$1,$B$1)</f>
        <v>0</v>
      </c>
      <c r="AJ91" s="124" cm="1">
        <f t="array" ref="AJ91">+_xll.EQNXTDZ($A$1,$B91,AJ$1,$B$1)</f>
        <v>0</v>
      </c>
      <c r="AK91" s="124" cm="1">
        <f t="array" ref="AK91">+_xll.EQNXTDZ($A$1,$B91,AK$1,$B$1)</f>
        <v>0</v>
      </c>
      <c r="AL91" s="124" cm="1">
        <f t="array" ref="AL91">+_xll.EQNXTDZ($A$1,$B91,AL$1,$B$1)</f>
        <v>0</v>
      </c>
      <c r="AM91" s="124" cm="1">
        <f t="array" ref="AM91">+_xll.EQNXTDZ($A$1,$B91,AM$1,$B$1)</f>
        <v>0</v>
      </c>
      <c r="AN91" s="124" cm="1">
        <f t="array" ref="AN91">+_xll.EQNXTDZ($A$1,$B91,AN$1,$B$1)</f>
        <v>0</v>
      </c>
      <c r="AO91" s="124" cm="1">
        <f t="array" ref="AO91">+_xll.EQNXTDZ($A$1,$B91,AO$1,$B$1)</f>
        <v>0</v>
      </c>
      <c r="AP91" s="124" cm="1">
        <f t="array" ref="AP91">+_xll.EQNXTDZ($A$1,$B91,AP$1,$B$1)</f>
        <v>0</v>
      </c>
      <c r="AQ91" s="124" cm="1">
        <f t="array" ref="AQ91">+_xll.EQNXTDZ($A$1,$B91,AQ$1,$B$1)</f>
        <v>0</v>
      </c>
      <c r="AR91" s="124" cm="1">
        <f t="array" ref="AR91">+_xll.EQNXTDZ($A$1,$B91,AR$1,$B$1)</f>
        <v>0</v>
      </c>
      <c r="AS91" s="124" cm="1">
        <f t="array" ref="AS91">+_xll.EQNXTDZ($A$1,$B91,AS$1,$B$1)</f>
        <v>0</v>
      </c>
      <c r="AT91" s="124" cm="1">
        <f t="array" ref="AT91">+_xll.EQNXTDZ($A$1,$B91,AT$1,$B$1)</f>
        <v>0</v>
      </c>
      <c r="AU91" s="124" cm="1">
        <f t="array" ref="AU91">+_xll.EQNXTDZ($A$1,$B91,AU$1,$B$1)</f>
        <v>0</v>
      </c>
      <c r="AV91" s="124" cm="1">
        <f t="array" ref="AV91">+_xll.EQNXTDZ($A$1,$B91,AV$1,$B$1)</f>
        <v>0</v>
      </c>
      <c r="AW91" s="124" cm="1">
        <f t="array" ref="AW91">+_xll.EQNXTDZ($A$1,$B91,AW$1,$B$1)</f>
        <v>0</v>
      </c>
      <c r="AX91" s="124" cm="1">
        <f t="array" ref="AX91">+_xll.EQNXTDZ($A$1,$B91,AX$1,$B$1)</f>
        <v>0</v>
      </c>
      <c r="AY91" s="124" cm="1">
        <f t="array" ref="AY91">+_xll.EQNXTDZ($A$1,$B91,AY$1,$B$1)</f>
        <v>0</v>
      </c>
      <c r="AZ91" s="124" cm="1">
        <f t="array" ref="AZ91">+_xll.EQNXTDZ($A$1,$B91,AZ$1,$B$1)</f>
        <v>0</v>
      </c>
      <c r="BA91" s="124" cm="1">
        <f t="array" ref="BA91">+_xll.EQNXTDZ($A$1,$B91,BA$1,$B$1)</f>
        <v>0</v>
      </c>
      <c r="BB91" s="124" cm="1">
        <f t="array" ref="BB91">+_xll.EQNXTDZ($A$1,$B91,BB$1,$B$1)</f>
        <v>0</v>
      </c>
      <c r="BC91" s="124" cm="1">
        <f t="array" ref="BC91">+_xll.EQNXTDZ($A$1,$B91,BC$1,$B$1)</f>
        <v>0</v>
      </c>
      <c r="BD91" s="124" cm="1">
        <f t="array" ref="BD91">+_xll.EQNXTDZ($A$1,$B91,BD$1,$B$1)</f>
        <v>0</v>
      </c>
      <c r="BE91" s="124" cm="1">
        <f t="array" ref="BE91">+_xll.EQNXTDZ($A$1,$B91,BE$1,$B$1)</f>
        <v>0</v>
      </c>
      <c r="BF91" s="124" cm="1">
        <f t="array" ref="BF91">+_xll.EQNXTDZ($A$1,$B91,BF$1,$B$1)</f>
        <v>0</v>
      </c>
      <c r="BG91" s="124" cm="1">
        <f t="array" ref="BG91">+_xll.EQNXTDZ($A$1,$B91,BG$1,$B$1)</f>
        <v>0</v>
      </c>
      <c r="BH91" s="124" cm="1">
        <f t="array" ref="BH91">+_xll.EQNXTDZ($A$1,$B91,BH$1,$B$1)</f>
        <v>0</v>
      </c>
      <c r="BI91" s="124" cm="1">
        <f t="array" ref="BI91">+_xll.EQNXTDZ($A$1,$B91,BI$1,$B$1)</f>
        <v>0</v>
      </c>
      <c r="BJ91" s="124" cm="1">
        <f t="array" ref="BJ91">+_xll.EQNXTDZ($A$1,$B91,BJ$1,$B$1)</f>
        <v>0</v>
      </c>
      <c r="BK91" s="124" cm="1">
        <f t="array" ref="BK91">+_xll.EQNXTDZ($A$1,$B91,BK$1,$B$1)</f>
        <v>0</v>
      </c>
    </row>
    <row r="92" spans="1:63" x14ac:dyDescent="0.25">
      <c r="A92" t="s">
        <v>228</v>
      </c>
      <c r="B92" t="s">
        <v>350</v>
      </c>
      <c r="C92" s="124" cm="1">
        <f t="array" ref="C92">+_xll.EQNXTDZ($A$1,$B92,C$1,$B$1)</f>
        <v>0</v>
      </c>
      <c r="D92" s="124" cm="1">
        <f t="array" ref="D92">+_xll.EQNXTDZ($A$1,$B92,D$1,$B$1)</f>
        <v>0</v>
      </c>
      <c r="E92" s="124" cm="1">
        <f t="array" ref="E92">+_xll.EQNXTDZ($A$1,$B92,E$1,$B$1)</f>
        <v>0</v>
      </c>
      <c r="F92" s="124" cm="1">
        <f t="array" ref="F92">+_xll.EQNXTDZ($A$1,$B92,F$1,$B$1)</f>
        <v>0</v>
      </c>
      <c r="G92" s="124" cm="1">
        <f t="array" ref="G92">+_xll.EQNXTDZ($A$1,$B92,G$1,$B$1)</f>
        <v>0</v>
      </c>
      <c r="H92" s="124" cm="1">
        <f t="array" ref="H92">+_xll.EQNXTDZ($A$1,$B92,H$1,$B$1)</f>
        <v>0</v>
      </c>
      <c r="I92" s="124" cm="1">
        <f t="array" ref="I92">+_xll.EQNXTDZ($A$1,$B92,I$1,$B$1)</f>
        <v>0</v>
      </c>
      <c r="J92" s="124" cm="1">
        <f t="array" ref="J92">+_xll.EQNXTDZ($A$1,$B92,J$1,$B$1)</f>
        <v>0</v>
      </c>
      <c r="K92" s="124" cm="1">
        <f t="array" ref="K92">+_xll.EQNXTDZ($A$1,$B92,K$1,$B$1)</f>
        <v>0</v>
      </c>
      <c r="L92" s="124" cm="1">
        <f t="array" ref="L92">+_xll.EQNXTDZ($A$1,$B92,L$1,$B$1)</f>
        <v>0</v>
      </c>
      <c r="M92" s="124" cm="1">
        <f t="array" ref="M92">+_xll.EQNXTDZ($A$1,$B92,M$1,$B$1)</f>
        <v>0</v>
      </c>
      <c r="N92" s="124" cm="1">
        <f t="array" ref="N92">+_xll.EQNXTDZ($A$1,$B92,N$1,$B$1)</f>
        <v>0</v>
      </c>
      <c r="O92" s="124" cm="1">
        <f t="array" ref="O92">+_xll.EQNXTDZ($A$1,$B92,O$1,$B$1)</f>
        <v>0</v>
      </c>
      <c r="P92" s="124" cm="1">
        <f t="array" ref="P92">+_xll.EQNXTDZ($A$1,$B92,P$1,$B$1)</f>
        <v>0</v>
      </c>
      <c r="Q92" s="124" cm="1">
        <f t="array" ref="Q92">+_xll.EQNXTDZ($A$1,$B92,Q$1,$B$1)</f>
        <v>0</v>
      </c>
      <c r="R92" s="124" cm="1">
        <f t="array" ref="R92">+_xll.EQNXTDZ($A$1,$B92,R$1,$B$1)</f>
        <v>0</v>
      </c>
      <c r="S92" s="124" cm="1">
        <f t="array" ref="S92">+_xll.EQNXTDZ($A$1,$B92,S$1,$B$1)</f>
        <v>0</v>
      </c>
      <c r="T92" s="124" cm="1">
        <f t="array" ref="T92">+_xll.EQNXTDZ($A$1,$B92,T$1,$B$1)</f>
        <v>0</v>
      </c>
      <c r="U92" s="124" cm="1">
        <f t="array" ref="U92">+_xll.EQNXTDZ($A$1,$B92,U$1,$B$1)</f>
        <v>0</v>
      </c>
      <c r="V92" s="124" cm="1">
        <f t="array" ref="V92">+_xll.EQNXTDZ($A$1,$B92,V$1,$B$1)</f>
        <v>0</v>
      </c>
      <c r="W92" s="124" cm="1">
        <f t="array" ref="W92">+_xll.EQNXTDZ($A$1,$B92,W$1,$B$1)</f>
        <v>0</v>
      </c>
      <c r="X92" s="124" cm="1">
        <f t="array" ref="X92">+_xll.EQNXTDZ($A$1,$B92,X$1,$B$1)</f>
        <v>0</v>
      </c>
      <c r="Y92" s="124" cm="1">
        <f t="array" ref="Y92">+_xll.EQNXTDZ($A$1,$B92,Y$1,$B$1)</f>
        <v>0</v>
      </c>
      <c r="Z92" s="124" cm="1">
        <f t="array" ref="Z92">+_xll.EQNXTDZ($A$1,$B92,Z$1,$B$1)</f>
        <v>0</v>
      </c>
      <c r="AA92" s="124" cm="1">
        <f t="array" ref="AA92">+_xll.EQNXTDZ($A$1,$B92,AA$1,$B$1)</f>
        <v>0</v>
      </c>
      <c r="AB92" s="124" cm="1">
        <f t="array" ref="AB92">+_xll.EQNXTDZ($A$1,$B92,AB$1,$B$1)</f>
        <v>0</v>
      </c>
      <c r="AC92" s="124" cm="1">
        <f t="array" ref="AC92">+_xll.EQNXTDZ($A$1,$B92,AC$1,$B$1)</f>
        <v>0</v>
      </c>
      <c r="AD92" s="124" cm="1">
        <f t="array" ref="AD92">+_xll.EQNXTDZ($A$1,$B92,AD$1,$B$1)</f>
        <v>0</v>
      </c>
      <c r="AE92" s="124" cm="1">
        <f t="array" ref="AE92">+_xll.EQNXTDZ($A$1,$B92,AE$1,$B$1)</f>
        <v>0</v>
      </c>
      <c r="AF92" s="124" cm="1">
        <f t="array" ref="AF92">+_xll.EQNXTDZ($A$1,$B92,AF$1,$B$1)</f>
        <v>0</v>
      </c>
      <c r="AG92" s="124" cm="1">
        <f t="array" ref="AG92">+_xll.EQNXTDZ($A$1,$B92,AG$1,$B$1)</f>
        <v>0</v>
      </c>
      <c r="AH92" s="124" cm="1">
        <f t="array" ref="AH92">+_xll.EQNXTDZ($A$1,$B92,AH$1,$B$1)</f>
        <v>0</v>
      </c>
      <c r="AI92" s="124" cm="1">
        <f t="array" ref="AI92">+_xll.EQNXTDZ($A$1,$B92,AI$1,$B$1)</f>
        <v>0</v>
      </c>
      <c r="AJ92" s="124" cm="1">
        <f t="array" ref="AJ92">+_xll.EQNXTDZ($A$1,$B92,AJ$1,$B$1)</f>
        <v>0</v>
      </c>
      <c r="AK92" s="124" cm="1">
        <f t="array" ref="AK92">+_xll.EQNXTDZ($A$1,$B92,AK$1,$B$1)</f>
        <v>0</v>
      </c>
      <c r="AL92" s="124" cm="1">
        <f t="array" ref="AL92">+_xll.EQNXTDZ($A$1,$B92,AL$1,$B$1)</f>
        <v>0</v>
      </c>
      <c r="AM92" s="124" cm="1">
        <f t="array" ref="AM92">+_xll.EQNXTDZ($A$1,$B92,AM$1,$B$1)</f>
        <v>0</v>
      </c>
      <c r="AN92" s="124" cm="1">
        <f t="array" ref="AN92">+_xll.EQNXTDZ($A$1,$B92,AN$1,$B$1)</f>
        <v>0</v>
      </c>
      <c r="AO92" s="124" cm="1">
        <f t="array" ref="AO92">+_xll.EQNXTDZ($A$1,$B92,AO$1,$B$1)</f>
        <v>0</v>
      </c>
      <c r="AP92" s="124" cm="1">
        <f t="array" ref="AP92">+_xll.EQNXTDZ($A$1,$B92,AP$1,$B$1)</f>
        <v>0</v>
      </c>
      <c r="AQ92" s="124" cm="1">
        <f t="array" ref="AQ92">+_xll.EQNXTDZ($A$1,$B92,AQ$1,$B$1)</f>
        <v>0</v>
      </c>
      <c r="AR92" s="124" cm="1">
        <f t="array" ref="AR92">+_xll.EQNXTDZ($A$1,$B92,AR$1,$B$1)</f>
        <v>0</v>
      </c>
      <c r="AS92" s="124" cm="1">
        <f t="array" ref="AS92">+_xll.EQNXTDZ($A$1,$B92,AS$1,$B$1)</f>
        <v>0</v>
      </c>
      <c r="AT92" s="124" cm="1">
        <f t="array" ref="AT92">+_xll.EQNXTDZ($A$1,$B92,AT$1,$B$1)</f>
        <v>0</v>
      </c>
      <c r="AU92" s="124" cm="1">
        <f t="array" ref="AU92">+_xll.EQNXTDZ($A$1,$B92,AU$1,$B$1)</f>
        <v>0</v>
      </c>
      <c r="AV92" s="124" cm="1">
        <f t="array" ref="AV92">+_xll.EQNXTDZ($A$1,$B92,AV$1,$B$1)</f>
        <v>0</v>
      </c>
      <c r="AW92" s="124" cm="1">
        <f t="array" ref="AW92">+_xll.EQNXTDZ($A$1,$B92,AW$1,$B$1)</f>
        <v>0</v>
      </c>
      <c r="AX92" s="124" cm="1">
        <f t="array" ref="AX92">+_xll.EQNXTDZ($A$1,$B92,AX$1,$B$1)</f>
        <v>0</v>
      </c>
      <c r="AY92" s="124" cm="1">
        <f t="array" ref="AY92">+_xll.EQNXTDZ($A$1,$B92,AY$1,$B$1)</f>
        <v>0</v>
      </c>
      <c r="AZ92" s="124" cm="1">
        <f t="array" ref="AZ92">+_xll.EQNXTDZ($A$1,$B92,AZ$1,$B$1)</f>
        <v>0</v>
      </c>
      <c r="BA92" s="124" cm="1">
        <f t="array" ref="BA92">+_xll.EQNXTDZ($A$1,$B92,BA$1,$B$1)</f>
        <v>0</v>
      </c>
      <c r="BB92" s="124" cm="1">
        <f t="array" ref="BB92">+_xll.EQNXTDZ($A$1,$B92,BB$1,$B$1)</f>
        <v>0</v>
      </c>
      <c r="BC92" s="124" cm="1">
        <f t="array" ref="BC92">+_xll.EQNXTDZ($A$1,$B92,BC$1,$B$1)</f>
        <v>0</v>
      </c>
      <c r="BD92" s="124" cm="1">
        <f t="array" ref="BD92">+_xll.EQNXTDZ($A$1,$B92,BD$1,$B$1)</f>
        <v>0</v>
      </c>
      <c r="BE92" s="124" cm="1">
        <f t="array" ref="BE92">+_xll.EQNXTDZ($A$1,$B92,BE$1,$B$1)</f>
        <v>0</v>
      </c>
      <c r="BF92" s="124" cm="1">
        <f t="array" ref="BF92">+_xll.EQNXTDZ($A$1,$B92,BF$1,$B$1)</f>
        <v>0</v>
      </c>
      <c r="BG92" s="124" cm="1">
        <f t="array" ref="BG92">+_xll.EQNXTDZ($A$1,$B92,BG$1,$B$1)</f>
        <v>0</v>
      </c>
      <c r="BH92" s="124" cm="1">
        <f t="array" ref="BH92">+_xll.EQNXTDZ($A$1,$B92,BH$1,$B$1)</f>
        <v>0</v>
      </c>
      <c r="BI92" s="124" cm="1">
        <f t="array" ref="BI92">+_xll.EQNXTDZ($A$1,$B92,BI$1,$B$1)</f>
        <v>0</v>
      </c>
      <c r="BJ92" s="124" cm="1">
        <f t="array" ref="BJ92">+_xll.EQNXTDZ($A$1,$B92,BJ$1,$B$1)</f>
        <v>0</v>
      </c>
      <c r="BK92" s="124" cm="1">
        <f t="array" ref="BK92">+_xll.EQNXTDZ($A$1,$B92,BK$1,$B$1)</f>
        <v>0</v>
      </c>
    </row>
    <row r="93" spans="1:63" x14ac:dyDescent="0.25">
      <c r="A93" t="s">
        <v>229</v>
      </c>
      <c r="B93" t="s">
        <v>351</v>
      </c>
      <c r="C93" s="124" cm="1">
        <f t="array" ref="C93">+_xll.EQNXTDZ($A$1,$B93,C$1,$B$1)</f>
        <v>0</v>
      </c>
      <c r="D93" s="124" cm="1">
        <f t="array" ref="D93">+_xll.EQNXTDZ($A$1,$B93,D$1,$B$1)</f>
        <v>0</v>
      </c>
      <c r="E93" s="124" cm="1">
        <f t="array" ref="E93">+_xll.EQNXTDZ($A$1,$B93,E$1,$B$1)</f>
        <v>0</v>
      </c>
      <c r="F93" s="124" cm="1">
        <f t="array" ref="F93">+_xll.EQNXTDZ($A$1,$B93,F$1,$B$1)</f>
        <v>0</v>
      </c>
      <c r="G93" s="124" cm="1">
        <f t="array" ref="G93">+_xll.EQNXTDZ($A$1,$B93,G$1,$B$1)</f>
        <v>0</v>
      </c>
      <c r="H93" s="124" cm="1">
        <f t="array" ref="H93">+_xll.EQNXTDZ($A$1,$B93,H$1,$B$1)</f>
        <v>0</v>
      </c>
      <c r="I93" s="124" cm="1">
        <f t="array" ref="I93">+_xll.EQNXTDZ($A$1,$B93,I$1,$B$1)</f>
        <v>0</v>
      </c>
      <c r="J93" s="124" cm="1">
        <f t="array" ref="J93">+_xll.EQNXTDZ($A$1,$B93,J$1,$B$1)</f>
        <v>0</v>
      </c>
      <c r="K93" s="124" cm="1">
        <f t="array" ref="K93">+_xll.EQNXTDZ($A$1,$B93,K$1,$B$1)</f>
        <v>0</v>
      </c>
      <c r="L93" s="124" cm="1">
        <f t="array" ref="L93">+_xll.EQNXTDZ($A$1,$B93,L$1,$B$1)</f>
        <v>0</v>
      </c>
      <c r="M93" s="124" cm="1">
        <f t="array" ref="M93">+_xll.EQNXTDZ($A$1,$B93,M$1,$B$1)</f>
        <v>0</v>
      </c>
      <c r="N93" s="124" cm="1">
        <f t="array" ref="N93">+_xll.EQNXTDZ($A$1,$B93,N$1,$B$1)</f>
        <v>0</v>
      </c>
      <c r="O93" s="124" cm="1">
        <f t="array" ref="O93">+_xll.EQNXTDZ($A$1,$B93,O$1,$B$1)</f>
        <v>0</v>
      </c>
      <c r="P93" s="124" cm="1">
        <f t="array" ref="P93">+_xll.EQNXTDZ($A$1,$B93,P$1,$B$1)</f>
        <v>0</v>
      </c>
      <c r="Q93" s="124" cm="1">
        <f t="array" ref="Q93">+_xll.EQNXTDZ($A$1,$B93,Q$1,$B$1)</f>
        <v>0</v>
      </c>
      <c r="R93" s="124" cm="1">
        <f t="array" ref="R93">+_xll.EQNXTDZ($A$1,$B93,R$1,$B$1)</f>
        <v>0</v>
      </c>
      <c r="S93" s="124" cm="1">
        <f t="array" ref="S93">+_xll.EQNXTDZ($A$1,$B93,S$1,$B$1)</f>
        <v>0</v>
      </c>
      <c r="T93" s="124" cm="1">
        <f t="array" ref="T93">+_xll.EQNXTDZ($A$1,$B93,T$1,$B$1)</f>
        <v>0</v>
      </c>
      <c r="U93" s="124" cm="1">
        <f t="array" ref="U93">+_xll.EQNXTDZ($A$1,$B93,U$1,$B$1)</f>
        <v>0</v>
      </c>
      <c r="V93" s="124" cm="1">
        <f t="array" ref="V93">+_xll.EQNXTDZ($A$1,$B93,V$1,$B$1)</f>
        <v>0</v>
      </c>
      <c r="W93" s="124" cm="1">
        <f t="array" ref="W93">+_xll.EQNXTDZ($A$1,$B93,W$1,$B$1)</f>
        <v>0</v>
      </c>
      <c r="X93" s="124" cm="1">
        <f t="array" ref="X93">+_xll.EQNXTDZ($A$1,$B93,X$1,$B$1)</f>
        <v>0</v>
      </c>
      <c r="Y93" s="124" cm="1">
        <f t="array" ref="Y93">+_xll.EQNXTDZ($A$1,$B93,Y$1,$B$1)</f>
        <v>0</v>
      </c>
      <c r="Z93" s="124" cm="1">
        <f t="array" ref="Z93">+_xll.EQNXTDZ($A$1,$B93,Z$1,$B$1)</f>
        <v>0</v>
      </c>
      <c r="AA93" s="124" cm="1">
        <f t="array" ref="AA93">+_xll.EQNXTDZ($A$1,$B93,AA$1,$B$1)</f>
        <v>0</v>
      </c>
      <c r="AB93" s="124" cm="1">
        <f t="array" ref="AB93">+_xll.EQNXTDZ($A$1,$B93,AB$1,$B$1)</f>
        <v>0</v>
      </c>
      <c r="AC93" s="124" cm="1">
        <f t="array" ref="AC93">+_xll.EQNXTDZ($A$1,$B93,AC$1,$B$1)</f>
        <v>0</v>
      </c>
      <c r="AD93" s="124" cm="1">
        <f t="array" ref="AD93">+_xll.EQNXTDZ($A$1,$B93,AD$1,$B$1)</f>
        <v>0</v>
      </c>
      <c r="AE93" s="124" cm="1">
        <f t="array" ref="AE93">+_xll.EQNXTDZ($A$1,$B93,AE$1,$B$1)</f>
        <v>0</v>
      </c>
      <c r="AF93" s="124" cm="1">
        <f t="array" ref="AF93">+_xll.EQNXTDZ($A$1,$B93,AF$1,$B$1)</f>
        <v>0</v>
      </c>
      <c r="AG93" s="124" cm="1">
        <f t="array" ref="AG93">+_xll.EQNXTDZ($A$1,$B93,AG$1,$B$1)</f>
        <v>0</v>
      </c>
      <c r="AH93" s="124" cm="1">
        <f t="array" ref="AH93">+_xll.EQNXTDZ($A$1,$B93,AH$1,$B$1)</f>
        <v>0</v>
      </c>
      <c r="AI93" s="124" cm="1">
        <f t="array" ref="AI93">+_xll.EQNXTDZ($A$1,$B93,AI$1,$B$1)</f>
        <v>0</v>
      </c>
      <c r="AJ93" s="124" cm="1">
        <f t="array" ref="AJ93">+_xll.EQNXTDZ($A$1,$B93,AJ$1,$B$1)</f>
        <v>0</v>
      </c>
      <c r="AK93" s="124" cm="1">
        <f t="array" ref="AK93">+_xll.EQNXTDZ($A$1,$B93,AK$1,$B$1)</f>
        <v>0</v>
      </c>
      <c r="AL93" s="124" cm="1">
        <f t="array" ref="AL93">+_xll.EQNXTDZ($A$1,$B93,AL$1,$B$1)</f>
        <v>0</v>
      </c>
      <c r="AM93" s="124" cm="1">
        <f t="array" ref="AM93">+_xll.EQNXTDZ($A$1,$B93,AM$1,$B$1)</f>
        <v>0</v>
      </c>
      <c r="AN93" s="124" cm="1">
        <f t="array" ref="AN93">+_xll.EQNXTDZ($A$1,$B93,AN$1,$B$1)</f>
        <v>0</v>
      </c>
      <c r="AO93" s="124" cm="1">
        <f t="array" ref="AO93">+_xll.EQNXTDZ($A$1,$B93,AO$1,$B$1)</f>
        <v>0</v>
      </c>
      <c r="AP93" s="124" cm="1">
        <f t="array" ref="AP93">+_xll.EQNXTDZ($A$1,$B93,AP$1,$B$1)</f>
        <v>0</v>
      </c>
      <c r="AQ93" s="124" cm="1">
        <f t="array" ref="AQ93">+_xll.EQNXTDZ($A$1,$B93,AQ$1,$B$1)</f>
        <v>0</v>
      </c>
      <c r="AR93" s="124" cm="1">
        <f t="array" ref="AR93">+_xll.EQNXTDZ($A$1,$B93,AR$1,$B$1)</f>
        <v>0</v>
      </c>
      <c r="AS93" s="124" cm="1">
        <f t="array" ref="AS93">+_xll.EQNXTDZ($A$1,$B93,AS$1,$B$1)</f>
        <v>0</v>
      </c>
      <c r="AT93" s="124" cm="1">
        <f t="array" ref="AT93">+_xll.EQNXTDZ($A$1,$B93,AT$1,$B$1)</f>
        <v>0</v>
      </c>
      <c r="AU93" s="124" cm="1">
        <f t="array" ref="AU93">+_xll.EQNXTDZ($A$1,$B93,AU$1,$B$1)</f>
        <v>0</v>
      </c>
      <c r="AV93" s="124" cm="1">
        <f t="array" ref="AV93">+_xll.EQNXTDZ($A$1,$B93,AV$1,$B$1)</f>
        <v>0</v>
      </c>
      <c r="AW93" s="124" cm="1">
        <f t="array" ref="AW93">+_xll.EQNXTDZ($A$1,$B93,AW$1,$B$1)</f>
        <v>0</v>
      </c>
      <c r="AX93" s="124" cm="1">
        <f t="array" ref="AX93">+_xll.EQNXTDZ($A$1,$B93,AX$1,$B$1)</f>
        <v>0</v>
      </c>
      <c r="AY93" s="124" cm="1">
        <f t="array" ref="AY93">+_xll.EQNXTDZ($A$1,$B93,AY$1,$B$1)</f>
        <v>0</v>
      </c>
      <c r="AZ93" s="124" cm="1">
        <f t="array" ref="AZ93">+_xll.EQNXTDZ($A$1,$B93,AZ$1,$B$1)</f>
        <v>0</v>
      </c>
      <c r="BA93" s="124" cm="1">
        <f t="array" ref="BA93">+_xll.EQNXTDZ($A$1,$B93,BA$1,$B$1)</f>
        <v>0</v>
      </c>
      <c r="BB93" s="124" cm="1">
        <f t="array" ref="BB93">+_xll.EQNXTDZ($A$1,$B93,BB$1,$B$1)</f>
        <v>0</v>
      </c>
      <c r="BC93" s="124" cm="1">
        <f t="array" ref="BC93">+_xll.EQNXTDZ($A$1,$B93,BC$1,$B$1)</f>
        <v>0</v>
      </c>
      <c r="BD93" s="124" cm="1">
        <f t="array" ref="BD93">+_xll.EQNXTDZ($A$1,$B93,BD$1,$B$1)</f>
        <v>0</v>
      </c>
      <c r="BE93" s="124" cm="1">
        <f t="array" ref="BE93">+_xll.EQNXTDZ($A$1,$B93,BE$1,$B$1)</f>
        <v>0</v>
      </c>
      <c r="BF93" s="124" cm="1">
        <f t="array" ref="BF93">+_xll.EQNXTDZ($A$1,$B93,BF$1,$B$1)</f>
        <v>0</v>
      </c>
      <c r="BG93" s="124" cm="1">
        <f t="array" ref="BG93">+_xll.EQNXTDZ($A$1,$B93,BG$1,$B$1)</f>
        <v>0</v>
      </c>
      <c r="BH93" s="124" cm="1">
        <f t="array" ref="BH93">+_xll.EQNXTDZ($A$1,$B93,BH$1,$B$1)</f>
        <v>0</v>
      </c>
      <c r="BI93" s="124" cm="1">
        <f t="array" ref="BI93">+_xll.EQNXTDZ($A$1,$B93,BI$1,$B$1)</f>
        <v>0</v>
      </c>
      <c r="BJ93" s="124" cm="1">
        <f t="array" ref="BJ93">+_xll.EQNXTDZ($A$1,$B93,BJ$1,$B$1)</f>
        <v>0</v>
      </c>
      <c r="BK93" s="124" cm="1">
        <f t="array" ref="BK93">+_xll.EQNXTDZ($A$1,$B93,BK$1,$B$1)</f>
        <v>0</v>
      </c>
    </row>
    <row r="94" spans="1:63" x14ac:dyDescent="0.25">
      <c r="A94" t="s">
        <v>230</v>
      </c>
      <c r="B94" t="s">
        <v>352</v>
      </c>
      <c r="C94" s="124" cm="1">
        <f t="array" ref="C94">+_xll.EQNXTDZ($A$1,$B94,C$1,$B$1)</f>
        <v>0</v>
      </c>
      <c r="D94" s="124" cm="1">
        <f t="array" ref="D94">+_xll.EQNXTDZ($A$1,$B94,D$1,$B$1)</f>
        <v>0</v>
      </c>
      <c r="E94" s="124" cm="1">
        <f t="array" ref="E94">+_xll.EQNXTDZ($A$1,$B94,E$1,$B$1)</f>
        <v>0</v>
      </c>
      <c r="F94" s="124" cm="1">
        <f t="array" ref="F94">+_xll.EQNXTDZ($A$1,$B94,F$1,$B$1)</f>
        <v>0</v>
      </c>
      <c r="G94" s="124" cm="1">
        <f t="array" ref="G94">+_xll.EQNXTDZ($A$1,$B94,G$1,$B$1)</f>
        <v>0</v>
      </c>
      <c r="H94" s="124" cm="1">
        <f t="array" ref="H94">+_xll.EQNXTDZ($A$1,$B94,H$1,$B$1)</f>
        <v>0</v>
      </c>
      <c r="I94" s="124" cm="1">
        <f t="array" ref="I94">+_xll.EQNXTDZ($A$1,$B94,I$1,$B$1)</f>
        <v>0</v>
      </c>
      <c r="J94" s="124" cm="1">
        <f t="array" ref="J94">+_xll.EQNXTDZ($A$1,$B94,J$1,$B$1)</f>
        <v>0</v>
      </c>
      <c r="K94" s="124" cm="1">
        <f t="array" ref="K94">+_xll.EQNXTDZ($A$1,$B94,K$1,$B$1)</f>
        <v>0</v>
      </c>
      <c r="L94" s="124" cm="1">
        <f t="array" ref="L94">+_xll.EQNXTDZ($A$1,$B94,L$1,$B$1)</f>
        <v>0</v>
      </c>
      <c r="M94" s="124" cm="1">
        <f t="array" ref="M94">+_xll.EQNXTDZ($A$1,$B94,M$1,$B$1)</f>
        <v>0</v>
      </c>
      <c r="N94" s="124" cm="1">
        <f t="array" ref="N94">+_xll.EQNXTDZ($A$1,$B94,N$1,$B$1)</f>
        <v>0</v>
      </c>
      <c r="O94" s="124" cm="1">
        <f t="array" ref="O94">+_xll.EQNXTDZ($A$1,$B94,O$1,$B$1)</f>
        <v>0</v>
      </c>
      <c r="P94" s="124" cm="1">
        <f t="array" ref="P94">+_xll.EQNXTDZ($A$1,$B94,P$1,$B$1)</f>
        <v>0</v>
      </c>
      <c r="Q94" s="124" cm="1">
        <f t="array" ref="Q94">+_xll.EQNXTDZ($A$1,$B94,Q$1,$B$1)</f>
        <v>0</v>
      </c>
      <c r="R94" s="124" cm="1">
        <f t="array" ref="R94">+_xll.EQNXTDZ($A$1,$B94,R$1,$B$1)</f>
        <v>0</v>
      </c>
      <c r="S94" s="124" cm="1">
        <f t="array" ref="S94">+_xll.EQNXTDZ($A$1,$B94,S$1,$B$1)</f>
        <v>0</v>
      </c>
      <c r="T94" s="124" cm="1">
        <f t="array" ref="T94">+_xll.EQNXTDZ($A$1,$B94,T$1,$B$1)</f>
        <v>0</v>
      </c>
      <c r="U94" s="124" cm="1">
        <f t="array" ref="U94">+_xll.EQNXTDZ($A$1,$B94,U$1,$B$1)</f>
        <v>0</v>
      </c>
      <c r="V94" s="124" cm="1">
        <f t="array" ref="V94">+_xll.EQNXTDZ($A$1,$B94,V$1,$B$1)</f>
        <v>0</v>
      </c>
      <c r="W94" s="124" cm="1">
        <f t="array" ref="W94">+_xll.EQNXTDZ($A$1,$B94,W$1,$B$1)</f>
        <v>0</v>
      </c>
      <c r="X94" s="124" cm="1">
        <f t="array" ref="X94">+_xll.EQNXTDZ($A$1,$B94,X$1,$B$1)</f>
        <v>0</v>
      </c>
      <c r="Y94" s="124" cm="1">
        <f t="array" ref="Y94">+_xll.EQNXTDZ($A$1,$B94,Y$1,$B$1)</f>
        <v>0</v>
      </c>
      <c r="Z94" s="124" cm="1">
        <f t="array" ref="Z94">+_xll.EQNXTDZ($A$1,$B94,Z$1,$B$1)</f>
        <v>0</v>
      </c>
      <c r="AA94" s="124" cm="1">
        <f t="array" ref="AA94">+_xll.EQNXTDZ($A$1,$B94,AA$1,$B$1)</f>
        <v>0</v>
      </c>
      <c r="AB94" s="124" cm="1">
        <f t="array" ref="AB94">+_xll.EQNXTDZ($A$1,$B94,AB$1,$B$1)</f>
        <v>0</v>
      </c>
      <c r="AC94" s="124" cm="1">
        <f t="array" ref="AC94">+_xll.EQNXTDZ($A$1,$B94,AC$1,$B$1)</f>
        <v>0</v>
      </c>
      <c r="AD94" s="124" cm="1">
        <f t="array" ref="AD94">+_xll.EQNXTDZ($A$1,$B94,AD$1,$B$1)</f>
        <v>0</v>
      </c>
      <c r="AE94" s="124" cm="1">
        <f t="array" ref="AE94">+_xll.EQNXTDZ($A$1,$B94,AE$1,$B$1)</f>
        <v>0</v>
      </c>
      <c r="AF94" s="124" cm="1">
        <f t="array" ref="AF94">+_xll.EQNXTDZ($A$1,$B94,AF$1,$B$1)</f>
        <v>0</v>
      </c>
      <c r="AG94" s="124" cm="1">
        <f t="array" ref="AG94">+_xll.EQNXTDZ($A$1,$B94,AG$1,$B$1)</f>
        <v>0</v>
      </c>
      <c r="AH94" s="124" cm="1">
        <f t="array" ref="AH94">+_xll.EQNXTDZ($A$1,$B94,AH$1,$B$1)</f>
        <v>0</v>
      </c>
      <c r="AI94" s="124" cm="1">
        <f t="array" ref="AI94">+_xll.EQNXTDZ($A$1,$B94,AI$1,$B$1)</f>
        <v>0</v>
      </c>
      <c r="AJ94" s="124" cm="1">
        <f t="array" ref="AJ94">+_xll.EQNXTDZ($A$1,$B94,AJ$1,$B$1)</f>
        <v>0</v>
      </c>
      <c r="AK94" s="124" cm="1">
        <f t="array" ref="AK94">+_xll.EQNXTDZ($A$1,$B94,AK$1,$B$1)</f>
        <v>0</v>
      </c>
      <c r="AL94" s="124" cm="1">
        <f t="array" ref="AL94">+_xll.EQNXTDZ($A$1,$B94,AL$1,$B$1)</f>
        <v>0</v>
      </c>
      <c r="AM94" s="124" cm="1">
        <f t="array" ref="AM94">+_xll.EQNXTDZ($A$1,$B94,AM$1,$B$1)</f>
        <v>0</v>
      </c>
      <c r="AN94" s="124" cm="1">
        <f t="array" ref="AN94">+_xll.EQNXTDZ($A$1,$B94,AN$1,$B$1)</f>
        <v>0</v>
      </c>
      <c r="AO94" s="124" cm="1">
        <f t="array" ref="AO94">+_xll.EQNXTDZ($A$1,$B94,AO$1,$B$1)</f>
        <v>0</v>
      </c>
      <c r="AP94" s="124" cm="1">
        <f t="array" ref="AP94">+_xll.EQNXTDZ($A$1,$B94,AP$1,$B$1)</f>
        <v>0</v>
      </c>
      <c r="AQ94" s="124" cm="1">
        <f t="array" ref="AQ94">+_xll.EQNXTDZ($A$1,$B94,AQ$1,$B$1)</f>
        <v>0</v>
      </c>
      <c r="AR94" s="124" cm="1">
        <f t="array" ref="AR94">+_xll.EQNXTDZ($A$1,$B94,AR$1,$B$1)</f>
        <v>0</v>
      </c>
      <c r="AS94" s="124" cm="1">
        <f t="array" ref="AS94">+_xll.EQNXTDZ($A$1,$B94,AS$1,$B$1)</f>
        <v>0</v>
      </c>
      <c r="AT94" s="124" cm="1">
        <f t="array" ref="AT94">+_xll.EQNXTDZ($A$1,$B94,AT$1,$B$1)</f>
        <v>0</v>
      </c>
      <c r="AU94" s="124" cm="1">
        <f t="array" ref="AU94">+_xll.EQNXTDZ($A$1,$B94,AU$1,$B$1)</f>
        <v>0</v>
      </c>
      <c r="AV94" s="124" cm="1">
        <f t="array" ref="AV94">+_xll.EQNXTDZ($A$1,$B94,AV$1,$B$1)</f>
        <v>0</v>
      </c>
      <c r="AW94" s="124" cm="1">
        <f t="array" ref="AW94">+_xll.EQNXTDZ($A$1,$B94,AW$1,$B$1)</f>
        <v>0</v>
      </c>
      <c r="AX94" s="124" cm="1">
        <f t="array" ref="AX94">+_xll.EQNXTDZ($A$1,$B94,AX$1,$B$1)</f>
        <v>0</v>
      </c>
      <c r="AY94" s="124" cm="1">
        <f t="array" ref="AY94">+_xll.EQNXTDZ($A$1,$B94,AY$1,$B$1)</f>
        <v>0</v>
      </c>
      <c r="AZ94" s="124" cm="1">
        <f t="array" ref="AZ94">+_xll.EQNXTDZ($A$1,$B94,AZ$1,$B$1)</f>
        <v>0</v>
      </c>
      <c r="BA94" s="124" cm="1">
        <f t="array" ref="BA94">+_xll.EQNXTDZ($A$1,$B94,BA$1,$B$1)</f>
        <v>0</v>
      </c>
      <c r="BB94" s="124" cm="1">
        <f t="array" ref="BB94">+_xll.EQNXTDZ($A$1,$B94,BB$1,$B$1)</f>
        <v>0</v>
      </c>
      <c r="BC94" s="124" cm="1">
        <f t="array" ref="BC94">+_xll.EQNXTDZ($A$1,$B94,BC$1,$B$1)</f>
        <v>0</v>
      </c>
      <c r="BD94" s="124" cm="1">
        <f t="array" ref="BD94">+_xll.EQNXTDZ($A$1,$B94,BD$1,$B$1)</f>
        <v>0</v>
      </c>
      <c r="BE94" s="124" cm="1">
        <f t="array" ref="BE94">+_xll.EQNXTDZ($A$1,$B94,BE$1,$B$1)</f>
        <v>0</v>
      </c>
      <c r="BF94" s="124" cm="1">
        <f t="array" ref="BF94">+_xll.EQNXTDZ($A$1,$B94,BF$1,$B$1)</f>
        <v>0</v>
      </c>
      <c r="BG94" s="124" cm="1">
        <f t="array" ref="BG94">+_xll.EQNXTDZ($A$1,$B94,BG$1,$B$1)</f>
        <v>0</v>
      </c>
      <c r="BH94" s="124" cm="1">
        <f t="array" ref="BH94">+_xll.EQNXTDZ($A$1,$B94,BH$1,$B$1)</f>
        <v>0</v>
      </c>
      <c r="BI94" s="124" cm="1">
        <f t="array" ref="BI94">+_xll.EQNXTDZ($A$1,$B94,BI$1,$B$1)</f>
        <v>0</v>
      </c>
      <c r="BJ94" s="124" cm="1">
        <f t="array" ref="BJ94">+_xll.EQNXTDZ($A$1,$B94,BJ$1,$B$1)</f>
        <v>0</v>
      </c>
      <c r="BK94" s="124" cm="1">
        <f t="array" ref="BK94">+_xll.EQNXTDZ($A$1,$B94,BK$1,$B$1)</f>
        <v>0</v>
      </c>
    </row>
    <row r="95" spans="1:63" x14ac:dyDescent="0.25">
      <c r="A95" t="s">
        <v>231</v>
      </c>
      <c r="B95" t="s">
        <v>353</v>
      </c>
      <c r="C95" s="124" cm="1">
        <f t="array" ref="C95">+_xll.EQNXTDZ($A$1,$B95,C$1,$B$1)</f>
        <v>0</v>
      </c>
      <c r="D95" s="124" cm="1">
        <f t="array" ref="D95">+_xll.EQNXTDZ($A$1,$B95,D$1,$B$1)</f>
        <v>0</v>
      </c>
      <c r="E95" s="124" cm="1">
        <f t="array" ref="E95">+_xll.EQNXTDZ($A$1,$B95,E$1,$B$1)</f>
        <v>0</v>
      </c>
      <c r="F95" s="124" cm="1">
        <f t="array" ref="F95">+_xll.EQNXTDZ($A$1,$B95,F$1,$B$1)</f>
        <v>0</v>
      </c>
      <c r="G95" s="124" cm="1">
        <f t="array" ref="G95">+_xll.EQNXTDZ($A$1,$B95,G$1,$B$1)</f>
        <v>0</v>
      </c>
      <c r="H95" s="124" cm="1">
        <f t="array" ref="H95">+_xll.EQNXTDZ($A$1,$B95,H$1,$B$1)</f>
        <v>0</v>
      </c>
      <c r="I95" s="124" cm="1">
        <f t="array" ref="I95">+_xll.EQNXTDZ($A$1,$B95,I$1,$B$1)</f>
        <v>0</v>
      </c>
      <c r="J95" s="124" cm="1">
        <f t="array" ref="J95">+_xll.EQNXTDZ($A$1,$B95,J$1,$B$1)</f>
        <v>0</v>
      </c>
      <c r="K95" s="124" cm="1">
        <f t="array" ref="K95">+_xll.EQNXTDZ($A$1,$B95,K$1,$B$1)</f>
        <v>0</v>
      </c>
      <c r="L95" s="124" cm="1">
        <f t="array" ref="L95">+_xll.EQNXTDZ($A$1,$B95,L$1,$B$1)</f>
        <v>0</v>
      </c>
      <c r="M95" s="124" cm="1">
        <f t="array" ref="M95">+_xll.EQNXTDZ($A$1,$B95,M$1,$B$1)</f>
        <v>0</v>
      </c>
      <c r="N95" s="124" cm="1">
        <f t="array" ref="N95">+_xll.EQNXTDZ($A$1,$B95,N$1,$B$1)</f>
        <v>0</v>
      </c>
      <c r="O95" s="124" cm="1">
        <f t="array" ref="O95">+_xll.EQNXTDZ($A$1,$B95,O$1,$B$1)</f>
        <v>0</v>
      </c>
      <c r="P95" s="124" cm="1">
        <f t="array" ref="P95">+_xll.EQNXTDZ($A$1,$B95,P$1,$B$1)</f>
        <v>0</v>
      </c>
      <c r="Q95" s="124" cm="1">
        <f t="array" ref="Q95">+_xll.EQNXTDZ($A$1,$B95,Q$1,$B$1)</f>
        <v>0</v>
      </c>
      <c r="R95" s="124" cm="1">
        <f t="array" ref="R95">+_xll.EQNXTDZ($A$1,$B95,R$1,$B$1)</f>
        <v>0</v>
      </c>
      <c r="S95" s="124" cm="1">
        <f t="array" ref="S95">+_xll.EQNXTDZ($A$1,$B95,S$1,$B$1)</f>
        <v>0</v>
      </c>
      <c r="T95" s="124" cm="1">
        <f t="array" ref="T95">+_xll.EQNXTDZ($A$1,$B95,T$1,$B$1)</f>
        <v>0</v>
      </c>
      <c r="U95" s="124" cm="1">
        <f t="array" ref="U95">+_xll.EQNXTDZ($A$1,$B95,U$1,$B$1)</f>
        <v>0</v>
      </c>
      <c r="V95" s="124" cm="1">
        <f t="array" ref="V95">+_xll.EQNXTDZ($A$1,$B95,V$1,$B$1)</f>
        <v>0</v>
      </c>
      <c r="W95" s="124" cm="1">
        <f t="array" ref="W95">+_xll.EQNXTDZ($A$1,$B95,W$1,$B$1)</f>
        <v>0</v>
      </c>
      <c r="X95" s="124" cm="1">
        <f t="array" ref="X95">+_xll.EQNXTDZ($A$1,$B95,X$1,$B$1)</f>
        <v>0</v>
      </c>
      <c r="Y95" s="124" cm="1">
        <f t="array" ref="Y95">+_xll.EQNXTDZ($A$1,$B95,Y$1,$B$1)</f>
        <v>0</v>
      </c>
      <c r="Z95" s="124" cm="1">
        <f t="array" ref="Z95">+_xll.EQNXTDZ($A$1,$B95,Z$1,$B$1)</f>
        <v>0</v>
      </c>
      <c r="AA95" s="124" cm="1">
        <f t="array" ref="AA95">+_xll.EQNXTDZ($A$1,$B95,AA$1,$B$1)</f>
        <v>0</v>
      </c>
      <c r="AB95" s="124" cm="1">
        <f t="array" ref="AB95">+_xll.EQNXTDZ($A$1,$B95,AB$1,$B$1)</f>
        <v>0</v>
      </c>
      <c r="AC95" s="124" cm="1">
        <f t="array" ref="AC95">+_xll.EQNXTDZ($A$1,$B95,AC$1,$B$1)</f>
        <v>0</v>
      </c>
      <c r="AD95" s="124" cm="1">
        <f t="array" ref="AD95">+_xll.EQNXTDZ($A$1,$B95,AD$1,$B$1)</f>
        <v>0</v>
      </c>
      <c r="AE95" s="124" cm="1">
        <f t="array" ref="AE95">+_xll.EQNXTDZ($A$1,$B95,AE$1,$B$1)</f>
        <v>0</v>
      </c>
      <c r="AF95" s="124" cm="1">
        <f t="array" ref="AF95">+_xll.EQNXTDZ($A$1,$B95,AF$1,$B$1)</f>
        <v>0</v>
      </c>
      <c r="AG95" s="124" cm="1">
        <f t="array" ref="AG95">+_xll.EQNXTDZ($A$1,$B95,AG$1,$B$1)</f>
        <v>0</v>
      </c>
      <c r="AH95" s="124" cm="1">
        <f t="array" ref="AH95">+_xll.EQNXTDZ($A$1,$B95,AH$1,$B$1)</f>
        <v>0</v>
      </c>
      <c r="AI95" s="124" cm="1">
        <f t="array" ref="AI95">+_xll.EQNXTDZ($A$1,$B95,AI$1,$B$1)</f>
        <v>0</v>
      </c>
      <c r="AJ95" s="124" cm="1">
        <f t="array" ref="AJ95">+_xll.EQNXTDZ($A$1,$B95,AJ$1,$B$1)</f>
        <v>0</v>
      </c>
      <c r="AK95" s="124" cm="1">
        <f t="array" ref="AK95">+_xll.EQNXTDZ($A$1,$B95,AK$1,$B$1)</f>
        <v>0</v>
      </c>
      <c r="AL95" s="124" cm="1">
        <f t="array" ref="AL95">+_xll.EQNXTDZ($A$1,$B95,AL$1,$B$1)</f>
        <v>0</v>
      </c>
      <c r="AM95" s="124" cm="1">
        <f t="array" ref="AM95">+_xll.EQNXTDZ($A$1,$B95,AM$1,$B$1)</f>
        <v>0</v>
      </c>
      <c r="AN95" s="124" cm="1">
        <f t="array" ref="AN95">+_xll.EQNXTDZ($A$1,$B95,AN$1,$B$1)</f>
        <v>0</v>
      </c>
      <c r="AO95" s="124" cm="1">
        <f t="array" ref="AO95">+_xll.EQNXTDZ($A$1,$B95,AO$1,$B$1)</f>
        <v>0</v>
      </c>
      <c r="AP95" s="124" cm="1">
        <f t="array" ref="AP95">+_xll.EQNXTDZ($A$1,$B95,AP$1,$B$1)</f>
        <v>0</v>
      </c>
      <c r="AQ95" s="124" cm="1">
        <f t="array" ref="AQ95">+_xll.EQNXTDZ($A$1,$B95,AQ$1,$B$1)</f>
        <v>0</v>
      </c>
      <c r="AR95" s="124" cm="1">
        <f t="array" ref="AR95">+_xll.EQNXTDZ($A$1,$B95,AR$1,$B$1)</f>
        <v>0</v>
      </c>
      <c r="AS95" s="124" cm="1">
        <f t="array" ref="AS95">+_xll.EQNXTDZ($A$1,$B95,AS$1,$B$1)</f>
        <v>0</v>
      </c>
      <c r="AT95" s="124" cm="1">
        <f t="array" ref="AT95">+_xll.EQNXTDZ($A$1,$B95,AT$1,$B$1)</f>
        <v>0</v>
      </c>
      <c r="AU95" s="124" cm="1">
        <f t="array" ref="AU95">+_xll.EQNXTDZ($A$1,$B95,AU$1,$B$1)</f>
        <v>0</v>
      </c>
      <c r="AV95" s="124" cm="1">
        <f t="array" ref="AV95">+_xll.EQNXTDZ($A$1,$B95,AV$1,$B$1)</f>
        <v>0</v>
      </c>
      <c r="AW95" s="124" cm="1">
        <f t="array" ref="AW95">+_xll.EQNXTDZ($A$1,$B95,AW$1,$B$1)</f>
        <v>0</v>
      </c>
      <c r="AX95" s="124" cm="1">
        <f t="array" ref="AX95">+_xll.EQNXTDZ($A$1,$B95,AX$1,$B$1)</f>
        <v>0</v>
      </c>
      <c r="AY95" s="124" cm="1">
        <f t="array" ref="AY95">+_xll.EQNXTDZ($A$1,$B95,AY$1,$B$1)</f>
        <v>0</v>
      </c>
      <c r="AZ95" s="124" cm="1">
        <f t="array" ref="AZ95">+_xll.EQNXTDZ($A$1,$B95,AZ$1,$B$1)</f>
        <v>0</v>
      </c>
      <c r="BA95" s="124" cm="1">
        <f t="array" ref="BA95">+_xll.EQNXTDZ($A$1,$B95,BA$1,$B$1)</f>
        <v>0</v>
      </c>
      <c r="BB95" s="124" cm="1">
        <f t="array" ref="BB95">+_xll.EQNXTDZ($A$1,$B95,BB$1,$B$1)</f>
        <v>0</v>
      </c>
      <c r="BC95" s="124" cm="1">
        <f t="array" ref="BC95">+_xll.EQNXTDZ($A$1,$B95,BC$1,$B$1)</f>
        <v>0</v>
      </c>
      <c r="BD95" s="124" cm="1">
        <f t="array" ref="BD95">+_xll.EQNXTDZ($A$1,$B95,BD$1,$B$1)</f>
        <v>0</v>
      </c>
      <c r="BE95" s="124" cm="1">
        <f t="array" ref="BE95">+_xll.EQNXTDZ($A$1,$B95,BE$1,$B$1)</f>
        <v>0</v>
      </c>
      <c r="BF95" s="124" cm="1">
        <f t="array" ref="BF95">+_xll.EQNXTDZ($A$1,$B95,BF$1,$B$1)</f>
        <v>0</v>
      </c>
      <c r="BG95" s="124" cm="1">
        <f t="array" ref="BG95">+_xll.EQNXTDZ($A$1,$B95,BG$1,$B$1)</f>
        <v>0</v>
      </c>
      <c r="BH95" s="124" cm="1">
        <f t="array" ref="BH95">+_xll.EQNXTDZ($A$1,$B95,BH$1,$B$1)</f>
        <v>0</v>
      </c>
      <c r="BI95" s="124" cm="1">
        <f t="array" ref="BI95">+_xll.EQNXTDZ($A$1,$B95,BI$1,$B$1)</f>
        <v>0</v>
      </c>
      <c r="BJ95" s="124" cm="1">
        <f t="array" ref="BJ95">+_xll.EQNXTDZ($A$1,$B95,BJ$1,$B$1)</f>
        <v>0</v>
      </c>
      <c r="BK95" s="124" cm="1">
        <f t="array" ref="BK95">+_xll.EQNXTDZ($A$1,$B95,BK$1,$B$1)</f>
        <v>0</v>
      </c>
    </row>
    <row r="96" spans="1:63" x14ac:dyDescent="0.25">
      <c r="A96" t="s">
        <v>232</v>
      </c>
      <c r="B96" t="s">
        <v>354</v>
      </c>
      <c r="C96" s="124" cm="1">
        <f t="array" ref="C96">+_xll.EQNXTDZ($A$1,$B96,C$1,$B$1)</f>
        <v>0</v>
      </c>
      <c r="D96" s="124" cm="1">
        <f t="array" ref="D96">+_xll.EQNXTDZ($A$1,$B96,D$1,$B$1)</f>
        <v>0</v>
      </c>
      <c r="E96" s="124" cm="1">
        <f t="array" ref="E96">+_xll.EQNXTDZ($A$1,$B96,E$1,$B$1)</f>
        <v>0</v>
      </c>
      <c r="F96" s="124" cm="1">
        <f t="array" ref="F96">+_xll.EQNXTDZ($A$1,$B96,F$1,$B$1)</f>
        <v>0</v>
      </c>
      <c r="G96" s="124" cm="1">
        <f t="array" ref="G96">+_xll.EQNXTDZ($A$1,$B96,G$1,$B$1)</f>
        <v>0</v>
      </c>
      <c r="H96" s="124" cm="1">
        <f t="array" ref="H96">+_xll.EQNXTDZ($A$1,$B96,H$1,$B$1)</f>
        <v>0</v>
      </c>
      <c r="I96" s="124" cm="1">
        <f t="array" ref="I96">+_xll.EQNXTDZ($A$1,$B96,I$1,$B$1)</f>
        <v>0</v>
      </c>
      <c r="J96" s="124" cm="1">
        <f t="array" ref="J96">+_xll.EQNXTDZ($A$1,$B96,J$1,$B$1)</f>
        <v>0</v>
      </c>
      <c r="K96" s="124" cm="1">
        <f t="array" ref="K96">+_xll.EQNXTDZ($A$1,$B96,K$1,$B$1)</f>
        <v>0</v>
      </c>
      <c r="L96" s="124" cm="1">
        <f t="array" ref="L96">+_xll.EQNXTDZ($A$1,$B96,L$1,$B$1)</f>
        <v>0</v>
      </c>
      <c r="M96" s="124" cm="1">
        <f t="array" ref="M96">+_xll.EQNXTDZ($A$1,$B96,M$1,$B$1)</f>
        <v>0</v>
      </c>
      <c r="N96" s="124" cm="1">
        <f t="array" ref="N96">+_xll.EQNXTDZ($A$1,$B96,N$1,$B$1)</f>
        <v>0</v>
      </c>
      <c r="O96" s="124" cm="1">
        <f t="array" ref="O96">+_xll.EQNXTDZ($A$1,$B96,O$1,$B$1)</f>
        <v>0</v>
      </c>
      <c r="P96" s="124" cm="1">
        <f t="array" ref="P96">+_xll.EQNXTDZ($A$1,$B96,P$1,$B$1)</f>
        <v>0</v>
      </c>
      <c r="Q96" s="124" cm="1">
        <f t="array" ref="Q96">+_xll.EQNXTDZ($A$1,$B96,Q$1,$B$1)</f>
        <v>0</v>
      </c>
      <c r="R96" s="124" cm="1">
        <f t="array" ref="R96">+_xll.EQNXTDZ($A$1,$B96,R$1,$B$1)</f>
        <v>0</v>
      </c>
      <c r="S96" s="124" cm="1">
        <f t="array" ref="S96">+_xll.EQNXTDZ($A$1,$B96,S$1,$B$1)</f>
        <v>0</v>
      </c>
      <c r="T96" s="124" cm="1">
        <f t="array" ref="T96">+_xll.EQNXTDZ($A$1,$B96,T$1,$B$1)</f>
        <v>0</v>
      </c>
      <c r="U96" s="124" cm="1">
        <f t="array" ref="U96">+_xll.EQNXTDZ($A$1,$B96,U$1,$B$1)</f>
        <v>0</v>
      </c>
      <c r="V96" s="124" cm="1">
        <f t="array" ref="V96">+_xll.EQNXTDZ($A$1,$B96,V$1,$B$1)</f>
        <v>0</v>
      </c>
      <c r="W96" s="124" cm="1">
        <f t="array" ref="W96">+_xll.EQNXTDZ($A$1,$B96,W$1,$B$1)</f>
        <v>0</v>
      </c>
      <c r="X96" s="124" cm="1">
        <f t="array" ref="X96">+_xll.EQNXTDZ($A$1,$B96,X$1,$B$1)</f>
        <v>0</v>
      </c>
      <c r="Y96" s="124" cm="1">
        <f t="array" ref="Y96">+_xll.EQNXTDZ($A$1,$B96,Y$1,$B$1)</f>
        <v>0</v>
      </c>
      <c r="Z96" s="124" cm="1">
        <f t="array" ref="Z96">+_xll.EQNXTDZ($A$1,$B96,Z$1,$B$1)</f>
        <v>0</v>
      </c>
      <c r="AA96" s="124" cm="1">
        <f t="array" ref="AA96">+_xll.EQNXTDZ($A$1,$B96,AA$1,$B$1)</f>
        <v>0</v>
      </c>
      <c r="AB96" s="124" cm="1">
        <f t="array" ref="AB96">+_xll.EQNXTDZ($A$1,$B96,AB$1,$B$1)</f>
        <v>0</v>
      </c>
      <c r="AC96" s="124" cm="1">
        <f t="array" ref="AC96">+_xll.EQNXTDZ($A$1,$B96,AC$1,$B$1)</f>
        <v>0</v>
      </c>
      <c r="AD96" s="124" cm="1">
        <f t="array" ref="AD96">+_xll.EQNXTDZ($A$1,$B96,AD$1,$B$1)</f>
        <v>0</v>
      </c>
      <c r="AE96" s="124" cm="1">
        <f t="array" ref="AE96">+_xll.EQNXTDZ($A$1,$B96,AE$1,$B$1)</f>
        <v>0</v>
      </c>
      <c r="AF96" s="124" cm="1">
        <f t="array" ref="AF96">+_xll.EQNXTDZ($A$1,$B96,AF$1,$B$1)</f>
        <v>0</v>
      </c>
      <c r="AG96" s="124" cm="1">
        <f t="array" ref="AG96">+_xll.EQNXTDZ($A$1,$B96,AG$1,$B$1)</f>
        <v>0</v>
      </c>
      <c r="AH96" s="124" cm="1">
        <f t="array" ref="AH96">+_xll.EQNXTDZ($A$1,$B96,AH$1,$B$1)</f>
        <v>0</v>
      </c>
      <c r="AI96" s="124" cm="1">
        <f t="array" ref="AI96">+_xll.EQNXTDZ($A$1,$B96,AI$1,$B$1)</f>
        <v>0</v>
      </c>
      <c r="AJ96" s="124" cm="1">
        <f t="array" ref="AJ96">+_xll.EQNXTDZ($A$1,$B96,AJ$1,$B$1)</f>
        <v>0</v>
      </c>
      <c r="AK96" s="124" cm="1">
        <f t="array" ref="AK96">+_xll.EQNXTDZ($A$1,$B96,AK$1,$B$1)</f>
        <v>0</v>
      </c>
      <c r="AL96" s="124" cm="1">
        <f t="array" ref="AL96">+_xll.EQNXTDZ($A$1,$B96,AL$1,$B$1)</f>
        <v>0</v>
      </c>
      <c r="AM96" s="124" cm="1">
        <f t="array" ref="AM96">+_xll.EQNXTDZ($A$1,$B96,AM$1,$B$1)</f>
        <v>0</v>
      </c>
      <c r="AN96" s="124" cm="1">
        <f t="array" ref="AN96">+_xll.EQNXTDZ($A$1,$B96,AN$1,$B$1)</f>
        <v>0</v>
      </c>
      <c r="AO96" s="124" cm="1">
        <f t="array" ref="AO96">+_xll.EQNXTDZ($A$1,$B96,AO$1,$B$1)</f>
        <v>0</v>
      </c>
      <c r="AP96" s="124" cm="1">
        <f t="array" ref="AP96">+_xll.EQNXTDZ($A$1,$B96,AP$1,$B$1)</f>
        <v>0</v>
      </c>
      <c r="AQ96" s="124" cm="1">
        <f t="array" ref="AQ96">+_xll.EQNXTDZ($A$1,$B96,AQ$1,$B$1)</f>
        <v>0</v>
      </c>
      <c r="AR96" s="124" cm="1">
        <f t="array" ref="AR96">+_xll.EQNXTDZ($A$1,$B96,AR$1,$B$1)</f>
        <v>0</v>
      </c>
      <c r="AS96" s="124" cm="1">
        <f t="array" ref="AS96">+_xll.EQNXTDZ($A$1,$B96,AS$1,$B$1)</f>
        <v>0</v>
      </c>
      <c r="AT96" s="124" cm="1">
        <f t="array" ref="AT96">+_xll.EQNXTDZ($A$1,$B96,AT$1,$B$1)</f>
        <v>0</v>
      </c>
      <c r="AU96" s="124" cm="1">
        <f t="array" ref="AU96">+_xll.EQNXTDZ($A$1,$B96,AU$1,$B$1)</f>
        <v>0</v>
      </c>
      <c r="AV96" s="124" cm="1">
        <f t="array" ref="AV96">+_xll.EQNXTDZ($A$1,$B96,AV$1,$B$1)</f>
        <v>0</v>
      </c>
      <c r="AW96" s="124" cm="1">
        <f t="array" ref="AW96">+_xll.EQNXTDZ($A$1,$B96,AW$1,$B$1)</f>
        <v>0</v>
      </c>
      <c r="AX96" s="124" cm="1">
        <f t="array" ref="AX96">+_xll.EQNXTDZ($A$1,$B96,AX$1,$B$1)</f>
        <v>0</v>
      </c>
      <c r="AY96" s="124" cm="1">
        <f t="array" ref="AY96">+_xll.EQNXTDZ($A$1,$B96,AY$1,$B$1)</f>
        <v>0</v>
      </c>
      <c r="AZ96" s="124" cm="1">
        <f t="array" ref="AZ96">+_xll.EQNXTDZ($A$1,$B96,AZ$1,$B$1)</f>
        <v>0</v>
      </c>
      <c r="BA96" s="124" cm="1">
        <f t="array" ref="BA96">+_xll.EQNXTDZ($A$1,$B96,BA$1,$B$1)</f>
        <v>0</v>
      </c>
      <c r="BB96" s="124" cm="1">
        <f t="array" ref="BB96">+_xll.EQNXTDZ($A$1,$B96,BB$1,$B$1)</f>
        <v>0</v>
      </c>
      <c r="BC96" s="124" cm="1">
        <f t="array" ref="BC96">+_xll.EQNXTDZ($A$1,$B96,BC$1,$B$1)</f>
        <v>0</v>
      </c>
      <c r="BD96" s="124" cm="1">
        <f t="array" ref="BD96">+_xll.EQNXTDZ($A$1,$B96,BD$1,$B$1)</f>
        <v>0</v>
      </c>
      <c r="BE96" s="124" cm="1">
        <f t="array" ref="BE96">+_xll.EQNXTDZ($A$1,$B96,BE$1,$B$1)</f>
        <v>0</v>
      </c>
      <c r="BF96" s="124" cm="1">
        <f t="array" ref="BF96">+_xll.EQNXTDZ($A$1,$B96,BF$1,$B$1)</f>
        <v>0</v>
      </c>
      <c r="BG96" s="124" cm="1">
        <f t="array" ref="BG96">+_xll.EQNXTDZ($A$1,$B96,BG$1,$B$1)</f>
        <v>0</v>
      </c>
      <c r="BH96" s="124" cm="1">
        <f t="array" ref="BH96">+_xll.EQNXTDZ($A$1,$B96,BH$1,$B$1)</f>
        <v>0</v>
      </c>
      <c r="BI96" s="124" cm="1">
        <f t="array" ref="BI96">+_xll.EQNXTDZ($A$1,$B96,BI$1,$B$1)</f>
        <v>0</v>
      </c>
      <c r="BJ96" s="124" cm="1">
        <f t="array" ref="BJ96">+_xll.EQNXTDZ($A$1,$B96,BJ$1,$B$1)</f>
        <v>0</v>
      </c>
      <c r="BK96" s="124" cm="1">
        <f t="array" ref="BK96">+_xll.EQNXTDZ($A$1,$B96,BK$1,$B$1)</f>
        <v>0</v>
      </c>
    </row>
    <row r="97" spans="1:63" x14ac:dyDescent="0.25">
      <c r="A97" t="s">
        <v>102</v>
      </c>
      <c r="B97" t="s">
        <v>355</v>
      </c>
      <c r="C97" s="124" cm="1">
        <f t="array" ref="C97">+_xll.EQNXTDZ($A$1,$B97,C$1,$B$1)</f>
        <v>0</v>
      </c>
      <c r="D97" s="124" cm="1">
        <f t="array" ref="D97">+_xll.EQNXTDZ($A$1,$B97,D$1,$B$1)</f>
        <v>0</v>
      </c>
      <c r="E97" s="124" cm="1">
        <f t="array" ref="E97">+_xll.EQNXTDZ($A$1,$B97,E$1,$B$1)</f>
        <v>0</v>
      </c>
      <c r="F97" s="124" cm="1">
        <f t="array" ref="F97">+_xll.EQNXTDZ($A$1,$B97,F$1,$B$1)</f>
        <v>0</v>
      </c>
      <c r="G97" s="124" cm="1">
        <f t="array" ref="G97">+_xll.EQNXTDZ($A$1,$B97,G$1,$B$1)</f>
        <v>0</v>
      </c>
      <c r="H97" s="124" cm="1">
        <f t="array" ref="H97">+_xll.EQNXTDZ($A$1,$B97,H$1,$B$1)</f>
        <v>0</v>
      </c>
      <c r="I97" s="124" cm="1">
        <f t="array" ref="I97">+_xll.EQNXTDZ($A$1,$B97,I$1,$B$1)</f>
        <v>0</v>
      </c>
      <c r="J97" s="124" cm="1">
        <f t="array" ref="J97">+_xll.EQNXTDZ($A$1,$B97,J$1,$B$1)</f>
        <v>0</v>
      </c>
      <c r="K97" s="124" cm="1">
        <f t="array" ref="K97">+_xll.EQNXTDZ($A$1,$B97,K$1,$B$1)</f>
        <v>0</v>
      </c>
      <c r="L97" s="124" cm="1">
        <f t="array" ref="L97">+_xll.EQNXTDZ($A$1,$B97,L$1,$B$1)</f>
        <v>0</v>
      </c>
      <c r="M97" s="124" cm="1">
        <f t="array" ref="M97">+_xll.EQNXTDZ($A$1,$B97,M$1,$B$1)</f>
        <v>0</v>
      </c>
      <c r="N97" s="124" cm="1">
        <f t="array" ref="N97">+_xll.EQNXTDZ($A$1,$B97,N$1,$B$1)</f>
        <v>0</v>
      </c>
      <c r="O97" s="124" cm="1">
        <f t="array" ref="O97">+_xll.EQNXTDZ($A$1,$B97,O$1,$B$1)</f>
        <v>0</v>
      </c>
      <c r="P97" s="124" cm="1">
        <f t="array" ref="P97">+_xll.EQNXTDZ($A$1,$B97,P$1,$B$1)</f>
        <v>0</v>
      </c>
      <c r="Q97" s="124" cm="1">
        <f t="array" ref="Q97">+_xll.EQNXTDZ($A$1,$B97,Q$1,$B$1)</f>
        <v>0</v>
      </c>
      <c r="R97" s="124" cm="1">
        <f t="array" ref="R97">+_xll.EQNXTDZ($A$1,$B97,R$1,$B$1)</f>
        <v>0</v>
      </c>
      <c r="S97" s="124" cm="1">
        <f t="array" ref="S97">+_xll.EQNXTDZ($A$1,$B97,S$1,$B$1)</f>
        <v>0</v>
      </c>
      <c r="T97" s="124" cm="1">
        <f t="array" ref="T97">+_xll.EQNXTDZ($A$1,$B97,T$1,$B$1)</f>
        <v>0</v>
      </c>
      <c r="U97" s="124" cm="1">
        <f t="array" ref="U97">+_xll.EQNXTDZ($A$1,$B97,U$1,$B$1)</f>
        <v>0</v>
      </c>
      <c r="V97" s="124" cm="1">
        <f t="array" ref="V97">+_xll.EQNXTDZ($A$1,$B97,V$1,$B$1)</f>
        <v>0</v>
      </c>
      <c r="W97" s="124" cm="1">
        <f t="array" ref="W97">+_xll.EQNXTDZ($A$1,$B97,W$1,$B$1)</f>
        <v>0</v>
      </c>
      <c r="X97" s="124" cm="1">
        <f t="array" ref="X97">+_xll.EQNXTDZ($A$1,$B97,X$1,$B$1)</f>
        <v>0</v>
      </c>
      <c r="Y97" s="124" cm="1">
        <f t="array" ref="Y97">+_xll.EQNXTDZ($A$1,$B97,Y$1,$B$1)</f>
        <v>0</v>
      </c>
      <c r="Z97" s="124" cm="1">
        <f t="array" ref="Z97">+_xll.EQNXTDZ($A$1,$B97,Z$1,$B$1)</f>
        <v>0</v>
      </c>
      <c r="AA97" s="124" cm="1">
        <f t="array" ref="AA97">+_xll.EQNXTDZ($A$1,$B97,AA$1,$B$1)</f>
        <v>0</v>
      </c>
      <c r="AB97" s="124" cm="1">
        <f t="array" ref="AB97">+_xll.EQNXTDZ($A$1,$B97,AB$1,$B$1)</f>
        <v>0</v>
      </c>
      <c r="AC97" s="124" cm="1">
        <f t="array" ref="AC97">+_xll.EQNXTDZ($A$1,$B97,AC$1,$B$1)</f>
        <v>0</v>
      </c>
      <c r="AD97" s="124" cm="1">
        <f t="array" ref="AD97">+_xll.EQNXTDZ($A$1,$B97,AD$1,$B$1)</f>
        <v>0</v>
      </c>
      <c r="AE97" s="124" cm="1">
        <f t="array" ref="AE97">+_xll.EQNXTDZ($A$1,$B97,AE$1,$B$1)</f>
        <v>0</v>
      </c>
      <c r="AF97" s="124" cm="1">
        <f t="array" ref="AF97">+_xll.EQNXTDZ($A$1,$B97,AF$1,$B$1)</f>
        <v>0</v>
      </c>
      <c r="AG97" s="124" cm="1">
        <f t="array" ref="AG97">+_xll.EQNXTDZ($A$1,$B97,AG$1,$B$1)</f>
        <v>0</v>
      </c>
      <c r="AH97" s="124" cm="1">
        <f t="array" ref="AH97">+_xll.EQNXTDZ($A$1,$B97,AH$1,$B$1)</f>
        <v>0</v>
      </c>
      <c r="AI97" s="124" cm="1">
        <f t="array" ref="AI97">+_xll.EQNXTDZ($A$1,$B97,AI$1,$B$1)</f>
        <v>0</v>
      </c>
      <c r="AJ97" s="124" cm="1">
        <f t="array" ref="AJ97">+_xll.EQNXTDZ($A$1,$B97,AJ$1,$B$1)</f>
        <v>0</v>
      </c>
      <c r="AK97" s="124" cm="1">
        <f t="array" ref="AK97">+_xll.EQNXTDZ($A$1,$B97,AK$1,$B$1)</f>
        <v>0</v>
      </c>
      <c r="AL97" s="124" cm="1">
        <f t="array" ref="AL97">+_xll.EQNXTDZ($A$1,$B97,AL$1,$B$1)</f>
        <v>0</v>
      </c>
      <c r="AM97" s="124" cm="1">
        <f t="array" ref="AM97">+_xll.EQNXTDZ($A$1,$B97,AM$1,$B$1)</f>
        <v>0</v>
      </c>
      <c r="AN97" s="124" cm="1">
        <f t="array" ref="AN97">+_xll.EQNXTDZ($A$1,$B97,AN$1,$B$1)</f>
        <v>0</v>
      </c>
      <c r="AO97" s="124" cm="1">
        <f t="array" ref="AO97">+_xll.EQNXTDZ($A$1,$B97,AO$1,$B$1)</f>
        <v>0</v>
      </c>
      <c r="AP97" s="124" cm="1">
        <f t="array" ref="AP97">+_xll.EQNXTDZ($A$1,$B97,AP$1,$B$1)</f>
        <v>0</v>
      </c>
      <c r="AQ97" s="124" cm="1">
        <f t="array" ref="AQ97">+_xll.EQNXTDZ($A$1,$B97,AQ$1,$B$1)</f>
        <v>0</v>
      </c>
      <c r="AR97" s="124" cm="1">
        <f t="array" ref="AR97">+_xll.EQNXTDZ($A$1,$B97,AR$1,$B$1)</f>
        <v>0</v>
      </c>
      <c r="AS97" s="124" cm="1">
        <f t="array" ref="AS97">+_xll.EQNXTDZ($A$1,$B97,AS$1,$B$1)</f>
        <v>0</v>
      </c>
      <c r="AT97" s="124" cm="1">
        <f t="array" ref="AT97">+_xll.EQNXTDZ($A$1,$B97,AT$1,$B$1)</f>
        <v>0</v>
      </c>
      <c r="AU97" s="124" cm="1">
        <f t="array" ref="AU97">+_xll.EQNXTDZ($A$1,$B97,AU$1,$B$1)</f>
        <v>0</v>
      </c>
      <c r="AV97" s="124" cm="1">
        <f t="array" ref="AV97">+_xll.EQNXTDZ($A$1,$B97,AV$1,$B$1)</f>
        <v>0</v>
      </c>
      <c r="AW97" s="124" cm="1">
        <f t="array" ref="AW97">+_xll.EQNXTDZ($A$1,$B97,AW$1,$B$1)</f>
        <v>0</v>
      </c>
      <c r="AX97" s="124" cm="1">
        <f t="array" ref="AX97">+_xll.EQNXTDZ($A$1,$B97,AX$1,$B$1)</f>
        <v>0</v>
      </c>
      <c r="AY97" s="124" cm="1">
        <f t="array" ref="AY97">+_xll.EQNXTDZ($A$1,$B97,AY$1,$B$1)</f>
        <v>0</v>
      </c>
      <c r="AZ97" s="124" cm="1">
        <f t="array" ref="AZ97">+_xll.EQNXTDZ($A$1,$B97,AZ$1,$B$1)</f>
        <v>0</v>
      </c>
      <c r="BA97" s="124" cm="1">
        <f t="array" ref="BA97">+_xll.EQNXTDZ($A$1,$B97,BA$1,$B$1)</f>
        <v>0</v>
      </c>
      <c r="BB97" s="124" cm="1">
        <f t="array" ref="BB97">+_xll.EQNXTDZ($A$1,$B97,BB$1,$B$1)</f>
        <v>0</v>
      </c>
      <c r="BC97" s="124" cm="1">
        <f t="array" ref="BC97">+_xll.EQNXTDZ($A$1,$B97,BC$1,$B$1)</f>
        <v>0</v>
      </c>
      <c r="BD97" s="124" cm="1">
        <f t="array" ref="BD97">+_xll.EQNXTDZ($A$1,$B97,BD$1,$B$1)</f>
        <v>0</v>
      </c>
      <c r="BE97" s="124" cm="1">
        <f t="array" ref="BE97">+_xll.EQNXTDZ($A$1,$B97,BE$1,$B$1)</f>
        <v>0</v>
      </c>
      <c r="BF97" s="124" cm="1">
        <f t="array" ref="BF97">+_xll.EQNXTDZ($A$1,$B97,BF$1,$B$1)</f>
        <v>0</v>
      </c>
      <c r="BG97" s="124" cm="1">
        <f t="array" ref="BG97">+_xll.EQNXTDZ($A$1,$B97,BG$1,$B$1)</f>
        <v>0</v>
      </c>
      <c r="BH97" s="124" cm="1">
        <f t="array" ref="BH97">+_xll.EQNXTDZ($A$1,$B97,BH$1,$B$1)</f>
        <v>0</v>
      </c>
      <c r="BI97" s="124" cm="1">
        <f t="array" ref="BI97">+_xll.EQNXTDZ($A$1,$B97,BI$1,$B$1)</f>
        <v>0</v>
      </c>
      <c r="BJ97" s="124" cm="1">
        <f t="array" ref="BJ97">+_xll.EQNXTDZ($A$1,$B97,BJ$1,$B$1)</f>
        <v>0</v>
      </c>
      <c r="BK97" s="124" cm="1">
        <f t="array" ref="BK97">+_xll.EQNXTDZ($A$1,$B97,BK$1,$B$1)</f>
        <v>0</v>
      </c>
    </row>
    <row r="98" spans="1:63" x14ac:dyDescent="0.25">
      <c r="A98" t="s">
        <v>103</v>
      </c>
      <c r="B98" t="s">
        <v>356</v>
      </c>
      <c r="C98" s="124" cm="1">
        <f t="array" ref="C98">+_xll.EQNXTDZ($A$1,$B98,C$1,$B$1)</f>
        <v>0</v>
      </c>
      <c r="D98" s="124" cm="1">
        <f t="array" ref="D98">+_xll.EQNXTDZ($A$1,$B98,D$1,$B$1)</f>
        <v>0</v>
      </c>
      <c r="E98" s="124" cm="1">
        <f t="array" ref="E98">+_xll.EQNXTDZ($A$1,$B98,E$1,$B$1)</f>
        <v>0</v>
      </c>
      <c r="F98" s="124" cm="1">
        <f t="array" ref="F98">+_xll.EQNXTDZ($A$1,$B98,F$1,$B$1)</f>
        <v>0</v>
      </c>
      <c r="G98" s="124" cm="1">
        <f t="array" ref="G98">+_xll.EQNXTDZ($A$1,$B98,G$1,$B$1)</f>
        <v>0</v>
      </c>
      <c r="H98" s="124" cm="1">
        <f t="array" ref="H98">+_xll.EQNXTDZ($A$1,$B98,H$1,$B$1)</f>
        <v>0</v>
      </c>
      <c r="I98" s="124" cm="1">
        <f t="array" ref="I98">+_xll.EQNXTDZ($A$1,$B98,I$1,$B$1)</f>
        <v>0</v>
      </c>
      <c r="J98" s="124" cm="1">
        <f t="array" ref="J98">+_xll.EQNXTDZ($A$1,$B98,J$1,$B$1)</f>
        <v>0</v>
      </c>
      <c r="K98" s="124" cm="1">
        <f t="array" ref="K98">+_xll.EQNXTDZ($A$1,$B98,K$1,$B$1)</f>
        <v>0</v>
      </c>
      <c r="L98" s="124" cm="1">
        <f t="array" ref="L98">+_xll.EQNXTDZ($A$1,$B98,L$1,$B$1)</f>
        <v>0</v>
      </c>
      <c r="M98" s="124" cm="1">
        <f t="array" ref="M98">+_xll.EQNXTDZ($A$1,$B98,M$1,$B$1)</f>
        <v>0</v>
      </c>
      <c r="N98" s="124" cm="1">
        <f t="array" ref="N98">+_xll.EQNXTDZ($A$1,$B98,N$1,$B$1)</f>
        <v>0</v>
      </c>
      <c r="O98" s="124" cm="1">
        <f t="array" ref="O98">+_xll.EQNXTDZ($A$1,$B98,O$1,$B$1)</f>
        <v>0</v>
      </c>
      <c r="P98" s="124" cm="1">
        <f t="array" ref="P98">+_xll.EQNXTDZ($A$1,$B98,P$1,$B$1)</f>
        <v>0</v>
      </c>
      <c r="Q98" s="124" cm="1">
        <f t="array" ref="Q98">+_xll.EQNXTDZ($A$1,$B98,Q$1,$B$1)</f>
        <v>0</v>
      </c>
      <c r="R98" s="124" cm="1">
        <f t="array" ref="R98">+_xll.EQNXTDZ($A$1,$B98,R$1,$B$1)</f>
        <v>0</v>
      </c>
      <c r="S98" s="124" cm="1">
        <f t="array" ref="S98">+_xll.EQNXTDZ($A$1,$B98,S$1,$B$1)</f>
        <v>0</v>
      </c>
      <c r="T98" s="124" cm="1">
        <f t="array" ref="T98">+_xll.EQNXTDZ($A$1,$B98,T$1,$B$1)</f>
        <v>0</v>
      </c>
      <c r="U98" s="124" cm="1">
        <f t="array" ref="U98">+_xll.EQNXTDZ($A$1,$B98,U$1,$B$1)</f>
        <v>0</v>
      </c>
      <c r="V98" s="124" cm="1">
        <f t="array" ref="V98">+_xll.EQNXTDZ($A$1,$B98,V$1,$B$1)</f>
        <v>0</v>
      </c>
      <c r="W98" s="124" cm="1">
        <f t="array" ref="W98">+_xll.EQNXTDZ($A$1,$B98,W$1,$B$1)</f>
        <v>0</v>
      </c>
      <c r="X98" s="124" cm="1">
        <f t="array" ref="X98">+_xll.EQNXTDZ($A$1,$B98,X$1,$B$1)</f>
        <v>0</v>
      </c>
      <c r="Y98" s="124" cm="1">
        <f t="array" ref="Y98">+_xll.EQNXTDZ($A$1,$B98,Y$1,$B$1)</f>
        <v>0</v>
      </c>
      <c r="Z98" s="124" cm="1">
        <f t="array" ref="Z98">+_xll.EQNXTDZ($A$1,$B98,Z$1,$B$1)</f>
        <v>0</v>
      </c>
      <c r="AA98" s="124" cm="1">
        <f t="array" ref="AA98">+_xll.EQNXTDZ($A$1,$B98,AA$1,$B$1)</f>
        <v>0</v>
      </c>
      <c r="AB98" s="124" cm="1">
        <f t="array" ref="AB98">+_xll.EQNXTDZ($A$1,$B98,AB$1,$B$1)</f>
        <v>0</v>
      </c>
      <c r="AC98" s="124" cm="1">
        <f t="array" ref="AC98">+_xll.EQNXTDZ($A$1,$B98,AC$1,$B$1)</f>
        <v>0</v>
      </c>
      <c r="AD98" s="124" cm="1">
        <f t="array" ref="AD98">+_xll.EQNXTDZ($A$1,$B98,AD$1,$B$1)</f>
        <v>0</v>
      </c>
      <c r="AE98" s="124" cm="1">
        <f t="array" ref="AE98">+_xll.EQNXTDZ($A$1,$B98,AE$1,$B$1)</f>
        <v>0</v>
      </c>
      <c r="AF98" s="124" cm="1">
        <f t="array" ref="AF98">+_xll.EQNXTDZ($A$1,$B98,AF$1,$B$1)</f>
        <v>0</v>
      </c>
      <c r="AG98" s="124" cm="1">
        <f t="array" ref="AG98">+_xll.EQNXTDZ($A$1,$B98,AG$1,$B$1)</f>
        <v>0</v>
      </c>
      <c r="AH98" s="124" cm="1">
        <f t="array" ref="AH98">+_xll.EQNXTDZ($A$1,$B98,AH$1,$B$1)</f>
        <v>0</v>
      </c>
      <c r="AI98" s="124" cm="1">
        <f t="array" ref="AI98">+_xll.EQNXTDZ($A$1,$B98,AI$1,$B$1)</f>
        <v>0</v>
      </c>
      <c r="AJ98" s="124" cm="1">
        <f t="array" ref="AJ98">+_xll.EQNXTDZ($A$1,$B98,AJ$1,$B$1)</f>
        <v>0</v>
      </c>
      <c r="AK98" s="124" cm="1">
        <f t="array" ref="AK98">+_xll.EQNXTDZ($A$1,$B98,AK$1,$B$1)</f>
        <v>0</v>
      </c>
      <c r="AL98" s="124" cm="1">
        <f t="array" ref="AL98">+_xll.EQNXTDZ($A$1,$B98,AL$1,$B$1)</f>
        <v>0</v>
      </c>
      <c r="AM98" s="124" cm="1">
        <f t="array" ref="AM98">+_xll.EQNXTDZ($A$1,$B98,AM$1,$B$1)</f>
        <v>0</v>
      </c>
      <c r="AN98" s="124" cm="1">
        <f t="array" ref="AN98">+_xll.EQNXTDZ($A$1,$B98,AN$1,$B$1)</f>
        <v>0</v>
      </c>
      <c r="AO98" s="124" cm="1">
        <f t="array" ref="AO98">+_xll.EQNXTDZ($A$1,$B98,AO$1,$B$1)</f>
        <v>0</v>
      </c>
      <c r="AP98" s="124" cm="1">
        <f t="array" ref="AP98">+_xll.EQNXTDZ($A$1,$B98,AP$1,$B$1)</f>
        <v>0</v>
      </c>
      <c r="AQ98" s="124" cm="1">
        <f t="array" ref="AQ98">+_xll.EQNXTDZ($A$1,$B98,AQ$1,$B$1)</f>
        <v>0</v>
      </c>
      <c r="AR98" s="124" cm="1">
        <f t="array" ref="AR98">+_xll.EQNXTDZ($A$1,$B98,AR$1,$B$1)</f>
        <v>0</v>
      </c>
      <c r="AS98" s="124" cm="1">
        <f t="array" ref="AS98">+_xll.EQNXTDZ($A$1,$B98,AS$1,$B$1)</f>
        <v>0</v>
      </c>
      <c r="AT98" s="124" cm="1">
        <f t="array" ref="AT98">+_xll.EQNXTDZ($A$1,$B98,AT$1,$B$1)</f>
        <v>0</v>
      </c>
      <c r="AU98" s="124" cm="1">
        <f t="array" ref="AU98">+_xll.EQNXTDZ($A$1,$B98,AU$1,$B$1)</f>
        <v>0</v>
      </c>
      <c r="AV98" s="124" cm="1">
        <f t="array" ref="AV98">+_xll.EQNXTDZ($A$1,$B98,AV$1,$B$1)</f>
        <v>0</v>
      </c>
      <c r="AW98" s="124" cm="1">
        <f t="array" ref="AW98">+_xll.EQNXTDZ($A$1,$B98,AW$1,$B$1)</f>
        <v>0</v>
      </c>
      <c r="AX98" s="124" cm="1">
        <f t="array" ref="AX98">+_xll.EQNXTDZ($A$1,$B98,AX$1,$B$1)</f>
        <v>0</v>
      </c>
      <c r="AY98" s="124" cm="1">
        <f t="array" ref="AY98">+_xll.EQNXTDZ($A$1,$B98,AY$1,$B$1)</f>
        <v>0</v>
      </c>
      <c r="AZ98" s="124" cm="1">
        <f t="array" ref="AZ98">+_xll.EQNXTDZ($A$1,$B98,AZ$1,$B$1)</f>
        <v>0</v>
      </c>
      <c r="BA98" s="124" cm="1">
        <f t="array" ref="BA98">+_xll.EQNXTDZ($A$1,$B98,BA$1,$B$1)</f>
        <v>0</v>
      </c>
      <c r="BB98" s="124" cm="1">
        <f t="array" ref="BB98">+_xll.EQNXTDZ($A$1,$B98,BB$1,$B$1)</f>
        <v>0</v>
      </c>
      <c r="BC98" s="124" cm="1">
        <f t="array" ref="BC98">+_xll.EQNXTDZ($A$1,$B98,BC$1,$B$1)</f>
        <v>0</v>
      </c>
      <c r="BD98" s="124" cm="1">
        <f t="array" ref="BD98">+_xll.EQNXTDZ($A$1,$B98,BD$1,$B$1)</f>
        <v>0</v>
      </c>
      <c r="BE98" s="124" cm="1">
        <f t="array" ref="BE98">+_xll.EQNXTDZ($A$1,$B98,BE$1,$B$1)</f>
        <v>0</v>
      </c>
      <c r="BF98" s="124" cm="1">
        <f t="array" ref="BF98">+_xll.EQNXTDZ($A$1,$B98,BF$1,$B$1)</f>
        <v>0</v>
      </c>
      <c r="BG98" s="124" cm="1">
        <f t="array" ref="BG98">+_xll.EQNXTDZ($A$1,$B98,BG$1,$B$1)</f>
        <v>0</v>
      </c>
      <c r="BH98" s="124" cm="1">
        <f t="array" ref="BH98">+_xll.EQNXTDZ($A$1,$B98,BH$1,$B$1)</f>
        <v>0</v>
      </c>
      <c r="BI98" s="124" cm="1">
        <f t="array" ref="BI98">+_xll.EQNXTDZ($A$1,$B98,BI$1,$B$1)</f>
        <v>0</v>
      </c>
      <c r="BJ98" s="124" cm="1">
        <f t="array" ref="BJ98">+_xll.EQNXTDZ($A$1,$B98,BJ$1,$B$1)</f>
        <v>0</v>
      </c>
      <c r="BK98" s="124" cm="1">
        <f t="array" ref="BK98">+_xll.EQNXTDZ($A$1,$B98,BK$1,$B$1)</f>
        <v>0</v>
      </c>
    </row>
    <row r="99" spans="1:63" x14ac:dyDescent="0.25">
      <c r="A99" t="s">
        <v>104</v>
      </c>
      <c r="B99" t="s">
        <v>357</v>
      </c>
      <c r="C99" s="124" cm="1">
        <f t="array" ref="C99">+_xll.EQNXTDZ($A$1,$B99,C$1,$B$1)</f>
        <v>0</v>
      </c>
      <c r="D99" s="124" cm="1">
        <f t="array" ref="D99">+_xll.EQNXTDZ($A$1,$B99,D$1,$B$1)</f>
        <v>0</v>
      </c>
      <c r="E99" s="124" cm="1">
        <f t="array" ref="E99">+_xll.EQNXTDZ($A$1,$B99,E$1,$B$1)</f>
        <v>0</v>
      </c>
      <c r="F99" s="124" cm="1">
        <f t="array" ref="F99">+_xll.EQNXTDZ($A$1,$B99,F$1,$B$1)</f>
        <v>0</v>
      </c>
      <c r="G99" s="124" cm="1">
        <f t="array" ref="G99">+_xll.EQNXTDZ($A$1,$B99,G$1,$B$1)</f>
        <v>0</v>
      </c>
      <c r="H99" s="124" cm="1">
        <f t="array" ref="H99">+_xll.EQNXTDZ($A$1,$B99,H$1,$B$1)</f>
        <v>0</v>
      </c>
      <c r="I99" s="124" cm="1">
        <f t="array" ref="I99">+_xll.EQNXTDZ($A$1,$B99,I$1,$B$1)</f>
        <v>0</v>
      </c>
      <c r="J99" s="124" cm="1">
        <f t="array" ref="J99">+_xll.EQNXTDZ($A$1,$B99,J$1,$B$1)</f>
        <v>0</v>
      </c>
      <c r="K99" s="124" cm="1">
        <f t="array" ref="K99">+_xll.EQNXTDZ($A$1,$B99,K$1,$B$1)</f>
        <v>0</v>
      </c>
      <c r="L99" s="124" cm="1">
        <f t="array" ref="L99">+_xll.EQNXTDZ($A$1,$B99,L$1,$B$1)</f>
        <v>0</v>
      </c>
      <c r="M99" s="124" cm="1">
        <f t="array" ref="M99">+_xll.EQNXTDZ($A$1,$B99,M$1,$B$1)</f>
        <v>0</v>
      </c>
      <c r="N99" s="124" cm="1">
        <f t="array" ref="N99">+_xll.EQNXTDZ($A$1,$B99,N$1,$B$1)</f>
        <v>0</v>
      </c>
      <c r="O99" s="124" cm="1">
        <f t="array" ref="O99">+_xll.EQNXTDZ($A$1,$B99,O$1,$B$1)</f>
        <v>0</v>
      </c>
      <c r="P99" s="124" cm="1">
        <f t="array" ref="P99">+_xll.EQNXTDZ($A$1,$B99,P$1,$B$1)</f>
        <v>0</v>
      </c>
      <c r="Q99" s="124" cm="1">
        <f t="array" ref="Q99">+_xll.EQNXTDZ($A$1,$B99,Q$1,$B$1)</f>
        <v>0</v>
      </c>
      <c r="R99" s="124" cm="1">
        <f t="array" ref="R99">+_xll.EQNXTDZ($A$1,$B99,R$1,$B$1)</f>
        <v>0</v>
      </c>
      <c r="S99" s="124" cm="1">
        <f t="array" ref="S99">+_xll.EQNXTDZ($A$1,$B99,S$1,$B$1)</f>
        <v>0</v>
      </c>
      <c r="T99" s="124" cm="1">
        <f t="array" ref="T99">+_xll.EQNXTDZ($A$1,$B99,T$1,$B$1)</f>
        <v>0</v>
      </c>
      <c r="U99" s="124" cm="1">
        <f t="array" ref="U99">+_xll.EQNXTDZ($A$1,$B99,U$1,$B$1)</f>
        <v>0</v>
      </c>
      <c r="V99" s="124" cm="1">
        <f t="array" ref="V99">+_xll.EQNXTDZ($A$1,$B99,V$1,$B$1)</f>
        <v>0</v>
      </c>
      <c r="W99" s="124" cm="1">
        <f t="array" ref="W99">+_xll.EQNXTDZ($A$1,$B99,W$1,$B$1)</f>
        <v>0</v>
      </c>
      <c r="X99" s="124" cm="1">
        <f t="array" ref="X99">+_xll.EQNXTDZ($A$1,$B99,X$1,$B$1)</f>
        <v>0</v>
      </c>
      <c r="Y99" s="124" cm="1">
        <f t="array" ref="Y99">+_xll.EQNXTDZ($A$1,$B99,Y$1,$B$1)</f>
        <v>0</v>
      </c>
      <c r="Z99" s="124" cm="1">
        <f t="array" ref="Z99">+_xll.EQNXTDZ($A$1,$B99,Z$1,$B$1)</f>
        <v>0</v>
      </c>
      <c r="AA99" s="124" cm="1">
        <f t="array" ref="AA99">+_xll.EQNXTDZ($A$1,$B99,AA$1,$B$1)</f>
        <v>0</v>
      </c>
      <c r="AB99" s="124" cm="1">
        <f t="array" ref="AB99">+_xll.EQNXTDZ($A$1,$B99,AB$1,$B$1)</f>
        <v>0</v>
      </c>
      <c r="AC99" s="124" cm="1">
        <f t="array" ref="AC99">+_xll.EQNXTDZ($A$1,$B99,AC$1,$B$1)</f>
        <v>0</v>
      </c>
      <c r="AD99" s="124" cm="1">
        <f t="array" ref="AD99">+_xll.EQNXTDZ($A$1,$B99,AD$1,$B$1)</f>
        <v>0</v>
      </c>
      <c r="AE99" s="124" cm="1">
        <f t="array" ref="AE99">+_xll.EQNXTDZ($A$1,$B99,AE$1,$B$1)</f>
        <v>0</v>
      </c>
      <c r="AF99" s="124" cm="1">
        <f t="array" ref="AF99">+_xll.EQNXTDZ($A$1,$B99,AF$1,$B$1)</f>
        <v>0</v>
      </c>
      <c r="AG99" s="124" cm="1">
        <f t="array" ref="AG99">+_xll.EQNXTDZ($A$1,$B99,AG$1,$B$1)</f>
        <v>0</v>
      </c>
      <c r="AH99" s="124" cm="1">
        <f t="array" ref="AH99">+_xll.EQNXTDZ($A$1,$B99,AH$1,$B$1)</f>
        <v>0</v>
      </c>
      <c r="AI99" s="124" cm="1">
        <f t="array" ref="AI99">+_xll.EQNXTDZ($A$1,$B99,AI$1,$B$1)</f>
        <v>0</v>
      </c>
      <c r="AJ99" s="124" cm="1">
        <f t="array" ref="AJ99">+_xll.EQNXTDZ($A$1,$B99,AJ$1,$B$1)</f>
        <v>0</v>
      </c>
      <c r="AK99" s="124" cm="1">
        <f t="array" ref="AK99">+_xll.EQNXTDZ($A$1,$B99,AK$1,$B$1)</f>
        <v>0</v>
      </c>
      <c r="AL99" s="124" cm="1">
        <f t="array" ref="AL99">+_xll.EQNXTDZ($A$1,$B99,AL$1,$B$1)</f>
        <v>0</v>
      </c>
      <c r="AM99" s="124" cm="1">
        <f t="array" ref="AM99">+_xll.EQNXTDZ($A$1,$B99,AM$1,$B$1)</f>
        <v>0</v>
      </c>
      <c r="AN99" s="124" cm="1">
        <f t="array" ref="AN99">+_xll.EQNXTDZ($A$1,$B99,AN$1,$B$1)</f>
        <v>0</v>
      </c>
      <c r="AO99" s="124" cm="1">
        <f t="array" ref="AO99">+_xll.EQNXTDZ($A$1,$B99,AO$1,$B$1)</f>
        <v>0</v>
      </c>
      <c r="AP99" s="124" cm="1">
        <f t="array" ref="AP99">+_xll.EQNXTDZ($A$1,$B99,AP$1,$B$1)</f>
        <v>0</v>
      </c>
      <c r="AQ99" s="124" cm="1">
        <f t="array" ref="AQ99">+_xll.EQNXTDZ($A$1,$B99,AQ$1,$B$1)</f>
        <v>0</v>
      </c>
      <c r="AR99" s="124" cm="1">
        <f t="array" ref="AR99">+_xll.EQNXTDZ($A$1,$B99,AR$1,$B$1)</f>
        <v>0</v>
      </c>
      <c r="AS99" s="124" cm="1">
        <f t="array" ref="AS99">+_xll.EQNXTDZ($A$1,$B99,AS$1,$B$1)</f>
        <v>0</v>
      </c>
      <c r="AT99" s="124" cm="1">
        <f t="array" ref="AT99">+_xll.EQNXTDZ($A$1,$B99,AT$1,$B$1)</f>
        <v>0</v>
      </c>
      <c r="AU99" s="124" cm="1">
        <f t="array" ref="AU99">+_xll.EQNXTDZ($A$1,$B99,AU$1,$B$1)</f>
        <v>0</v>
      </c>
      <c r="AV99" s="124" cm="1">
        <f t="array" ref="AV99">+_xll.EQNXTDZ($A$1,$B99,AV$1,$B$1)</f>
        <v>0</v>
      </c>
      <c r="AW99" s="124" cm="1">
        <f t="array" ref="AW99">+_xll.EQNXTDZ($A$1,$B99,AW$1,$B$1)</f>
        <v>0</v>
      </c>
      <c r="AX99" s="124" cm="1">
        <f t="array" ref="AX99">+_xll.EQNXTDZ($A$1,$B99,AX$1,$B$1)</f>
        <v>0</v>
      </c>
      <c r="AY99" s="124" cm="1">
        <f t="array" ref="AY99">+_xll.EQNXTDZ($A$1,$B99,AY$1,$B$1)</f>
        <v>0</v>
      </c>
      <c r="AZ99" s="124" cm="1">
        <f t="array" ref="AZ99">+_xll.EQNXTDZ($A$1,$B99,AZ$1,$B$1)</f>
        <v>0</v>
      </c>
      <c r="BA99" s="124" cm="1">
        <f t="array" ref="BA99">+_xll.EQNXTDZ($A$1,$B99,BA$1,$B$1)</f>
        <v>0</v>
      </c>
      <c r="BB99" s="124" cm="1">
        <f t="array" ref="BB99">+_xll.EQNXTDZ($A$1,$B99,BB$1,$B$1)</f>
        <v>0</v>
      </c>
      <c r="BC99" s="124" cm="1">
        <f t="array" ref="BC99">+_xll.EQNXTDZ($A$1,$B99,BC$1,$B$1)</f>
        <v>0</v>
      </c>
      <c r="BD99" s="124" cm="1">
        <f t="array" ref="BD99">+_xll.EQNXTDZ($A$1,$B99,BD$1,$B$1)</f>
        <v>0</v>
      </c>
      <c r="BE99" s="124" cm="1">
        <f t="array" ref="BE99">+_xll.EQNXTDZ($A$1,$B99,BE$1,$B$1)</f>
        <v>0</v>
      </c>
      <c r="BF99" s="124" cm="1">
        <f t="array" ref="BF99">+_xll.EQNXTDZ($A$1,$B99,BF$1,$B$1)</f>
        <v>0</v>
      </c>
      <c r="BG99" s="124" cm="1">
        <f t="array" ref="BG99">+_xll.EQNXTDZ($A$1,$B99,BG$1,$B$1)</f>
        <v>0</v>
      </c>
      <c r="BH99" s="124" cm="1">
        <f t="array" ref="BH99">+_xll.EQNXTDZ($A$1,$B99,BH$1,$B$1)</f>
        <v>0</v>
      </c>
      <c r="BI99" s="124" cm="1">
        <f t="array" ref="BI99">+_xll.EQNXTDZ($A$1,$B99,BI$1,$B$1)</f>
        <v>0</v>
      </c>
      <c r="BJ99" s="124" cm="1">
        <f t="array" ref="BJ99">+_xll.EQNXTDZ($A$1,$B99,BJ$1,$B$1)</f>
        <v>0</v>
      </c>
      <c r="BK99" s="124" cm="1">
        <f t="array" ref="BK99">+_xll.EQNXTDZ($A$1,$B99,BK$1,$B$1)</f>
        <v>0</v>
      </c>
    </row>
    <row r="105" spans="1:63" x14ac:dyDescent="0.25">
      <c r="A105" t="s">
        <v>53</v>
      </c>
      <c r="B105" t="s">
        <v>54</v>
      </c>
    </row>
    <row r="106" spans="1:63" x14ac:dyDescent="0.25">
      <c r="A106" t="s">
        <v>491</v>
      </c>
      <c r="B106" t="s">
        <v>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174</v>
      </c>
      <c r="B5" t="s">
        <v>175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151</v>
      </c>
      <c r="B6" t="s">
        <v>176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6" customFormat="1" x14ac:dyDescent="0.25">
      <c r="A7" s="106" t="s">
        <v>37</v>
      </c>
      <c r="B7" s="106" t="s">
        <v>177</v>
      </c>
      <c r="C7" s="106" cm="1">
        <f t="array" ref="C7">_xll.EQNXTDZ($A$1,$B7,C$1)</f>
        <v>0</v>
      </c>
      <c r="D7" s="106" cm="1">
        <f t="array" ref="D7">_xll.EQNXTDZ($A$1,$B7,D$1)</f>
        <v>0</v>
      </c>
      <c r="E7" s="106" cm="1">
        <f t="array" ref="E7">_xll.EQNXTDZ($A$1,$B7,E$1)</f>
        <v>0</v>
      </c>
      <c r="F7" s="106" cm="1">
        <f t="array" ref="F7">_xll.EQNXTDZ($A$1,$B7,F$1)</f>
        <v>0</v>
      </c>
      <c r="G7" s="106" cm="1">
        <f t="array" ref="G7">_xll.EQNXTDZ($A$1,$B7,G$1)</f>
        <v>0</v>
      </c>
      <c r="H7" s="106" cm="1">
        <f t="array" ref="H7">_xll.EQNXTDZ($A$1,$B7,H$1)</f>
        <v>0</v>
      </c>
      <c r="I7" s="106" cm="1">
        <f t="array" ref="I7">_xll.EQNXTDZ($A$1,$B7,I$1)</f>
        <v>0</v>
      </c>
      <c r="J7" s="106" cm="1">
        <f t="array" ref="J7">_xll.EQNXTDZ($A$1,$B7,J$1)</f>
        <v>0</v>
      </c>
      <c r="K7" s="106" cm="1">
        <f t="array" ref="K7">_xll.EQNXTDZ($A$1,$B7,K$1)</f>
        <v>0</v>
      </c>
      <c r="L7" s="106" cm="1">
        <f t="array" ref="L7">_xll.EQNXTDZ($A$1,$B7,L$1)</f>
        <v>0</v>
      </c>
      <c r="M7" s="106" cm="1">
        <f t="array" ref="M7">_xll.EQNXTDZ($A$1,$B7,M$1)</f>
        <v>0</v>
      </c>
      <c r="N7" s="106" cm="1">
        <f t="array" ref="N7">_xll.EQNXTDZ($A$1,$B7,N$1)</f>
        <v>0</v>
      </c>
      <c r="O7" s="106" cm="1">
        <f t="array" ref="O7">_xll.EQNXTDZ($A$1,$B7,O$1)</f>
        <v>0</v>
      </c>
      <c r="P7" s="106" cm="1">
        <f t="array" ref="P7">_xll.EQNXTDZ($A$1,$B7,P$1)</f>
        <v>0</v>
      </c>
      <c r="Q7" s="106" cm="1">
        <f t="array" ref="Q7">_xll.EQNXTDZ($A$1,$B7,Q$1)</f>
        <v>0</v>
      </c>
      <c r="R7" s="106" cm="1">
        <f t="array" ref="R7">_xll.EQNXTDZ($A$1,$B7,R$1)</f>
        <v>0</v>
      </c>
      <c r="S7" s="106" cm="1">
        <f t="array" ref="S7">_xll.EQNXTDZ($A$1,$B7,S$1)</f>
        <v>0</v>
      </c>
      <c r="T7" s="106" cm="1">
        <f t="array" ref="T7">_xll.EQNXTDZ($A$1,$B7,T$1)</f>
        <v>0</v>
      </c>
      <c r="U7" s="106" cm="1">
        <f t="array" ref="U7">_xll.EQNXTDZ($A$1,$B7,U$1)</f>
        <v>0</v>
      </c>
      <c r="V7" s="106" cm="1">
        <f t="array" ref="V7">_xll.EQNXTDZ($A$1,$B7,V$1)</f>
        <v>0</v>
      </c>
      <c r="W7" s="106" cm="1">
        <f t="array" ref="W7">_xll.EQNXTDZ($A$1,$B7,W$1)</f>
        <v>0</v>
      </c>
      <c r="X7" s="106" cm="1">
        <f t="array" ref="X7">_xll.EQNXTDZ($A$1,$B7,X$1)</f>
        <v>0</v>
      </c>
      <c r="Y7" s="106" cm="1">
        <f t="array" ref="Y7">_xll.EQNXTDZ($A$1,$B7,Y$1)</f>
        <v>0</v>
      </c>
      <c r="Z7" s="106" cm="1">
        <f t="array" ref="Z7">_xll.EQNXTDZ($A$1,$B7,Z$1)</f>
        <v>0</v>
      </c>
      <c r="AA7" s="106" cm="1">
        <f t="array" ref="AA7">_xll.EQNXTDZ($A$1,$B7,AA$1)</f>
        <v>0</v>
      </c>
      <c r="AB7" s="106" cm="1">
        <f t="array" ref="AB7">_xll.EQNXTDZ($A$1,$B7,AB$1)</f>
        <v>0</v>
      </c>
      <c r="AC7" s="106" cm="1">
        <f t="array" ref="AC7">_xll.EQNXTDZ($A$1,$B7,AC$1)</f>
        <v>0</v>
      </c>
      <c r="AD7" s="106" cm="1">
        <f t="array" ref="AD7">_xll.EQNXTDZ($A$1,$B7,AD$1)</f>
        <v>0</v>
      </c>
      <c r="AE7" s="106" cm="1">
        <f t="array" ref="AE7">_xll.EQNXTDZ($A$1,$B7,AE$1)</f>
        <v>0</v>
      </c>
      <c r="AF7" s="106" cm="1">
        <f t="array" ref="AF7">_xll.EQNXTDZ($A$1,$B7,AF$1)</f>
        <v>0</v>
      </c>
      <c r="AG7" s="106" cm="1">
        <f t="array" ref="AG7">_xll.EQNXTDZ($A$1,$B7,AG$1)</f>
        <v>0</v>
      </c>
      <c r="AH7" s="106" cm="1">
        <f t="array" ref="AH7">_xll.EQNXTDZ($A$1,$B7,AH$1)</f>
        <v>0</v>
      </c>
      <c r="AI7" s="106" cm="1">
        <f t="array" ref="AI7">_xll.EQNXTDZ($A$1,$B7,AI$1)</f>
        <v>0</v>
      </c>
      <c r="AJ7" s="106" cm="1">
        <f t="array" ref="AJ7">_xll.EQNXTDZ($A$1,$B7,AJ$1)</f>
        <v>0</v>
      </c>
      <c r="AK7" s="106" cm="1">
        <f t="array" ref="AK7">_xll.EQNXTDZ($A$1,$B7,AK$1)</f>
        <v>0</v>
      </c>
      <c r="AL7" s="106" cm="1">
        <f t="array" ref="AL7">_xll.EQNXTDZ($A$1,$B7,AL$1)</f>
        <v>0</v>
      </c>
      <c r="AM7" s="106" cm="1">
        <f t="array" ref="AM7">_xll.EQNXTDZ($A$1,$B7,AM$1)</f>
        <v>0</v>
      </c>
      <c r="AN7" s="106" cm="1">
        <f t="array" ref="AN7">_xll.EQNXTDZ($A$1,$B7,AN$1)</f>
        <v>0</v>
      </c>
      <c r="AO7" s="106" cm="1">
        <f t="array" ref="AO7">_xll.EQNXTDZ($A$1,$B7,AO$1)</f>
        <v>0</v>
      </c>
      <c r="AP7" s="106" cm="1">
        <f t="array" ref="AP7">_xll.EQNXTDZ($A$1,$B7,AP$1)</f>
        <v>0</v>
      </c>
      <c r="AQ7" s="106" cm="1">
        <f t="array" ref="AQ7">_xll.EQNXTDZ($A$1,$B7,AQ$1)</f>
        <v>0</v>
      </c>
      <c r="AR7" s="106" cm="1">
        <f t="array" ref="AR7">_xll.EQNXTDZ($A$1,$B7,AR$1)</f>
        <v>0</v>
      </c>
      <c r="AS7" s="106" cm="1">
        <f t="array" ref="AS7">_xll.EQNXTDZ($A$1,$B7,AS$1)</f>
        <v>0</v>
      </c>
      <c r="AT7" s="106" cm="1">
        <f t="array" ref="AT7">_xll.EQNXTDZ($A$1,$B7,AT$1)</f>
        <v>0</v>
      </c>
      <c r="AU7" s="106" cm="1">
        <f t="array" ref="AU7">_xll.EQNXTDZ($A$1,$B7,AU$1)</f>
        <v>0</v>
      </c>
      <c r="AV7" s="106" cm="1">
        <f t="array" ref="AV7">_xll.EQNXTDZ($A$1,$B7,AV$1)</f>
        <v>0</v>
      </c>
      <c r="AW7" s="106" cm="1">
        <f t="array" ref="AW7">_xll.EQNXTDZ($A$1,$B7,AW$1)</f>
        <v>0</v>
      </c>
      <c r="AX7" s="106" cm="1">
        <f t="array" ref="AX7">_xll.EQNXTDZ($A$1,$B7,AX$1)</f>
        <v>0</v>
      </c>
      <c r="AY7" s="106" cm="1">
        <f t="array" ref="AY7">_xll.EQNXTDZ($A$1,$B7,AY$1)</f>
        <v>0</v>
      </c>
      <c r="AZ7" s="106" cm="1">
        <f t="array" ref="AZ7">_xll.EQNXTDZ($A$1,$B7,AZ$1)</f>
        <v>0</v>
      </c>
      <c r="BA7" s="106" cm="1">
        <f t="array" ref="BA7">_xll.EQNXTDZ($A$1,$B7,BA$1)</f>
        <v>0</v>
      </c>
      <c r="BB7" s="106" cm="1">
        <f t="array" ref="BB7">_xll.EQNXTDZ($A$1,$B7,BB$1)</f>
        <v>0</v>
      </c>
      <c r="BC7" s="106" cm="1">
        <f t="array" ref="BC7">_xll.EQNXTDZ($A$1,$B7,BC$1)</f>
        <v>0</v>
      </c>
      <c r="BD7" s="106" cm="1">
        <f t="array" ref="BD7">_xll.EQNXTDZ($A$1,$B7,BD$1)</f>
        <v>0</v>
      </c>
      <c r="BE7" s="106" cm="1">
        <f t="array" ref="BE7">_xll.EQNXTDZ($A$1,$B7,BE$1)</f>
        <v>0</v>
      </c>
      <c r="BF7" s="106" cm="1">
        <f t="array" ref="BF7">_xll.EQNXTDZ($A$1,$B7,BF$1)</f>
        <v>0</v>
      </c>
      <c r="BG7" s="106" cm="1">
        <f t="array" ref="BG7">_xll.EQNXTDZ($A$1,$B7,BG$1)</f>
        <v>0</v>
      </c>
      <c r="BH7" s="106" cm="1">
        <f t="array" ref="BH7">_xll.EQNXTDZ($A$1,$B7,BH$1)</f>
        <v>0</v>
      </c>
      <c r="BI7" s="106" cm="1">
        <f t="array" ref="BI7">_xll.EQNXTDZ($A$1,$B7,BI$1)</f>
        <v>0</v>
      </c>
      <c r="BJ7" s="106" cm="1">
        <f t="array" ref="BJ7">_xll.EQNXTDZ($A$1,$B7,BJ$1)</f>
        <v>0</v>
      </c>
      <c r="BK7" s="106" cm="1">
        <f t="array" ref="BK7">_xll.EQNXTDZ($A$1,$B7,BK$1)</f>
        <v>0</v>
      </c>
      <c r="BL7" s="106" cm="1">
        <f t="array" ref="BL7">_xll.EQNXTDZ($A$1,$B7,BL$1)</f>
        <v>0</v>
      </c>
      <c r="BM7" s="106" cm="1">
        <f t="array" ref="BM7">_xll.EQNXTDZ($A$1,$B7,BM$1)</f>
        <v>0</v>
      </c>
      <c r="BN7" s="106" cm="1">
        <f t="array" ref="BN7">_xll.EQNXTDZ($A$1,$B7,BN$1)</f>
        <v>0</v>
      </c>
      <c r="BO7" s="106" cm="1">
        <f t="array" ref="BO7">_xll.EQNXTDZ($A$1,$B7,BO$1)</f>
        <v>0</v>
      </c>
      <c r="BP7" s="106" cm="1">
        <f t="array" ref="BP7">_xll.EQNXTDZ($A$1,$B7,BP$1)</f>
        <v>0</v>
      </c>
      <c r="BQ7" s="106" cm="1">
        <f t="array" ref="BQ7">_xll.EQNXTDZ($A$1,$B7,BQ$1)</f>
        <v>0</v>
      </c>
      <c r="BR7" s="106" cm="1">
        <f t="array" ref="BR7">_xll.EQNXTDZ($A$1,$B7,BR$1)</f>
        <v>0</v>
      </c>
      <c r="BS7" s="106" cm="1">
        <f t="array" ref="BS7">_xll.EQNXTDZ($A$1,$B7,BS$1)</f>
        <v>0</v>
      </c>
      <c r="BT7" s="106" cm="1">
        <f t="array" ref="BT7">_xll.EQNXTDZ($A$1,$B7,BT$1)</f>
        <v>0</v>
      </c>
      <c r="BU7" s="106" cm="1">
        <f t="array" ref="BU7">_xll.EQNXTDZ($A$1,$B7,BU$1)</f>
        <v>0</v>
      </c>
      <c r="BV7" s="106" cm="1">
        <f t="array" ref="BV7">_xll.EQNXTDZ($A$1,$B7,BV$1)</f>
        <v>0</v>
      </c>
      <c r="BW7" s="106" cm="1">
        <f t="array" ref="BW7">_xll.EQNXTDZ($A$1,$B7,BW$1)</f>
        <v>0</v>
      </c>
      <c r="BX7" s="106" cm="1">
        <f t="array" ref="BX7">_xll.EQNXTDZ($A$1,$B7,BX$1)</f>
        <v>0</v>
      </c>
      <c r="BY7" s="106" cm="1">
        <f t="array" ref="BY7">_xll.EQNXTDZ($A$1,$B7,BY$1)</f>
        <v>0</v>
      </c>
      <c r="BZ7" s="106" cm="1">
        <f t="array" ref="BZ7">_xll.EQNXTDZ($A$1,$B7,BZ$1)</f>
        <v>0</v>
      </c>
      <c r="CA7" s="106" cm="1">
        <f t="array" ref="CA7">_xll.EQNXTDZ($A$1,$B7,CA$1)</f>
        <v>0</v>
      </c>
      <c r="CB7" s="106" cm="1">
        <f t="array" ref="CB7">_xll.EQNXTDZ($A$1,$B7,CB$1)</f>
        <v>0</v>
      </c>
      <c r="CC7" s="106" cm="1">
        <f t="array" ref="CC7">_xll.EQNXTDZ($A$1,$B7,CC$1)</f>
        <v>0</v>
      </c>
      <c r="CD7" s="106" cm="1">
        <f t="array" ref="CD7">_xll.EQNXTDZ($A$1,$B7,CD$1)</f>
        <v>0</v>
      </c>
      <c r="CE7" s="106" cm="1">
        <f t="array" ref="CE7">_xll.EQNXTDZ($A$1,$B7,CE$1)</f>
        <v>0</v>
      </c>
      <c r="CF7" s="106" cm="1">
        <f t="array" ref="CF7">_xll.EQNXTDZ($A$1,$B7,CF$1)</f>
        <v>0</v>
      </c>
      <c r="CG7" s="106" cm="1">
        <f t="array" ref="CG7">_xll.EQNXTDZ($A$1,$B7,CG$1)</f>
        <v>0</v>
      </c>
      <c r="CH7" s="106" cm="1">
        <f t="array" ref="CH7">_xll.EQNXTDZ($A$1,$B7,CH$1)</f>
        <v>0</v>
      </c>
      <c r="CI7" s="106" cm="1">
        <f t="array" ref="CI7">_xll.EQNXTDZ($A$1,$B7,CI$1)</f>
        <v>0</v>
      </c>
      <c r="CJ7" s="106" cm="1">
        <f t="array" ref="CJ7">_xll.EQNXTDZ($A$1,$B7,CJ$1)</f>
        <v>0</v>
      </c>
      <c r="CK7" s="106" cm="1">
        <f t="array" ref="CK7">_xll.EQNXTDZ($A$1,$B7,CK$1)</f>
        <v>0</v>
      </c>
      <c r="CL7" s="106" cm="1">
        <f t="array" ref="CL7">_xll.EQNXTDZ($A$1,$B7,CL$1)</f>
        <v>0</v>
      </c>
      <c r="CM7" s="106" cm="1">
        <f t="array" ref="CM7">_xll.EQNXTDZ($A$1,$B7,CM$1)</f>
        <v>0</v>
      </c>
      <c r="CN7" s="106" cm="1">
        <f t="array" ref="CN7">_xll.EQNXTDZ($A$1,$B7,CN$1)</f>
        <v>0</v>
      </c>
      <c r="CO7" s="106" cm="1">
        <f t="array" ref="CO7">_xll.EQNXTDZ($A$1,$B7,CO$1)</f>
        <v>0</v>
      </c>
      <c r="CP7" s="106" cm="1">
        <f t="array" ref="CP7">_xll.EQNXTDZ($A$1,$B7,CP$1)</f>
        <v>0</v>
      </c>
      <c r="CQ7" s="106" cm="1">
        <f t="array" ref="CQ7">_xll.EQNXTDZ($A$1,$B7,CQ$1)</f>
        <v>0</v>
      </c>
      <c r="CR7" s="106" cm="1">
        <f t="array" ref="CR7">_xll.EQNXTDZ($A$1,$B7,CR$1)</f>
        <v>0</v>
      </c>
      <c r="CS7" s="106" cm="1">
        <f t="array" ref="CS7">_xll.EQNXTDZ($A$1,$B7,CS$1)</f>
        <v>0</v>
      </c>
      <c r="CT7" s="106" cm="1">
        <f t="array" ref="CT7">_xll.EQNXTDZ($A$1,$B7,CT$1)</f>
        <v>0</v>
      </c>
      <c r="CU7" s="106" cm="1">
        <f t="array" ref="CU7">_xll.EQNXTDZ($A$1,$B7,CU$1)</f>
        <v>0</v>
      </c>
      <c r="CV7" s="106" cm="1">
        <f t="array" ref="CV7">_xll.EQNXTDZ($A$1,$B7,CV$1)</f>
        <v>0</v>
      </c>
      <c r="CW7" s="106" cm="1">
        <f t="array" ref="CW7">_xll.EQNXTDZ($A$1,$B7,CW$1)</f>
        <v>0</v>
      </c>
      <c r="CX7" s="106" cm="1">
        <f t="array" ref="CX7">_xll.EQNXTDZ($A$1,$B7,CX$1)</f>
        <v>0</v>
      </c>
      <c r="CY7" s="106" cm="1">
        <f t="array" ref="CY7">_xll.EQNXTDZ($A$1,$B7,CY$1)</f>
        <v>0</v>
      </c>
      <c r="CZ7" s="106" cm="1">
        <f t="array" ref="CZ7">_xll.EQNXTDZ($A$1,$B7,CZ$1)</f>
        <v>0</v>
      </c>
      <c r="DA7" s="106" cm="1">
        <f t="array" ref="DA7">_xll.EQNXTDZ($A$1,$B7,DA$1)</f>
        <v>0</v>
      </c>
      <c r="DB7" s="106" cm="1">
        <f t="array" ref="DB7">_xll.EQNXTDZ($A$1,$B7,DB$1)</f>
        <v>0</v>
      </c>
      <c r="DC7" s="106" cm="1">
        <f t="array" ref="DC7">_xll.EQNXTDZ($A$1,$B7,DC$1)</f>
        <v>0</v>
      </c>
      <c r="DD7" s="106" cm="1">
        <f t="array" ref="DD7">_xll.EQNXTDZ($A$1,$B7,DD$1)</f>
        <v>0</v>
      </c>
      <c r="DE7" s="106" cm="1">
        <f t="array" ref="DE7">_xll.EQNXTDZ($A$1,$B7,DE$1)</f>
        <v>0</v>
      </c>
      <c r="DF7" s="106" cm="1">
        <f t="array" ref="DF7">_xll.EQNXTDZ($A$1,$B7,DF$1)</f>
        <v>0</v>
      </c>
      <c r="DG7" s="106" cm="1">
        <f t="array" ref="DG7">_xll.EQNXTDZ($A$1,$B7,DG$1)</f>
        <v>0</v>
      </c>
      <c r="DH7" s="106" cm="1">
        <f t="array" ref="DH7">_xll.EQNXTDZ($A$1,$B7,DH$1)</f>
        <v>0</v>
      </c>
      <c r="DI7" s="106" cm="1">
        <f t="array" ref="DI7">_xll.EQNXTDZ($A$1,$B7,DI$1)</f>
        <v>0</v>
      </c>
      <c r="DJ7" s="106" cm="1">
        <f t="array" ref="DJ7">_xll.EQNXTDZ($A$1,$B7,DJ$1)</f>
        <v>0</v>
      </c>
      <c r="DK7" s="106" cm="1">
        <f t="array" ref="DK7">_xll.EQNXTDZ($A$1,$B7,DK$1)</f>
        <v>0</v>
      </c>
      <c r="DL7" s="106" cm="1">
        <f t="array" ref="DL7">_xll.EQNXTDZ($A$1,$B7,DL$1)</f>
        <v>0</v>
      </c>
      <c r="DM7" s="106" cm="1">
        <f t="array" ref="DM7">_xll.EQNXTDZ($A$1,$B7,DM$1)</f>
        <v>0</v>
      </c>
      <c r="DN7" s="106" cm="1">
        <f t="array" ref="DN7">_xll.EQNXTDZ($A$1,$B7,DN$1)</f>
        <v>0</v>
      </c>
      <c r="DO7" s="106" cm="1">
        <f t="array" ref="DO7">_xll.EQNXTDZ($A$1,$B7,DO$1)</f>
        <v>0</v>
      </c>
      <c r="DP7" s="106" cm="1">
        <f t="array" ref="DP7">_xll.EQNXTDZ($A$1,$B7,DP$1)</f>
        <v>0</v>
      </c>
      <c r="DQ7" s="106" cm="1">
        <f t="array" ref="DQ7">_xll.EQNXTDZ($A$1,$B7,DQ$1)</f>
        <v>0</v>
      </c>
      <c r="DR7" s="106" cm="1">
        <f t="array" ref="DR7">_xll.EQNXTDZ($A$1,$B7,DR$1)</f>
        <v>0</v>
      </c>
      <c r="DS7" s="106" cm="1">
        <f t="array" ref="DS7">_xll.EQNXTDZ($A$1,$B7,DS$1)</f>
        <v>0</v>
      </c>
      <c r="DT7" s="106" cm="1">
        <f t="array" ref="DT7">_xll.EQNXTDZ($A$1,$B7,DT$1)</f>
        <v>0</v>
      </c>
      <c r="DU7" s="106" cm="1">
        <f t="array" ref="DU7">_xll.EQNXTDZ($A$1,$B7,DU$1)</f>
        <v>0</v>
      </c>
      <c r="DV7" s="106" cm="1">
        <f t="array" ref="DV7">_xll.EQNXTDZ($A$1,$B7,DV$1)</f>
        <v>0</v>
      </c>
      <c r="DW7" s="106" cm="1">
        <f t="array" ref="DW7">_xll.EQNXTDZ($A$1,$B7,DW$1)</f>
        <v>0</v>
      </c>
      <c r="DX7" s="106" cm="1">
        <f t="array" ref="DX7">_xll.EQNXTDZ($A$1,$B7,DX$1)</f>
        <v>0</v>
      </c>
      <c r="DY7" s="106" cm="1">
        <f t="array" ref="DY7">_xll.EQNXTDZ($A$1,$B7,DY$1)</f>
        <v>0</v>
      </c>
      <c r="DZ7" s="106" cm="1">
        <f t="array" ref="DZ7">_xll.EQNXTDZ($A$1,$B7,DZ$1)</f>
        <v>0</v>
      </c>
      <c r="EA7" s="106" cm="1">
        <f t="array" ref="EA7">_xll.EQNXTDZ($A$1,$B7,EA$1)</f>
        <v>0</v>
      </c>
      <c r="EB7" s="106" cm="1">
        <f t="array" ref="EB7">_xll.EQNXTDZ($A$1,$B7,EB$1)</f>
        <v>0</v>
      </c>
      <c r="EC7" s="106" cm="1">
        <f t="array" ref="EC7">_xll.EQNXTDZ($A$1,$B7,EC$1)</f>
        <v>0</v>
      </c>
      <c r="ED7" s="106" cm="1">
        <f t="array" ref="ED7">_xll.EQNXTDZ($A$1,$B7,ED$1)</f>
        <v>0</v>
      </c>
      <c r="EE7" s="106" cm="1">
        <f t="array" ref="EE7">_xll.EQNXTDZ($A$1,$B7,EE$1)</f>
        <v>0</v>
      </c>
      <c r="EF7" s="106" cm="1">
        <f t="array" ref="EF7">_xll.EQNXTDZ($A$1,$B7,EF$1)</f>
        <v>0</v>
      </c>
      <c r="EG7" s="106" cm="1">
        <f t="array" ref="EG7">_xll.EQNXTDZ($A$1,$B7,EG$1)</f>
        <v>0</v>
      </c>
      <c r="EH7" s="106" cm="1">
        <f t="array" ref="EH7">_xll.EQNXTDZ($A$1,$B7,EH$1)</f>
        <v>0</v>
      </c>
      <c r="EI7" s="106" cm="1">
        <f t="array" ref="EI7">_xll.EQNXTDZ($A$1,$B7,EI$1)</f>
        <v>0</v>
      </c>
      <c r="EJ7" s="106" cm="1">
        <f t="array" ref="EJ7">_xll.EQNXTDZ($A$1,$B7,EJ$1)</f>
        <v>0</v>
      </c>
      <c r="EK7" s="106" cm="1">
        <f t="array" ref="EK7">_xll.EQNXTDZ($A$1,$B7,EK$1)</f>
        <v>0</v>
      </c>
      <c r="EL7" s="106" cm="1">
        <f t="array" ref="EL7">_xll.EQNXTDZ($A$1,$B7,EL$1)</f>
        <v>0</v>
      </c>
      <c r="EM7" s="106" cm="1">
        <f t="array" ref="EM7">_xll.EQNXTDZ($A$1,$B7,EM$1)</f>
        <v>0</v>
      </c>
      <c r="EN7" s="106" cm="1">
        <f t="array" ref="EN7">_xll.EQNXTDZ($A$1,$B7,EN$1)</f>
        <v>0</v>
      </c>
      <c r="EO7" s="106" cm="1">
        <f t="array" ref="EO7">_xll.EQNXTDZ($A$1,$B7,EO$1)</f>
        <v>0</v>
      </c>
      <c r="EP7" s="106" cm="1">
        <f t="array" ref="EP7">_xll.EQNXTDZ($A$1,$B7,EP$1)</f>
        <v>0</v>
      </c>
      <c r="EQ7" s="106" cm="1">
        <f t="array" ref="EQ7">_xll.EQNXTDZ($A$1,$B7,EQ$1)</f>
        <v>0</v>
      </c>
      <c r="ER7" s="106" cm="1">
        <f t="array" ref="ER7">_xll.EQNXTDZ($A$1,$B7,ER$1)</f>
        <v>0</v>
      </c>
      <c r="ES7" s="106" cm="1">
        <f t="array" ref="ES7">_xll.EQNXTDZ($A$1,$B7,ES$1)</f>
        <v>0</v>
      </c>
      <c r="ET7" s="106" cm="1">
        <f t="array" ref="ET7">_xll.EQNXTDZ($A$1,$B7,ET$1)</f>
        <v>0</v>
      </c>
      <c r="EU7" s="106" cm="1">
        <f t="array" ref="EU7">_xll.EQNXTDZ($A$1,$B7,EU$1)</f>
        <v>0</v>
      </c>
      <c r="EV7" s="106" cm="1">
        <f t="array" ref="EV7">_xll.EQNXTDZ($A$1,$B7,EV$1)</f>
        <v>0</v>
      </c>
      <c r="EW7" s="106" cm="1">
        <f t="array" ref="EW7">_xll.EQNXTDZ($A$1,$B7,EW$1)</f>
        <v>0</v>
      </c>
      <c r="EX7" s="106" cm="1">
        <f t="array" ref="EX7">_xll.EQNXTDZ($A$1,$B7,EX$1)</f>
        <v>0</v>
      </c>
      <c r="EY7" s="106" cm="1">
        <f t="array" ref="EY7">_xll.EQNXTDZ($A$1,$B7,EY$1)</f>
        <v>0</v>
      </c>
      <c r="EZ7" s="106" cm="1">
        <f t="array" ref="EZ7">_xll.EQNXTDZ($A$1,$B7,EZ$1)</f>
        <v>0</v>
      </c>
      <c r="FA7" s="106" cm="1">
        <f t="array" ref="FA7">_xll.EQNXTDZ($A$1,$B7,FA$1)</f>
        <v>0</v>
      </c>
      <c r="FB7" s="106" cm="1">
        <f t="array" ref="FB7">_xll.EQNXTDZ($A$1,$B7,FB$1)</f>
        <v>0</v>
      </c>
      <c r="FC7" s="106" cm="1">
        <f t="array" ref="FC7">_xll.EQNXTDZ($A$1,$B7,FC$1)</f>
        <v>0</v>
      </c>
      <c r="FD7" s="106" cm="1">
        <f t="array" ref="FD7">_xll.EQNXTDZ($A$1,$B7,FD$1)</f>
        <v>0</v>
      </c>
      <c r="FE7" s="106" cm="1">
        <f t="array" ref="FE7">_xll.EQNXTDZ($A$1,$B7,FE$1)</f>
        <v>0</v>
      </c>
      <c r="FF7" s="106" cm="1">
        <f t="array" ref="FF7">_xll.EQNXTDZ($A$1,$B7,FF$1)</f>
        <v>0</v>
      </c>
      <c r="FG7" s="106" cm="1">
        <f t="array" ref="FG7">_xll.EQNXTDZ($A$1,$B7,FG$1)</f>
        <v>0</v>
      </c>
      <c r="FH7" s="106" cm="1">
        <f t="array" ref="FH7">_xll.EQNXTDZ($A$1,$B7,FH$1)</f>
        <v>0</v>
      </c>
      <c r="FI7" s="106" cm="1">
        <f t="array" ref="FI7">_xll.EQNXTDZ($A$1,$B7,FI$1)</f>
        <v>0</v>
      </c>
      <c r="FJ7" s="106" cm="1">
        <f t="array" ref="FJ7">_xll.EQNXTDZ($A$1,$B7,FJ$1)</f>
        <v>0</v>
      </c>
      <c r="FK7" s="106" cm="1">
        <f t="array" ref="FK7">_xll.EQNXTDZ($A$1,$B7,FK$1)</f>
        <v>0</v>
      </c>
      <c r="FL7" s="106" cm="1">
        <f t="array" ref="FL7">_xll.EQNXTDZ($A$1,$B7,FL$1)</f>
        <v>0</v>
      </c>
      <c r="FM7" s="106" cm="1">
        <f t="array" ref="FM7">_xll.EQNXTDZ($A$1,$B7,FM$1)</f>
        <v>0</v>
      </c>
      <c r="FN7" s="106" cm="1">
        <f t="array" ref="FN7">_xll.EQNXTDZ($A$1,$B7,FN$1)</f>
        <v>0</v>
      </c>
      <c r="FO7" s="106" cm="1">
        <f t="array" ref="FO7">_xll.EQNXTDZ($A$1,$B7,FO$1)</f>
        <v>0</v>
      </c>
      <c r="FP7" s="106" cm="1">
        <f t="array" ref="FP7">_xll.EQNXTDZ($A$1,$B7,FP$1)</f>
        <v>0</v>
      </c>
      <c r="FQ7" s="106" cm="1">
        <f t="array" ref="FQ7">_xll.EQNXTDZ($A$1,$B7,FQ$1)</f>
        <v>0</v>
      </c>
      <c r="FR7" s="106" cm="1">
        <f t="array" ref="FR7">_xll.EQNXTDZ($A$1,$B7,FR$1)</f>
        <v>0</v>
      </c>
      <c r="FS7" s="106" cm="1">
        <f t="array" ref="FS7">_xll.EQNXTDZ($A$1,$B7,FS$1)</f>
        <v>0</v>
      </c>
      <c r="FT7" s="106" cm="1">
        <f t="array" ref="FT7">_xll.EQNXTDZ($A$1,$B7,FT$1)</f>
        <v>0</v>
      </c>
      <c r="FU7" s="106" cm="1">
        <f t="array" ref="FU7">_xll.EQNXTDZ($A$1,$B7,FU$1)</f>
        <v>0</v>
      </c>
      <c r="FV7" s="106" cm="1">
        <f t="array" ref="FV7">_xll.EQNXTDZ($A$1,$B7,FV$1)</f>
        <v>0</v>
      </c>
      <c r="FW7" s="106" cm="1">
        <f t="array" ref="FW7">_xll.EQNXTDZ($A$1,$B7,FW$1)</f>
        <v>0</v>
      </c>
      <c r="FX7" s="106" cm="1">
        <f t="array" ref="FX7">_xll.EQNXTDZ($A$1,$B7,FX$1)</f>
        <v>0</v>
      </c>
      <c r="FY7" s="106" cm="1">
        <f t="array" ref="FY7">_xll.EQNXTDZ($A$1,$B7,FY$1)</f>
        <v>0</v>
      </c>
      <c r="FZ7" s="106" cm="1">
        <f t="array" ref="FZ7">_xll.EQNXTDZ($A$1,$B7,FZ$1)</f>
        <v>0</v>
      </c>
      <c r="GA7" s="106" cm="1">
        <f t="array" ref="GA7">_xll.EQNXTDZ($A$1,$B7,GA$1)</f>
        <v>0</v>
      </c>
      <c r="GB7" s="106" cm="1">
        <f t="array" ref="GB7">_xll.EQNXTDZ($A$1,$B7,GB$1)</f>
        <v>0</v>
      </c>
      <c r="GC7" s="106" cm="1">
        <f t="array" ref="GC7">_xll.EQNXTDZ($A$1,$B7,GC$1)</f>
        <v>0</v>
      </c>
      <c r="GD7" s="106" cm="1">
        <f t="array" ref="GD7">_xll.EQNXTDZ($A$1,$B7,GD$1)</f>
        <v>0</v>
      </c>
      <c r="GE7" s="106" cm="1">
        <f t="array" ref="GE7">_xll.EQNXTDZ($A$1,$B7,GE$1)</f>
        <v>0</v>
      </c>
      <c r="GF7" s="106" cm="1">
        <f t="array" ref="GF7">_xll.EQNXTDZ($A$1,$B7,GF$1)</f>
        <v>0</v>
      </c>
      <c r="GG7" s="106" cm="1">
        <f t="array" ref="GG7">_xll.EQNXTDZ($A$1,$B7,GG$1)</f>
        <v>0</v>
      </c>
      <c r="GH7" s="106" cm="1">
        <f t="array" ref="GH7">_xll.EQNXTDZ($A$1,$B7,GH$1)</f>
        <v>0</v>
      </c>
      <c r="GI7" s="106" cm="1">
        <f t="array" ref="GI7">_xll.EQNXTDZ($A$1,$B7,GI$1)</f>
        <v>0</v>
      </c>
      <c r="GJ7" s="106" cm="1">
        <f t="array" ref="GJ7">_xll.EQNXTDZ($A$1,$B7,GJ$1)</f>
        <v>0</v>
      </c>
      <c r="GK7" s="106" cm="1">
        <f t="array" ref="GK7">_xll.EQNXTDZ($A$1,$B7,GK$1)</f>
        <v>0</v>
      </c>
      <c r="GL7" s="106" cm="1">
        <f t="array" ref="GL7">_xll.EQNXTDZ($A$1,$B7,GL$1)</f>
        <v>0</v>
      </c>
      <c r="GM7" s="106" cm="1">
        <f t="array" ref="GM7">_xll.EQNXTDZ($A$1,$B7,GM$1)</f>
        <v>0</v>
      </c>
      <c r="GN7" s="106" cm="1">
        <f t="array" ref="GN7">_xll.EQNXTDZ($A$1,$B7,GN$1)</f>
        <v>0</v>
      </c>
      <c r="GO7" s="106" cm="1">
        <f t="array" ref="GO7">_xll.EQNXTDZ($A$1,$B7,GO$1)</f>
        <v>0</v>
      </c>
      <c r="GP7" s="106" cm="1">
        <f t="array" ref="GP7">_xll.EQNXTDZ($A$1,$B7,GP$1)</f>
        <v>0</v>
      </c>
      <c r="GQ7" s="106" cm="1">
        <f t="array" ref="GQ7">_xll.EQNXTDZ($A$1,$B7,GQ$1)</f>
        <v>0</v>
      </c>
      <c r="GR7" s="106" cm="1">
        <f t="array" ref="GR7">_xll.EQNXTDZ($A$1,$B7,GR$1)</f>
        <v>0</v>
      </c>
      <c r="GS7" s="106" cm="1">
        <f t="array" ref="GS7">_xll.EQNXTDZ($A$1,$B7,GS$1)</f>
        <v>0</v>
      </c>
      <c r="GT7" s="106" cm="1">
        <f t="array" ref="GT7">_xll.EQNXTDZ($A$1,$B7,GT$1)</f>
        <v>0</v>
      </c>
      <c r="GU7" s="106" cm="1">
        <f t="array" ref="GU7">_xll.EQNXTDZ($A$1,$B7,GU$1)</f>
        <v>0</v>
      </c>
      <c r="GV7" s="106" cm="1">
        <f t="array" ref="GV7">_xll.EQNXTDZ($A$1,$B7,GV$1)</f>
        <v>0</v>
      </c>
      <c r="GW7" s="106" cm="1">
        <f t="array" ref="GW7">_xll.EQNXTDZ($A$1,$B7,GW$1)</f>
        <v>0</v>
      </c>
      <c r="GX7" s="106" cm="1">
        <f t="array" ref="GX7">_xll.EQNXTDZ($A$1,$B7,GX$1)</f>
        <v>0</v>
      </c>
      <c r="GY7" s="106" cm="1">
        <f t="array" ref="GY7">_xll.EQNXTDZ($A$1,$B7,GY$1)</f>
        <v>0</v>
      </c>
      <c r="GZ7" s="106" cm="1">
        <f t="array" ref="GZ7">_xll.EQNXTDZ($A$1,$B7,GZ$1)</f>
        <v>0</v>
      </c>
      <c r="HA7" s="106" cm="1">
        <f t="array" ref="HA7">_xll.EQNXTDZ($A$1,$B7,HA$1)</f>
        <v>0</v>
      </c>
      <c r="HB7" s="106" cm="1">
        <f t="array" ref="HB7">_xll.EQNXTDZ($A$1,$B7,HB$1)</f>
        <v>0</v>
      </c>
      <c r="HC7" s="106" cm="1">
        <f t="array" ref="HC7">_xll.EQNXTDZ($A$1,$B7,HC$1)</f>
        <v>0</v>
      </c>
      <c r="HD7" s="106" cm="1">
        <f t="array" ref="HD7">_xll.EQNXTDZ($A$1,$B7,HD$1)</f>
        <v>0</v>
      </c>
      <c r="HE7" s="106" cm="1">
        <f t="array" ref="HE7">_xll.EQNXTDZ($A$1,$B7,HE$1)</f>
        <v>0</v>
      </c>
      <c r="HF7" s="106" cm="1">
        <f t="array" ref="HF7">_xll.EQNXTDZ($A$1,$B7,HF$1)</f>
        <v>0</v>
      </c>
      <c r="HG7" s="106" cm="1">
        <f t="array" ref="HG7">_xll.EQNXTDZ($A$1,$B7,HG$1)</f>
        <v>0</v>
      </c>
      <c r="HH7" s="106" cm="1">
        <f t="array" ref="HH7">_xll.EQNXTDZ($A$1,$B7,HH$1)</f>
        <v>0</v>
      </c>
      <c r="HP7" s="106">
        <f>+MAX(D7:F7)</f>
        <v>0</v>
      </c>
      <c r="HQ7" s="106">
        <f>+MAX(G7:I7)</f>
        <v>0</v>
      </c>
      <c r="HR7" s="106">
        <f>+MAX(J7:L7)</f>
        <v>0</v>
      </c>
      <c r="HS7" s="106">
        <f>+MAX(M7:O7)</f>
        <v>0</v>
      </c>
      <c r="HT7" s="106">
        <f>+MAX(P7:R7)</f>
        <v>0</v>
      </c>
      <c r="HU7" s="106">
        <f>+MAX(S7:U7)</f>
        <v>0</v>
      </c>
      <c r="HV7" s="106">
        <f>+MAX(V7:X7)</f>
        <v>0</v>
      </c>
      <c r="HW7" s="106">
        <f>+MAX(Y7:AA7)</f>
        <v>0</v>
      </c>
      <c r="HX7" s="106">
        <f>+MAX(AB7:AD7)</f>
        <v>0</v>
      </c>
      <c r="HY7" s="106">
        <f>+MAX(AE7:AG7)</f>
        <v>0</v>
      </c>
      <c r="HZ7" s="106">
        <f>+MAX(AH7:AJ7)</f>
        <v>0</v>
      </c>
      <c r="IA7" s="106">
        <f>+MAX(AK7:AM7)</f>
        <v>0</v>
      </c>
      <c r="IB7" s="106">
        <f>+MAX(AN7:AP7)</f>
        <v>0</v>
      </c>
      <c r="IC7" s="106">
        <f>+MAX(AQ7:AS7)</f>
        <v>0</v>
      </c>
      <c r="ID7" s="106">
        <f>+MAX(AT7:AV7)</f>
        <v>0</v>
      </c>
      <c r="IE7" s="106">
        <f>+MAX(AW7:AY7)</f>
        <v>0</v>
      </c>
      <c r="IF7" s="106">
        <f>+MAX(AZ7:BB7)</f>
        <v>0</v>
      </c>
      <c r="IG7" s="106">
        <f>+MAX(BC7:BE7)</f>
        <v>0</v>
      </c>
      <c r="IH7" s="106">
        <f>+MAX(BF7:BH7)</f>
        <v>0</v>
      </c>
      <c r="II7" s="106">
        <f>+MAX(BI7:BK7)</f>
        <v>0</v>
      </c>
      <c r="IJ7" s="106">
        <f>+MAX(BL7:BN7)</f>
        <v>0</v>
      </c>
      <c r="IK7" s="106">
        <f>+MAX(BO7:BQ7)</f>
        <v>0</v>
      </c>
      <c r="IL7" s="106">
        <f>+MAX(BR7:BT7)</f>
        <v>0</v>
      </c>
      <c r="IM7" s="106">
        <f>+MAX(BU7:BW7)</f>
        <v>0</v>
      </c>
      <c r="IN7" s="106">
        <f>+MAX(BX7:BZ7)</f>
        <v>0</v>
      </c>
      <c r="IO7" s="106">
        <f>+MAX(CA7:CC7)</f>
        <v>0</v>
      </c>
      <c r="IP7" s="106">
        <f>+MAX(CD7:CF7)</f>
        <v>0</v>
      </c>
      <c r="IQ7" s="106">
        <f>+MAX(CG7:CI7)</f>
        <v>0</v>
      </c>
      <c r="IR7" s="106">
        <f>+MAX(CJ7:CL7)</f>
        <v>0</v>
      </c>
      <c r="IS7" s="106">
        <f>+MAX(CM7:CO7)</f>
        <v>0</v>
      </c>
      <c r="IT7" s="106">
        <f>+MAX(CP7:CR7)</f>
        <v>0</v>
      </c>
      <c r="IU7" s="106">
        <f>+MAX(CS7:CU7)</f>
        <v>0</v>
      </c>
      <c r="IV7" s="106">
        <f>+MAX(CV7:CX7)</f>
        <v>0</v>
      </c>
      <c r="IW7" s="106">
        <f>+MAX(CY7:DA7)</f>
        <v>0</v>
      </c>
      <c r="IX7" s="106">
        <f>+MAX(DB7:DD7)</f>
        <v>0</v>
      </c>
      <c r="IY7" s="106">
        <f>+MAX(DE7:DG7)</f>
        <v>0</v>
      </c>
      <c r="IZ7" s="106">
        <f>+MAX(DH7:DJ7)</f>
        <v>0</v>
      </c>
      <c r="JA7" s="106">
        <f>+MAX(DK7:DM7)</f>
        <v>0</v>
      </c>
      <c r="JB7" s="106">
        <f>+MAX(DN7:DP7)</f>
        <v>0</v>
      </c>
      <c r="JC7" s="106">
        <f>+MAX(DQ7:DS7)</f>
        <v>0</v>
      </c>
      <c r="JD7" s="106">
        <f>+MAX(DT7:DV7)</f>
        <v>0</v>
      </c>
      <c r="JE7" s="106">
        <f>+MAX(DW7:DY7)</f>
        <v>0</v>
      </c>
      <c r="JF7" s="106">
        <f>+MAX(DZ7:EB7)</f>
        <v>0</v>
      </c>
      <c r="JG7" s="106">
        <f>+MAX(EC7:EE7)</f>
        <v>0</v>
      </c>
      <c r="JH7" s="106">
        <f>+MAX(EF7:EH7)</f>
        <v>0</v>
      </c>
      <c r="JI7" s="106">
        <f>+MAX(EI7:EK7)</f>
        <v>0</v>
      </c>
      <c r="JJ7" s="106">
        <f>+MAX(EL7:EN7)</f>
        <v>0</v>
      </c>
      <c r="JK7" s="106">
        <f>MAX(EO7:EQ7)</f>
        <v>0</v>
      </c>
      <c r="JL7" s="106">
        <f>MAX(ER7:ET7)</f>
        <v>0</v>
      </c>
      <c r="JM7" s="106">
        <f>MAX(EU7:EW7)</f>
        <v>0</v>
      </c>
      <c r="JN7" s="106">
        <f>MAX(EX7:EZ7)</f>
        <v>0</v>
      </c>
      <c r="JO7" s="106">
        <f>MAX(FA7:FC7)</f>
        <v>0</v>
      </c>
      <c r="JP7" s="106">
        <f>MAX(FD7:FF7)</f>
        <v>0</v>
      </c>
      <c r="JQ7" s="106">
        <f>MAX(FG7:FI7)</f>
        <v>0</v>
      </c>
      <c r="JR7" s="106">
        <f>MAX(FJ7:FL7)</f>
        <v>0</v>
      </c>
      <c r="JS7" s="106">
        <f>MAX(FM7:FO7)</f>
        <v>0</v>
      </c>
      <c r="JT7" s="106">
        <f>MAX(FP7:FR7)</f>
        <v>0</v>
      </c>
      <c r="JU7" s="106">
        <f>MAX(FS7:FU7)</f>
        <v>0</v>
      </c>
      <c r="JV7" s="106">
        <f>MAX(FV7:FX7)</f>
        <v>0</v>
      </c>
      <c r="JW7" s="106">
        <f>MAX(FY7:GA7)</f>
        <v>0</v>
      </c>
      <c r="JX7" s="106">
        <f>MAX(GB7:GD7)</f>
        <v>0</v>
      </c>
      <c r="JY7" s="106">
        <f>MAX(GE7:GG7)</f>
        <v>0</v>
      </c>
      <c r="JZ7" s="106">
        <f>MAX(GH7:GJ7)</f>
        <v>0</v>
      </c>
      <c r="KA7" s="106">
        <f>MAX(GK7:GM7)</f>
        <v>0</v>
      </c>
      <c r="KB7" s="106">
        <f>MAX(GN7:GP7)</f>
        <v>0</v>
      </c>
      <c r="KC7" s="106">
        <f>MAX(GQ7:GS7)</f>
        <v>0</v>
      </c>
      <c r="KD7" s="106">
        <f>MAX(GT7:GV7)</f>
        <v>0</v>
      </c>
      <c r="KE7" s="106">
        <f>MAX(GW7:GY7)</f>
        <v>0</v>
      </c>
      <c r="KF7" s="106">
        <f>MAX(GZ7:HB7)</f>
        <v>0</v>
      </c>
      <c r="KG7" s="106">
        <f>MAX(HC7:HE7)</f>
        <v>0</v>
      </c>
      <c r="KH7" s="106">
        <f>MAX(HF7:HH7)</f>
        <v>0</v>
      </c>
    </row>
    <row r="8" spans="1:294" s="106" customFormat="1" x14ac:dyDescent="0.25">
      <c r="A8" s="106" t="s">
        <v>38</v>
      </c>
      <c r="B8" s="106" t="s">
        <v>178</v>
      </c>
      <c r="C8" s="106" cm="1">
        <f t="array" ref="C8">_xll.EQNXTDZ($A$1,$B8,C$1)</f>
        <v>0</v>
      </c>
      <c r="D8" s="106" cm="1">
        <f t="array" ref="D8">_xll.EQNXTDZ($A$1,$B8,D$1)</f>
        <v>0</v>
      </c>
      <c r="E8" s="106" cm="1">
        <f t="array" ref="E8">_xll.EQNXTDZ($A$1,$B8,E$1)</f>
        <v>0</v>
      </c>
      <c r="F8" s="106" cm="1">
        <f t="array" ref="F8">_xll.EQNXTDZ($A$1,$B8,F$1)</f>
        <v>0</v>
      </c>
      <c r="G8" s="106" cm="1">
        <f t="array" ref="G8">_xll.EQNXTDZ($A$1,$B8,G$1)</f>
        <v>0</v>
      </c>
      <c r="H8" s="106" cm="1">
        <f t="array" ref="H8">_xll.EQNXTDZ($A$1,$B8,H$1)</f>
        <v>0</v>
      </c>
      <c r="I8" s="106" cm="1">
        <f t="array" ref="I8">_xll.EQNXTDZ($A$1,$B8,I$1)</f>
        <v>0</v>
      </c>
      <c r="J8" s="106" cm="1">
        <f t="array" ref="J8">_xll.EQNXTDZ($A$1,$B8,J$1)</f>
        <v>0</v>
      </c>
      <c r="K8" s="106" cm="1">
        <f t="array" ref="K8">_xll.EQNXTDZ($A$1,$B8,K$1)</f>
        <v>0</v>
      </c>
      <c r="L8" s="106" cm="1">
        <f t="array" ref="L8">_xll.EQNXTDZ($A$1,$B8,L$1)</f>
        <v>0</v>
      </c>
      <c r="M8" s="106" cm="1">
        <f t="array" ref="M8">_xll.EQNXTDZ($A$1,$B8,M$1)</f>
        <v>0</v>
      </c>
      <c r="N8" s="106" cm="1">
        <f t="array" ref="N8">_xll.EQNXTDZ($A$1,$B8,N$1)</f>
        <v>0</v>
      </c>
      <c r="O8" s="106" cm="1">
        <f t="array" ref="O8">_xll.EQNXTDZ($A$1,$B8,O$1)</f>
        <v>0</v>
      </c>
      <c r="P8" s="106" cm="1">
        <f t="array" ref="P8">_xll.EQNXTDZ($A$1,$B8,P$1)</f>
        <v>0</v>
      </c>
      <c r="Q8" s="106" cm="1">
        <f t="array" ref="Q8">_xll.EQNXTDZ($A$1,$B8,Q$1)</f>
        <v>0</v>
      </c>
      <c r="R8" s="106" cm="1">
        <f t="array" ref="R8">_xll.EQNXTDZ($A$1,$B8,R$1)</f>
        <v>0</v>
      </c>
      <c r="S8" s="106" cm="1">
        <f t="array" ref="S8">_xll.EQNXTDZ($A$1,$B8,S$1)</f>
        <v>0</v>
      </c>
      <c r="T8" s="106" cm="1">
        <f t="array" ref="T8">_xll.EQNXTDZ($A$1,$B8,T$1)</f>
        <v>0</v>
      </c>
      <c r="U8" s="106" cm="1">
        <f t="array" ref="U8">_xll.EQNXTDZ($A$1,$B8,U$1)</f>
        <v>0</v>
      </c>
      <c r="V8" s="106" cm="1">
        <f t="array" ref="V8">_xll.EQNXTDZ($A$1,$B8,V$1)</f>
        <v>0</v>
      </c>
      <c r="W8" s="106" cm="1">
        <f t="array" ref="W8">_xll.EQNXTDZ($A$1,$B8,W$1)</f>
        <v>0</v>
      </c>
      <c r="X8" s="106" cm="1">
        <f t="array" ref="X8">_xll.EQNXTDZ($A$1,$B8,X$1)</f>
        <v>0</v>
      </c>
      <c r="Y8" s="106" cm="1">
        <f t="array" ref="Y8">_xll.EQNXTDZ($A$1,$B8,Y$1)</f>
        <v>0</v>
      </c>
      <c r="Z8" s="106" cm="1">
        <f t="array" ref="Z8">_xll.EQNXTDZ($A$1,$B8,Z$1)</f>
        <v>0</v>
      </c>
      <c r="AA8" s="106" cm="1">
        <f t="array" ref="AA8">_xll.EQNXTDZ($A$1,$B8,AA$1)</f>
        <v>0</v>
      </c>
      <c r="AB8" s="106" cm="1">
        <f t="array" ref="AB8">_xll.EQNXTDZ($A$1,$B8,AB$1)</f>
        <v>0</v>
      </c>
      <c r="AC8" s="106" cm="1">
        <f t="array" ref="AC8">_xll.EQNXTDZ($A$1,$B8,AC$1)</f>
        <v>0</v>
      </c>
      <c r="AD8" s="106" cm="1">
        <f t="array" ref="AD8">_xll.EQNXTDZ($A$1,$B8,AD$1)</f>
        <v>0</v>
      </c>
      <c r="AE8" s="106" cm="1">
        <f t="array" ref="AE8">_xll.EQNXTDZ($A$1,$B8,AE$1)</f>
        <v>0</v>
      </c>
      <c r="AF8" s="106" cm="1">
        <f t="array" ref="AF8">_xll.EQNXTDZ($A$1,$B8,AF$1)</f>
        <v>0</v>
      </c>
      <c r="AG8" s="106" cm="1">
        <f t="array" ref="AG8">_xll.EQNXTDZ($A$1,$B8,AG$1)</f>
        <v>0</v>
      </c>
      <c r="AH8" s="106" cm="1">
        <f t="array" ref="AH8">_xll.EQNXTDZ($A$1,$B8,AH$1)</f>
        <v>0</v>
      </c>
      <c r="AI8" s="106" cm="1">
        <f t="array" ref="AI8">_xll.EQNXTDZ($A$1,$B8,AI$1)</f>
        <v>0</v>
      </c>
      <c r="AJ8" s="106" cm="1">
        <f t="array" ref="AJ8">_xll.EQNXTDZ($A$1,$B8,AJ$1)</f>
        <v>0</v>
      </c>
      <c r="AK8" s="106" cm="1">
        <f t="array" ref="AK8">_xll.EQNXTDZ($A$1,$B8,AK$1)</f>
        <v>0</v>
      </c>
      <c r="AL8" s="106" cm="1">
        <f t="array" ref="AL8">_xll.EQNXTDZ($A$1,$B8,AL$1)</f>
        <v>0</v>
      </c>
      <c r="AM8" s="106" cm="1">
        <f t="array" ref="AM8">_xll.EQNXTDZ($A$1,$B8,AM$1)</f>
        <v>0</v>
      </c>
      <c r="AN8" s="106" cm="1">
        <f t="array" ref="AN8">_xll.EQNXTDZ($A$1,$B8,AN$1)</f>
        <v>0</v>
      </c>
      <c r="AO8" s="106" cm="1">
        <f t="array" ref="AO8">_xll.EQNXTDZ($A$1,$B8,AO$1)</f>
        <v>0</v>
      </c>
      <c r="AP8" s="106" cm="1">
        <f t="array" ref="AP8">_xll.EQNXTDZ($A$1,$B8,AP$1)</f>
        <v>0</v>
      </c>
      <c r="AQ8" s="106" cm="1">
        <f t="array" ref="AQ8">_xll.EQNXTDZ($A$1,$B8,AQ$1)</f>
        <v>0</v>
      </c>
      <c r="AR8" s="106" cm="1">
        <f t="array" ref="AR8">_xll.EQNXTDZ($A$1,$B8,AR$1)</f>
        <v>0</v>
      </c>
      <c r="AS8" s="106" cm="1">
        <f t="array" ref="AS8">_xll.EQNXTDZ($A$1,$B8,AS$1)</f>
        <v>0</v>
      </c>
      <c r="AT8" s="106" cm="1">
        <f t="array" ref="AT8">_xll.EQNXTDZ($A$1,$B8,AT$1)</f>
        <v>0</v>
      </c>
      <c r="AU8" s="106" cm="1">
        <f t="array" ref="AU8">_xll.EQNXTDZ($A$1,$B8,AU$1)</f>
        <v>0</v>
      </c>
      <c r="AV8" s="106" cm="1">
        <f t="array" ref="AV8">_xll.EQNXTDZ($A$1,$B8,AV$1)</f>
        <v>0</v>
      </c>
      <c r="AW8" s="106" cm="1">
        <f t="array" ref="AW8">_xll.EQNXTDZ($A$1,$B8,AW$1)</f>
        <v>0</v>
      </c>
      <c r="AX8" s="106" cm="1">
        <f t="array" ref="AX8">_xll.EQNXTDZ($A$1,$B8,AX$1)</f>
        <v>0</v>
      </c>
      <c r="AY8" s="106" cm="1">
        <f t="array" ref="AY8">_xll.EQNXTDZ($A$1,$B8,AY$1)</f>
        <v>0</v>
      </c>
      <c r="AZ8" s="106" cm="1">
        <f t="array" ref="AZ8">_xll.EQNXTDZ($A$1,$B8,AZ$1)</f>
        <v>0</v>
      </c>
      <c r="BA8" s="106" cm="1">
        <f t="array" ref="BA8">_xll.EQNXTDZ($A$1,$B8,BA$1)</f>
        <v>0</v>
      </c>
      <c r="BB8" s="106" cm="1">
        <f t="array" ref="BB8">_xll.EQNXTDZ($A$1,$B8,BB$1)</f>
        <v>0</v>
      </c>
      <c r="BC8" s="106" cm="1">
        <f t="array" ref="BC8">_xll.EQNXTDZ($A$1,$B8,BC$1)</f>
        <v>0</v>
      </c>
      <c r="BD8" s="106" cm="1">
        <f t="array" ref="BD8">_xll.EQNXTDZ($A$1,$B8,BD$1)</f>
        <v>0</v>
      </c>
      <c r="BE8" s="106" cm="1">
        <f t="array" ref="BE8">_xll.EQNXTDZ($A$1,$B8,BE$1)</f>
        <v>0</v>
      </c>
      <c r="BF8" s="106" cm="1">
        <f t="array" ref="BF8">_xll.EQNXTDZ($A$1,$B8,BF$1)</f>
        <v>0</v>
      </c>
      <c r="BG8" s="106" cm="1">
        <f t="array" ref="BG8">_xll.EQNXTDZ($A$1,$B8,BG$1)</f>
        <v>0</v>
      </c>
      <c r="BH8" s="106" cm="1">
        <f t="array" ref="BH8">_xll.EQNXTDZ($A$1,$B8,BH$1)</f>
        <v>0</v>
      </c>
      <c r="BI8" s="106" cm="1">
        <f t="array" ref="BI8">_xll.EQNXTDZ($A$1,$B8,BI$1)</f>
        <v>0</v>
      </c>
      <c r="BJ8" s="106" cm="1">
        <f t="array" ref="BJ8">_xll.EQNXTDZ($A$1,$B8,BJ$1)</f>
        <v>0</v>
      </c>
      <c r="BK8" s="106" cm="1">
        <f t="array" ref="BK8">_xll.EQNXTDZ($A$1,$B8,BK$1)</f>
        <v>0</v>
      </c>
      <c r="BL8" s="106" cm="1">
        <f t="array" ref="BL8">_xll.EQNXTDZ($A$1,$B8,BL$1)</f>
        <v>0</v>
      </c>
      <c r="BM8" s="106" cm="1">
        <f t="array" ref="BM8">_xll.EQNXTDZ($A$1,$B8,BM$1)</f>
        <v>0</v>
      </c>
      <c r="BN8" s="106" cm="1">
        <f t="array" ref="BN8">_xll.EQNXTDZ($A$1,$B8,BN$1)</f>
        <v>0</v>
      </c>
      <c r="BO8" s="106" cm="1">
        <f t="array" ref="BO8">_xll.EQNXTDZ($A$1,$B8,BO$1)</f>
        <v>0</v>
      </c>
      <c r="BP8" s="106" cm="1">
        <f t="array" ref="BP8">_xll.EQNXTDZ($A$1,$B8,BP$1)</f>
        <v>0</v>
      </c>
      <c r="BQ8" s="106" cm="1">
        <f t="array" ref="BQ8">_xll.EQNXTDZ($A$1,$B8,BQ$1)</f>
        <v>0</v>
      </c>
      <c r="BR8" s="106" cm="1">
        <f t="array" ref="BR8">_xll.EQNXTDZ($A$1,$B8,BR$1)</f>
        <v>0</v>
      </c>
      <c r="BS8" s="106" cm="1">
        <f t="array" ref="BS8">_xll.EQNXTDZ($A$1,$B8,BS$1)</f>
        <v>0</v>
      </c>
      <c r="BT8" s="106" cm="1">
        <f t="array" ref="BT8">_xll.EQNXTDZ($A$1,$B8,BT$1)</f>
        <v>0</v>
      </c>
      <c r="BU8" s="106" cm="1">
        <f t="array" ref="BU8">_xll.EQNXTDZ($A$1,$B8,BU$1)</f>
        <v>0</v>
      </c>
      <c r="BV8" s="106" cm="1">
        <f t="array" ref="BV8">_xll.EQNXTDZ($A$1,$B8,BV$1)</f>
        <v>0</v>
      </c>
      <c r="BW8" s="106" cm="1">
        <f t="array" ref="BW8">_xll.EQNXTDZ($A$1,$B8,BW$1)</f>
        <v>0</v>
      </c>
      <c r="BX8" s="106" cm="1">
        <f t="array" ref="BX8">_xll.EQNXTDZ($A$1,$B8,BX$1)</f>
        <v>0</v>
      </c>
      <c r="BY8" s="106" cm="1">
        <f t="array" ref="BY8">_xll.EQNXTDZ($A$1,$B8,BY$1)</f>
        <v>0</v>
      </c>
      <c r="BZ8" s="106" cm="1">
        <f t="array" ref="BZ8">_xll.EQNXTDZ($A$1,$B8,BZ$1)</f>
        <v>0</v>
      </c>
      <c r="CA8" s="106" cm="1">
        <f t="array" ref="CA8">_xll.EQNXTDZ($A$1,$B8,CA$1)</f>
        <v>0</v>
      </c>
      <c r="CB8" s="106" cm="1">
        <f t="array" ref="CB8">_xll.EQNXTDZ($A$1,$B8,CB$1)</f>
        <v>0</v>
      </c>
      <c r="CC8" s="106" cm="1">
        <f t="array" ref="CC8">_xll.EQNXTDZ($A$1,$B8,CC$1)</f>
        <v>0</v>
      </c>
      <c r="CD8" s="106" cm="1">
        <f t="array" ref="CD8">_xll.EQNXTDZ($A$1,$B8,CD$1)</f>
        <v>0</v>
      </c>
      <c r="CE8" s="106" cm="1">
        <f t="array" ref="CE8">_xll.EQNXTDZ($A$1,$B8,CE$1)</f>
        <v>0</v>
      </c>
      <c r="CF8" s="106" cm="1">
        <f t="array" ref="CF8">_xll.EQNXTDZ($A$1,$B8,CF$1)</f>
        <v>0</v>
      </c>
      <c r="CG8" s="106" cm="1">
        <f t="array" ref="CG8">_xll.EQNXTDZ($A$1,$B8,CG$1)</f>
        <v>0</v>
      </c>
      <c r="CH8" s="106" cm="1">
        <f t="array" ref="CH8">_xll.EQNXTDZ($A$1,$B8,CH$1)</f>
        <v>0</v>
      </c>
      <c r="CI8" s="106" cm="1">
        <f t="array" ref="CI8">_xll.EQNXTDZ($A$1,$B8,CI$1)</f>
        <v>0</v>
      </c>
      <c r="CJ8" s="106" cm="1">
        <f t="array" ref="CJ8">_xll.EQNXTDZ($A$1,$B8,CJ$1)</f>
        <v>0</v>
      </c>
      <c r="CK8" s="106" cm="1">
        <f t="array" ref="CK8">_xll.EQNXTDZ($A$1,$B8,CK$1)</f>
        <v>0</v>
      </c>
      <c r="CL8" s="106" cm="1">
        <f t="array" ref="CL8">_xll.EQNXTDZ($A$1,$B8,CL$1)</f>
        <v>0</v>
      </c>
      <c r="CM8" s="106" cm="1">
        <f t="array" ref="CM8">_xll.EQNXTDZ($A$1,$B8,CM$1)</f>
        <v>0</v>
      </c>
      <c r="CN8" s="106" cm="1">
        <f t="array" ref="CN8">_xll.EQNXTDZ($A$1,$B8,CN$1)</f>
        <v>0</v>
      </c>
      <c r="CO8" s="106" cm="1">
        <f t="array" ref="CO8">_xll.EQNXTDZ($A$1,$B8,CO$1)</f>
        <v>0</v>
      </c>
      <c r="CP8" s="106" cm="1">
        <f t="array" ref="CP8">_xll.EQNXTDZ($A$1,$B8,CP$1)</f>
        <v>0</v>
      </c>
      <c r="CQ8" s="106" cm="1">
        <f t="array" ref="CQ8">_xll.EQNXTDZ($A$1,$B8,CQ$1)</f>
        <v>0</v>
      </c>
      <c r="CR8" s="106" cm="1">
        <f t="array" ref="CR8">_xll.EQNXTDZ($A$1,$B8,CR$1)</f>
        <v>0</v>
      </c>
      <c r="CS8" s="106" cm="1">
        <f t="array" ref="CS8">_xll.EQNXTDZ($A$1,$B8,CS$1)</f>
        <v>0</v>
      </c>
      <c r="CT8" s="106" cm="1">
        <f t="array" ref="CT8">_xll.EQNXTDZ($A$1,$B8,CT$1)</f>
        <v>0</v>
      </c>
      <c r="CU8" s="106" cm="1">
        <f t="array" ref="CU8">_xll.EQNXTDZ($A$1,$B8,CU$1)</f>
        <v>0</v>
      </c>
      <c r="CV8" s="106" cm="1">
        <f t="array" ref="CV8">_xll.EQNXTDZ($A$1,$B8,CV$1)</f>
        <v>0</v>
      </c>
      <c r="CW8" s="106" cm="1">
        <f t="array" ref="CW8">_xll.EQNXTDZ($A$1,$B8,CW$1)</f>
        <v>0</v>
      </c>
      <c r="CX8" s="106" cm="1">
        <f t="array" ref="CX8">_xll.EQNXTDZ($A$1,$B8,CX$1)</f>
        <v>0</v>
      </c>
      <c r="CY8" s="106" cm="1">
        <f t="array" ref="CY8">_xll.EQNXTDZ($A$1,$B8,CY$1)</f>
        <v>0</v>
      </c>
      <c r="CZ8" s="106" cm="1">
        <f t="array" ref="CZ8">_xll.EQNXTDZ($A$1,$B8,CZ$1)</f>
        <v>0</v>
      </c>
      <c r="DA8" s="106" cm="1">
        <f t="array" ref="DA8">_xll.EQNXTDZ($A$1,$B8,DA$1)</f>
        <v>0</v>
      </c>
      <c r="DB8" s="106" cm="1">
        <f t="array" ref="DB8">_xll.EQNXTDZ($A$1,$B8,DB$1)</f>
        <v>0</v>
      </c>
      <c r="DC8" s="106" cm="1">
        <f t="array" ref="DC8">_xll.EQNXTDZ($A$1,$B8,DC$1)</f>
        <v>0</v>
      </c>
      <c r="DD8" s="106" cm="1">
        <f t="array" ref="DD8">_xll.EQNXTDZ($A$1,$B8,DD$1)</f>
        <v>0</v>
      </c>
      <c r="DE8" s="106" cm="1">
        <f t="array" ref="DE8">_xll.EQNXTDZ($A$1,$B8,DE$1)</f>
        <v>0</v>
      </c>
      <c r="DF8" s="106" cm="1">
        <f t="array" ref="DF8">_xll.EQNXTDZ($A$1,$B8,DF$1)</f>
        <v>0</v>
      </c>
      <c r="DG8" s="106" cm="1">
        <f t="array" ref="DG8">_xll.EQNXTDZ($A$1,$B8,DG$1)</f>
        <v>0</v>
      </c>
      <c r="DH8" s="106" cm="1">
        <f t="array" ref="DH8">_xll.EQNXTDZ($A$1,$B8,DH$1)</f>
        <v>0</v>
      </c>
      <c r="DI8" s="106" cm="1">
        <f t="array" ref="DI8">_xll.EQNXTDZ($A$1,$B8,DI$1)</f>
        <v>0</v>
      </c>
      <c r="DJ8" s="106" cm="1">
        <f t="array" ref="DJ8">_xll.EQNXTDZ($A$1,$B8,DJ$1)</f>
        <v>0</v>
      </c>
      <c r="DK8" s="106" cm="1">
        <f t="array" ref="DK8">_xll.EQNXTDZ($A$1,$B8,DK$1)</f>
        <v>0</v>
      </c>
      <c r="DL8" s="106" cm="1">
        <f t="array" ref="DL8">_xll.EQNXTDZ($A$1,$B8,DL$1)</f>
        <v>0</v>
      </c>
      <c r="DM8" s="106" cm="1">
        <f t="array" ref="DM8">_xll.EQNXTDZ($A$1,$B8,DM$1)</f>
        <v>0</v>
      </c>
      <c r="DN8" s="106" cm="1">
        <f t="array" ref="DN8">_xll.EQNXTDZ($A$1,$B8,DN$1)</f>
        <v>0</v>
      </c>
      <c r="DO8" s="106" cm="1">
        <f t="array" ref="DO8">_xll.EQNXTDZ($A$1,$B8,DO$1)</f>
        <v>0</v>
      </c>
      <c r="DP8" s="106" cm="1">
        <f t="array" ref="DP8">_xll.EQNXTDZ($A$1,$B8,DP$1)</f>
        <v>0</v>
      </c>
      <c r="DQ8" s="106" cm="1">
        <f t="array" ref="DQ8">_xll.EQNXTDZ($A$1,$B8,DQ$1)</f>
        <v>0</v>
      </c>
      <c r="DR8" s="106" cm="1">
        <f t="array" ref="DR8">_xll.EQNXTDZ($A$1,$B8,DR$1)</f>
        <v>0</v>
      </c>
      <c r="DS8" s="106" cm="1">
        <f t="array" ref="DS8">_xll.EQNXTDZ($A$1,$B8,DS$1)</f>
        <v>0</v>
      </c>
      <c r="DT8" s="106" cm="1">
        <f t="array" ref="DT8">_xll.EQNXTDZ($A$1,$B8,DT$1)</f>
        <v>0</v>
      </c>
      <c r="DU8" s="106" cm="1">
        <f t="array" ref="DU8">_xll.EQNXTDZ($A$1,$B8,DU$1)</f>
        <v>0</v>
      </c>
      <c r="DV8" s="106" cm="1">
        <f t="array" ref="DV8">_xll.EQNXTDZ($A$1,$B8,DV$1)</f>
        <v>0</v>
      </c>
      <c r="DW8" s="106" cm="1">
        <f t="array" ref="DW8">_xll.EQNXTDZ($A$1,$B8,DW$1)</f>
        <v>0</v>
      </c>
      <c r="DX8" s="106" cm="1">
        <f t="array" ref="DX8">_xll.EQNXTDZ($A$1,$B8,DX$1)</f>
        <v>0</v>
      </c>
      <c r="DY8" s="106" cm="1">
        <f t="array" ref="DY8">_xll.EQNXTDZ($A$1,$B8,DY$1)</f>
        <v>0</v>
      </c>
      <c r="DZ8" s="106" cm="1">
        <f t="array" ref="DZ8">_xll.EQNXTDZ($A$1,$B8,DZ$1)</f>
        <v>0</v>
      </c>
      <c r="EA8" s="106" cm="1">
        <f t="array" ref="EA8">_xll.EQNXTDZ($A$1,$B8,EA$1)</f>
        <v>0</v>
      </c>
      <c r="EB8" s="106" cm="1">
        <f t="array" ref="EB8">_xll.EQNXTDZ($A$1,$B8,EB$1)</f>
        <v>0</v>
      </c>
      <c r="EC8" s="106" cm="1">
        <f t="array" ref="EC8">_xll.EQNXTDZ($A$1,$B8,EC$1)</f>
        <v>0</v>
      </c>
      <c r="ED8" s="106" cm="1">
        <f t="array" ref="ED8">_xll.EQNXTDZ($A$1,$B8,ED$1)</f>
        <v>0</v>
      </c>
      <c r="EE8" s="106" cm="1">
        <f t="array" ref="EE8">_xll.EQNXTDZ($A$1,$B8,EE$1)</f>
        <v>0</v>
      </c>
      <c r="EF8" s="106" cm="1">
        <f t="array" ref="EF8">_xll.EQNXTDZ($A$1,$B8,EF$1)</f>
        <v>0</v>
      </c>
      <c r="EG8" s="106" cm="1">
        <f t="array" ref="EG8">_xll.EQNXTDZ($A$1,$B8,EG$1)</f>
        <v>0</v>
      </c>
      <c r="EH8" s="106" cm="1">
        <f t="array" ref="EH8">_xll.EQNXTDZ($A$1,$B8,EH$1)</f>
        <v>0</v>
      </c>
      <c r="EI8" s="106" cm="1">
        <f t="array" ref="EI8">_xll.EQNXTDZ($A$1,$B8,EI$1)</f>
        <v>0</v>
      </c>
      <c r="EJ8" s="106" cm="1">
        <f t="array" ref="EJ8">_xll.EQNXTDZ($A$1,$B8,EJ$1)</f>
        <v>0</v>
      </c>
      <c r="EK8" s="106" cm="1">
        <f t="array" ref="EK8">_xll.EQNXTDZ($A$1,$B8,EK$1)</f>
        <v>0</v>
      </c>
      <c r="EL8" s="106" cm="1">
        <f t="array" ref="EL8">_xll.EQNXTDZ($A$1,$B8,EL$1)</f>
        <v>0</v>
      </c>
      <c r="EM8" s="106" cm="1">
        <f t="array" ref="EM8">_xll.EQNXTDZ($A$1,$B8,EM$1)</f>
        <v>0</v>
      </c>
      <c r="EN8" s="106" cm="1">
        <f t="array" ref="EN8">_xll.EQNXTDZ($A$1,$B8,EN$1)</f>
        <v>0</v>
      </c>
      <c r="EO8" s="106" cm="1">
        <f t="array" ref="EO8">_xll.EQNXTDZ($A$1,$B8,EO$1)</f>
        <v>0</v>
      </c>
      <c r="EP8" s="106" cm="1">
        <f t="array" ref="EP8">_xll.EQNXTDZ($A$1,$B8,EP$1)</f>
        <v>0</v>
      </c>
      <c r="EQ8" s="106" cm="1">
        <f t="array" ref="EQ8">_xll.EQNXTDZ($A$1,$B8,EQ$1)</f>
        <v>0</v>
      </c>
      <c r="ER8" s="106" cm="1">
        <f t="array" ref="ER8">_xll.EQNXTDZ($A$1,$B8,ER$1)</f>
        <v>0</v>
      </c>
      <c r="ES8" s="106" cm="1">
        <f t="array" ref="ES8">_xll.EQNXTDZ($A$1,$B8,ES$1)</f>
        <v>0</v>
      </c>
      <c r="ET8" s="106" cm="1">
        <f t="array" ref="ET8">_xll.EQNXTDZ($A$1,$B8,ET$1)</f>
        <v>0</v>
      </c>
      <c r="EU8" s="106" cm="1">
        <f t="array" ref="EU8">_xll.EQNXTDZ($A$1,$B8,EU$1)</f>
        <v>0</v>
      </c>
      <c r="EV8" s="106" cm="1">
        <f t="array" ref="EV8">_xll.EQNXTDZ($A$1,$B8,EV$1)</f>
        <v>0</v>
      </c>
      <c r="EW8" s="106" cm="1">
        <f t="array" ref="EW8">_xll.EQNXTDZ($A$1,$B8,EW$1)</f>
        <v>0</v>
      </c>
      <c r="EX8" s="106" cm="1">
        <f t="array" ref="EX8">_xll.EQNXTDZ($A$1,$B8,EX$1)</f>
        <v>0</v>
      </c>
      <c r="EY8" s="106" cm="1">
        <f t="array" ref="EY8">_xll.EQNXTDZ($A$1,$B8,EY$1)</f>
        <v>0</v>
      </c>
      <c r="EZ8" s="106" cm="1">
        <f t="array" ref="EZ8">_xll.EQNXTDZ($A$1,$B8,EZ$1)</f>
        <v>0</v>
      </c>
      <c r="FA8" s="106" cm="1">
        <f t="array" ref="FA8">_xll.EQNXTDZ($A$1,$B8,FA$1)</f>
        <v>0</v>
      </c>
      <c r="FB8" s="106" cm="1">
        <f t="array" ref="FB8">_xll.EQNXTDZ($A$1,$B8,FB$1)</f>
        <v>0</v>
      </c>
      <c r="FC8" s="106" cm="1">
        <f t="array" ref="FC8">_xll.EQNXTDZ($A$1,$B8,FC$1)</f>
        <v>0</v>
      </c>
      <c r="FD8" s="106" cm="1">
        <f t="array" ref="FD8">_xll.EQNXTDZ($A$1,$B8,FD$1)</f>
        <v>0</v>
      </c>
      <c r="FE8" s="106" cm="1">
        <f t="array" ref="FE8">_xll.EQNXTDZ($A$1,$B8,FE$1)</f>
        <v>0</v>
      </c>
      <c r="FF8" s="106" cm="1">
        <f t="array" ref="FF8">_xll.EQNXTDZ($A$1,$B8,FF$1)</f>
        <v>0</v>
      </c>
      <c r="FG8" s="106" cm="1">
        <f t="array" ref="FG8">_xll.EQNXTDZ($A$1,$B8,FG$1)</f>
        <v>0</v>
      </c>
      <c r="FH8" s="106" cm="1">
        <f t="array" ref="FH8">_xll.EQNXTDZ($A$1,$B8,FH$1)</f>
        <v>0</v>
      </c>
      <c r="FI8" s="106" cm="1">
        <f t="array" ref="FI8">_xll.EQNXTDZ($A$1,$B8,FI$1)</f>
        <v>0</v>
      </c>
      <c r="FJ8" s="106" cm="1">
        <f t="array" ref="FJ8">_xll.EQNXTDZ($A$1,$B8,FJ$1)</f>
        <v>0</v>
      </c>
      <c r="FK8" s="106" cm="1">
        <f t="array" ref="FK8">_xll.EQNXTDZ($A$1,$B8,FK$1)</f>
        <v>0</v>
      </c>
      <c r="FL8" s="106" cm="1">
        <f t="array" ref="FL8">_xll.EQNXTDZ($A$1,$B8,FL$1)</f>
        <v>0</v>
      </c>
      <c r="FM8" s="106" cm="1">
        <f t="array" ref="FM8">_xll.EQNXTDZ($A$1,$B8,FM$1)</f>
        <v>0</v>
      </c>
      <c r="FN8" s="106" cm="1">
        <f t="array" ref="FN8">_xll.EQNXTDZ($A$1,$B8,FN$1)</f>
        <v>0</v>
      </c>
      <c r="FO8" s="106" cm="1">
        <f t="array" ref="FO8">_xll.EQNXTDZ($A$1,$B8,FO$1)</f>
        <v>0</v>
      </c>
      <c r="FP8" s="106" cm="1">
        <f t="array" ref="FP8">_xll.EQNXTDZ($A$1,$B8,FP$1)</f>
        <v>0</v>
      </c>
      <c r="FQ8" s="106" cm="1">
        <f t="array" ref="FQ8">_xll.EQNXTDZ($A$1,$B8,FQ$1)</f>
        <v>0</v>
      </c>
      <c r="FR8" s="106" cm="1">
        <f t="array" ref="FR8">_xll.EQNXTDZ($A$1,$B8,FR$1)</f>
        <v>0</v>
      </c>
      <c r="FS8" s="106" cm="1">
        <f t="array" ref="FS8">_xll.EQNXTDZ($A$1,$B8,FS$1)</f>
        <v>0</v>
      </c>
      <c r="FT8" s="106" cm="1">
        <f t="array" ref="FT8">_xll.EQNXTDZ($A$1,$B8,FT$1)</f>
        <v>0</v>
      </c>
      <c r="FU8" s="106" cm="1">
        <f t="array" ref="FU8">_xll.EQNXTDZ($A$1,$B8,FU$1)</f>
        <v>0</v>
      </c>
      <c r="FV8" s="106" cm="1">
        <f t="array" ref="FV8">_xll.EQNXTDZ($A$1,$B8,FV$1)</f>
        <v>0</v>
      </c>
      <c r="FW8" s="106" cm="1">
        <f t="array" ref="FW8">_xll.EQNXTDZ($A$1,$B8,FW$1)</f>
        <v>0</v>
      </c>
      <c r="FX8" s="106" cm="1">
        <f t="array" ref="FX8">_xll.EQNXTDZ($A$1,$B8,FX$1)</f>
        <v>0</v>
      </c>
      <c r="FY8" s="106" cm="1">
        <f t="array" ref="FY8">_xll.EQNXTDZ($A$1,$B8,FY$1)</f>
        <v>0</v>
      </c>
      <c r="FZ8" s="106" cm="1">
        <f t="array" ref="FZ8">_xll.EQNXTDZ($A$1,$B8,FZ$1)</f>
        <v>0</v>
      </c>
      <c r="GA8" s="106" cm="1">
        <f t="array" ref="GA8">_xll.EQNXTDZ($A$1,$B8,GA$1)</f>
        <v>0</v>
      </c>
      <c r="GB8" s="106" cm="1">
        <f t="array" ref="GB8">_xll.EQNXTDZ($A$1,$B8,GB$1)</f>
        <v>0</v>
      </c>
      <c r="GC8" s="106" cm="1">
        <f t="array" ref="GC8">_xll.EQNXTDZ($A$1,$B8,GC$1)</f>
        <v>0</v>
      </c>
      <c r="GD8" s="106" cm="1">
        <f t="array" ref="GD8">_xll.EQNXTDZ($A$1,$B8,GD$1)</f>
        <v>0</v>
      </c>
      <c r="GE8" s="106" cm="1">
        <f t="array" ref="GE8">_xll.EQNXTDZ($A$1,$B8,GE$1)</f>
        <v>0</v>
      </c>
      <c r="GF8" s="106" cm="1">
        <f t="array" ref="GF8">_xll.EQNXTDZ($A$1,$B8,GF$1)</f>
        <v>0</v>
      </c>
      <c r="GG8" s="106" cm="1">
        <f t="array" ref="GG8">_xll.EQNXTDZ($A$1,$B8,GG$1)</f>
        <v>0</v>
      </c>
      <c r="GH8" s="106" cm="1">
        <f t="array" ref="GH8">_xll.EQNXTDZ($A$1,$B8,GH$1)</f>
        <v>0</v>
      </c>
      <c r="GI8" s="106" cm="1">
        <f t="array" ref="GI8">_xll.EQNXTDZ($A$1,$B8,GI$1)</f>
        <v>0</v>
      </c>
      <c r="GJ8" s="106" cm="1">
        <f t="array" ref="GJ8">_xll.EQNXTDZ($A$1,$B8,GJ$1)</f>
        <v>0</v>
      </c>
      <c r="GK8" s="106" cm="1">
        <f t="array" ref="GK8">_xll.EQNXTDZ($A$1,$B8,GK$1)</f>
        <v>0</v>
      </c>
      <c r="GL8" s="106" cm="1">
        <f t="array" ref="GL8">_xll.EQNXTDZ($A$1,$B8,GL$1)</f>
        <v>0</v>
      </c>
      <c r="GM8" s="106" cm="1">
        <f t="array" ref="GM8">_xll.EQNXTDZ($A$1,$B8,GM$1)</f>
        <v>0</v>
      </c>
      <c r="GN8" s="106" cm="1">
        <f t="array" ref="GN8">_xll.EQNXTDZ($A$1,$B8,GN$1)</f>
        <v>0</v>
      </c>
      <c r="GO8" s="106" cm="1">
        <f t="array" ref="GO8">_xll.EQNXTDZ($A$1,$B8,GO$1)</f>
        <v>0</v>
      </c>
      <c r="GP8" s="106" cm="1">
        <f t="array" ref="GP8">_xll.EQNXTDZ($A$1,$B8,GP$1)</f>
        <v>0</v>
      </c>
      <c r="GQ8" s="106" cm="1">
        <f t="array" ref="GQ8">_xll.EQNXTDZ($A$1,$B8,GQ$1)</f>
        <v>0</v>
      </c>
      <c r="GR8" s="106" cm="1">
        <f t="array" ref="GR8">_xll.EQNXTDZ($A$1,$B8,GR$1)</f>
        <v>0</v>
      </c>
      <c r="GS8" s="106" cm="1">
        <f t="array" ref="GS8">_xll.EQNXTDZ($A$1,$B8,GS$1)</f>
        <v>0</v>
      </c>
      <c r="GT8" s="106" cm="1">
        <f t="array" ref="GT8">_xll.EQNXTDZ($A$1,$B8,GT$1)</f>
        <v>0</v>
      </c>
      <c r="GU8" s="106" cm="1">
        <f t="array" ref="GU8">_xll.EQNXTDZ($A$1,$B8,GU$1)</f>
        <v>0</v>
      </c>
      <c r="GV8" s="106" cm="1">
        <f t="array" ref="GV8">_xll.EQNXTDZ($A$1,$B8,GV$1)</f>
        <v>0</v>
      </c>
      <c r="GW8" s="106" cm="1">
        <f t="array" ref="GW8">_xll.EQNXTDZ($A$1,$B8,GW$1)</f>
        <v>0</v>
      </c>
      <c r="GX8" s="106" cm="1">
        <f t="array" ref="GX8">_xll.EQNXTDZ($A$1,$B8,GX$1)</f>
        <v>0</v>
      </c>
      <c r="GY8" s="106" cm="1">
        <f t="array" ref="GY8">_xll.EQNXTDZ($A$1,$B8,GY$1)</f>
        <v>0</v>
      </c>
      <c r="GZ8" s="106" cm="1">
        <f t="array" ref="GZ8">_xll.EQNXTDZ($A$1,$B8,GZ$1)</f>
        <v>0</v>
      </c>
      <c r="HA8" s="106" cm="1">
        <f t="array" ref="HA8">_xll.EQNXTDZ($A$1,$B8,HA$1)</f>
        <v>0</v>
      </c>
      <c r="HB8" s="106" cm="1">
        <f t="array" ref="HB8">_xll.EQNXTDZ($A$1,$B8,HB$1)</f>
        <v>0</v>
      </c>
      <c r="HC8" s="106" cm="1">
        <f t="array" ref="HC8">_xll.EQNXTDZ($A$1,$B8,HC$1)</f>
        <v>0</v>
      </c>
      <c r="HD8" s="106" cm="1">
        <f t="array" ref="HD8">_xll.EQNXTDZ($A$1,$B8,HD$1)</f>
        <v>0</v>
      </c>
      <c r="HE8" s="106" cm="1">
        <f t="array" ref="HE8">_xll.EQNXTDZ($A$1,$B8,HE$1)</f>
        <v>0</v>
      </c>
      <c r="HF8" s="106" cm="1">
        <f t="array" ref="HF8">_xll.EQNXTDZ($A$1,$B8,HF$1)</f>
        <v>0</v>
      </c>
      <c r="HG8" s="106" cm="1">
        <f t="array" ref="HG8">_xll.EQNXTDZ($A$1,$B8,HG$1)</f>
        <v>0</v>
      </c>
      <c r="HH8" s="106" cm="1">
        <f t="array" ref="HH8">_xll.EQNXTDZ($A$1,$B8,HH$1)</f>
        <v>0</v>
      </c>
      <c r="HP8" s="106">
        <f>+MIN(D8:F8)</f>
        <v>0</v>
      </c>
      <c r="HQ8" s="106">
        <f>+MIN(G8:I8)</f>
        <v>0</v>
      </c>
      <c r="HR8" s="106">
        <f>+MIN(J8:L8)</f>
        <v>0</v>
      </c>
      <c r="HS8" s="106">
        <f>+MIN(M8:O8)</f>
        <v>0</v>
      </c>
      <c r="HT8" s="106">
        <f>+MIN(P8:R8)</f>
        <v>0</v>
      </c>
      <c r="HU8" s="106">
        <f>+MIN(S8:U8)</f>
        <v>0</v>
      </c>
      <c r="HV8" s="106">
        <f>+MIN(V8:X8)</f>
        <v>0</v>
      </c>
      <c r="HW8" s="106">
        <f>+MIN(Y8:AA8)</f>
        <v>0</v>
      </c>
      <c r="HX8" s="106">
        <f>+MIN(AB8:AD8)</f>
        <v>0</v>
      </c>
      <c r="HY8" s="106">
        <f>+MIN(AE8:AG8)</f>
        <v>0</v>
      </c>
      <c r="HZ8" s="106">
        <f>+MIN(AH8:AJ8)</f>
        <v>0</v>
      </c>
      <c r="IA8" s="106">
        <f>+MIN(AK8:AM8)</f>
        <v>0</v>
      </c>
      <c r="IB8" s="106">
        <f>+MIN(AN8:AP8)</f>
        <v>0</v>
      </c>
      <c r="IC8" s="106">
        <f>+MIN(AQ8:AS8)</f>
        <v>0</v>
      </c>
      <c r="ID8" s="106">
        <f>+MIN(AT8:AV8)</f>
        <v>0</v>
      </c>
      <c r="IE8" s="106">
        <f>+MIN(AW8:AY8)</f>
        <v>0</v>
      </c>
      <c r="IF8" s="106">
        <f>+MIN(AZ8:BB8)</f>
        <v>0</v>
      </c>
      <c r="IG8" s="106">
        <f>+MIN(BC8:BE8)</f>
        <v>0</v>
      </c>
      <c r="IH8" s="106">
        <f>+MIN(BF8:BH8)</f>
        <v>0</v>
      </c>
      <c r="II8" s="106">
        <f>+MIN(BI8:BK8)</f>
        <v>0</v>
      </c>
      <c r="IJ8" s="106">
        <f>+MIN(BL8:BN8)</f>
        <v>0</v>
      </c>
      <c r="IK8" s="106">
        <f>+MIN(BO8:BQ8)</f>
        <v>0</v>
      </c>
      <c r="IL8" s="106">
        <f>+MIN(BR8:BT8)</f>
        <v>0</v>
      </c>
      <c r="IM8" s="106">
        <f>+MIN(BU8:BW8)</f>
        <v>0</v>
      </c>
      <c r="IN8" s="106">
        <f>+MIN(BX8:BZ8)</f>
        <v>0</v>
      </c>
      <c r="IO8" s="106">
        <f>+MIN(CA8:CC8)</f>
        <v>0</v>
      </c>
      <c r="IP8" s="106">
        <f>+MIN(CD8:CF8)</f>
        <v>0</v>
      </c>
      <c r="IQ8" s="106">
        <f>+MIN(CG8:CI8)</f>
        <v>0</v>
      </c>
      <c r="IR8" s="106">
        <f>+MIN(CJ8:CL8)</f>
        <v>0</v>
      </c>
      <c r="IS8" s="106">
        <f>+MIN(CM8:CO8)</f>
        <v>0</v>
      </c>
      <c r="IT8" s="106">
        <f>+MIN(CP8:CR8)</f>
        <v>0</v>
      </c>
      <c r="IU8" s="106">
        <f>+MIN(CS8:CU8)</f>
        <v>0</v>
      </c>
      <c r="IV8" s="106">
        <f>+MIN(CV8:CX8)</f>
        <v>0</v>
      </c>
      <c r="IW8" s="106">
        <f>+MIN(CY8:DA8)</f>
        <v>0</v>
      </c>
      <c r="IX8" s="106">
        <f>+MIN(DB8:DD8)</f>
        <v>0</v>
      </c>
      <c r="IY8" s="106">
        <f>+MIN(DE8:DG8)</f>
        <v>0</v>
      </c>
      <c r="IZ8" s="106">
        <f>+MIN(DH8:DJ8)</f>
        <v>0</v>
      </c>
      <c r="JA8" s="106">
        <f>+MIN(DK8:DM8)</f>
        <v>0</v>
      </c>
      <c r="JB8" s="106">
        <f>+MIN(DN8:DP8)</f>
        <v>0</v>
      </c>
      <c r="JC8" s="106">
        <f>+MIN(DQ8:DS8)</f>
        <v>0</v>
      </c>
      <c r="JD8" s="106">
        <f>+MIN(DT8:DV8)</f>
        <v>0</v>
      </c>
      <c r="JE8" s="106">
        <f>+MIN(DW8:DY8)</f>
        <v>0</v>
      </c>
      <c r="JF8" s="106">
        <f>+MIN(DZ8:EB8)</f>
        <v>0</v>
      </c>
      <c r="JG8" s="106">
        <f>+MIN(EC8:EE8)</f>
        <v>0</v>
      </c>
      <c r="JH8" s="106">
        <f>+MIN(EF8:EH8)</f>
        <v>0</v>
      </c>
      <c r="JI8" s="106">
        <f>+MIN(EI8:EK8)</f>
        <v>0</v>
      </c>
      <c r="JJ8" s="106">
        <f>+MIN(EL8:EN8)</f>
        <v>0</v>
      </c>
      <c r="JK8" s="106">
        <f>MIN(EO8:EQ8)</f>
        <v>0</v>
      </c>
      <c r="JL8" s="106">
        <f>MIN(ER8:ET8)</f>
        <v>0</v>
      </c>
      <c r="JM8" s="106">
        <f>MIN(EU8:EW8)</f>
        <v>0</v>
      </c>
      <c r="JN8" s="106">
        <f>MIN(EX8:EZ8)</f>
        <v>0</v>
      </c>
      <c r="JO8" s="106">
        <f>MIN(FA8:FC8)</f>
        <v>0</v>
      </c>
      <c r="JP8" s="106">
        <f>MIN(FD8:FF8)</f>
        <v>0</v>
      </c>
      <c r="JQ8" s="106">
        <f>MIN(FG8:FI8)</f>
        <v>0</v>
      </c>
      <c r="JR8" s="106">
        <f>MIN(FJ8:FL8)</f>
        <v>0</v>
      </c>
      <c r="JS8" s="106">
        <f>MIN(FM8:FO8)</f>
        <v>0</v>
      </c>
      <c r="JT8" s="106">
        <f>MIN(FP8:FR8)</f>
        <v>0</v>
      </c>
      <c r="JU8" s="106">
        <f>MIN(FS8:FU8)</f>
        <v>0</v>
      </c>
      <c r="JV8" s="106">
        <f>MIN(FV8:FX8)</f>
        <v>0</v>
      </c>
      <c r="JW8" s="106">
        <f>MIN(FY8:GA8)</f>
        <v>0</v>
      </c>
      <c r="JX8" s="106">
        <f>MIN(GB8:GD8)</f>
        <v>0</v>
      </c>
      <c r="JY8" s="106">
        <f>MIN(GE8:GG8)</f>
        <v>0</v>
      </c>
      <c r="JZ8" s="106">
        <f>MIN(GH8:GJ8)</f>
        <v>0</v>
      </c>
      <c r="KA8" s="106">
        <f>MIN(GK8:GM8)</f>
        <v>0</v>
      </c>
      <c r="KB8" s="106">
        <f>MIN(GN8:GP8)</f>
        <v>0</v>
      </c>
      <c r="KC8" s="106">
        <f>MIN(GQ8:GS8)</f>
        <v>0</v>
      </c>
      <c r="KD8" s="106">
        <f>MIN(GT8:GV8)</f>
        <v>0</v>
      </c>
      <c r="KE8" s="106">
        <f>MIN(GW8:GY8)</f>
        <v>0</v>
      </c>
      <c r="KF8" s="106">
        <f>MIN(GZ8:HB8)</f>
        <v>0</v>
      </c>
      <c r="KG8" s="106">
        <f>MIN(HC8:HE8)</f>
        <v>0</v>
      </c>
      <c r="KH8" s="106">
        <f>MIN(HF8:HH8)</f>
        <v>0</v>
      </c>
    </row>
    <row r="9" spans="1:294" s="106" customFormat="1" x14ac:dyDescent="0.25">
      <c r="A9" s="106" t="s">
        <v>40</v>
      </c>
      <c r="B9" s="106" t="s">
        <v>179</v>
      </c>
      <c r="C9" s="106" cm="1">
        <f t="array" ref="C9">_xll.EQNXTDZ($A$1,$B9,C$1)</f>
        <v>0</v>
      </c>
      <c r="D9" s="106" cm="1">
        <f t="array" ref="D9">_xll.EQNXTDZ($A$1,$B9,D$1)</f>
        <v>0</v>
      </c>
      <c r="E9" s="106" cm="1">
        <f t="array" ref="E9">_xll.EQNXTDZ($A$1,$B9,E$1)</f>
        <v>0</v>
      </c>
      <c r="F9" s="106" cm="1">
        <f t="array" ref="F9">_xll.EQNXTDZ($A$1,$B9,F$1)</f>
        <v>0</v>
      </c>
      <c r="G9" s="106" cm="1">
        <f t="array" ref="G9">_xll.EQNXTDZ($A$1,$B9,G$1)</f>
        <v>0</v>
      </c>
      <c r="H9" s="106" cm="1">
        <f t="array" ref="H9">_xll.EQNXTDZ($A$1,$B9,H$1)</f>
        <v>0</v>
      </c>
      <c r="I9" s="106" cm="1">
        <f t="array" ref="I9">_xll.EQNXTDZ($A$1,$B9,I$1)</f>
        <v>0</v>
      </c>
      <c r="J9" s="106" cm="1">
        <f t="array" ref="J9">_xll.EQNXTDZ($A$1,$B9,J$1)</f>
        <v>0</v>
      </c>
      <c r="K9" s="106" cm="1">
        <f t="array" ref="K9">_xll.EQNXTDZ($A$1,$B9,K$1)</f>
        <v>0</v>
      </c>
      <c r="L9" s="106" cm="1">
        <f t="array" ref="L9">_xll.EQNXTDZ($A$1,$B9,L$1)</f>
        <v>0</v>
      </c>
      <c r="M9" s="106" cm="1">
        <f t="array" ref="M9">_xll.EQNXTDZ($A$1,$B9,M$1)</f>
        <v>0</v>
      </c>
      <c r="N9" s="106" cm="1">
        <f t="array" ref="N9">_xll.EQNXTDZ($A$1,$B9,N$1)</f>
        <v>0</v>
      </c>
      <c r="O9" s="106" cm="1">
        <f t="array" ref="O9">_xll.EQNXTDZ($A$1,$B9,O$1)</f>
        <v>0</v>
      </c>
      <c r="P9" s="106" cm="1">
        <f t="array" ref="P9">_xll.EQNXTDZ($A$1,$B9,P$1)</f>
        <v>0</v>
      </c>
      <c r="Q9" s="106" cm="1">
        <f t="array" ref="Q9">_xll.EQNXTDZ($A$1,$B9,Q$1)</f>
        <v>0</v>
      </c>
      <c r="R9" s="106" cm="1">
        <f t="array" ref="R9">_xll.EQNXTDZ($A$1,$B9,R$1)</f>
        <v>0</v>
      </c>
      <c r="S9" s="106" cm="1">
        <f t="array" ref="S9">_xll.EQNXTDZ($A$1,$B9,S$1)</f>
        <v>0</v>
      </c>
      <c r="T9" s="106" cm="1">
        <f t="array" ref="T9">_xll.EQNXTDZ($A$1,$B9,T$1)</f>
        <v>0</v>
      </c>
      <c r="U9" s="106" cm="1">
        <f t="array" ref="U9">_xll.EQNXTDZ($A$1,$B9,U$1)</f>
        <v>0</v>
      </c>
      <c r="V9" s="106" cm="1">
        <f t="array" ref="V9">_xll.EQNXTDZ($A$1,$B9,V$1)</f>
        <v>0</v>
      </c>
      <c r="W9" s="106" cm="1">
        <f t="array" ref="W9">_xll.EQNXTDZ($A$1,$B9,W$1)</f>
        <v>0</v>
      </c>
      <c r="X9" s="106" cm="1">
        <f t="array" ref="X9">_xll.EQNXTDZ($A$1,$B9,X$1)</f>
        <v>0</v>
      </c>
      <c r="Y9" s="106" cm="1">
        <f t="array" ref="Y9">_xll.EQNXTDZ($A$1,$B9,Y$1)</f>
        <v>0</v>
      </c>
      <c r="Z9" s="106" cm="1">
        <f t="array" ref="Z9">_xll.EQNXTDZ($A$1,$B9,Z$1)</f>
        <v>0</v>
      </c>
      <c r="AA9" s="106" cm="1">
        <f t="array" ref="AA9">_xll.EQNXTDZ($A$1,$B9,AA$1)</f>
        <v>0</v>
      </c>
      <c r="AB9" s="106" cm="1">
        <f t="array" ref="AB9">_xll.EQNXTDZ($A$1,$B9,AB$1)</f>
        <v>0</v>
      </c>
      <c r="AC9" s="106" cm="1">
        <f t="array" ref="AC9">_xll.EQNXTDZ($A$1,$B9,AC$1)</f>
        <v>0</v>
      </c>
      <c r="AD9" s="106" cm="1">
        <f t="array" ref="AD9">_xll.EQNXTDZ($A$1,$B9,AD$1)</f>
        <v>0</v>
      </c>
      <c r="AE9" s="106" cm="1">
        <f t="array" ref="AE9">_xll.EQNXTDZ($A$1,$B9,AE$1)</f>
        <v>0</v>
      </c>
      <c r="AF9" s="106" cm="1">
        <f t="array" ref="AF9">_xll.EQNXTDZ($A$1,$B9,AF$1)</f>
        <v>0</v>
      </c>
      <c r="AG9" s="106" cm="1">
        <f t="array" ref="AG9">_xll.EQNXTDZ($A$1,$B9,AG$1)</f>
        <v>0</v>
      </c>
      <c r="AH9" s="106" cm="1">
        <f t="array" ref="AH9">_xll.EQNXTDZ($A$1,$B9,AH$1)</f>
        <v>0</v>
      </c>
      <c r="AI9" s="106" cm="1">
        <f t="array" ref="AI9">_xll.EQNXTDZ($A$1,$B9,AI$1)</f>
        <v>0</v>
      </c>
      <c r="AJ9" s="106" cm="1">
        <f t="array" ref="AJ9">_xll.EQNXTDZ($A$1,$B9,AJ$1)</f>
        <v>0</v>
      </c>
      <c r="AK9" s="106" cm="1">
        <f t="array" ref="AK9">_xll.EQNXTDZ($A$1,$B9,AK$1)</f>
        <v>0</v>
      </c>
      <c r="AL9" s="106" cm="1">
        <f t="array" ref="AL9">_xll.EQNXTDZ($A$1,$B9,AL$1)</f>
        <v>0</v>
      </c>
      <c r="AM9" s="106" cm="1">
        <f t="array" ref="AM9">_xll.EQNXTDZ($A$1,$B9,AM$1)</f>
        <v>0</v>
      </c>
      <c r="AN9" s="106" cm="1">
        <f t="array" ref="AN9">_xll.EQNXTDZ($A$1,$B9,AN$1)</f>
        <v>0</v>
      </c>
      <c r="AO9" s="106" cm="1">
        <f t="array" ref="AO9">_xll.EQNXTDZ($A$1,$B9,AO$1)</f>
        <v>0</v>
      </c>
      <c r="AP9" s="106" cm="1">
        <f t="array" ref="AP9">_xll.EQNXTDZ($A$1,$B9,AP$1)</f>
        <v>0</v>
      </c>
      <c r="AQ9" s="106" cm="1">
        <f t="array" ref="AQ9">_xll.EQNXTDZ($A$1,$B9,AQ$1)</f>
        <v>0</v>
      </c>
      <c r="AR9" s="106" cm="1">
        <f t="array" ref="AR9">_xll.EQNXTDZ($A$1,$B9,AR$1)</f>
        <v>0</v>
      </c>
      <c r="AS9" s="106" cm="1">
        <f t="array" ref="AS9">_xll.EQNXTDZ($A$1,$B9,AS$1)</f>
        <v>0</v>
      </c>
      <c r="AT9" s="106" cm="1">
        <f t="array" ref="AT9">_xll.EQNXTDZ($A$1,$B9,AT$1)</f>
        <v>0</v>
      </c>
      <c r="AU9" s="106" cm="1">
        <f t="array" ref="AU9">_xll.EQNXTDZ($A$1,$B9,AU$1)</f>
        <v>0</v>
      </c>
      <c r="AV9" s="106" cm="1">
        <f t="array" ref="AV9">_xll.EQNXTDZ($A$1,$B9,AV$1)</f>
        <v>0</v>
      </c>
      <c r="AW9" s="106" cm="1">
        <f t="array" ref="AW9">_xll.EQNXTDZ($A$1,$B9,AW$1)</f>
        <v>0</v>
      </c>
      <c r="AX9" s="106" cm="1">
        <f t="array" ref="AX9">_xll.EQNXTDZ($A$1,$B9,AX$1)</f>
        <v>0</v>
      </c>
      <c r="AY9" s="106" cm="1">
        <f t="array" ref="AY9">_xll.EQNXTDZ($A$1,$B9,AY$1)</f>
        <v>0</v>
      </c>
      <c r="AZ9" s="106" cm="1">
        <f t="array" ref="AZ9">_xll.EQNXTDZ($A$1,$B9,AZ$1)</f>
        <v>0</v>
      </c>
      <c r="BA9" s="106" cm="1">
        <f t="array" ref="BA9">_xll.EQNXTDZ($A$1,$B9,BA$1)</f>
        <v>0</v>
      </c>
      <c r="BB9" s="106" cm="1">
        <f t="array" ref="BB9">_xll.EQNXTDZ($A$1,$B9,BB$1)</f>
        <v>0</v>
      </c>
      <c r="BC9" s="106" cm="1">
        <f t="array" ref="BC9">_xll.EQNXTDZ($A$1,$B9,BC$1)</f>
        <v>0</v>
      </c>
      <c r="BD9" s="106" cm="1">
        <f t="array" ref="BD9">_xll.EQNXTDZ($A$1,$B9,BD$1)</f>
        <v>0</v>
      </c>
      <c r="BE9" s="106" cm="1">
        <f t="array" ref="BE9">_xll.EQNXTDZ($A$1,$B9,BE$1)</f>
        <v>0</v>
      </c>
      <c r="BF9" s="106" cm="1">
        <f t="array" ref="BF9">_xll.EQNXTDZ($A$1,$B9,BF$1)</f>
        <v>0</v>
      </c>
      <c r="BG9" s="106" cm="1">
        <f t="array" ref="BG9">_xll.EQNXTDZ($A$1,$B9,BG$1)</f>
        <v>0</v>
      </c>
      <c r="BH9" s="106" cm="1">
        <f t="array" ref="BH9">_xll.EQNXTDZ($A$1,$B9,BH$1)</f>
        <v>0</v>
      </c>
      <c r="BI9" s="106" cm="1">
        <f t="array" ref="BI9">_xll.EQNXTDZ($A$1,$B9,BI$1)</f>
        <v>0</v>
      </c>
      <c r="BJ9" s="106" cm="1">
        <f t="array" ref="BJ9">_xll.EQNXTDZ($A$1,$B9,BJ$1)</f>
        <v>0</v>
      </c>
      <c r="BK9" s="106" cm="1">
        <f t="array" ref="BK9">_xll.EQNXTDZ($A$1,$B9,BK$1)</f>
        <v>0</v>
      </c>
      <c r="BL9" s="106" cm="1">
        <f t="array" ref="BL9">_xll.EQNXTDZ($A$1,$B9,BL$1)</f>
        <v>0</v>
      </c>
      <c r="BM9" s="106" cm="1">
        <f t="array" ref="BM9">_xll.EQNXTDZ($A$1,$B9,BM$1)</f>
        <v>0</v>
      </c>
      <c r="BN9" s="106" cm="1">
        <f t="array" ref="BN9">_xll.EQNXTDZ($A$1,$B9,BN$1)</f>
        <v>0</v>
      </c>
      <c r="BO9" s="106" cm="1">
        <f t="array" ref="BO9">_xll.EQNXTDZ($A$1,$B9,BO$1)</f>
        <v>0</v>
      </c>
      <c r="BP9" s="106" cm="1">
        <f t="array" ref="BP9">_xll.EQNXTDZ($A$1,$B9,BP$1)</f>
        <v>0</v>
      </c>
      <c r="BQ9" s="106" cm="1">
        <f t="array" ref="BQ9">_xll.EQNXTDZ($A$1,$B9,BQ$1)</f>
        <v>0</v>
      </c>
      <c r="BR9" s="106" cm="1">
        <f t="array" ref="BR9">_xll.EQNXTDZ($A$1,$B9,BR$1)</f>
        <v>0</v>
      </c>
      <c r="BS9" s="106" cm="1">
        <f t="array" ref="BS9">_xll.EQNXTDZ($A$1,$B9,BS$1)</f>
        <v>0</v>
      </c>
      <c r="BT9" s="106" cm="1">
        <f t="array" ref="BT9">_xll.EQNXTDZ($A$1,$B9,BT$1)</f>
        <v>0</v>
      </c>
      <c r="BU9" s="106" cm="1">
        <f t="array" ref="BU9">_xll.EQNXTDZ($A$1,$B9,BU$1)</f>
        <v>0</v>
      </c>
      <c r="BV9" s="106" cm="1">
        <f t="array" ref="BV9">_xll.EQNXTDZ($A$1,$B9,BV$1)</f>
        <v>0</v>
      </c>
      <c r="BW9" s="106" cm="1">
        <f t="array" ref="BW9">_xll.EQNXTDZ($A$1,$B9,BW$1)</f>
        <v>0</v>
      </c>
      <c r="BX9" s="106" cm="1">
        <f t="array" ref="BX9">_xll.EQNXTDZ($A$1,$B9,BX$1)</f>
        <v>0</v>
      </c>
      <c r="BY9" s="106" cm="1">
        <f t="array" ref="BY9">_xll.EQNXTDZ($A$1,$B9,BY$1)</f>
        <v>0</v>
      </c>
      <c r="BZ9" s="106" cm="1">
        <f t="array" ref="BZ9">_xll.EQNXTDZ($A$1,$B9,BZ$1)</f>
        <v>0</v>
      </c>
      <c r="CA9" s="106" cm="1">
        <f t="array" ref="CA9">_xll.EQNXTDZ($A$1,$B9,CA$1)</f>
        <v>0</v>
      </c>
      <c r="CB9" s="106" cm="1">
        <f t="array" ref="CB9">_xll.EQNXTDZ($A$1,$B9,CB$1)</f>
        <v>0</v>
      </c>
      <c r="CC9" s="106" cm="1">
        <f t="array" ref="CC9">_xll.EQNXTDZ($A$1,$B9,CC$1)</f>
        <v>0</v>
      </c>
      <c r="CD9" s="106" cm="1">
        <f t="array" ref="CD9">_xll.EQNXTDZ($A$1,$B9,CD$1)</f>
        <v>0</v>
      </c>
      <c r="CE9" s="106" cm="1">
        <f t="array" ref="CE9">_xll.EQNXTDZ($A$1,$B9,CE$1)</f>
        <v>0</v>
      </c>
      <c r="CF9" s="106" cm="1">
        <f t="array" ref="CF9">_xll.EQNXTDZ($A$1,$B9,CF$1)</f>
        <v>0</v>
      </c>
      <c r="CG9" s="106" cm="1">
        <f t="array" ref="CG9">_xll.EQNXTDZ($A$1,$B9,CG$1)</f>
        <v>0</v>
      </c>
      <c r="CH9" s="106" cm="1">
        <f t="array" ref="CH9">_xll.EQNXTDZ($A$1,$B9,CH$1)</f>
        <v>0</v>
      </c>
      <c r="CI9" s="106" cm="1">
        <f t="array" ref="CI9">_xll.EQNXTDZ($A$1,$B9,CI$1)</f>
        <v>0</v>
      </c>
      <c r="CJ9" s="106" cm="1">
        <f t="array" ref="CJ9">_xll.EQNXTDZ($A$1,$B9,CJ$1)</f>
        <v>0</v>
      </c>
      <c r="CK9" s="106" cm="1">
        <f t="array" ref="CK9">_xll.EQNXTDZ($A$1,$B9,CK$1)</f>
        <v>0</v>
      </c>
      <c r="CL9" s="106" cm="1">
        <f t="array" ref="CL9">_xll.EQNXTDZ($A$1,$B9,CL$1)</f>
        <v>0</v>
      </c>
      <c r="CM9" s="106" cm="1">
        <f t="array" ref="CM9">_xll.EQNXTDZ($A$1,$B9,CM$1)</f>
        <v>0</v>
      </c>
      <c r="CN9" s="106" cm="1">
        <f t="array" ref="CN9">_xll.EQNXTDZ($A$1,$B9,CN$1)</f>
        <v>0</v>
      </c>
      <c r="CO9" s="106" cm="1">
        <f t="array" ref="CO9">_xll.EQNXTDZ($A$1,$B9,CO$1)</f>
        <v>0</v>
      </c>
      <c r="CP9" s="106" cm="1">
        <f t="array" ref="CP9">_xll.EQNXTDZ($A$1,$B9,CP$1)</f>
        <v>0</v>
      </c>
      <c r="CQ9" s="106" cm="1">
        <f t="array" ref="CQ9">_xll.EQNXTDZ($A$1,$B9,CQ$1)</f>
        <v>0</v>
      </c>
      <c r="CR9" s="106" cm="1">
        <f t="array" ref="CR9">_xll.EQNXTDZ($A$1,$B9,CR$1)</f>
        <v>0</v>
      </c>
      <c r="CS9" s="106" cm="1">
        <f t="array" ref="CS9">_xll.EQNXTDZ($A$1,$B9,CS$1)</f>
        <v>0</v>
      </c>
      <c r="CT9" s="106" cm="1">
        <f t="array" ref="CT9">_xll.EQNXTDZ($A$1,$B9,CT$1)</f>
        <v>0</v>
      </c>
      <c r="CU9" s="106" cm="1">
        <f t="array" ref="CU9">_xll.EQNXTDZ($A$1,$B9,CU$1)</f>
        <v>0</v>
      </c>
      <c r="CV9" s="106" cm="1">
        <f t="array" ref="CV9">_xll.EQNXTDZ($A$1,$B9,CV$1)</f>
        <v>0</v>
      </c>
      <c r="CW9" s="106" cm="1">
        <f t="array" ref="CW9">_xll.EQNXTDZ($A$1,$B9,CW$1)</f>
        <v>0</v>
      </c>
      <c r="CX9" s="106" cm="1">
        <f t="array" ref="CX9">_xll.EQNXTDZ($A$1,$B9,CX$1)</f>
        <v>0</v>
      </c>
      <c r="CY9" s="106" cm="1">
        <f t="array" ref="CY9">_xll.EQNXTDZ($A$1,$B9,CY$1)</f>
        <v>0</v>
      </c>
      <c r="CZ9" s="106" cm="1">
        <f t="array" ref="CZ9">_xll.EQNXTDZ($A$1,$B9,CZ$1)</f>
        <v>0</v>
      </c>
      <c r="DA9" s="106" cm="1">
        <f t="array" ref="DA9">_xll.EQNXTDZ($A$1,$B9,DA$1)</f>
        <v>0</v>
      </c>
      <c r="DB9" s="106" cm="1">
        <f t="array" ref="DB9">_xll.EQNXTDZ($A$1,$B9,DB$1)</f>
        <v>0</v>
      </c>
      <c r="DC9" s="106" cm="1">
        <f t="array" ref="DC9">_xll.EQNXTDZ($A$1,$B9,DC$1)</f>
        <v>0</v>
      </c>
      <c r="DD9" s="106" cm="1">
        <f t="array" ref="DD9">_xll.EQNXTDZ($A$1,$B9,DD$1)</f>
        <v>0</v>
      </c>
      <c r="DE9" s="106" cm="1">
        <f t="array" ref="DE9">_xll.EQNXTDZ($A$1,$B9,DE$1)</f>
        <v>0</v>
      </c>
      <c r="DF9" s="106" cm="1">
        <f t="array" ref="DF9">_xll.EQNXTDZ($A$1,$B9,DF$1)</f>
        <v>0</v>
      </c>
      <c r="DG9" s="106" cm="1">
        <f t="array" ref="DG9">_xll.EQNXTDZ($A$1,$B9,DG$1)</f>
        <v>0</v>
      </c>
      <c r="DH9" s="106" cm="1">
        <f t="array" ref="DH9">_xll.EQNXTDZ($A$1,$B9,DH$1)</f>
        <v>0</v>
      </c>
      <c r="DI9" s="106" cm="1">
        <f t="array" ref="DI9">_xll.EQNXTDZ($A$1,$B9,DI$1)</f>
        <v>0</v>
      </c>
      <c r="DJ9" s="106" cm="1">
        <f t="array" ref="DJ9">_xll.EQNXTDZ($A$1,$B9,DJ$1)</f>
        <v>0</v>
      </c>
      <c r="DK9" s="106" cm="1">
        <f t="array" ref="DK9">_xll.EQNXTDZ($A$1,$B9,DK$1)</f>
        <v>0</v>
      </c>
      <c r="DL9" s="106" cm="1">
        <f t="array" ref="DL9">_xll.EQNXTDZ($A$1,$B9,DL$1)</f>
        <v>0</v>
      </c>
      <c r="DM9" s="106" cm="1">
        <f t="array" ref="DM9">_xll.EQNXTDZ($A$1,$B9,DM$1)</f>
        <v>0</v>
      </c>
      <c r="DN9" s="106" cm="1">
        <f t="array" ref="DN9">_xll.EQNXTDZ($A$1,$B9,DN$1)</f>
        <v>0</v>
      </c>
      <c r="DO9" s="106" cm="1">
        <f t="array" ref="DO9">_xll.EQNXTDZ($A$1,$B9,DO$1)</f>
        <v>0</v>
      </c>
      <c r="DP9" s="106" cm="1">
        <f t="array" ref="DP9">_xll.EQNXTDZ($A$1,$B9,DP$1)</f>
        <v>0</v>
      </c>
      <c r="DQ9" s="106" cm="1">
        <f t="array" ref="DQ9">_xll.EQNXTDZ($A$1,$B9,DQ$1)</f>
        <v>0</v>
      </c>
      <c r="DR9" s="106" cm="1">
        <f t="array" ref="DR9">_xll.EQNXTDZ($A$1,$B9,DR$1)</f>
        <v>0</v>
      </c>
      <c r="DS9" s="106" cm="1">
        <f t="array" ref="DS9">_xll.EQNXTDZ($A$1,$B9,DS$1)</f>
        <v>0</v>
      </c>
      <c r="DT9" s="106" cm="1">
        <f t="array" ref="DT9">_xll.EQNXTDZ($A$1,$B9,DT$1)</f>
        <v>0</v>
      </c>
      <c r="DU9" s="106" cm="1">
        <f t="array" ref="DU9">_xll.EQNXTDZ($A$1,$B9,DU$1)</f>
        <v>0</v>
      </c>
      <c r="DV9" s="106" cm="1">
        <f t="array" ref="DV9">_xll.EQNXTDZ($A$1,$B9,DV$1)</f>
        <v>0</v>
      </c>
      <c r="DW9" s="106" cm="1">
        <f t="array" ref="DW9">_xll.EQNXTDZ($A$1,$B9,DW$1)</f>
        <v>0</v>
      </c>
      <c r="DX9" s="106" cm="1">
        <f t="array" ref="DX9">_xll.EQNXTDZ($A$1,$B9,DX$1)</f>
        <v>0</v>
      </c>
      <c r="DY9" s="106" cm="1">
        <f t="array" ref="DY9">_xll.EQNXTDZ($A$1,$B9,DY$1)</f>
        <v>0</v>
      </c>
      <c r="DZ9" s="106" cm="1">
        <f t="array" ref="DZ9">_xll.EQNXTDZ($A$1,$B9,DZ$1)</f>
        <v>0</v>
      </c>
      <c r="EA9" s="106" cm="1">
        <f t="array" ref="EA9">_xll.EQNXTDZ($A$1,$B9,EA$1)</f>
        <v>0</v>
      </c>
      <c r="EB9" s="106" cm="1">
        <f t="array" ref="EB9">_xll.EQNXTDZ($A$1,$B9,EB$1)</f>
        <v>0</v>
      </c>
      <c r="EC9" s="106" cm="1">
        <f t="array" ref="EC9">_xll.EQNXTDZ($A$1,$B9,EC$1)</f>
        <v>0</v>
      </c>
      <c r="ED9" s="106" cm="1">
        <f t="array" ref="ED9">_xll.EQNXTDZ($A$1,$B9,ED$1)</f>
        <v>0</v>
      </c>
      <c r="EE9" s="106" cm="1">
        <f t="array" ref="EE9">_xll.EQNXTDZ($A$1,$B9,EE$1)</f>
        <v>0</v>
      </c>
      <c r="EF9" s="106" cm="1">
        <f t="array" ref="EF9">_xll.EQNXTDZ($A$1,$B9,EF$1)</f>
        <v>0</v>
      </c>
      <c r="EG9" s="106" cm="1">
        <f t="array" ref="EG9">_xll.EQNXTDZ($A$1,$B9,EG$1)</f>
        <v>0</v>
      </c>
      <c r="EH9" s="106" cm="1">
        <f t="array" ref="EH9">_xll.EQNXTDZ($A$1,$B9,EH$1)</f>
        <v>0</v>
      </c>
      <c r="EI9" s="106" cm="1">
        <f t="array" ref="EI9">_xll.EQNXTDZ($A$1,$B9,EI$1)</f>
        <v>0</v>
      </c>
      <c r="EJ9" s="106" cm="1">
        <f t="array" ref="EJ9">_xll.EQNXTDZ($A$1,$B9,EJ$1)</f>
        <v>0</v>
      </c>
      <c r="EK9" s="106" cm="1">
        <f t="array" ref="EK9">_xll.EQNXTDZ($A$1,$B9,EK$1)</f>
        <v>0</v>
      </c>
      <c r="EL9" s="106" cm="1">
        <f t="array" ref="EL9">_xll.EQNXTDZ($A$1,$B9,EL$1)</f>
        <v>0</v>
      </c>
      <c r="EM9" s="106" cm="1">
        <f t="array" ref="EM9">_xll.EQNXTDZ($A$1,$B9,EM$1)</f>
        <v>0</v>
      </c>
      <c r="EN9" s="106" cm="1">
        <f t="array" ref="EN9">_xll.EQNXTDZ($A$1,$B9,EN$1)</f>
        <v>0</v>
      </c>
      <c r="EO9" s="106" cm="1">
        <f t="array" ref="EO9">_xll.EQNXTDZ($A$1,$B9,EO$1)</f>
        <v>0</v>
      </c>
      <c r="EP9" s="106" cm="1">
        <f t="array" ref="EP9">_xll.EQNXTDZ($A$1,$B9,EP$1)</f>
        <v>0</v>
      </c>
      <c r="EQ9" s="106" cm="1">
        <f t="array" ref="EQ9">_xll.EQNXTDZ($A$1,$B9,EQ$1)</f>
        <v>0</v>
      </c>
      <c r="ER9" s="106" cm="1">
        <f t="array" ref="ER9">_xll.EQNXTDZ($A$1,$B9,ER$1)</f>
        <v>0</v>
      </c>
      <c r="ES9" s="106" cm="1">
        <f t="array" ref="ES9">_xll.EQNXTDZ($A$1,$B9,ES$1)</f>
        <v>0</v>
      </c>
      <c r="ET9" s="106" cm="1">
        <f t="array" ref="ET9">_xll.EQNXTDZ($A$1,$B9,ET$1)</f>
        <v>0</v>
      </c>
      <c r="EU9" s="106" cm="1">
        <f t="array" ref="EU9">_xll.EQNXTDZ($A$1,$B9,EU$1)</f>
        <v>0</v>
      </c>
      <c r="EV9" s="106" cm="1">
        <f t="array" ref="EV9">_xll.EQNXTDZ($A$1,$B9,EV$1)</f>
        <v>0</v>
      </c>
      <c r="EW9" s="106" cm="1">
        <f t="array" ref="EW9">_xll.EQNXTDZ($A$1,$B9,EW$1)</f>
        <v>0</v>
      </c>
      <c r="EX9" s="106" cm="1">
        <f t="array" ref="EX9">_xll.EQNXTDZ($A$1,$B9,EX$1)</f>
        <v>0</v>
      </c>
      <c r="EY9" s="106" cm="1">
        <f t="array" ref="EY9">_xll.EQNXTDZ($A$1,$B9,EY$1)</f>
        <v>0</v>
      </c>
      <c r="EZ9" s="106" cm="1">
        <f t="array" ref="EZ9">_xll.EQNXTDZ($A$1,$B9,EZ$1)</f>
        <v>0</v>
      </c>
      <c r="FA9" s="106" cm="1">
        <f t="array" ref="FA9">_xll.EQNXTDZ($A$1,$B9,FA$1)</f>
        <v>0</v>
      </c>
      <c r="FB9" s="106" cm="1">
        <f t="array" ref="FB9">_xll.EQNXTDZ($A$1,$B9,FB$1)</f>
        <v>0</v>
      </c>
      <c r="FC9" s="106" cm="1">
        <f t="array" ref="FC9">_xll.EQNXTDZ($A$1,$B9,FC$1)</f>
        <v>0</v>
      </c>
      <c r="FD9" s="106" cm="1">
        <f t="array" ref="FD9">_xll.EQNXTDZ($A$1,$B9,FD$1)</f>
        <v>0</v>
      </c>
      <c r="FE9" s="106" cm="1">
        <f t="array" ref="FE9">_xll.EQNXTDZ($A$1,$B9,FE$1)</f>
        <v>0</v>
      </c>
      <c r="FF9" s="106" cm="1">
        <f t="array" ref="FF9">_xll.EQNXTDZ($A$1,$B9,FF$1)</f>
        <v>0</v>
      </c>
      <c r="FG9" s="106" cm="1">
        <f t="array" ref="FG9">_xll.EQNXTDZ($A$1,$B9,FG$1)</f>
        <v>0</v>
      </c>
      <c r="FH9" s="106" cm="1">
        <f t="array" ref="FH9">_xll.EQNXTDZ($A$1,$B9,FH$1)</f>
        <v>0</v>
      </c>
      <c r="FI9" s="106" cm="1">
        <f t="array" ref="FI9">_xll.EQNXTDZ($A$1,$B9,FI$1)</f>
        <v>0</v>
      </c>
      <c r="FJ9" s="106" cm="1">
        <f t="array" ref="FJ9">_xll.EQNXTDZ($A$1,$B9,FJ$1)</f>
        <v>0</v>
      </c>
      <c r="FK9" s="106" cm="1">
        <f t="array" ref="FK9">_xll.EQNXTDZ($A$1,$B9,FK$1)</f>
        <v>0</v>
      </c>
      <c r="FL9" s="106" cm="1">
        <f t="array" ref="FL9">_xll.EQNXTDZ($A$1,$B9,FL$1)</f>
        <v>0</v>
      </c>
      <c r="FM9" s="106" cm="1">
        <f t="array" ref="FM9">_xll.EQNXTDZ($A$1,$B9,FM$1)</f>
        <v>0</v>
      </c>
      <c r="FN9" s="106" cm="1">
        <f t="array" ref="FN9">_xll.EQNXTDZ($A$1,$B9,FN$1)</f>
        <v>0</v>
      </c>
      <c r="FO9" s="106" cm="1">
        <f t="array" ref="FO9">_xll.EQNXTDZ($A$1,$B9,FO$1)</f>
        <v>0</v>
      </c>
      <c r="FP9" s="106" cm="1">
        <f t="array" ref="FP9">_xll.EQNXTDZ($A$1,$B9,FP$1)</f>
        <v>0</v>
      </c>
      <c r="FQ9" s="106" cm="1">
        <f t="array" ref="FQ9">_xll.EQNXTDZ($A$1,$B9,FQ$1)</f>
        <v>0</v>
      </c>
      <c r="FR9" s="106" cm="1">
        <f t="array" ref="FR9">_xll.EQNXTDZ($A$1,$B9,FR$1)</f>
        <v>0</v>
      </c>
      <c r="FS9" s="106" cm="1">
        <f t="array" ref="FS9">_xll.EQNXTDZ($A$1,$B9,FS$1)</f>
        <v>0</v>
      </c>
      <c r="FT9" s="106" cm="1">
        <f t="array" ref="FT9">_xll.EQNXTDZ($A$1,$B9,FT$1)</f>
        <v>0</v>
      </c>
      <c r="FU9" s="106" cm="1">
        <f t="array" ref="FU9">_xll.EQNXTDZ($A$1,$B9,FU$1)</f>
        <v>0</v>
      </c>
      <c r="FV9" s="106" cm="1">
        <f t="array" ref="FV9">_xll.EQNXTDZ($A$1,$B9,FV$1)</f>
        <v>0</v>
      </c>
      <c r="FW9" s="106" cm="1">
        <f t="array" ref="FW9">_xll.EQNXTDZ($A$1,$B9,FW$1)</f>
        <v>0</v>
      </c>
      <c r="FX9" s="106" cm="1">
        <f t="array" ref="FX9">_xll.EQNXTDZ($A$1,$B9,FX$1)</f>
        <v>0</v>
      </c>
      <c r="FY9" s="106" cm="1">
        <f t="array" ref="FY9">_xll.EQNXTDZ($A$1,$B9,FY$1)</f>
        <v>0</v>
      </c>
      <c r="FZ9" s="106" cm="1">
        <f t="array" ref="FZ9">_xll.EQNXTDZ($A$1,$B9,FZ$1)</f>
        <v>0</v>
      </c>
      <c r="GA9" s="106" cm="1">
        <f t="array" ref="GA9">_xll.EQNXTDZ($A$1,$B9,GA$1)</f>
        <v>0</v>
      </c>
      <c r="GB9" s="106" cm="1">
        <f t="array" ref="GB9">_xll.EQNXTDZ($A$1,$B9,GB$1)</f>
        <v>0</v>
      </c>
      <c r="GC9" s="106" cm="1">
        <f t="array" ref="GC9">_xll.EQNXTDZ($A$1,$B9,GC$1)</f>
        <v>0</v>
      </c>
      <c r="GD9" s="106" cm="1">
        <f t="array" ref="GD9">_xll.EQNXTDZ($A$1,$B9,GD$1)</f>
        <v>0</v>
      </c>
      <c r="GE9" s="106" cm="1">
        <f t="array" ref="GE9">_xll.EQNXTDZ($A$1,$B9,GE$1)</f>
        <v>0</v>
      </c>
      <c r="GF9" s="106" cm="1">
        <f t="array" ref="GF9">_xll.EQNXTDZ($A$1,$B9,GF$1)</f>
        <v>0</v>
      </c>
      <c r="GG9" s="106" cm="1">
        <f t="array" ref="GG9">_xll.EQNXTDZ($A$1,$B9,GG$1)</f>
        <v>0</v>
      </c>
      <c r="GH9" s="106" cm="1">
        <f t="array" ref="GH9">_xll.EQNXTDZ($A$1,$B9,GH$1)</f>
        <v>0</v>
      </c>
      <c r="GI9" s="106" cm="1">
        <f t="array" ref="GI9">_xll.EQNXTDZ($A$1,$B9,GI$1)</f>
        <v>0</v>
      </c>
      <c r="GJ9" s="106" cm="1">
        <f t="array" ref="GJ9">_xll.EQNXTDZ($A$1,$B9,GJ$1)</f>
        <v>0</v>
      </c>
      <c r="GK9" s="106" cm="1">
        <f t="array" ref="GK9">_xll.EQNXTDZ($A$1,$B9,GK$1)</f>
        <v>0</v>
      </c>
      <c r="GL9" s="106" cm="1">
        <f t="array" ref="GL9">_xll.EQNXTDZ($A$1,$B9,GL$1)</f>
        <v>0</v>
      </c>
      <c r="GM9" s="106" cm="1">
        <f t="array" ref="GM9">_xll.EQNXTDZ($A$1,$B9,GM$1)</f>
        <v>0</v>
      </c>
      <c r="GN9" s="106" cm="1">
        <f t="array" ref="GN9">_xll.EQNXTDZ($A$1,$B9,GN$1)</f>
        <v>0</v>
      </c>
      <c r="GO9" s="106" cm="1">
        <f t="array" ref="GO9">_xll.EQNXTDZ($A$1,$B9,GO$1)</f>
        <v>0</v>
      </c>
      <c r="GP9" s="106" cm="1">
        <f t="array" ref="GP9">_xll.EQNXTDZ($A$1,$B9,GP$1)</f>
        <v>0</v>
      </c>
      <c r="GQ9" s="106" cm="1">
        <f t="array" ref="GQ9">_xll.EQNXTDZ($A$1,$B9,GQ$1)</f>
        <v>0</v>
      </c>
      <c r="GR9" s="106" cm="1">
        <f t="array" ref="GR9">_xll.EQNXTDZ($A$1,$B9,GR$1)</f>
        <v>0</v>
      </c>
      <c r="GS9" s="106" cm="1">
        <f t="array" ref="GS9">_xll.EQNXTDZ($A$1,$B9,GS$1)</f>
        <v>0</v>
      </c>
      <c r="GT9" s="106" cm="1">
        <f t="array" ref="GT9">_xll.EQNXTDZ($A$1,$B9,GT$1)</f>
        <v>0</v>
      </c>
      <c r="GU9" s="106" cm="1">
        <f t="array" ref="GU9">_xll.EQNXTDZ($A$1,$B9,GU$1)</f>
        <v>0</v>
      </c>
      <c r="GV9" s="106" cm="1">
        <f t="array" ref="GV9">_xll.EQNXTDZ($A$1,$B9,GV$1)</f>
        <v>0</v>
      </c>
      <c r="GW9" s="106" cm="1">
        <f t="array" ref="GW9">_xll.EQNXTDZ($A$1,$B9,GW$1)</f>
        <v>0</v>
      </c>
      <c r="GX9" s="106" cm="1">
        <f t="array" ref="GX9">_xll.EQNXTDZ($A$1,$B9,GX$1)</f>
        <v>0</v>
      </c>
      <c r="GY9" s="106" cm="1">
        <f t="array" ref="GY9">_xll.EQNXTDZ($A$1,$B9,GY$1)</f>
        <v>0</v>
      </c>
      <c r="GZ9" s="106" cm="1">
        <f t="array" ref="GZ9">_xll.EQNXTDZ($A$1,$B9,GZ$1)</f>
        <v>0</v>
      </c>
      <c r="HA9" s="106" cm="1">
        <f t="array" ref="HA9">_xll.EQNXTDZ($A$1,$B9,HA$1)</f>
        <v>0</v>
      </c>
      <c r="HB9" s="106" cm="1">
        <f t="array" ref="HB9">_xll.EQNXTDZ($A$1,$B9,HB$1)</f>
        <v>0</v>
      </c>
      <c r="HC9" s="106" cm="1">
        <f t="array" ref="HC9">_xll.EQNXTDZ($A$1,$B9,HC$1)</f>
        <v>0</v>
      </c>
      <c r="HD9" s="106" cm="1">
        <f t="array" ref="HD9">_xll.EQNXTDZ($A$1,$B9,HD$1)</f>
        <v>0</v>
      </c>
      <c r="HE9" s="106" cm="1">
        <f t="array" ref="HE9">_xll.EQNXTDZ($A$1,$B9,HE$1)</f>
        <v>0</v>
      </c>
      <c r="HF9" s="106" cm="1">
        <f t="array" ref="HF9">_xll.EQNXTDZ($A$1,$B9,HF$1)</f>
        <v>0</v>
      </c>
      <c r="HG9" s="106" cm="1">
        <f t="array" ref="HG9">_xll.EQNXTDZ($A$1,$B9,HG$1)</f>
        <v>0</v>
      </c>
      <c r="HH9" s="106" cm="1">
        <f t="array" ref="HH9">_xll.EQNXTDZ($A$1,$B9,HH$1)</f>
        <v>0</v>
      </c>
      <c r="HP9" s="106">
        <f>+F9</f>
        <v>0</v>
      </c>
      <c r="HQ9" s="106">
        <f>+I9</f>
        <v>0</v>
      </c>
      <c r="HR9" s="106">
        <f>+L9</f>
        <v>0</v>
      </c>
      <c r="HS9" s="106">
        <f>+O9</f>
        <v>0</v>
      </c>
      <c r="HT9" s="106">
        <f>+R9</f>
        <v>0</v>
      </c>
      <c r="HU9" s="106">
        <f>+U9</f>
        <v>0</v>
      </c>
      <c r="HV9" s="106">
        <f>+X9</f>
        <v>0</v>
      </c>
      <c r="HW9" s="106">
        <f>+AA9</f>
        <v>0</v>
      </c>
      <c r="HX9" s="106">
        <f>+AD9</f>
        <v>0</v>
      </c>
      <c r="HY9" s="106">
        <f>+AG9</f>
        <v>0</v>
      </c>
      <c r="HZ9" s="106">
        <f>+AJ9</f>
        <v>0</v>
      </c>
      <c r="IA9" s="106">
        <f>+AM9</f>
        <v>0</v>
      </c>
      <c r="IB9" s="106">
        <f>+AP9</f>
        <v>0</v>
      </c>
      <c r="IC9" s="106">
        <f>+AS9</f>
        <v>0</v>
      </c>
      <c r="ID9" s="106">
        <f>+AV9</f>
        <v>0</v>
      </c>
      <c r="IE9" s="106">
        <f>+AY9</f>
        <v>0</v>
      </c>
      <c r="IF9" s="106">
        <f>+BB9</f>
        <v>0</v>
      </c>
      <c r="IG9" s="106">
        <f>+BE9</f>
        <v>0</v>
      </c>
      <c r="IH9" s="106">
        <f>+BH9</f>
        <v>0</v>
      </c>
      <c r="II9" s="106">
        <f>+BK9</f>
        <v>0</v>
      </c>
      <c r="IJ9" s="106">
        <f>+BN9</f>
        <v>0</v>
      </c>
      <c r="IK9" s="106">
        <f>+BQ9</f>
        <v>0</v>
      </c>
      <c r="IL9" s="106">
        <f>+BT9</f>
        <v>0</v>
      </c>
      <c r="IM9" s="106">
        <f>+BW9</f>
        <v>0</v>
      </c>
      <c r="IN9" s="106">
        <f>+BZ9</f>
        <v>0</v>
      </c>
      <c r="IO9" s="106">
        <f>+CC9</f>
        <v>0</v>
      </c>
      <c r="IP9" s="106">
        <f>+CF9</f>
        <v>0</v>
      </c>
      <c r="IQ9" s="106">
        <f>+CI9</f>
        <v>0</v>
      </c>
      <c r="IR9" s="106">
        <f>+CL9</f>
        <v>0</v>
      </c>
      <c r="IS9" s="106">
        <f>+CO9</f>
        <v>0</v>
      </c>
      <c r="IT9" s="106">
        <f>+CR9</f>
        <v>0</v>
      </c>
      <c r="IU9" s="106">
        <f>+CU9</f>
        <v>0</v>
      </c>
      <c r="IV9" s="106">
        <f>+CX9</f>
        <v>0</v>
      </c>
      <c r="IW9" s="106">
        <f>+DA9</f>
        <v>0</v>
      </c>
      <c r="IX9" s="106">
        <f>+DD9</f>
        <v>0</v>
      </c>
      <c r="IY9" s="106">
        <f>+DG9</f>
        <v>0</v>
      </c>
      <c r="IZ9" s="106">
        <f>+DJ9</f>
        <v>0</v>
      </c>
      <c r="JA9" s="106">
        <f>+DM9</f>
        <v>0</v>
      </c>
      <c r="JB9" s="106">
        <f>+DP9</f>
        <v>0</v>
      </c>
      <c r="JC9" s="106">
        <f>+DS9</f>
        <v>0</v>
      </c>
      <c r="JD9" s="106">
        <f>+DV9</f>
        <v>0</v>
      </c>
      <c r="JE9" s="106">
        <f>+DY9</f>
        <v>0</v>
      </c>
      <c r="JF9" s="106">
        <f>+EB9</f>
        <v>0</v>
      </c>
      <c r="JG9" s="106">
        <f>+EE9</f>
        <v>0</v>
      </c>
      <c r="JH9" s="106">
        <f>+EH9</f>
        <v>0</v>
      </c>
      <c r="JI9" s="106">
        <f>+EK9</f>
        <v>0</v>
      </c>
      <c r="JJ9" s="106">
        <f>+EN9</f>
        <v>0</v>
      </c>
      <c r="JK9" s="106">
        <f>EQ9</f>
        <v>0</v>
      </c>
      <c r="JL9" s="106">
        <f>ET9</f>
        <v>0</v>
      </c>
      <c r="JM9" s="106">
        <f>EW9</f>
        <v>0</v>
      </c>
      <c r="JN9" s="106">
        <f>EZ9</f>
        <v>0</v>
      </c>
      <c r="JO9" s="106">
        <f>FC9</f>
        <v>0</v>
      </c>
      <c r="JP9" s="106">
        <f>FF9</f>
        <v>0</v>
      </c>
      <c r="JQ9" s="106">
        <f>FI9</f>
        <v>0</v>
      </c>
      <c r="JR9" s="106">
        <f>FL9</f>
        <v>0</v>
      </c>
      <c r="JS9" s="106">
        <f>FO9</f>
        <v>0</v>
      </c>
      <c r="JT9" s="106">
        <f>FR9</f>
        <v>0</v>
      </c>
      <c r="JU9" s="106">
        <f>FU9</f>
        <v>0</v>
      </c>
      <c r="JV9" s="106">
        <f>FX9</f>
        <v>0</v>
      </c>
      <c r="JW9" s="106">
        <f>GA9</f>
        <v>0</v>
      </c>
      <c r="JX9" s="106">
        <f>GD9</f>
        <v>0</v>
      </c>
      <c r="JY9" s="106">
        <f>GG9</f>
        <v>0</v>
      </c>
      <c r="JZ9" s="106">
        <f>GJ9</f>
        <v>0</v>
      </c>
      <c r="KA9" s="106">
        <f>GM9</f>
        <v>0</v>
      </c>
      <c r="KB9" s="106">
        <f>GP9</f>
        <v>0</v>
      </c>
      <c r="KC9" s="106">
        <f>GS9</f>
        <v>0</v>
      </c>
      <c r="KD9" s="106">
        <f>GV9</f>
        <v>0</v>
      </c>
      <c r="KE9" s="106">
        <f>GY9</f>
        <v>0</v>
      </c>
      <c r="KF9" s="106">
        <f>HB9</f>
        <v>0</v>
      </c>
      <c r="KG9" s="106">
        <f>HE9</f>
        <v>0</v>
      </c>
      <c r="KH9" s="106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120</v>
      </c>
      <c r="B12" t="s">
        <v>123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0</v>
      </c>
      <c r="FI12" cm="1">
        <f t="array" ref="FI12">_xll.EQNXTDZ($A$1,$B12,FI$1)</f>
        <v>0</v>
      </c>
      <c r="FJ12" cm="1">
        <f t="array" ref="FJ12">_xll.EQNXTDZ($A$1,$B12,FJ$1)</f>
        <v>0</v>
      </c>
      <c r="FK12" cm="1">
        <f t="array" ref="FK12">_xll.EQNXTDZ($A$1,$B12,FK$1)</f>
        <v>0</v>
      </c>
      <c r="FL12" cm="1">
        <f t="array" ref="FL12">_xll.EQNXTDZ($A$1,$B12,FL$1)</f>
        <v>0</v>
      </c>
      <c r="FM12" cm="1">
        <f t="array" ref="FM12">_xll.EQNXTDZ($A$1,$B12,FM$1)</f>
        <v>0</v>
      </c>
      <c r="FN12" cm="1">
        <f t="array" ref="FN12">_xll.EQNXTDZ($A$1,$B12,FN$1)</f>
        <v>0</v>
      </c>
      <c r="FO12" cm="1">
        <f t="array" ref="FO12">_xll.EQNXTDZ($A$1,$B12,FO$1)</f>
        <v>0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151</v>
      </c>
      <c r="B13" t="s">
        <v>152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0</v>
      </c>
      <c r="FI13" cm="1">
        <f t="array" ref="FI13">_xll.EQNXTDZ($A$1,$B13,FI$1)</f>
        <v>0</v>
      </c>
      <c r="FJ13" cm="1">
        <f t="array" ref="FJ13">_xll.EQNXTDZ($A$1,$B13,FJ$1)</f>
        <v>0</v>
      </c>
      <c r="FK13" cm="1">
        <f t="array" ref="FK13">_xll.EQNXTDZ($A$1,$B13,FK$1)</f>
        <v>0</v>
      </c>
      <c r="FL13" cm="1">
        <f t="array" ref="FL13">_xll.EQNXTDZ($A$1,$B13,FL$1)</f>
        <v>0</v>
      </c>
      <c r="FM13" cm="1">
        <f t="array" ref="FM13">_xll.EQNXTDZ($A$1,$B13,FM$1)</f>
        <v>0</v>
      </c>
      <c r="FN13" cm="1">
        <f t="array" ref="FN13">_xll.EQNXTDZ($A$1,$B13,FN$1)</f>
        <v>0</v>
      </c>
      <c r="FO13" cm="1">
        <f t="array" ref="FO13">_xll.EQNXTDZ($A$1,$B13,FO$1)</f>
        <v>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6" customFormat="1" x14ac:dyDescent="0.25">
      <c r="A14" s="106" t="s">
        <v>37</v>
      </c>
      <c r="B14" s="106" t="s">
        <v>153</v>
      </c>
      <c r="C14" s="106" cm="1">
        <f t="array" ref="C14">_xll.EQNXTDZ($A$1,$B14,C$1)</f>
        <v>0</v>
      </c>
      <c r="D14" s="106" cm="1">
        <f t="array" ref="D14">_xll.EQNXTDZ($A$1,$B14,D$1)</f>
        <v>0</v>
      </c>
      <c r="E14" s="106" cm="1">
        <f t="array" ref="E14">_xll.EQNXTDZ($A$1,$B14,E$1)</f>
        <v>0</v>
      </c>
      <c r="F14" s="106" cm="1">
        <f t="array" ref="F14">_xll.EQNXTDZ($A$1,$B14,F$1)</f>
        <v>0</v>
      </c>
      <c r="G14" s="106" cm="1">
        <f t="array" ref="G14">_xll.EQNXTDZ($A$1,$B14,G$1)</f>
        <v>0</v>
      </c>
      <c r="H14" s="106" cm="1">
        <f t="array" ref="H14">_xll.EQNXTDZ($A$1,$B14,H$1)</f>
        <v>0</v>
      </c>
      <c r="I14" s="106" cm="1">
        <f t="array" ref="I14">_xll.EQNXTDZ($A$1,$B14,I$1)</f>
        <v>0</v>
      </c>
      <c r="J14" s="106" cm="1">
        <f t="array" ref="J14">_xll.EQNXTDZ($A$1,$B14,J$1)</f>
        <v>0</v>
      </c>
      <c r="K14" s="106" cm="1">
        <f t="array" ref="K14">_xll.EQNXTDZ($A$1,$B14,K$1)</f>
        <v>0</v>
      </c>
      <c r="L14" s="106" cm="1">
        <f t="array" ref="L14">_xll.EQNXTDZ($A$1,$B14,L$1)</f>
        <v>0</v>
      </c>
      <c r="M14" s="106" cm="1">
        <f t="array" ref="M14">_xll.EQNXTDZ($A$1,$B14,M$1)</f>
        <v>0</v>
      </c>
      <c r="N14" s="106" cm="1">
        <f t="array" ref="N14">_xll.EQNXTDZ($A$1,$B14,N$1)</f>
        <v>0</v>
      </c>
      <c r="O14" s="106" cm="1">
        <f t="array" ref="O14">_xll.EQNXTDZ($A$1,$B14,O$1)</f>
        <v>0</v>
      </c>
      <c r="P14" s="106" cm="1">
        <f t="array" ref="P14">_xll.EQNXTDZ($A$1,$B14,P$1)</f>
        <v>0</v>
      </c>
      <c r="Q14" s="106" cm="1">
        <f t="array" ref="Q14">_xll.EQNXTDZ($A$1,$B14,Q$1)</f>
        <v>0</v>
      </c>
      <c r="R14" s="106" cm="1">
        <f t="array" ref="R14">_xll.EQNXTDZ($A$1,$B14,R$1)</f>
        <v>0</v>
      </c>
      <c r="S14" s="106" cm="1">
        <f t="array" ref="S14">_xll.EQNXTDZ($A$1,$B14,S$1)</f>
        <v>0</v>
      </c>
      <c r="T14" s="106" cm="1">
        <f t="array" ref="T14">_xll.EQNXTDZ($A$1,$B14,T$1)</f>
        <v>0</v>
      </c>
      <c r="U14" s="106" cm="1">
        <f t="array" ref="U14">_xll.EQNXTDZ($A$1,$B14,U$1)</f>
        <v>0</v>
      </c>
      <c r="V14" s="106" cm="1">
        <f t="array" ref="V14">_xll.EQNXTDZ($A$1,$B14,V$1)</f>
        <v>0</v>
      </c>
      <c r="W14" s="106" cm="1">
        <f t="array" ref="W14">_xll.EQNXTDZ($A$1,$B14,W$1)</f>
        <v>0</v>
      </c>
      <c r="X14" s="106" cm="1">
        <f t="array" ref="X14">_xll.EQNXTDZ($A$1,$B14,X$1)</f>
        <v>0</v>
      </c>
      <c r="Y14" s="106" cm="1">
        <f t="array" ref="Y14">_xll.EQNXTDZ($A$1,$B14,Y$1)</f>
        <v>0</v>
      </c>
      <c r="Z14" s="106" cm="1">
        <f t="array" ref="Z14">_xll.EQNXTDZ($A$1,$B14,Z$1)</f>
        <v>0</v>
      </c>
      <c r="AA14" s="106" cm="1">
        <f t="array" ref="AA14">_xll.EQNXTDZ($A$1,$B14,AA$1)</f>
        <v>0</v>
      </c>
      <c r="AB14" s="106" cm="1">
        <f t="array" ref="AB14">_xll.EQNXTDZ($A$1,$B14,AB$1)</f>
        <v>0</v>
      </c>
      <c r="AC14" s="106" cm="1">
        <f t="array" ref="AC14">_xll.EQNXTDZ($A$1,$B14,AC$1)</f>
        <v>0</v>
      </c>
      <c r="AD14" s="106" cm="1">
        <f t="array" ref="AD14">_xll.EQNXTDZ($A$1,$B14,AD$1)</f>
        <v>0</v>
      </c>
      <c r="AE14" s="106" cm="1">
        <f t="array" ref="AE14">_xll.EQNXTDZ($A$1,$B14,AE$1)</f>
        <v>0</v>
      </c>
      <c r="AF14" s="106" cm="1">
        <f t="array" ref="AF14">_xll.EQNXTDZ($A$1,$B14,AF$1)</f>
        <v>0</v>
      </c>
      <c r="AG14" s="106" cm="1">
        <f t="array" ref="AG14">_xll.EQNXTDZ($A$1,$B14,AG$1)</f>
        <v>0</v>
      </c>
      <c r="AH14" s="106" cm="1">
        <f t="array" ref="AH14">_xll.EQNXTDZ($A$1,$B14,AH$1)</f>
        <v>0</v>
      </c>
      <c r="AI14" s="106" cm="1">
        <f t="array" ref="AI14">_xll.EQNXTDZ($A$1,$B14,AI$1)</f>
        <v>0</v>
      </c>
      <c r="AJ14" s="106" cm="1">
        <f t="array" ref="AJ14">_xll.EQNXTDZ($A$1,$B14,AJ$1)</f>
        <v>0</v>
      </c>
      <c r="AK14" s="106" cm="1">
        <f t="array" ref="AK14">_xll.EQNXTDZ($A$1,$B14,AK$1)</f>
        <v>0</v>
      </c>
      <c r="AL14" s="106" cm="1">
        <f t="array" ref="AL14">_xll.EQNXTDZ($A$1,$B14,AL$1)</f>
        <v>0</v>
      </c>
      <c r="AM14" s="106" cm="1">
        <f t="array" ref="AM14">_xll.EQNXTDZ($A$1,$B14,AM$1)</f>
        <v>0</v>
      </c>
      <c r="AN14" s="106" cm="1">
        <f t="array" ref="AN14">_xll.EQNXTDZ($A$1,$B14,AN$1)</f>
        <v>0</v>
      </c>
      <c r="AO14" s="106" cm="1">
        <f t="array" ref="AO14">_xll.EQNXTDZ($A$1,$B14,AO$1)</f>
        <v>0</v>
      </c>
      <c r="AP14" s="106" cm="1">
        <f t="array" ref="AP14">_xll.EQNXTDZ($A$1,$B14,AP$1)</f>
        <v>0</v>
      </c>
      <c r="AQ14" s="106" cm="1">
        <f t="array" ref="AQ14">_xll.EQNXTDZ($A$1,$B14,AQ$1)</f>
        <v>0</v>
      </c>
      <c r="AR14" s="106" cm="1">
        <f t="array" ref="AR14">_xll.EQNXTDZ($A$1,$B14,AR$1)</f>
        <v>0</v>
      </c>
      <c r="AS14" s="106" cm="1">
        <f t="array" ref="AS14">_xll.EQNXTDZ($A$1,$B14,AS$1)</f>
        <v>0</v>
      </c>
      <c r="AT14" s="106" cm="1">
        <f t="array" ref="AT14">_xll.EQNXTDZ($A$1,$B14,AT$1)</f>
        <v>0</v>
      </c>
      <c r="AU14" s="106" cm="1">
        <f t="array" ref="AU14">_xll.EQNXTDZ($A$1,$B14,AU$1)</f>
        <v>0</v>
      </c>
      <c r="AV14" s="106" cm="1">
        <f t="array" ref="AV14">_xll.EQNXTDZ($A$1,$B14,AV$1)</f>
        <v>0</v>
      </c>
      <c r="AW14" s="106" cm="1">
        <f t="array" ref="AW14">_xll.EQNXTDZ($A$1,$B14,AW$1)</f>
        <v>0</v>
      </c>
      <c r="AX14" s="106" cm="1">
        <f t="array" ref="AX14">_xll.EQNXTDZ($A$1,$B14,AX$1)</f>
        <v>0</v>
      </c>
      <c r="AY14" s="106" cm="1">
        <f t="array" ref="AY14">_xll.EQNXTDZ($A$1,$B14,AY$1)</f>
        <v>0</v>
      </c>
      <c r="AZ14" s="106" cm="1">
        <f t="array" ref="AZ14">_xll.EQNXTDZ($A$1,$B14,AZ$1)</f>
        <v>0</v>
      </c>
      <c r="BA14" s="106" cm="1">
        <f t="array" ref="BA14">_xll.EQNXTDZ($A$1,$B14,BA$1)</f>
        <v>0</v>
      </c>
      <c r="BB14" s="106" cm="1">
        <f t="array" ref="BB14">_xll.EQNXTDZ($A$1,$B14,BB$1)</f>
        <v>0</v>
      </c>
      <c r="BC14" s="106" cm="1">
        <f t="array" ref="BC14">_xll.EQNXTDZ($A$1,$B14,BC$1)</f>
        <v>0</v>
      </c>
      <c r="BD14" s="106" cm="1">
        <f t="array" ref="BD14">_xll.EQNXTDZ($A$1,$B14,BD$1)</f>
        <v>0</v>
      </c>
      <c r="BE14" s="106" cm="1">
        <f t="array" ref="BE14">_xll.EQNXTDZ($A$1,$B14,BE$1)</f>
        <v>0</v>
      </c>
      <c r="BF14" s="106" cm="1">
        <f t="array" ref="BF14">_xll.EQNXTDZ($A$1,$B14,BF$1)</f>
        <v>0</v>
      </c>
      <c r="BG14" s="106" cm="1">
        <f t="array" ref="BG14">_xll.EQNXTDZ($A$1,$B14,BG$1)</f>
        <v>0</v>
      </c>
      <c r="BH14" s="106" cm="1">
        <f t="array" ref="BH14">_xll.EQNXTDZ($A$1,$B14,BH$1)</f>
        <v>0</v>
      </c>
      <c r="BI14" s="106" cm="1">
        <f t="array" ref="BI14">_xll.EQNXTDZ($A$1,$B14,BI$1)</f>
        <v>0</v>
      </c>
      <c r="BJ14" s="106" cm="1">
        <f t="array" ref="BJ14">_xll.EQNXTDZ($A$1,$B14,BJ$1)</f>
        <v>0</v>
      </c>
      <c r="BK14" s="106" cm="1">
        <f t="array" ref="BK14">_xll.EQNXTDZ($A$1,$B14,BK$1)</f>
        <v>0</v>
      </c>
      <c r="BL14" s="106" cm="1">
        <f t="array" ref="BL14">_xll.EQNXTDZ($A$1,$B14,BL$1)</f>
        <v>0</v>
      </c>
      <c r="BM14" s="106" cm="1">
        <f t="array" ref="BM14">_xll.EQNXTDZ($A$1,$B14,BM$1)</f>
        <v>0</v>
      </c>
      <c r="BN14" s="106" cm="1">
        <f t="array" ref="BN14">_xll.EQNXTDZ($A$1,$B14,BN$1)</f>
        <v>0</v>
      </c>
      <c r="BO14" s="106" cm="1">
        <f t="array" ref="BO14">_xll.EQNXTDZ($A$1,$B14,BO$1)</f>
        <v>0</v>
      </c>
      <c r="BP14" s="106" cm="1">
        <f t="array" ref="BP14">_xll.EQNXTDZ($A$1,$B14,BP$1)</f>
        <v>0</v>
      </c>
      <c r="BQ14" s="106" cm="1">
        <f t="array" ref="BQ14">_xll.EQNXTDZ($A$1,$B14,BQ$1)</f>
        <v>0</v>
      </c>
      <c r="BR14" s="106" cm="1">
        <f t="array" ref="BR14">_xll.EQNXTDZ($A$1,$B14,BR$1)</f>
        <v>0</v>
      </c>
      <c r="BS14" s="106" cm="1">
        <f t="array" ref="BS14">_xll.EQNXTDZ($A$1,$B14,BS$1)</f>
        <v>0</v>
      </c>
      <c r="BT14" s="106" cm="1">
        <f t="array" ref="BT14">_xll.EQNXTDZ($A$1,$B14,BT$1)</f>
        <v>0</v>
      </c>
      <c r="BU14" s="106" cm="1">
        <f t="array" ref="BU14">_xll.EQNXTDZ($A$1,$B14,BU$1)</f>
        <v>0</v>
      </c>
      <c r="BV14" s="106" cm="1">
        <f t="array" ref="BV14">_xll.EQNXTDZ($A$1,$B14,BV$1)</f>
        <v>0</v>
      </c>
      <c r="BW14" s="106" cm="1">
        <f t="array" ref="BW14">_xll.EQNXTDZ($A$1,$B14,BW$1)</f>
        <v>0</v>
      </c>
      <c r="BX14" s="106" cm="1">
        <f t="array" ref="BX14">_xll.EQNXTDZ($A$1,$B14,BX$1)</f>
        <v>0</v>
      </c>
      <c r="BY14" s="106" cm="1">
        <f t="array" ref="BY14">_xll.EQNXTDZ($A$1,$B14,BY$1)</f>
        <v>0</v>
      </c>
      <c r="BZ14" s="106" cm="1">
        <f t="array" ref="BZ14">_xll.EQNXTDZ($A$1,$B14,BZ$1)</f>
        <v>0</v>
      </c>
      <c r="CA14" s="106" cm="1">
        <f t="array" ref="CA14">_xll.EQNXTDZ($A$1,$B14,CA$1)</f>
        <v>0</v>
      </c>
      <c r="CB14" s="106" cm="1">
        <f t="array" ref="CB14">_xll.EQNXTDZ($A$1,$B14,CB$1)</f>
        <v>0</v>
      </c>
      <c r="CC14" s="106" cm="1">
        <f t="array" ref="CC14">_xll.EQNXTDZ($A$1,$B14,CC$1)</f>
        <v>0</v>
      </c>
      <c r="CD14" s="106" cm="1">
        <f t="array" ref="CD14">_xll.EQNXTDZ($A$1,$B14,CD$1)</f>
        <v>0</v>
      </c>
      <c r="CE14" s="106" cm="1">
        <f t="array" ref="CE14">_xll.EQNXTDZ($A$1,$B14,CE$1)</f>
        <v>0</v>
      </c>
      <c r="CF14" s="106" cm="1">
        <f t="array" ref="CF14">_xll.EQNXTDZ($A$1,$B14,CF$1)</f>
        <v>0</v>
      </c>
      <c r="CG14" s="106" cm="1">
        <f t="array" ref="CG14">_xll.EQNXTDZ($A$1,$B14,CG$1)</f>
        <v>0</v>
      </c>
      <c r="CH14" s="106" cm="1">
        <f t="array" ref="CH14">_xll.EQNXTDZ($A$1,$B14,CH$1)</f>
        <v>0</v>
      </c>
      <c r="CI14" s="106" cm="1">
        <f t="array" ref="CI14">_xll.EQNXTDZ($A$1,$B14,CI$1)</f>
        <v>0</v>
      </c>
      <c r="CJ14" s="106" cm="1">
        <f t="array" ref="CJ14">_xll.EQNXTDZ($A$1,$B14,CJ$1)</f>
        <v>0</v>
      </c>
      <c r="CK14" s="106" cm="1">
        <f t="array" ref="CK14">_xll.EQNXTDZ($A$1,$B14,CK$1)</f>
        <v>0</v>
      </c>
      <c r="CL14" s="106" cm="1">
        <f t="array" ref="CL14">_xll.EQNXTDZ($A$1,$B14,CL$1)</f>
        <v>0</v>
      </c>
      <c r="CM14" s="106" cm="1">
        <f t="array" ref="CM14">_xll.EQNXTDZ($A$1,$B14,CM$1)</f>
        <v>0</v>
      </c>
      <c r="CN14" s="106" cm="1">
        <f t="array" ref="CN14">_xll.EQNXTDZ($A$1,$B14,CN$1)</f>
        <v>0</v>
      </c>
      <c r="CO14" s="106" cm="1">
        <f t="array" ref="CO14">_xll.EQNXTDZ($A$1,$B14,CO$1)</f>
        <v>0</v>
      </c>
      <c r="CP14" s="106" cm="1">
        <f t="array" ref="CP14">_xll.EQNXTDZ($A$1,$B14,CP$1)</f>
        <v>0</v>
      </c>
      <c r="CQ14" s="106" cm="1">
        <f t="array" ref="CQ14">_xll.EQNXTDZ($A$1,$B14,CQ$1)</f>
        <v>0</v>
      </c>
      <c r="CR14" s="106" cm="1">
        <f t="array" ref="CR14">_xll.EQNXTDZ($A$1,$B14,CR$1)</f>
        <v>0</v>
      </c>
      <c r="CS14" s="106" cm="1">
        <f t="array" ref="CS14">_xll.EQNXTDZ($A$1,$B14,CS$1)</f>
        <v>0</v>
      </c>
      <c r="CT14" s="106" cm="1">
        <f t="array" ref="CT14">_xll.EQNXTDZ($A$1,$B14,CT$1)</f>
        <v>0</v>
      </c>
      <c r="CU14" s="106" cm="1">
        <f t="array" ref="CU14">_xll.EQNXTDZ($A$1,$B14,CU$1)</f>
        <v>0</v>
      </c>
      <c r="CV14" s="106" cm="1">
        <f t="array" ref="CV14">_xll.EQNXTDZ($A$1,$B14,CV$1)</f>
        <v>0</v>
      </c>
      <c r="CW14" s="106" cm="1">
        <f t="array" ref="CW14">_xll.EQNXTDZ($A$1,$B14,CW$1)</f>
        <v>0</v>
      </c>
      <c r="CX14" s="106" cm="1">
        <f t="array" ref="CX14">_xll.EQNXTDZ($A$1,$B14,CX$1)</f>
        <v>0</v>
      </c>
      <c r="CY14" s="106" cm="1">
        <f t="array" ref="CY14">_xll.EQNXTDZ($A$1,$B14,CY$1)</f>
        <v>0</v>
      </c>
      <c r="CZ14" s="106" cm="1">
        <f t="array" ref="CZ14">_xll.EQNXTDZ($A$1,$B14,CZ$1)</f>
        <v>0</v>
      </c>
      <c r="DA14" s="106" cm="1">
        <f t="array" ref="DA14">_xll.EQNXTDZ($A$1,$B14,DA$1)</f>
        <v>0</v>
      </c>
      <c r="DB14" s="106" cm="1">
        <f t="array" ref="DB14">_xll.EQNXTDZ($A$1,$B14,DB$1)</f>
        <v>0</v>
      </c>
      <c r="DC14" s="106" cm="1">
        <f t="array" ref="DC14">_xll.EQNXTDZ($A$1,$B14,DC$1)</f>
        <v>0</v>
      </c>
      <c r="DD14" s="106" cm="1">
        <f t="array" ref="DD14">_xll.EQNXTDZ($A$1,$B14,DD$1)</f>
        <v>0</v>
      </c>
      <c r="DE14" s="106" cm="1">
        <f t="array" ref="DE14">_xll.EQNXTDZ($A$1,$B14,DE$1)</f>
        <v>0</v>
      </c>
      <c r="DF14" s="106" cm="1">
        <f t="array" ref="DF14">_xll.EQNXTDZ($A$1,$B14,DF$1)</f>
        <v>0</v>
      </c>
      <c r="DG14" s="106" cm="1">
        <f t="array" ref="DG14">_xll.EQNXTDZ($A$1,$B14,DG$1)</f>
        <v>0</v>
      </c>
      <c r="DH14" s="106" cm="1">
        <f t="array" ref="DH14">_xll.EQNXTDZ($A$1,$B14,DH$1)</f>
        <v>0</v>
      </c>
      <c r="DI14" s="106" cm="1">
        <f t="array" ref="DI14">_xll.EQNXTDZ($A$1,$B14,DI$1)</f>
        <v>0</v>
      </c>
      <c r="DJ14" s="106" cm="1">
        <f t="array" ref="DJ14">_xll.EQNXTDZ($A$1,$B14,DJ$1)</f>
        <v>0</v>
      </c>
      <c r="DK14" s="106" cm="1">
        <f t="array" ref="DK14">_xll.EQNXTDZ($A$1,$B14,DK$1)</f>
        <v>0</v>
      </c>
      <c r="DL14" s="106" cm="1">
        <f t="array" ref="DL14">_xll.EQNXTDZ($A$1,$B14,DL$1)</f>
        <v>0</v>
      </c>
      <c r="DM14" s="106" cm="1">
        <f t="array" ref="DM14">_xll.EQNXTDZ($A$1,$B14,DM$1)</f>
        <v>0</v>
      </c>
      <c r="DN14" s="106" cm="1">
        <f t="array" ref="DN14">_xll.EQNXTDZ($A$1,$B14,DN$1)</f>
        <v>0</v>
      </c>
      <c r="DO14" s="106" cm="1">
        <f t="array" ref="DO14">_xll.EQNXTDZ($A$1,$B14,DO$1)</f>
        <v>0</v>
      </c>
      <c r="DP14" s="106" cm="1">
        <f t="array" ref="DP14">_xll.EQNXTDZ($A$1,$B14,DP$1)</f>
        <v>0</v>
      </c>
      <c r="DQ14" s="106" cm="1">
        <f t="array" ref="DQ14">_xll.EQNXTDZ($A$1,$B14,DQ$1)</f>
        <v>0</v>
      </c>
      <c r="DR14" s="106" cm="1">
        <f t="array" ref="DR14">_xll.EQNXTDZ($A$1,$B14,DR$1)</f>
        <v>0</v>
      </c>
      <c r="DS14" s="106" cm="1">
        <f t="array" ref="DS14">_xll.EQNXTDZ($A$1,$B14,DS$1)</f>
        <v>0</v>
      </c>
      <c r="DT14" s="106" cm="1">
        <f t="array" ref="DT14">_xll.EQNXTDZ($A$1,$B14,DT$1)</f>
        <v>0</v>
      </c>
      <c r="DU14" s="106" cm="1">
        <f t="array" ref="DU14">_xll.EQNXTDZ($A$1,$B14,DU$1)</f>
        <v>0</v>
      </c>
      <c r="DV14" s="106" cm="1">
        <f t="array" ref="DV14">_xll.EQNXTDZ($A$1,$B14,DV$1)</f>
        <v>0</v>
      </c>
      <c r="DW14" s="106" cm="1">
        <f t="array" ref="DW14">_xll.EQNXTDZ($A$1,$B14,DW$1)</f>
        <v>0</v>
      </c>
      <c r="DX14" s="106" cm="1">
        <f t="array" ref="DX14">_xll.EQNXTDZ($A$1,$B14,DX$1)</f>
        <v>0</v>
      </c>
      <c r="DY14" s="106" cm="1">
        <f t="array" ref="DY14">_xll.EQNXTDZ($A$1,$B14,DY$1)</f>
        <v>0</v>
      </c>
      <c r="DZ14" s="106" cm="1">
        <f t="array" ref="DZ14">_xll.EQNXTDZ($A$1,$B14,DZ$1)</f>
        <v>0</v>
      </c>
      <c r="EA14" s="106" cm="1">
        <f t="array" ref="EA14">_xll.EQNXTDZ($A$1,$B14,EA$1)</f>
        <v>0</v>
      </c>
      <c r="EB14" s="106" cm="1">
        <f t="array" ref="EB14">_xll.EQNXTDZ($A$1,$B14,EB$1)</f>
        <v>0</v>
      </c>
      <c r="EC14" s="106" cm="1">
        <f t="array" ref="EC14">_xll.EQNXTDZ($A$1,$B14,EC$1)</f>
        <v>0</v>
      </c>
      <c r="ED14" s="106" cm="1">
        <f t="array" ref="ED14">_xll.EQNXTDZ($A$1,$B14,ED$1)</f>
        <v>0</v>
      </c>
      <c r="EE14" s="106" cm="1">
        <f t="array" ref="EE14">_xll.EQNXTDZ($A$1,$B14,EE$1)</f>
        <v>0</v>
      </c>
      <c r="EF14" s="106" cm="1">
        <f t="array" ref="EF14">_xll.EQNXTDZ($A$1,$B14,EF$1)</f>
        <v>0</v>
      </c>
      <c r="EG14" s="106" cm="1">
        <f t="array" ref="EG14">_xll.EQNXTDZ($A$1,$B14,EG$1)</f>
        <v>0</v>
      </c>
      <c r="EH14" s="106" cm="1">
        <f t="array" ref="EH14">_xll.EQNXTDZ($A$1,$B14,EH$1)</f>
        <v>0</v>
      </c>
      <c r="EI14" s="106" cm="1">
        <f t="array" ref="EI14">_xll.EQNXTDZ($A$1,$B14,EI$1)</f>
        <v>0</v>
      </c>
      <c r="EJ14" s="106" cm="1">
        <f t="array" ref="EJ14">_xll.EQNXTDZ($A$1,$B14,EJ$1)</f>
        <v>0</v>
      </c>
      <c r="EK14" s="106" cm="1">
        <f t="array" ref="EK14">_xll.EQNXTDZ($A$1,$B14,EK$1)</f>
        <v>0</v>
      </c>
      <c r="EL14" s="106" cm="1">
        <f t="array" ref="EL14">_xll.EQNXTDZ($A$1,$B14,EL$1)</f>
        <v>0</v>
      </c>
      <c r="EM14" s="106" cm="1">
        <f t="array" ref="EM14">_xll.EQNXTDZ($A$1,$B14,EM$1)</f>
        <v>0</v>
      </c>
      <c r="EN14" s="106" cm="1">
        <f t="array" ref="EN14">_xll.EQNXTDZ($A$1,$B14,EN$1)</f>
        <v>0</v>
      </c>
      <c r="EO14" s="106" cm="1">
        <f t="array" ref="EO14">_xll.EQNXTDZ($A$1,$B14,EO$1)</f>
        <v>0</v>
      </c>
      <c r="EP14" s="106" cm="1">
        <f t="array" ref="EP14">_xll.EQNXTDZ($A$1,$B14,EP$1)</f>
        <v>0</v>
      </c>
      <c r="EQ14" s="106" cm="1">
        <f t="array" ref="EQ14">_xll.EQNXTDZ($A$1,$B14,EQ$1)</f>
        <v>0</v>
      </c>
      <c r="ER14" s="106" cm="1">
        <f t="array" ref="ER14">_xll.EQNXTDZ($A$1,$B14,ER$1)</f>
        <v>0</v>
      </c>
      <c r="ES14" s="106" cm="1">
        <f t="array" ref="ES14">_xll.EQNXTDZ($A$1,$B14,ES$1)</f>
        <v>0</v>
      </c>
      <c r="ET14" s="106" cm="1">
        <f t="array" ref="ET14">_xll.EQNXTDZ($A$1,$B14,ET$1)</f>
        <v>0</v>
      </c>
      <c r="EU14" s="106" cm="1">
        <f t="array" ref="EU14">_xll.EQNXTDZ($A$1,$B14,EU$1)</f>
        <v>0</v>
      </c>
      <c r="EV14" s="106" cm="1">
        <f t="array" ref="EV14">_xll.EQNXTDZ($A$1,$B14,EV$1)</f>
        <v>0</v>
      </c>
      <c r="EW14" s="106" cm="1">
        <f t="array" ref="EW14">_xll.EQNXTDZ($A$1,$B14,EW$1)</f>
        <v>0</v>
      </c>
      <c r="EX14" s="106" cm="1">
        <f t="array" ref="EX14">_xll.EQNXTDZ($A$1,$B14,EX$1)</f>
        <v>0</v>
      </c>
      <c r="EY14" s="106" cm="1">
        <f t="array" ref="EY14">_xll.EQNXTDZ($A$1,$B14,EY$1)</f>
        <v>0</v>
      </c>
      <c r="EZ14" s="106" cm="1">
        <f t="array" ref="EZ14">_xll.EQNXTDZ($A$1,$B14,EZ$1)</f>
        <v>0</v>
      </c>
      <c r="FA14" s="106" cm="1">
        <f t="array" ref="FA14">_xll.EQNXTDZ($A$1,$B14,FA$1)</f>
        <v>0</v>
      </c>
      <c r="FB14" s="106" cm="1">
        <f t="array" ref="FB14">_xll.EQNXTDZ($A$1,$B14,FB$1)</f>
        <v>0</v>
      </c>
      <c r="FC14" s="106" cm="1">
        <f t="array" ref="FC14">_xll.EQNXTDZ($A$1,$B14,FC$1)</f>
        <v>0</v>
      </c>
      <c r="FD14" s="106" cm="1">
        <f t="array" ref="FD14">_xll.EQNXTDZ($A$1,$B14,FD$1)</f>
        <v>0</v>
      </c>
      <c r="FE14" s="106" cm="1">
        <f t="array" ref="FE14">_xll.EQNXTDZ($A$1,$B14,FE$1)</f>
        <v>0</v>
      </c>
      <c r="FF14" s="106" cm="1">
        <f t="array" ref="FF14">_xll.EQNXTDZ($A$1,$B14,FF$1)</f>
        <v>0</v>
      </c>
      <c r="FG14" s="106" cm="1">
        <f t="array" ref="FG14">_xll.EQNXTDZ($A$1,$B14,FG$1)</f>
        <v>0</v>
      </c>
      <c r="FH14" s="106" cm="1">
        <f t="array" ref="FH14">_xll.EQNXTDZ($A$1,$B14,FH$1)</f>
        <v>0</v>
      </c>
      <c r="FI14" s="106" cm="1">
        <f t="array" ref="FI14">_xll.EQNXTDZ($A$1,$B14,FI$1)</f>
        <v>0</v>
      </c>
      <c r="FJ14" s="106" cm="1">
        <f t="array" ref="FJ14">_xll.EQNXTDZ($A$1,$B14,FJ$1)</f>
        <v>0</v>
      </c>
      <c r="FK14" s="106" cm="1">
        <f t="array" ref="FK14">_xll.EQNXTDZ($A$1,$B14,FK$1)</f>
        <v>0</v>
      </c>
      <c r="FL14" s="106" cm="1">
        <f t="array" ref="FL14">_xll.EQNXTDZ($A$1,$B14,FL$1)</f>
        <v>0</v>
      </c>
      <c r="FM14" s="106" cm="1">
        <f t="array" ref="FM14">_xll.EQNXTDZ($A$1,$B14,FM$1)</f>
        <v>0</v>
      </c>
      <c r="FN14" s="106" cm="1">
        <f t="array" ref="FN14">_xll.EQNXTDZ($A$1,$B14,FN$1)</f>
        <v>0</v>
      </c>
      <c r="FO14" s="106" cm="1">
        <f t="array" ref="FO14">_xll.EQNXTDZ($A$1,$B14,FO$1)</f>
        <v>0</v>
      </c>
      <c r="FP14" s="106" cm="1">
        <f t="array" ref="FP14">_xll.EQNXTDZ($A$1,$B14,FP$1)</f>
        <v>0</v>
      </c>
      <c r="FQ14" s="106" cm="1">
        <f t="array" ref="FQ14">_xll.EQNXTDZ($A$1,$B14,FQ$1)</f>
        <v>0</v>
      </c>
      <c r="FR14" s="106" cm="1">
        <f t="array" ref="FR14">_xll.EQNXTDZ($A$1,$B14,FR$1)</f>
        <v>0</v>
      </c>
      <c r="FS14" s="106" cm="1">
        <f t="array" ref="FS14">_xll.EQNXTDZ($A$1,$B14,FS$1)</f>
        <v>0</v>
      </c>
      <c r="FT14" s="106" cm="1">
        <f t="array" ref="FT14">_xll.EQNXTDZ($A$1,$B14,FT$1)</f>
        <v>0</v>
      </c>
      <c r="FU14" s="106" cm="1">
        <f t="array" ref="FU14">_xll.EQNXTDZ($A$1,$B14,FU$1)</f>
        <v>0</v>
      </c>
      <c r="FV14" s="106" cm="1">
        <f t="array" ref="FV14">_xll.EQNXTDZ($A$1,$B14,FV$1)</f>
        <v>0</v>
      </c>
      <c r="FW14" s="106" cm="1">
        <f t="array" ref="FW14">_xll.EQNXTDZ($A$1,$B14,FW$1)</f>
        <v>0</v>
      </c>
      <c r="FX14" s="106" cm="1">
        <f t="array" ref="FX14">_xll.EQNXTDZ($A$1,$B14,FX$1)</f>
        <v>0</v>
      </c>
      <c r="FY14" s="106" cm="1">
        <f t="array" ref="FY14">_xll.EQNXTDZ($A$1,$B14,FY$1)</f>
        <v>0</v>
      </c>
      <c r="FZ14" s="106" cm="1">
        <f t="array" ref="FZ14">_xll.EQNXTDZ($A$1,$B14,FZ$1)</f>
        <v>0</v>
      </c>
      <c r="GA14" s="106" cm="1">
        <f t="array" ref="GA14">_xll.EQNXTDZ($A$1,$B14,GA$1)</f>
        <v>0</v>
      </c>
      <c r="GB14" s="106" cm="1">
        <f t="array" ref="GB14">_xll.EQNXTDZ($A$1,$B14,GB$1)</f>
        <v>0</v>
      </c>
      <c r="GC14" s="106" cm="1">
        <f t="array" ref="GC14">_xll.EQNXTDZ($A$1,$B14,GC$1)</f>
        <v>0</v>
      </c>
      <c r="GD14" s="106" cm="1">
        <f t="array" ref="GD14">_xll.EQNXTDZ($A$1,$B14,GD$1)</f>
        <v>0</v>
      </c>
      <c r="GE14" s="106" cm="1">
        <f t="array" ref="GE14">_xll.EQNXTDZ($A$1,$B14,GE$1)</f>
        <v>0</v>
      </c>
      <c r="GF14" s="106" cm="1">
        <f t="array" ref="GF14">_xll.EQNXTDZ($A$1,$B14,GF$1)</f>
        <v>0</v>
      </c>
      <c r="GG14" s="106" cm="1">
        <f t="array" ref="GG14">_xll.EQNXTDZ($A$1,$B14,GG$1)</f>
        <v>0</v>
      </c>
      <c r="GH14" s="106" cm="1">
        <f t="array" ref="GH14">_xll.EQNXTDZ($A$1,$B14,GH$1)</f>
        <v>0</v>
      </c>
      <c r="GI14" s="106" cm="1">
        <f t="array" ref="GI14">_xll.EQNXTDZ($A$1,$B14,GI$1)</f>
        <v>0</v>
      </c>
      <c r="GJ14" s="106" cm="1">
        <f t="array" ref="GJ14">_xll.EQNXTDZ($A$1,$B14,GJ$1)</f>
        <v>0</v>
      </c>
      <c r="GK14" s="106" cm="1">
        <f t="array" ref="GK14">_xll.EQNXTDZ($A$1,$B14,GK$1)</f>
        <v>0</v>
      </c>
      <c r="GL14" s="106" cm="1">
        <f t="array" ref="GL14">_xll.EQNXTDZ($A$1,$B14,GL$1)</f>
        <v>0</v>
      </c>
      <c r="GM14" s="106" cm="1">
        <f t="array" ref="GM14">_xll.EQNXTDZ($A$1,$B14,GM$1)</f>
        <v>0</v>
      </c>
      <c r="GN14" s="106" cm="1">
        <f t="array" ref="GN14">_xll.EQNXTDZ($A$1,$B14,GN$1)</f>
        <v>0</v>
      </c>
      <c r="GO14" s="106" cm="1">
        <f t="array" ref="GO14">_xll.EQNXTDZ($A$1,$B14,GO$1)</f>
        <v>0</v>
      </c>
      <c r="GP14" s="106" cm="1">
        <f t="array" ref="GP14">_xll.EQNXTDZ($A$1,$B14,GP$1)</f>
        <v>0</v>
      </c>
      <c r="GQ14" s="106" cm="1">
        <f t="array" ref="GQ14">_xll.EQNXTDZ($A$1,$B14,GQ$1)</f>
        <v>0</v>
      </c>
      <c r="GR14" s="106" cm="1">
        <f t="array" ref="GR14">_xll.EQNXTDZ($A$1,$B14,GR$1)</f>
        <v>0</v>
      </c>
      <c r="GS14" s="106" cm="1">
        <f t="array" ref="GS14">_xll.EQNXTDZ($A$1,$B14,GS$1)</f>
        <v>0</v>
      </c>
      <c r="GT14" s="106" cm="1">
        <f t="array" ref="GT14">_xll.EQNXTDZ($A$1,$B14,GT$1)</f>
        <v>0</v>
      </c>
      <c r="GU14" s="106" cm="1">
        <f t="array" ref="GU14">_xll.EQNXTDZ($A$1,$B14,GU$1)</f>
        <v>0</v>
      </c>
      <c r="GV14" s="106" cm="1">
        <f t="array" ref="GV14">_xll.EQNXTDZ($A$1,$B14,GV$1)</f>
        <v>0</v>
      </c>
      <c r="GW14" s="106" cm="1">
        <f t="array" ref="GW14">_xll.EQNXTDZ($A$1,$B14,GW$1)</f>
        <v>0</v>
      </c>
      <c r="GX14" s="106" cm="1">
        <f t="array" ref="GX14">_xll.EQNXTDZ($A$1,$B14,GX$1)</f>
        <v>0</v>
      </c>
      <c r="GY14" s="106" cm="1">
        <f t="array" ref="GY14">_xll.EQNXTDZ($A$1,$B14,GY$1)</f>
        <v>0</v>
      </c>
      <c r="GZ14" s="106" cm="1">
        <f t="array" ref="GZ14">_xll.EQNXTDZ($A$1,$B14,GZ$1)</f>
        <v>0</v>
      </c>
      <c r="HA14" s="106" cm="1">
        <f t="array" ref="HA14">_xll.EQNXTDZ($A$1,$B14,HA$1)</f>
        <v>0</v>
      </c>
      <c r="HB14" s="106" cm="1">
        <f t="array" ref="HB14">_xll.EQNXTDZ($A$1,$B14,HB$1)</f>
        <v>0</v>
      </c>
      <c r="HC14" s="106" cm="1">
        <f t="array" ref="HC14">_xll.EQNXTDZ($A$1,$B14,HC$1)</f>
        <v>0</v>
      </c>
      <c r="HD14" s="106" cm="1">
        <f t="array" ref="HD14">_xll.EQNXTDZ($A$1,$B14,HD$1)</f>
        <v>0</v>
      </c>
      <c r="HE14" s="106" cm="1">
        <f t="array" ref="HE14">_xll.EQNXTDZ($A$1,$B14,HE$1)</f>
        <v>0</v>
      </c>
      <c r="HF14" s="106" cm="1">
        <f t="array" ref="HF14">_xll.EQNXTDZ($A$1,$B14,HF$1)</f>
        <v>0</v>
      </c>
      <c r="HG14" s="106" cm="1">
        <f t="array" ref="HG14">_xll.EQNXTDZ($A$1,$B14,HG$1)</f>
        <v>0</v>
      </c>
      <c r="HH14" s="106" cm="1">
        <f t="array" ref="HH14">_xll.EQNXTDZ($A$1,$B14,HH$1)</f>
        <v>0</v>
      </c>
      <c r="HP14" s="106">
        <f>+MAX(D14:F14)</f>
        <v>0</v>
      </c>
      <c r="HQ14" s="106">
        <f>+MAX(G14:I14)</f>
        <v>0</v>
      </c>
      <c r="HR14" s="106">
        <f>+MAX(J14:L14)</f>
        <v>0</v>
      </c>
      <c r="HS14" s="106">
        <f>+MAX(M14:O14)</f>
        <v>0</v>
      </c>
      <c r="HT14" s="106">
        <f>+MAX(P14:R14)</f>
        <v>0</v>
      </c>
      <c r="HU14" s="106">
        <f>+MAX(S14:U14)</f>
        <v>0</v>
      </c>
      <c r="HV14" s="106">
        <f>+MAX(V14:X14)</f>
        <v>0</v>
      </c>
      <c r="HW14" s="106">
        <f>+MAX(Y14:AA14)</f>
        <v>0</v>
      </c>
      <c r="HX14" s="106">
        <f>+MAX(AB14:AD14)</f>
        <v>0</v>
      </c>
      <c r="HY14" s="106">
        <f>+MAX(AE14:AG14)</f>
        <v>0</v>
      </c>
      <c r="HZ14" s="106">
        <f>+MAX(AH14:AJ14)</f>
        <v>0</v>
      </c>
      <c r="IA14" s="106">
        <f>+MAX(AK14:AM14)</f>
        <v>0</v>
      </c>
      <c r="IB14" s="106">
        <f>+MAX(AN14:AP14)</f>
        <v>0</v>
      </c>
      <c r="IC14" s="106">
        <f>+MAX(AQ14:AS14)</f>
        <v>0</v>
      </c>
      <c r="ID14" s="106">
        <f>+MAX(AT14:AV14)</f>
        <v>0</v>
      </c>
      <c r="IE14" s="106">
        <f>+MAX(AW14:AY14)</f>
        <v>0</v>
      </c>
      <c r="IF14" s="106">
        <f>+MAX(AZ14:BB14)</f>
        <v>0</v>
      </c>
      <c r="IG14" s="106">
        <f>+MAX(BC14:BE14)</f>
        <v>0</v>
      </c>
      <c r="IH14" s="106">
        <f>+MAX(BF14:BH14)</f>
        <v>0</v>
      </c>
      <c r="II14" s="106">
        <f>+MAX(BI14:BK14)</f>
        <v>0</v>
      </c>
      <c r="IJ14" s="106">
        <f>+MAX(BL14:BN14)</f>
        <v>0</v>
      </c>
      <c r="IK14" s="106">
        <f>+MAX(BO14:BQ14)</f>
        <v>0</v>
      </c>
      <c r="IL14" s="106">
        <f>+MAX(BR14:BT14)</f>
        <v>0</v>
      </c>
      <c r="IM14" s="106">
        <f>+MAX(BU14:BW14)</f>
        <v>0</v>
      </c>
      <c r="IN14" s="106">
        <f>+MAX(BX14:BZ14)</f>
        <v>0</v>
      </c>
      <c r="IO14" s="106">
        <f>+MAX(CA14:CC14)</f>
        <v>0</v>
      </c>
      <c r="IP14" s="106">
        <f>+MAX(CD14:CF14)</f>
        <v>0</v>
      </c>
      <c r="IQ14" s="106">
        <f>+MAX(CG14:CI14)</f>
        <v>0</v>
      </c>
      <c r="IR14" s="106">
        <f>+MAX(CJ14:CL14)</f>
        <v>0</v>
      </c>
      <c r="IS14" s="106">
        <f>+MAX(CM14:CO14)</f>
        <v>0</v>
      </c>
      <c r="IT14" s="106">
        <f>+MAX(CP14:CR14)</f>
        <v>0</v>
      </c>
      <c r="IU14" s="106">
        <f>+MAX(CS14:CU14)</f>
        <v>0</v>
      </c>
      <c r="IV14" s="106">
        <f>+MAX(CV14:CX14)</f>
        <v>0</v>
      </c>
      <c r="IW14" s="106">
        <f>+MAX(CY14:DA14)</f>
        <v>0</v>
      </c>
      <c r="IX14" s="106">
        <f>+MAX(DB14:DD14)</f>
        <v>0</v>
      </c>
      <c r="IY14" s="106">
        <f>+MAX(DE14:DG14)</f>
        <v>0</v>
      </c>
      <c r="IZ14" s="106">
        <f>+MAX(DH14:DJ14)</f>
        <v>0</v>
      </c>
      <c r="JA14" s="106">
        <f>+MAX(DK14:DM14)</f>
        <v>0</v>
      </c>
      <c r="JB14" s="106">
        <f>+MAX(DN14:DP14)</f>
        <v>0</v>
      </c>
      <c r="JC14" s="106">
        <f>+MAX(DQ14:DS14)</f>
        <v>0</v>
      </c>
      <c r="JD14" s="106">
        <f>+MAX(DT14:DV14)</f>
        <v>0</v>
      </c>
      <c r="JE14" s="106">
        <f>+MAX(DW14:DY14)</f>
        <v>0</v>
      </c>
      <c r="JF14" s="106">
        <f>+MAX(DZ14:EB14)</f>
        <v>0</v>
      </c>
      <c r="JG14" s="106">
        <f>+MAX(EC14:EE14)</f>
        <v>0</v>
      </c>
      <c r="JH14" s="106">
        <f>+MAX(EF14:EH14)</f>
        <v>0</v>
      </c>
      <c r="JI14" s="106">
        <f>+MAX(EI14:EK14)</f>
        <v>0</v>
      </c>
      <c r="JJ14" s="106">
        <f>+MAX(EL14:EN14)</f>
        <v>0</v>
      </c>
      <c r="JK14" s="106">
        <f>MAX(EO14:EQ14)</f>
        <v>0</v>
      </c>
      <c r="JL14" s="106">
        <f>MAX(ER14:ET14)</f>
        <v>0</v>
      </c>
      <c r="JM14" s="106">
        <f>MAX(EU14:EW14)</f>
        <v>0</v>
      </c>
      <c r="JN14" s="106">
        <f>MAX(EX14:EZ14)</f>
        <v>0</v>
      </c>
      <c r="JO14" s="106">
        <f>MAX(FA14:FC14)</f>
        <v>0</v>
      </c>
      <c r="JP14" s="106">
        <f>MAX(FD14:FF14)</f>
        <v>0</v>
      </c>
      <c r="JQ14" s="106">
        <f>MAX(FG14:FI14)</f>
        <v>0</v>
      </c>
      <c r="JR14" s="106">
        <f>MAX(FJ14:FL14)</f>
        <v>0</v>
      </c>
      <c r="JS14" s="106">
        <f>MAX(FM14:FO14)</f>
        <v>0</v>
      </c>
      <c r="JT14" s="106">
        <f>MAX(FP14:FR14)</f>
        <v>0</v>
      </c>
      <c r="JU14" s="106">
        <f>MAX(FS14:FU14)</f>
        <v>0</v>
      </c>
      <c r="JV14" s="106">
        <f>MAX(FV14:FX14)</f>
        <v>0</v>
      </c>
      <c r="JW14" s="106">
        <f>MAX(FY14:GA14)</f>
        <v>0</v>
      </c>
      <c r="JX14" s="106">
        <f>MAX(GB14:GD14)</f>
        <v>0</v>
      </c>
      <c r="JY14" s="106">
        <f>MAX(GE14:GG14)</f>
        <v>0</v>
      </c>
      <c r="JZ14" s="106">
        <f>MAX(GH14:GJ14)</f>
        <v>0</v>
      </c>
      <c r="KA14" s="106">
        <f>MAX(GK14:GM14)</f>
        <v>0</v>
      </c>
      <c r="KB14" s="106">
        <f>MAX(GN14:GP14)</f>
        <v>0</v>
      </c>
      <c r="KC14" s="106">
        <f>MAX(GQ14:GS14)</f>
        <v>0</v>
      </c>
      <c r="KD14" s="106">
        <f>MAX(GT14:GV14)</f>
        <v>0</v>
      </c>
      <c r="KE14" s="106">
        <f>MAX(GW14:GY14)</f>
        <v>0</v>
      </c>
      <c r="KF14" s="106">
        <f>MAX(GZ14:HB14)</f>
        <v>0</v>
      </c>
      <c r="KG14" s="106">
        <f>MAX(HC14:HE14)</f>
        <v>0</v>
      </c>
      <c r="KH14" s="106">
        <f>MAX(HF14:HH14)</f>
        <v>0</v>
      </c>
    </row>
    <row r="15" spans="1:294" s="106" customFormat="1" x14ac:dyDescent="0.25">
      <c r="A15" s="106" t="s">
        <v>38</v>
      </c>
      <c r="B15" s="106" t="s">
        <v>154</v>
      </c>
      <c r="C15" s="106" cm="1">
        <f t="array" ref="C15">_xll.EQNXTDZ($A$1,$B15,C$1)</f>
        <v>0</v>
      </c>
      <c r="D15" s="106" cm="1">
        <f t="array" ref="D15">_xll.EQNXTDZ($A$1,$B15,D$1)</f>
        <v>0</v>
      </c>
      <c r="E15" s="106" cm="1">
        <f t="array" ref="E15">_xll.EQNXTDZ($A$1,$B15,E$1)</f>
        <v>0</v>
      </c>
      <c r="F15" s="106" cm="1">
        <f t="array" ref="F15">_xll.EQNXTDZ($A$1,$B15,F$1)</f>
        <v>0</v>
      </c>
      <c r="G15" s="106" cm="1">
        <f t="array" ref="G15">_xll.EQNXTDZ($A$1,$B15,G$1)</f>
        <v>0</v>
      </c>
      <c r="H15" s="106" cm="1">
        <f t="array" ref="H15">_xll.EQNXTDZ($A$1,$B15,H$1)</f>
        <v>0</v>
      </c>
      <c r="I15" s="106" cm="1">
        <f t="array" ref="I15">_xll.EQNXTDZ($A$1,$B15,I$1)</f>
        <v>0</v>
      </c>
      <c r="J15" s="106" cm="1">
        <f t="array" ref="J15">_xll.EQNXTDZ($A$1,$B15,J$1)</f>
        <v>0</v>
      </c>
      <c r="K15" s="106" cm="1">
        <f t="array" ref="K15">_xll.EQNXTDZ($A$1,$B15,K$1)</f>
        <v>0</v>
      </c>
      <c r="L15" s="106" cm="1">
        <f t="array" ref="L15">_xll.EQNXTDZ($A$1,$B15,L$1)</f>
        <v>0</v>
      </c>
      <c r="M15" s="106" cm="1">
        <f t="array" ref="M15">_xll.EQNXTDZ($A$1,$B15,M$1)</f>
        <v>0</v>
      </c>
      <c r="N15" s="106" cm="1">
        <f t="array" ref="N15">_xll.EQNXTDZ($A$1,$B15,N$1)</f>
        <v>0</v>
      </c>
      <c r="O15" s="106" cm="1">
        <f t="array" ref="O15">_xll.EQNXTDZ($A$1,$B15,O$1)</f>
        <v>0</v>
      </c>
      <c r="P15" s="106" cm="1">
        <f t="array" ref="P15">_xll.EQNXTDZ($A$1,$B15,P$1)</f>
        <v>0</v>
      </c>
      <c r="Q15" s="106" cm="1">
        <f t="array" ref="Q15">_xll.EQNXTDZ($A$1,$B15,Q$1)</f>
        <v>0</v>
      </c>
      <c r="R15" s="106" cm="1">
        <f t="array" ref="R15">_xll.EQNXTDZ($A$1,$B15,R$1)</f>
        <v>0</v>
      </c>
      <c r="S15" s="106" cm="1">
        <f t="array" ref="S15">_xll.EQNXTDZ($A$1,$B15,S$1)</f>
        <v>0</v>
      </c>
      <c r="T15" s="106" cm="1">
        <f t="array" ref="T15">_xll.EQNXTDZ($A$1,$B15,T$1)</f>
        <v>0</v>
      </c>
      <c r="U15" s="106" cm="1">
        <f t="array" ref="U15">_xll.EQNXTDZ($A$1,$B15,U$1)</f>
        <v>0</v>
      </c>
      <c r="V15" s="106" cm="1">
        <f t="array" ref="V15">_xll.EQNXTDZ($A$1,$B15,V$1)</f>
        <v>0</v>
      </c>
      <c r="W15" s="106" cm="1">
        <f t="array" ref="W15">_xll.EQNXTDZ($A$1,$B15,W$1)</f>
        <v>0</v>
      </c>
      <c r="X15" s="106" cm="1">
        <f t="array" ref="X15">_xll.EQNXTDZ($A$1,$B15,X$1)</f>
        <v>0</v>
      </c>
      <c r="Y15" s="106" cm="1">
        <f t="array" ref="Y15">_xll.EQNXTDZ($A$1,$B15,Y$1)</f>
        <v>0</v>
      </c>
      <c r="Z15" s="106" cm="1">
        <f t="array" ref="Z15">_xll.EQNXTDZ($A$1,$B15,Z$1)</f>
        <v>0</v>
      </c>
      <c r="AA15" s="106" cm="1">
        <f t="array" ref="AA15">_xll.EQNXTDZ($A$1,$B15,AA$1)</f>
        <v>0</v>
      </c>
      <c r="AB15" s="106" cm="1">
        <f t="array" ref="AB15">_xll.EQNXTDZ($A$1,$B15,AB$1)</f>
        <v>0</v>
      </c>
      <c r="AC15" s="106" cm="1">
        <f t="array" ref="AC15">_xll.EQNXTDZ($A$1,$B15,AC$1)</f>
        <v>0</v>
      </c>
      <c r="AD15" s="106" cm="1">
        <f t="array" ref="AD15">_xll.EQNXTDZ($A$1,$B15,AD$1)</f>
        <v>0</v>
      </c>
      <c r="AE15" s="106" cm="1">
        <f t="array" ref="AE15">_xll.EQNXTDZ($A$1,$B15,AE$1)</f>
        <v>0</v>
      </c>
      <c r="AF15" s="106" cm="1">
        <f t="array" ref="AF15">_xll.EQNXTDZ($A$1,$B15,AF$1)</f>
        <v>0</v>
      </c>
      <c r="AG15" s="106" cm="1">
        <f t="array" ref="AG15">_xll.EQNXTDZ($A$1,$B15,AG$1)</f>
        <v>0</v>
      </c>
      <c r="AH15" s="106" cm="1">
        <f t="array" ref="AH15">_xll.EQNXTDZ($A$1,$B15,AH$1)</f>
        <v>0</v>
      </c>
      <c r="AI15" s="106" cm="1">
        <f t="array" ref="AI15">_xll.EQNXTDZ($A$1,$B15,AI$1)</f>
        <v>0</v>
      </c>
      <c r="AJ15" s="106" cm="1">
        <f t="array" ref="AJ15">_xll.EQNXTDZ($A$1,$B15,AJ$1)</f>
        <v>0</v>
      </c>
      <c r="AK15" s="106" cm="1">
        <f t="array" ref="AK15">_xll.EQNXTDZ($A$1,$B15,AK$1)</f>
        <v>0</v>
      </c>
      <c r="AL15" s="106" cm="1">
        <f t="array" ref="AL15">_xll.EQNXTDZ($A$1,$B15,AL$1)</f>
        <v>0</v>
      </c>
      <c r="AM15" s="106" cm="1">
        <f t="array" ref="AM15">_xll.EQNXTDZ($A$1,$B15,AM$1)</f>
        <v>0</v>
      </c>
      <c r="AN15" s="106" cm="1">
        <f t="array" ref="AN15">_xll.EQNXTDZ($A$1,$B15,AN$1)</f>
        <v>0</v>
      </c>
      <c r="AO15" s="106" cm="1">
        <f t="array" ref="AO15">_xll.EQNXTDZ($A$1,$B15,AO$1)</f>
        <v>0</v>
      </c>
      <c r="AP15" s="106" cm="1">
        <f t="array" ref="AP15">_xll.EQNXTDZ($A$1,$B15,AP$1)</f>
        <v>0</v>
      </c>
      <c r="AQ15" s="106" cm="1">
        <f t="array" ref="AQ15">_xll.EQNXTDZ($A$1,$B15,AQ$1)</f>
        <v>0</v>
      </c>
      <c r="AR15" s="106" cm="1">
        <f t="array" ref="AR15">_xll.EQNXTDZ($A$1,$B15,AR$1)</f>
        <v>0</v>
      </c>
      <c r="AS15" s="106" cm="1">
        <f t="array" ref="AS15">_xll.EQNXTDZ($A$1,$B15,AS$1)</f>
        <v>0</v>
      </c>
      <c r="AT15" s="106" cm="1">
        <f t="array" ref="AT15">_xll.EQNXTDZ($A$1,$B15,AT$1)</f>
        <v>0</v>
      </c>
      <c r="AU15" s="106" cm="1">
        <f t="array" ref="AU15">_xll.EQNXTDZ($A$1,$B15,AU$1)</f>
        <v>0</v>
      </c>
      <c r="AV15" s="106" cm="1">
        <f t="array" ref="AV15">_xll.EQNXTDZ($A$1,$B15,AV$1)</f>
        <v>0</v>
      </c>
      <c r="AW15" s="106" cm="1">
        <f t="array" ref="AW15">_xll.EQNXTDZ($A$1,$B15,AW$1)</f>
        <v>0</v>
      </c>
      <c r="AX15" s="106" cm="1">
        <f t="array" ref="AX15">_xll.EQNXTDZ($A$1,$B15,AX$1)</f>
        <v>0</v>
      </c>
      <c r="AY15" s="106" cm="1">
        <f t="array" ref="AY15">_xll.EQNXTDZ($A$1,$B15,AY$1)</f>
        <v>0</v>
      </c>
      <c r="AZ15" s="106" cm="1">
        <f t="array" ref="AZ15">_xll.EQNXTDZ($A$1,$B15,AZ$1)</f>
        <v>0</v>
      </c>
      <c r="BA15" s="106" cm="1">
        <f t="array" ref="BA15">_xll.EQNXTDZ($A$1,$B15,BA$1)</f>
        <v>0</v>
      </c>
      <c r="BB15" s="106" cm="1">
        <f t="array" ref="BB15">_xll.EQNXTDZ($A$1,$B15,BB$1)</f>
        <v>0</v>
      </c>
      <c r="BC15" s="106" cm="1">
        <f t="array" ref="BC15">_xll.EQNXTDZ($A$1,$B15,BC$1)</f>
        <v>0</v>
      </c>
      <c r="BD15" s="106" cm="1">
        <f t="array" ref="BD15">_xll.EQNXTDZ($A$1,$B15,BD$1)</f>
        <v>0</v>
      </c>
      <c r="BE15" s="106" cm="1">
        <f t="array" ref="BE15">_xll.EQNXTDZ($A$1,$B15,BE$1)</f>
        <v>0</v>
      </c>
      <c r="BF15" s="106" cm="1">
        <f t="array" ref="BF15">_xll.EQNXTDZ($A$1,$B15,BF$1)</f>
        <v>0</v>
      </c>
      <c r="BG15" s="106" cm="1">
        <f t="array" ref="BG15">_xll.EQNXTDZ($A$1,$B15,BG$1)</f>
        <v>0</v>
      </c>
      <c r="BH15" s="106" cm="1">
        <f t="array" ref="BH15">_xll.EQNXTDZ($A$1,$B15,BH$1)</f>
        <v>0</v>
      </c>
      <c r="BI15" s="106" cm="1">
        <f t="array" ref="BI15">_xll.EQNXTDZ($A$1,$B15,BI$1)</f>
        <v>0</v>
      </c>
      <c r="BJ15" s="106" cm="1">
        <f t="array" ref="BJ15">_xll.EQNXTDZ($A$1,$B15,BJ$1)</f>
        <v>0</v>
      </c>
      <c r="BK15" s="106" cm="1">
        <f t="array" ref="BK15">_xll.EQNXTDZ($A$1,$B15,BK$1)</f>
        <v>0</v>
      </c>
      <c r="BL15" s="106" cm="1">
        <f t="array" ref="BL15">_xll.EQNXTDZ($A$1,$B15,BL$1)</f>
        <v>0</v>
      </c>
      <c r="BM15" s="106" cm="1">
        <f t="array" ref="BM15">_xll.EQNXTDZ($A$1,$B15,BM$1)</f>
        <v>0</v>
      </c>
      <c r="BN15" s="106" cm="1">
        <f t="array" ref="BN15">_xll.EQNXTDZ($A$1,$B15,BN$1)</f>
        <v>0</v>
      </c>
      <c r="BO15" s="106" cm="1">
        <f t="array" ref="BO15">_xll.EQNXTDZ($A$1,$B15,BO$1)</f>
        <v>0</v>
      </c>
      <c r="BP15" s="106" cm="1">
        <f t="array" ref="BP15">_xll.EQNXTDZ($A$1,$B15,BP$1)</f>
        <v>0</v>
      </c>
      <c r="BQ15" s="106" cm="1">
        <f t="array" ref="BQ15">_xll.EQNXTDZ($A$1,$B15,BQ$1)</f>
        <v>0</v>
      </c>
      <c r="BR15" s="106" cm="1">
        <f t="array" ref="BR15">_xll.EQNXTDZ($A$1,$B15,BR$1)</f>
        <v>0</v>
      </c>
      <c r="BS15" s="106" cm="1">
        <f t="array" ref="BS15">_xll.EQNXTDZ($A$1,$B15,BS$1)</f>
        <v>0</v>
      </c>
      <c r="BT15" s="106" cm="1">
        <f t="array" ref="BT15">_xll.EQNXTDZ($A$1,$B15,BT$1)</f>
        <v>0</v>
      </c>
      <c r="BU15" s="106" cm="1">
        <f t="array" ref="BU15">_xll.EQNXTDZ($A$1,$B15,BU$1)</f>
        <v>0</v>
      </c>
      <c r="BV15" s="106" cm="1">
        <f t="array" ref="BV15">_xll.EQNXTDZ($A$1,$B15,BV$1)</f>
        <v>0</v>
      </c>
      <c r="BW15" s="106" cm="1">
        <f t="array" ref="BW15">_xll.EQNXTDZ($A$1,$B15,BW$1)</f>
        <v>0</v>
      </c>
      <c r="BX15" s="106" cm="1">
        <f t="array" ref="BX15">_xll.EQNXTDZ($A$1,$B15,BX$1)</f>
        <v>0</v>
      </c>
      <c r="BY15" s="106" cm="1">
        <f t="array" ref="BY15">_xll.EQNXTDZ($A$1,$B15,BY$1)</f>
        <v>0</v>
      </c>
      <c r="BZ15" s="106" cm="1">
        <f t="array" ref="BZ15">_xll.EQNXTDZ($A$1,$B15,BZ$1)</f>
        <v>0</v>
      </c>
      <c r="CA15" s="106" cm="1">
        <f t="array" ref="CA15">_xll.EQNXTDZ($A$1,$B15,CA$1)</f>
        <v>0</v>
      </c>
      <c r="CB15" s="106" cm="1">
        <f t="array" ref="CB15">_xll.EQNXTDZ($A$1,$B15,CB$1)</f>
        <v>0</v>
      </c>
      <c r="CC15" s="106" cm="1">
        <f t="array" ref="CC15">_xll.EQNXTDZ($A$1,$B15,CC$1)</f>
        <v>0</v>
      </c>
      <c r="CD15" s="106" cm="1">
        <f t="array" ref="CD15">_xll.EQNXTDZ($A$1,$B15,CD$1)</f>
        <v>0</v>
      </c>
      <c r="CE15" s="106" cm="1">
        <f t="array" ref="CE15">_xll.EQNXTDZ($A$1,$B15,CE$1)</f>
        <v>0</v>
      </c>
      <c r="CF15" s="106" cm="1">
        <f t="array" ref="CF15">_xll.EQNXTDZ($A$1,$B15,CF$1)</f>
        <v>0</v>
      </c>
      <c r="CG15" s="106" cm="1">
        <f t="array" ref="CG15">_xll.EQNXTDZ($A$1,$B15,CG$1)</f>
        <v>0</v>
      </c>
      <c r="CH15" s="106" cm="1">
        <f t="array" ref="CH15">_xll.EQNXTDZ($A$1,$B15,CH$1)</f>
        <v>0</v>
      </c>
      <c r="CI15" s="106" cm="1">
        <f t="array" ref="CI15">_xll.EQNXTDZ($A$1,$B15,CI$1)</f>
        <v>0</v>
      </c>
      <c r="CJ15" s="106" cm="1">
        <f t="array" ref="CJ15">_xll.EQNXTDZ($A$1,$B15,CJ$1)</f>
        <v>0</v>
      </c>
      <c r="CK15" s="106" cm="1">
        <f t="array" ref="CK15">_xll.EQNXTDZ($A$1,$B15,CK$1)</f>
        <v>0</v>
      </c>
      <c r="CL15" s="106" cm="1">
        <f t="array" ref="CL15">_xll.EQNXTDZ($A$1,$B15,CL$1)</f>
        <v>0</v>
      </c>
      <c r="CM15" s="106" cm="1">
        <f t="array" ref="CM15">_xll.EQNXTDZ($A$1,$B15,CM$1)</f>
        <v>0</v>
      </c>
      <c r="CN15" s="106" cm="1">
        <f t="array" ref="CN15">_xll.EQNXTDZ($A$1,$B15,CN$1)</f>
        <v>0</v>
      </c>
      <c r="CO15" s="106" cm="1">
        <f t="array" ref="CO15">_xll.EQNXTDZ($A$1,$B15,CO$1)</f>
        <v>0</v>
      </c>
      <c r="CP15" s="106" cm="1">
        <f t="array" ref="CP15">_xll.EQNXTDZ($A$1,$B15,CP$1)</f>
        <v>0</v>
      </c>
      <c r="CQ15" s="106" cm="1">
        <f t="array" ref="CQ15">_xll.EQNXTDZ($A$1,$B15,CQ$1)</f>
        <v>0</v>
      </c>
      <c r="CR15" s="106" cm="1">
        <f t="array" ref="CR15">_xll.EQNXTDZ($A$1,$B15,CR$1)</f>
        <v>0</v>
      </c>
      <c r="CS15" s="106" cm="1">
        <f t="array" ref="CS15">_xll.EQNXTDZ($A$1,$B15,CS$1)</f>
        <v>0</v>
      </c>
      <c r="CT15" s="106" cm="1">
        <f t="array" ref="CT15">_xll.EQNXTDZ($A$1,$B15,CT$1)</f>
        <v>0</v>
      </c>
      <c r="CU15" s="106" cm="1">
        <f t="array" ref="CU15">_xll.EQNXTDZ($A$1,$B15,CU$1)</f>
        <v>0</v>
      </c>
      <c r="CV15" s="106" cm="1">
        <f t="array" ref="CV15">_xll.EQNXTDZ($A$1,$B15,CV$1)</f>
        <v>0</v>
      </c>
      <c r="CW15" s="106" cm="1">
        <f t="array" ref="CW15">_xll.EQNXTDZ($A$1,$B15,CW$1)</f>
        <v>0</v>
      </c>
      <c r="CX15" s="106" cm="1">
        <f t="array" ref="CX15">_xll.EQNXTDZ($A$1,$B15,CX$1)</f>
        <v>0</v>
      </c>
      <c r="CY15" s="106" cm="1">
        <f t="array" ref="CY15">_xll.EQNXTDZ($A$1,$B15,CY$1)</f>
        <v>0</v>
      </c>
      <c r="CZ15" s="106" cm="1">
        <f t="array" ref="CZ15">_xll.EQNXTDZ($A$1,$B15,CZ$1)</f>
        <v>0</v>
      </c>
      <c r="DA15" s="106" cm="1">
        <f t="array" ref="DA15">_xll.EQNXTDZ($A$1,$B15,DA$1)</f>
        <v>0</v>
      </c>
      <c r="DB15" s="106" cm="1">
        <f t="array" ref="DB15">_xll.EQNXTDZ($A$1,$B15,DB$1)</f>
        <v>0</v>
      </c>
      <c r="DC15" s="106" cm="1">
        <f t="array" ref="DC15">_xll.EQNXTDZ($A$1,$B15,DC$1)</f>
        <v>0</v>
      </c>
      <c r="DD15" s="106" cm="1">
        <f t="array" ref="DD15">_xll.EQNXTDZ($A$1,$B15,DD$1)</f>
        <v>0</v>
      </c>
      <c r="DE15" s="106" cm="1">
        <f t="array" ref="DE15">_xll.EQNXTDZ($A$1,$B15,DE$1)</f>
        <v>0</v>
      </c>
      <c r="DF15" s="106" cm="1">
        <f t="array" ref="DF15">_xll.EQNXTDZ($A$1,$B15,DF$1)</f>
        <v>0</v>
      </c>
      <c r="DG15" s="106" cm="1">
        <f t="array" ref="DG15">_xll.EQNXTDZ($A$1,$B15,DG$1)</f>
        <v>0</v>
      </c>
      <c r="DH15" s="106" cm="1">
        <f t="array" ref="DH15">_xll.EQNXTDZ($A$1,$B15,DH$1)</f>
        <v>0</v>
      </c>
      <c r="DI15" s="106" cm="1">
        <f t="array" ref="DI15">_xll.EQNXTDZ($A$1,$B15,DI$1)</f>
        <v>0</v>
      </c>
      <c r="DJ15" s="106" cm="1">
        <f t="array" ref="DJ15">_xll.EQNXTDZ($A$1,$B15,DJ$1)</f>
        <v>0</v>
      </c>
      <c r="DK15" s="106" cm="1">
        <f t="array" ref="DK15">_xll.EQNXTDZ($A$1,$B15,DK$1)</f>
        <v>0</v>
      </c>
      <c r="DL15" s="106" cm="1">
        <f t="array" ref="DL15">_xll.EQNXTDZ($A$1,$B15,DL$1)</f>
        <v>0</v>
      </c>
      <c r="DM15" s="106" cm="1">
        <f t="array" ref="DM15">_xll.EQNXTDZ($A$1,$B15,DM$1)</f>
        <v>0</v>
      </c>
      <c r="DN15" s="106" cm="1">
        <f t="array" ref="DN15">_xll.EQNXTDZ($A$1,$B15,DN$1)</f>
        <v>0</v>
      </c>
      <c r="DO15" s="106" cm="1">
        <f t="array" ref="DO15">_xll.EQNXTDZ($A$1,$B15,DO$1)</f>
        <v>0</v>
      </c>
      <c r="DP15" s="106" cm="1">
        <f t="array" ref="DP15">_xll.EQNXTDZ($A$1,$B15,DP$1)</f>
        <v>0</v>
      </c>
      <c r="DQ15" s="106" cm="1">
        <f t="array" ref="DQ15">_xll.EQNXTDZ($A$1,$B15,DQ$1)</f>
        <v>0</v>
      </c>
      <c r="DR15" s="106" cm="1">
        <f t="array" ref="DR15">_xll.EQNXTDZ($A$1,$B15,DR$1)</f>
        <v>0</v>
      </c>
      <c r="DS15" s="106" cm="1">
        <f t="array" ref="DS15">_xll.EQNXTDZ($A$1,$B15,DS$1)</f>
        <v>0</v>
      </c>
      <c r="DT15" s="106" cm="1">
        <f t="array" ref="DT15">_xll.EQNXTDZ($A$1,$B15,DT$1)</f>
        <v>0</v>
      </c>
      <c r="DU15" s="106" cm="1">
        <f t="array" ref="DU15">_xll.EQNXTDZ($A$1,$B15,DU$1)</f>
        <v>0</v>
      </c>
      <c r="DV15" s="106" cm="1">
        <f t="array" ref="DV15">_xll.EQNXTDZ($A$1,$B15,DV$1)</f>
        <v>0</v>
      </c>
      <c r="DW15" s="106" cm="1">
        <f t="array" ref="DW15">_xll.EQNXTDZ($A$1,$B15,DW$1)</f>
        <v>0</v>
      </c>
      <c r="DX15" s="106" cm="1">
        <f t="array" ref="DX15">_xll.EQNXTDZ($A$1,$B15,DX$1)</f>
        <v>0</v>
      </c>
      <c r="DY15" s="106" cm="1">
        <f t="array" ref="DY15">_xll.EQNXTDZ($A$1,$B15,DY$1)</f>
        <v>0</v>
      </c>
      <c r="DZ15" s="106" cm="1">
        <f t="array" ref="DZ15">_xll.EQNXTDZ($A$1,$B15,DZ$1)</f>
        <v>0</v>
      </c>
      <c r="EA15" s="106" cm="1">
        <f t="array" ref="EA15">_xll.EQNXTDZ($A$1,$B15,EA$1)</f>
        <v>0</v>
      </c>
      <c r="EB15" s="106" cm="1">
        <f t="array" ref="EB15">_xll.EQNXTDZ($A$1,$B15,EB$1)</f>
        <v>0</v>
      </c>
      <c r="EC15" s="106" cm="1">
        <f t="array" ref="EC15">_xll.EQNXTDZ($A$1,$B15,EC$1)</f>
        <v>0</v>
      </c>
      <c r="ED15" s="106" cm="1">
        <f t="array" ref="ED15">_xll.EQNXTDZ($A$1,$B15,ED$1)</f>
        <v>0</v>
      </c>
      <c r="EE15" s="106" cm="1">
        <f t="array" ref="EE15">_xll.EQNXTDZ($A$1,$B15,EE$1)</f>
        <v>0</v>
      </c>
      <c r="EF15" s="106" cm="1">
        <f t="array" ref="EF15">_xll.EQNXTDZ($A$1,$B15,EF$1)</f>
        <v>0</v>
      </c>
      <c r="EG15" s="106" cm="1">
        <f t="array" ref="EG15">_xll.EQNXTDZ($A$1,$B15,EG$1)</f>
        <v>0</v>
      </c>
      <c r="EH15" s="106" cm="1">
        <f t="array" ref="EH15">_xll.EQNXTDZ($A$1,$B15,EH$1)</f>
        <v>0</v>
      </c>
      <c r="EI15" s="106" cm="1">
        <f t="array" ref="EI15">_xll.EQNXTDZ($A$1,$B15,EI$1)</f>
        <v>0</v>
      </c>
      <c r="EJ15" s="106" cm="1">
        <f t="array" ref="EJ15">_xll.EQNXTDZ($A$1,$B15,EJ$1)</f>
        <v>0</v>
      </c>
      <c r="EK15" s="106" cm="1">
        <f t="array" ref="EK15">_xll.EQNXTDZ($A$1,$B15,EK$1)</f>
        <v>0</v>
      </c>
      <c r="EL15" s="106" cm="1">
        <f t="array" ref="EL15">_xll.EQNXTDZ($A$1,$B15,EL$1)</f>
        <v>0</v>
      </c>
      <c r="EM15" s="106" cm="1">
        <f t="array" ref="EM15">_xll.EQNXTDZ($A$1,$B15,EM$1)</f>
        <v>0</v>
      </c>
      <c r="EN15" s="106" cm="1">
        <f t="array" ref="EN15">_xll.EQNXTDZ($A$1,$B15,EN$1)</f>
        <v>0</v>
      </c>
      <c r="EO15" s="106" cm="1">
        <f t="array" ref="EO15">_xll.EQNXTDZ($A$1,$B15,EO$1)</f>
        <v>0</v>
      </c>
      <c r="EP15" s="106" cm="1">
        <f t="array" ref="EP15">_xll.EQNXTDZ($A$1,$B15,EP$1)</f>
        <v>0</v>
      </c>
      <c r="EQ15" s="106" cm="1">
        <f t="array" ref="EQ15">_xll.EQNXTDZ($A$1,$B15,EQ$1)</f>
        <v>0</v>
      </c>
      <c r="ER15" s="106" cm="1">
        <f t="array" ref="ER15">_xll.EQNXTDZ($A$1,$B15,ER$1)</f>
        <v>0</v>
      </c>
      <c r="ES15" s="106" cm="1">
        <f t="array" ref="ES15">_xll.EQNXTDZ($A$1,$B15,ES$1)</f>
        <v>0</v>
      </c>
      <c r="ET15" s="106" cm="1">
        <f t="array" ref="ET15">_xll.EQNXTDZ($A$1,$B15,ET$1)</f>
        <v>0</v>
      </c>
      <c r="EU15" s="106" cm="1">
        <f t="array" ref="EU15">_xll.EQNXTDZ($A$1,$B15,EU$1)</f>
        <v>0</v>
      </c>
      <c r="EV15" s="106" cm="1">
        <f t="array" ref="EV15">_xll.EQNXTDZ($A$1,$B15,EV$1)</f>
        <v>0</v>
      </c>
      <c r="EW15" s="106" cm="1">
        <f t="array" ref="EW15">_xll.EQNXTDZ($A$1,$B15,EW$1)</f>
        <v>0</v>
      </c>
      <c r="EX15" s="106" cm="1">
        <f t="array" ref="EX15">_xll.EQNXTDZ($A$1,$B15,EX$1)</f>
        <v>0</v>
      </c>
      <c r="EY15" s="106" cm="1">
        <f t="array" ref="EY15">_xll.EQNXTDZ($A$1,$B15,EY$1)</f>
        <v>0</v>
      </c>
      <c r="EZ15" s="106" cm="1">
        <f t="array" ref="EZ15">_xll.EQNXTDZ($A$1,$B15,EZ$1)</f>
        <v>0</v>
      </c>
      <c r="FA15" s="106" cm="1">
        <f t="array" ref="FA15">_xll.EQNXTDZ($A$1,$B15,FA$1)</f>
        <v>0</v>
      </c>
      <c r="FB15" s="106" cm="1">
        <f t="array" ref="FB15">_xll.EQNXTDZ($A$1,$B15,FB$1)</f>
        <v>0</v>
      </c>
      <c r="FC15" s="106" cm="1">
        <f t="array" ref="FC15">_xll.EQNXTDZ($A$1,$B15,FC$1)</f>
        <v>0</v>
      </c>
      <c r="FD15" s="106" cm="1">
        <f t="array" ref="FD15">_xll.EQNXTDZ($A$1,$B15,FD$1)</f>
        <v>0</v>
      </c>
      <c r="FE15" s="106" cm="1">
        <f t="array" ref="FE15">_xll.EQNXTDZ($A$1,$B15,FE$1)</f>
        <v>0</v>
      </c>
      <c r="FF15" s="106" cm="1">
        <f t="array" ref="FF15">_xll.EQNXTDZ($A$1,$B15,FF$1)</f>
        <v>0</v>
      </c>
      <c r="FG15" s="106" cm="1">
        <f t="array" ref="FG15">_xll.EQNXTDZ($A$1,$B15,FG$1)</f>
        <v>0</v>
      </c>
      <c r="FH15" s="106" cm="1">
        <f t="array" ref="FH15">_xll.EQNXTDZ($A$1,$B15,FH$1)</f>
        <v>0</v>
      </c>
      <c r="FI15" s="106" cm="1">
        <f t="array" ref="FI15">_xll.EQNXTDZ($A$1,$B15,FI$1)</f>
        <v>0</v>
      </c>
      <c r="FJ15" s="106" cm="1">
        <f t="array" ref="FJ15">_xll.EQNXTDZ($A$1,$B15,FJ$1)</f>
        <v>0</v>
      </c>
      <c r="FK15" s="106" cm="1">
        <f t="array" ref="FK15">_xll.EQNXTDZ($A$1,$B15,FK$1)</f>
        <v>0</v>
      </c>
      <c r="FL15" s="106" cm="1">
        <f t="array" ref="FL15">_xll.EQNXTDZ($A$1,$B15,FL$1)</f>
        <v>0</v>
      </c>
      <c r="FM15" s="106" cm="1">
        <f t="array" ref="FM15">_xll.EQNXTDZ($A$1,$B15,FM$1)</f>
        <v>0</v>
      </c>
      <c r="FN15" s="106" cm="1">
        <f t="array" ref="FN15">_xll.EQNXTDZ($A$1,$B15,FN$1)</f>
        <v>0</v>
      </c>
      <c r="FO15" s="106" cm="1">
        <f t="array" ref="FO15">_xll.EQNXTDZ($A$1,$B15,FO$1)</f>
        <v>0</v>
      </c>
      <c r="FP15" s="106" cm="1">
        <f t="array" ref="FP15">_xll.EQNXTDZ($A$1,$B15,FP$1)</f>
        <v>0</v>
      </c>
      <c r="FQ15" s="106" cm="1">
        <f t="array" ref="FQ15">_xll.EQNXTDZ($A$1,$B15,FQ$1)</f>
        <v>0</v>
      </c>
      <c r="FR15" s="106" cm="1">
        <f t="array" ref="FR15">_xll.EQNXTDZ($A$1,$B15,FR$1)</f>
        <v>0</v>
      </c>
      <c r="FS15" s="106" cm="1">
        <f t="array" ref="FS15">_xll.EQNXTDZ($A$1,$B15,FS$1)</f>
        <v>0</v>
      </c>
      <c r="FT15" s="106" cm="1">
        <f t="array" ref="FT15">_xll.EQNXTDZ($A$1,$B15,FT$1)</f>
        <v>0</v>
      </c>
      <c r="FU15" s="106" cm="1">
        <f t="array" ref="FU15">_xll.EQNXTDZ($A$1,$B15,FU$1)</f>
        <v>0</v>
      </c>
      <c r="FV15" s="106" cm="1">
        <f t="array" ref="FV15">_xll.EQNXTDZ($A$1,$B15,FV$1)</f>
        <v>0</v>
      </c>
      <c r="FW15" s="106" cm="1">
        <f t="array" ref="FW15">_xll.EQNXTDZ($A$1,$B15,FW$1)</f>
        <v>0</v>
      </c>
      <c r="FX15" s="106" cm="1">
        <f t="array" ref="FX15">_xll.EQNXTDZ($A$1,$B15,FX$1)</f>
        <v>0</v>
      </c>
      <c r="FY15" s="106" cm="1">
        <f t="array" ref="FY15">_xll.EQNXTDZ($A$1,$B15,FY$1)</f>
        <v>0</v>
      </c>
      <c r="FZ15" s="106" cm="1">
        <f t="array" ref="FZ15">_xll.EQNXTDZ($A$1,$B15,FZ$1)</f>
        <v>0</v>
      </c>
      <c r="GA15" s="106" cm="1">
        <f t="array" ref="GA15">_xll.EQNXTDZ($A$1,$B15,GA$1)</f>
        <v>0</v>
      </c>
      <c r="GB15" s="106" cm="1">
        <f t="array" ref="GB15">_xll.EQNXTDZ($A$1,$B15,GB$1)</f>
        <v>0</v>
      </c>
      <c r="GC15" s="106" cm="1">
        <f t="array" ref="GC15">_xll.EQNXTDZ($A$1,$B15,GC$1)</f>
        <v>0</v>
      </c>
      <c r="GD15" s="106" cm="1">
        <f t="array" ref="GD15">_xll.EQNXTDZ($A$1,$B15,GD$1)</f>
        <v>0</v>
      </c>
      <c r="GE15" s="106" cm="1">
        <f t="array" ref="GE15">_xll.EQNXTDZ($A$1,$B15,GE$1)</f>
        <v>0</v>
      </c>
      <c r="GF15" s="106" cm="1">
        <f t="array" ref="GF15">_xll.EQNXTDZ($A$1,$B15,GF$1)</f>
        <v>0</v>
      </c>
      <c r="GG15" s="106" cm="1">
        <f t="array" ref="GG15">_xll.EQNXTDZ($A$1,$B15,GG$1)</f>
        <v>0</v>
      </c>
      <c r="GH15" s="106" cm="1">
        <f t="array" ref="GH15">_xll.EQNXTDZ($A$1,$B15,GH$1)</f>
        <v>0</v>
      </c>
      <c r="GI15" s="106" cm="1">
        <f t="array" ref="GI15">_xll.EQNXTDZ($A$1,$B15,GI$1)</f>
        <v>0</v>
      </c>
      <c r="GJ15" s="106" cm="1">
        <f t="array" ref="GJ15">_xll.EQNXTDZ($A$1,$B15,GJ$1)</f>
        <v>0</v>
      </c>
      <c r="GK15" s="106" cm="1">
        <f t="array" ref="GK15">_xll.EQNXTDZ($A$1,$B15,GK$1)</f>
        <v>0</v>
      </c>
      <c r="GL15" s="106" cm="1">
        <f t="array" ref="GL15">_xll.EQNXTDZ($A$1,$B15,GL$1)</f>
        <v>0</v>
      </c>
      <c r="GM15" s="106" cm="1">
        <f t="array" ref="GM15">_xll.EQNXTDZ($A$1,$B15,GM$1)</f>
        <v>0</v>
      </c>
      <c r="GN15" s="106" cm="1">
        <f t="array" ref="GN15">_xll.EQNXTDZ($A$1,$B15,GN$1)</f>
        <v>0</v>
      </c>
      <c r="GO15" s="106" cm="1">
        <f t="array" ref="GO15">_xll.EQNXTDZ($A$1,$B15,GO$1)</f>
        <v>0</v>
      </c>
      <c r="GP15" s="106" cm="1">
        <f t="array" ref="GP15">_xll.EQNXTDZ($A$1,$B15,GP$1)</f>
        <v>0</v>
      </c>
      <c r="GQ15" s="106" cm="1">
        <f t="array" ref="GQ15">_xll.EQNXTDZ($A$1,$B15,GQ$1)</f>
        <v>0</v>
      </c>
      <c r="GR15" s="106" cm="1">
        <f t="array" ref="GR15">_xll.EQNXTDZ($A$1,$B15,GR$1)</f>
        <v>0</v>
      </c>
      <c r="GS15" s="106" cm="1">
        <f t="array" ref="GS15">_xll.EQNXTDZ($A$1,$B15,GS$1)</f>
        <v>0</v>
      </c>
      <c r="GT15" s="106" cm="1">
        <f t="array" ref="GT15">_xll.EQNXTDZ($A$1,$B15,GT$1)</f>
        <v>0</v>
      </c>
      <c r="GU15" s="106" cm="1">
        <f t="array" ref="GU15">_xll.EQNXTDZ($A$1,$B15,GU$1)</f>
        <v>0</v>
      </c>
      <c r="GV15" s="106" cm="1">
        <f t="array" ref="GV15">_xll.EQNXTDZ($A$1,$B15,GV$1)</f>
        <v>0</v>
      </c>
      <c r="GW15" s="106" cm="1">
        <f t="array" ref="GW15">_xll.EQNXTDZ($A$1,$B15,GW$1)</f>
        <v>0</v>
      </c>
      <c r="GX15" s="106" cm="1">
        <f t="array" ref="GX15">_xll.EQNXTDZ($A$1,$B15,GX$1)</f>
        <v>0</v>
      </c>
      <c r="GY15" s="106" cm="1">
        <f t="array" ref="GY15">_xll.EQNXTDZ($A$1,$B15,GY$1)</f>
        <v>0</v>
      </c>
      <c r="GZ15" s="106" cm="1">
        <f t="array" ref="GZ15">_xll.EQNXTDZ($A$1,$B15,GZ$1)</f>
        <v>0</v>
      </c>
      <c r="HA15" s="106" cm="1">
        <f t="array" ref="HA15">_xll.EQNXTDZ($A$1,$B15,HA$1)</f>
        <v>0</v>
      </c>
      <c r="HB15" s="106" cm="1">
        <f t="array" ref="HB15">_xll.EQNXTDZ($A$1,$B15,HB$1)</f>
        <v>0</v>
      </c>
      <c r="HC15" s="106" cm="1">
        <f t="array" ref="HC15">_xll.EQNXTDZ($A$1,$B15,HC$1)</f>
        <v>0</v>
      </c>
      <c r="HD15" s="106" cm="1">
        <f t="array" ref="HD15">_xll.EQNXTDZ($A$1,$B15,HD$1)</f>
        <v>0</v>
      </c>
      <c r="HE15" s="106" cm="1">
        <f t="array" ref="HE15">_xll.EQNXTDZ($A$1,$B15,HE$1)</f>
        <v>0</v>
      </c>
      <c r="HF15" s="106" cm="1">
        <f t="array" ref="HF15">_xll.EQNXTDZ($A$1,$B15,HF$1)</f>
        <v>0</v>
      </c>
      <c r="HG15" s="106" cm="1">
        <f t="array" ref="HG15">_xll.EQNXTDZ($A$1,$B15,HG$1)</f>
        <v>0</v>
      </c>
      <c r="HH15" s="106" cm="1">
        <f t="array" ref="HH15">_xll.EQNXTDZ($A$1,$B15,HH$1)</f>
        <v>0</v>
      </c>
      <c r="HP15" s="106">
        <f>+MIN(D15:F15)</f>
        <v>0</v>
      </c>
      <c r="HQ15" s="106">
        <f>+MIN(G15:I15)</f>
        <v>0</v>
      </c>
      <c r="HR15" s="106">
        <f>+MIN(J15:L15)</f>
        <v>0</v>
      </c>
      <c r="HS15" s="106">
        <f>+MIN(M15:O15)</f>
        <v>0</v>
      </c>
      <c r="HT15" s="106">
        <f>+MIN(P15:R15)</f>
        <v>0</v>
      </c>
      <c r="HU15" s="106">
        <f>+MIN(S15:U15)</f>
        <v>0</v>
      </c>
      <c r="HV15" s="106">
        <f>+MIN(V15:X15)</f>
        <v>0</v>
      </c>
      <c r="HW15" s="106">
        <f>+MIN(Y15:AA15)</f>
        <v>0</v>
      </c>
      <c r="HX15" s="106">
        <f>+MIN(AB15:AD15)</f>
        <v>0</v>
      </c>
      <c r="HY15" s="106">
        <f>+MIN(AE15:AG15)</f>
        <v>0</v>
      </c>
      <c r="HZ15" s="106">
        <f>+MIN(AH15:AJ15)</f>
        <v>0</v>
      </c>
      <c r="IA15" s="106">
        <f>+MIN(AK15:AM15)</f>
        <v>0</v>
      </c>
      <c r="IB15" s="106">
        <f>+MIN(AN15:AP15)</f>
        <v>0</v>
      </c>
      <c r="IC15" s="106">
        <f>+MIN(AQ15:AS15)</f>
        <v>0</v>
      </c>
      <c r="ID15" s="106">
        <f>+MIN(AT15:AV15)</f>
        <v>0</v>
      </c>
      <c r="IE15" s="106">
        <f>+MIN(AW15:AY15)</f>
        <v>0</v>
      </c>
      <c r="IF15" s="106">
        <f>+MIN(AZ15:BB15)</f>
        <v>0</v>
      </c>
      <c r="IG15" s="106">
        <f>+MIN(BC15:BE15)</f>
        <v>0</v>
      </c>
      <c r="IH15" s="106">
        <f>+MIN(BF15:BH15)</f>
        <v>0</v>
      </c>
      <c r="II15" s="106">
        <f>+MIN(BI15:BK15)</f>
        <v>0</v>
      </c>
      <c r="IJ15" s="106">
        <f>+MIN(BL15:BN15)</f>
        <v>0</v>
      </c>
      <c r="IK15" s="106">
        <f>+MIN(BO15:BQ15)</f>
        <v>0</v>
      </c>
      <c r="IL15" s="106">
        <f>+MIN(BR15:BT15)</f>
        <v>0</v>
      </c>
      <c r="IM15" s="106">
        <f>+MIN(BU15:BW15)</f>
        <v>0</v>
      </c>
      <c r="IN15" s="106">
        <f>+MIN(BX15:BZ15)</f>
        <v>0</v>
      </c>
      <c r="IO15" s="106">
        <f>+MIN(CA15:CC15)</f>
        <v>0</v>
      </c>
      <c r="IP15" s="106">
        <f>+MIN(CD15:CF15)</f>
        <v>0</v>
      </c>
      <c r="IQ15" s="106">
        <f>+MIN(CG15:CI15)</f>
        <v>0</v>
      </c>
      <c r="IR15" s="106">
        <f>+MIN(CJ15:CL15)</f>
        <v>0</v>
      </c>
      <c r="IS15" s="106">
        <f>+MIN(CM15:CO15)</f>
        <v>0</v>
      </c>
      <c r="IT15" s="106">
        <f>+MIN(CP15:CR15)</f>
        <v>0</v>
      </c>
      <c r="IU15" s="106">
        <f>+MIN(CS15:CU15)</f>
        <v>0</v>
      </c>
      <c r="IV15" s="106">
        <f>+MIN(CV15:CX15)</f>
        <v>0</v>
      </c>
      <c r="IW15" s="106">
        <f>+MIN(CY15:DA15)</f>
        <v>0</v>
      </c>
      <c r="IX15" s="106">
        <f>+MIN(DB15:DD15)</f>
        <v>0</v>
      </c>
      <c r="IY15" s="106">
        <f>+MIN(DE15:DG15)</f>
        <v>0</v>
      </c>
      <c r="IZ15" s="106">
        <f>+MIN(DH15:DJ15)</f>
        <v>0</v>
      </c>
      <c r="JA15" s="106">
        <f>+MIN(DK15:DM15)</f>
        <v>0</v>
      </c>
      <c r="JB15" s="106">
        <f>+MIN(DN15:DP15)</f>
        <v>0</v>
      </c>
      <c r="JC15" s="106">
        <f>+MIN(DQ15:DS15)</f>
        <v>0</v>
      </c>
      <c r="JD15" s="106">
        <f>+MIN(DT15:DV15)</f>
        <v>0</v>
      </c>
      <c r="JE15" s="106">
        <f>+MIN(DW15:DY15)</f>
        <v>0</v>
      </c>
      <c r="JF15" s="106">
        <f>+MIN(DZ15:EB15)</f>
        <v>0</v>
      </c>
      <c r="JG15" s="106">
        <f>+MIN(EC15:EE15)</f>
        <v>0</v>
      </c>
      <c r="JH15" s="106">
        <f>+MIN(EF15:EH15)</f>
        <v>0</v>
      </c>
      <c r="JI15" s="106">
        <f>+MIN(EI15:EK15)</f>
        <v>0</v>
      </c>
      <c r="JJ15" s="106">
        <f>+MIN(EL15:EN15)</f>
        <v>0</v>
      </c>
      <c r="JK15" s="106">
        <f>MIN(EO15:EQ15)</f>
        <v>0</v>
      </c>
      <c r="JL15" s="106">
        <f>MIN(ER15:ET15)</f>
        <v>0</v>
      </c>
      <c r="JM15" s="106">
        <f>MIN(EU15:EW15)</f>
        <v>0</v>
      </c>
      <c r="JN15" s="106">
        <f>MIN(EX15:EZ15)</f>
        <v>0</v>
      </c>
      <c r="JO15" s="106">
        <f>MIN(FA15:FC15)</f>
        <v>0</v>
      </c>
      <c r="JP15" s="106">
        <f>MIN(FD15:FF15)</f>
        <v>0</v>
      </c>
      <c r="JQ15" s="106">
        <f>MIN(FG15:FI15)</f>
        <v>0</v>
      </c>
      <c r="JR15" s="106">
        <f>MIN(FJ15:FL15)</f>
        <v>0</v>
      </c>
      <c r="JS15" s="106">
        <f>MIN(FM15:FO15)</f>
        <v>0</v>
      </c>
      <c r="JT15" s="106">
        <f>MIN(FP15:FR15)</f>
        <v>0</v>
      </c>
      <c r="JU15" s="106">
        <f>MIN(FS15:FU15)</f>
        <v>0</v>
      </c>
      <c r="JV15" s="106">
        <f>MIN(FV15:FX15)</f>
        <v>0</v>
      </c>
      <c r="JW15" s="106">
        <f>MIN(FY15:GA15)</f>
        <v>0</v>
      </c>
      <c r="JX15" s="106">
        <f>MIN(GB15:GD15)</f>
        <v>0</v>
      </c>
      <c r="JY15" s="106">
        <f>MIN(GE15:GG15)</f>
        <v>0</v>
      </c>
      <c r="JZ15" s="106">
        <f>MIN(GH15:GJ15)</f>
        <v>0</v>
      </c>
      <c r="KA15" s="106">
        <f>MIN(GK15:GM15)</f>
        <v>0</v>
      </c>
      <c r="KB15" s="106">
        <f>MIN(GN15:GP15)</f>
        <v>0</v>
      </c>
      <c r="KC15" s="106">
        <f>MIN(GQ15:GS15)</f>
        <v>0</v>
      </c>
      <c r="KD15" s="106">
        <f>MIN(GT15:GV15)</f>
        <v>0</v>
      </c>
      <c r="KE15" s="106">
        <f>MIN(GW15:GY15)</f>
        <v>0</v>
      </c>
      <c r="KF15" s="106">
        <f>MIN(GZ15:HB15)</f>
        <v>0</v>
      </c>
      <c r="KG15" s="106">
        <f>MIN(HC15:HE15)</f>
        <v>0</v>
      </c>
      <c r="KH15" s="106">
        <f>MIN(HF15:HH15)</f>
        <v>0</v>
      </c>
    </row>
    <row r="16" spans="1:294" s="106" customFormat="1" x14ac:dyDescent="0.25">
      <c r="A16" s="106" t="s">
        <v>40</v>
      </c>
      <c r="B16" s="106" t="s">
        <v>155</v>
      </c>
      <c r="C16" s="106" cm="1">
        <f t="array" ref="C16">_xll.EQNXTDZ($A$1,$B16,C$1)</f>
        <v>0</v>
      </c>
      <c r="D16" s="106" cm="1">
        <f t="array" ref="D16">_xll.EQNXTDZ($A$1,$B16,D$1)</f>
        <v>0</v>
      </c>
      <c r="E16" s="106" cm="1">
        <f t="array" ref="E16">_xll.EQNXTDZ($A$1,$B16,E$1)</f>
        <v>0</v>
      </c>
      <c r="F16" s="106" cm="1">
        <f t="array" ref="F16">_xll.EQNXTDZ($A$1,$B16,F$1)</f>
        <v>0</v>
      </c>
      <c r="G16" s="106" cm="1">
        <f t="array" ref="G16">_xll.EQNXTDZ($A$1,$B16,G$1)</f>
        <v>0</v>
      </c>
      <c r="H16" s="106" cm="1">
        <f t="array" ref="H16">_xll.EQNXTDZ($A$1,$B16,H$1)</f>
        <v>0</v>
      </c>
      <c r="I16" s="106" cm="1">
        <f t="array" ref="I16">_xll.EQNXTDZ($A$1,$B16,I$1)</f>
        <v>0</v>
      </c>
      <c r="J16" s="106" cm="1">
        <f t="array" ref="J16">_xll.EQNXTDZ($A$1,$B16,J$1)</f>
        <v>0</v>
      </c>
      <c r="K16" s="106" cm="1">
        <f t="array" ref="K16">_xll.EQNXTDZ($A$1,$B16,K$1)</f>
        <v>0</v>
      </c>
      <c r="L16" s="106" cm="1">
        <f t="array" ref="L16">_xll.EQNXTDZ($A$1,$B16,L$1)</f>
        <v>0</v>
      </c>
      <c r="M16" s="106" cm="1">
        <f t="array" ref="M16">_xll.EQNXTDZ($A$1,$B16,M$1)</f>
        <v>0</v>
      </c>
      <c r="N16" s="106" cm="1">
        <f t="array" ref="N16">_xll.EQNXTDZ($A$1,$B16,N$1)</f>
        <v>0</v>
      </c>
      <c r="O16" s="106" cm="1">
        <f t="array" ref="O16">_xll.EQNXTDZ($A$1,$B16,O$1)</f>
        <v>0</v>
      </c>
      <c r="P16" s="106" cm="1">
        <f t="array" ref="P16">_xll.EQNXTDZ($A$1,$B16,P$1)</f>
        <v>0</v>
      </c>
      <c r="Q16" s="106" cm="1">
        <f t="array" ref="Q16">_xll.EQNXTDZ($A$1,$B16,Q$1)</f>
        <v>0</v>
      </c>
      <c r="R16" s="106" cm="1">
        <f t="array" ref="R16">_xll.EQNXTDZ($A$1,$B16,R$1)</f>
        <v>0</v>
      </c>
      <c r="S16" s="106" cm="1">
        <f t="array" ref="S16">_xll.EQNXTDZ($A$1,$B16,S$1)</f>
        <v>0</v>
      </c>
      <c r="T16" s="106" cm="1">
        <f t="array" ref="T16">_xll.EQNXTDZ($A$1,$B16,T$1)</f>
        <v>0</v>
      </c>
      <c r="U16" s="106" cm="1">
        <f t="array" ref="U16">_xll.EQNXTDZ($A$1,$B16,U$1)</f>
        <v>0</v>
      </c>
      <c r="V16" s="106" cm="1">
        <f t="array" ref="V16">_xll.EQNXTDZ($A$1,$B16,V$1)</f>
        <v>0</v>
      </c>
      <c r="W16" s="106" cm="1">
        <f t="array" ref="W16">_xll.EQNXTDZ($A$1,$B16,W$1)</f>
        <v>0</v>
      </c>
      <c r="X16" s="106" cm="1">
        <f t="array" ref="X16">_xll.EQNXTDZ($A$1,$B16,X$1)</f>
        <v>0</v>
      </c>
      <c r="Y16" s="106" cm="1">
        <f t="array" ref="Y16">_xll.EQNXTDZ($A$1,$B16,Y$1)</f>
        <v>0</v>
      </c>
      <c r="Z16" s="106" cm="1">
        <f t="array" ref="Z16">_xll.EQNXTDZ($A$1,$B16,Z$1)</f>
        <v>0</v>
      </c>
      <c r="AA16" s="106" cm="1">
        <f t="array" ref="AA16">_xll.EQNXTDZ($A$1,$B16,AA$1)</f>
        <v>0</v>
      </c>
      <c r="AB16" s="106" cm="1">
        <f t="array" ref="AB16">_xll.EQNXTDZ($A$1,$B16,AB$1)</f>
        <v>0</v>
      </c>
      <c r="AC16" s="106" cm="1">
        <f t="array" ref="AC16">_xll.EQNXTDZ($A$1,$B16,AC$1)</f>
        <v>0</v>
      </c>
      <c r="AD16" s="106" cm="1">
        <f t="array" ref="AD16">_xll.EQNXTDZ($A$1,$B16,AD$1)</f>
        <v>0</v>
      </c>
      <c r="AE16" s="106" cm="1">
        <f t="array" ref="AE16">_xll.EQNXTDZ($A$1,$B16,AE$1)</f>
        <v>0</v>
      </c>
      <c r="AF16" s="106" cm="1">
        <f t="array" ref="AF16">_xll.EQNXTDZ($A$1,$B16,AF$1)</f>
        <v>0</v>
      </c>
      <c r="AG16" s="106" cm="1">
        <f t="array" ref="AG16">_xll.EQNXTDZ($A$1,$B16,AG$1)</f>
        <v>0</v>
      </c>
      <c r="AH16" s="106" cm="1">
        <f t="array" ref="AH16">_xll.EQNXTDZ($A$1,$B16,AH$1)</f>
        <v>0</v>
      </c>
      <c r="AI16" s="106" cm="1">
        <f t="array" ref="AI16">_xll.EQNXTDZ($A$1,$B16,AI$1)</f>
        <v>0</v>
      </c>
      <c r="AJ16" s="106" cm="1">
        <f t="array" ref="AJ16">_xll.EQNXTDZ($A$1,$B16,AJ$1)</f>
        <v>0</v>
      </c>
      <c r="AK16" s="106" cm="1">
        <f t="array" ref="AK16">_xll.EQNXTDZ($A$1,$B16,AK$1)</f>
        <v>0</v>
      </c>
      <c r="AL16" s="106" cm="1">
        <f t="array" ref="AL16">_xll.EQNXTDZ($A$1,$B16,AL$1)</f>
        <v>0</v>
      </c>
      <c r="AM16" s="106" cm="1">
        <f t="array" ref="AM16">_xll.EQNXTDZ($A$1,$B16,AM$1)</f>
        <v>0</v>
      </c>
      <c r="AN16" s="106" cm="1">
        <f t="array" ref="AN16">_xll.EQNXTDZ($A$1,$B16,AN$1)</f>
        <v>0</v>
      </c>
      <c r="AO16" s="106" cm="1">
        <f t="array" ref="AO16">_xll.EQNXTDZ($A$1,$B16,AO$1)</f>
        <v>0</v>
      </c>
      <c r="AP16" s="106" cm="1">
        <f t="array" ref="AP16">_xll.EQNXTDZ($A$1,$B16,AP$1)</f>
        <v>0</v>
      </c>
      <c r="AQ16" s="106" cm="1">
        <f t="array" ref="AQ16">_xll.EQNXTDZ($A$1,$B16,AQ$1)</f>
        <v>0</v>
      </c>
      <c r="AR16" s="106" cm="1">
        <f t="array" ref="AR16">_xll.EQNXTDZ($A$1,$B16,AR$1)</f>
        <v>0</v>
      </c>
      <c r="AS16" s="106" cm="1">
        <f t="array" ref="AS16">_xll.EQNXTDZ($A$1,$B16,AS$1)</f>
        <v>0</v>
      </c>
      <c r="AT16" s="106" cm="1">
        <f t="array" ref="AT16">_xll.EQNXTDZ($A$1,$B16,AT$1)</f>
        <v>0</v>
      </c>
      <c r="AU16" s="106" cm="1">
        <f t="array" ref="AU16">_xll.EQNXTDZ($A$1,$B16,AU$1)</f>
        <v>0</v>
      </c>
      <c r="AV16" s="106" cm="1">
        <f t="array" ref="AV16">_xll.EQNXTDZ($A$1,$B16,AV$1)</f>
        <v>0</v>
      </c>
      <c r="AW16" s="106" cm="1">
        <f t="array" ref="AW16">_xll.EQNXTDZ($A$1,$B16,AW$1)</f>
        <v>0</v>
      </c>
      <c r="AX16" s="106" cm="1">
        <f t="array" ref="AX16">_xll.EQNXTDZ($A$1,$B16,AX$1)</f>
        <v>0</v>
      </c>
      <c r="AY16" s="106" cm="1">
        <f t="array" ref="AY16">_xll.EQNXTDZ($A$1,$B16,AY$1)</f>
        <v>0</v>
      </c>
      <c r="AZ16" s="106" cm="1">
        <f t="array" ref="AZ16">_xll.EQNXTDZ($A$1,$B16,AZ$1)</f>
        <v>0</v>
      </c>
      <c r="BA16" s="106" cm="1">
        <f t="array" ref="BA16">_xll.EQNXTDZ($A$1,$B16,BA$1)</f>
        <v>0</v>
      </c>
      <c r="BB16" s="106" cm="1">
        <f t="array" ref="BB16">_xll.EQNXTDZ($A$1,$B16,BB$1)</f>
        <v>0</v>
      </c>
      <c r="BC16" s="106" cm="1">
        <f t="array" ref="BC16">_xll.EQNXTDZ($A$1,$B16,BC$1)</f>
        <v>0</v>
      </c>
      <c r="BD16" s="106" cm="1">
        <f t="array" ref="BD16">_xll.EQNXTDZ($A$1,$B16,BD$1)</f>
        <v>0</v>
      </c>
      <c r="BE16" s="106" cm="1">
        <f t="array" ref="BE16">_xll.EQNXTDZ($A$1,$B16,BE$1)</f>
        <v>0</v>
      </c>
      <c r="BF16" s="106" cm="1">
        <f t="array" ref="BF16">_xll.EQNXTDZ($A$1,$B16,BF$1)</f>
        <v>0</v>
      </c>
      <c r="BG16" s="106" cm="1">
        <f t="array" ref="BG16">_xll.EQNXTDZ($A$1,$B16,BG$1)</f>
        <v>0</v>
      </c>
      <c r="BH16" s="106" cm="1">
        <f t="array" ref="BH16">_xll.EQNXTDZ($A$1,$B16,BH$1)</f>
        <v>0</v>
      </c>
      <c r="BI16" s="106" cm="1">
        <f t="array" ref="BI16">_xll.EQNXTDZ($A$1,$B16,BI$1)</f>
        <v>0</v>
      </c>
      <c r="BJ16" s="106" cm="1">
        <f t="array" ref="BJ16">_xll.EQNXTDZ($A$1,$B16,BJ$1)</f>
        <v>0</v>
      </c>
      <c r="BK16" s="106" cm="1">
        <f t="array" ref="BK16">_xll.EQNXTDZ($A$1,$B16,BK$1)</f>
        <v>0</v>
      </c>
      <c r="BL16" s="106" cm="1">
        <f t="array" ref="BL16">_xll.EQNXTDZ($A$1,$B16,BL$1)</f>
        <v>0</v>
      </c>
      <c r="BM16" s="106" cm="1">
        <f t="array" ref="BM16">_xll.EQNXTDZ($A$1,$B16,BM$1)</f>
        <v>0</v>
      </c>
      <c r="BN16" s="106" cm="1">
        <f t="array" ref="BN16">_xll.EQNXTDZ($A$1,$B16,BN$1)</f>
        <v>0</v>
      </c>
      <c r="BO16" s="106" cm="1">
        <f t="array" ref="BO16">_xll.EQNXTDZ($A$1,$B16,BO$1)</f>
        <v>0</v>
      </c>
      <c r="BP16" s="106" cm="1">
        <f t="array" ref="BP16">_xll.EQNXTDZ($A$1,$B16,BP$1)</f>
        <v>0</v>
      </c>
      <c r="BQ16" s="106" cm="1">
        <f t="array" ref="BQ16">_xll.EQNXTDZ($A$1,$B16,BQ$1)</f>
        <v>0</v>
      </c>
      <c r="BR16" s="106" cm="1">
        <f t="array" ref="BR16">_xll.EQNXTDZ($A$1,$B16,BR$1)</f>
        <v>0</v>
      </c>
      <c r="BS16" s="106" cm="1">
        <f t="array" ref="BS16">_xll.EQNXTDZ($A$1,$B16,BS$1)</f>
        <v>0</v>
      </c>
      <c r="BT16" s="106" cm="1">
        <f t="array" ref="BT16">_xll.EQNXTDZ($A$1,$B16,BT$1)</f>
        <v>0</v>
      </c>
      <c r="BU16" s="106" cm="1">
        <f t="array" ref="BU16">_xll.EQNXTDZ($A$1,$B16,BU$1)</f>
        <v>0</v>
      </c>
      <c r="BV16" s="106" cm="1">
        <f t="array" ref="BV16">_xll.EQNXTDZ($A$1,$B16,BV$1)</f>
        <v>0</v>
      </c>
      <c r="BW16" s="106" cm="1">
        <f t="array" ref="BW16">_xll.EQNXTDZ($A$1,$B16,BW$1)</f>
        <v>0</v>
      </c>
      <c r="BX16" s="106" cm="1">
        <f t="array" ref="BX16">_xll.EQNXTDZ($A$1,$B16,BX$1)</f>
        <v>0</v>
      </c>
      <c r="BY16" s="106" cm="1">
        <f t="array" ref="BY16">_xll.EQNXTDZ($A$1,$B16,BY$1)</f>
        <v>0</v>
      </c>
      <c r="BZ16" s="106" cm="1">
        <f t="array" ref="BZ16">_xll.EQNXTDZ($A$1,$B16,BZ$1)</f>
        <v>0</v>
      </c>
      <c r="CA16" s="106" cm="1">
        <f t="array" ref="CA16">_xll.EQNXTDZ($A$1,$B16,CA$1)</f>
        <v>0</v>
      </c>
      <c r="CB16" s="106" cm="1">
        <f t="array" ref="CB16">_xll.EQNXTDZ($A$1,$B16,CB$1)</f>
        <v>0</v>
      </c>
      <c r="CC16" s="106" cm="1">
        <f t="array" ref="CC16">_xll.EQNXTDZ($A$1,$B16,CC$1)</f>
        <v>0</v>
      </c>
      <c r="CD16" s="106" cm="1">
        <f t="array" ref="CD16">_xll.EQNXTDZ($A$1,$B16,CD$1)</f>
        <v>0</v>
      </c>
      <c r="CE16" s="106" cm="1">
        <f t="array" ref="CE16">_xll.EQNXTDZ($A$1,$B16,CE$1)</f>
        <v>0</v>
      </c>
      <c r="CF16" s="106" cm="1">
        <f t="array" ref="CF16">_xll.EQNXTDZ($A$1,$B16,CF$1)</f>
        <v>0</v>
      </c>
      <c r="CG16" s="106" cm="1">
        <f t="array" ref="CG16">_xll.EQNXTDZ($A$1,$B16,CG$1)</f>
        <v>0</v>
      </c>
      <c r="CH16" s="106" cm="1">
        <f t="array" ref="CH16">_xll.EQNXTDZ($A$1,$B16,CH$1)</f>
        <v>0</v>
      </c>
      <c r="CI16" s="106" cm="1">
        <f t="array" ref="CI16">_xll.EQNXTDZ($A$1,$B16,CI$1)</f>
        <v>0</v>
      </c>
      <c r="CJ16" s="106" cm="1">
        <f t="array" ref="CJ16">_xll.EQNXTDZ($A$1,$B16,CJ$1)</f>
        <v>0</v>
      </c>
      <c r="CK16" s="106" cm="1">
        <f t="array" ref="CK16">_xll.EQNXTDZ($A$1,$B16,CK$1)</f>
        <v>0</v>
      </c>
      <c r="CL16" s="106" cm="1">
        <f t="array" ref="CL16">_xll.EQNXTDZ($A$1,$B16,CL$1)</f>
        <v>0</v>
      </c>
      <c r="CM16" s="106" cm="1">
        <f t="array" ref="CM16">_xll.EQNXTDZ($A$1,$B16,CM$1)</f>
        <v>0</v>
      </c>
      <c r="CN16" s="106" cm="1">
        <f t="array" ref="CN16">_xll.EQNXTDZ($A$1,$B16,CN$1)</f>
        <v>0</v>
      </c>
      <c r="CO16" s="106" cm="1">
        <f t="array" ref="CO16">_xll.EQNXTDZ($A$1,$B16,CO$1)</f>
        <v>0</v>
      </c>
      <c r="CP16" s="106" cm="1">
        <f t="array" ref="CP16">_xll.EQNXTDZ($A$1,$B16,CP$1)</f>
        <v>0</v>
      </c>
      <c r="CQ16" s="106" cm="1">
        <f t="array" ref="CQ16">_xll.EQNXTDZ($A$1,$B16,CQ$1)</f>
        <v>0</v>
      </c>
      <c r="CR16" s="106" cm="1">
        <f t="array" ref="CR16">_xll.EQNXTDZ($A$1,$B16,CR$1)</f>
        <v>0</v>
      </c>
      <c r="CS16" s="106" cm="1">
        <f t="array" ref="CS16">_xll.EQNXTDZ($A$1,$B16,CS$1)</f>
        <v>0</v>
      </c>
      <c r="CT16" s="106" cm="1">
        <f t="array" ref="CT16">_xll.EQNXTDZ($A$1,$B16,CT$1)</f>
        <v>0</v>
      </c>
      <c r="CU16" s="106" cm="1">
        <f t="array" ref="CU16">_xll.EQNXTDZ($A$1,$B16,CU$1)</f>
        <v>0</v>
      </c>
      <c r="CV16" s="106" cm="1">
        <f t="array" ref="CV16">_xll.EQNXTDZ($A$1,$B16,CV$1)</f>
        <v>0</v>
      </c>
      <c r="CW16" s="106" cm="1">
        <f t="array" ref="CW16">_xll.EQNXTDZ($A$1,$B16,CW$1)</f>
        <v>0</v>
      </c>
      <c r="CX16" s="106" cm="1">
        <f t="array" ref="CX16">_xll.EQNXTDZ($A$1,$B16,CX$1)</f>
        <v>0</v>
      </c>
      <c r="CY16" s="106" cm="1">
        <f t="array" ref="CY16">_xll.EQNXTDZ($A$1,$B16,CY$1)</f>
        <v>0</v>
      </c>
      <c r="CZ16" s="106" cm="1">
        <f t="array" ref="CZ16">_xll.EQNXTDZ($A$1,$B16,CZ$1)</f>
        <v>0</v>
      </c>
      <c r="DA16" s="106" cm="1">
        <f t="array" ref="DA16">_xll.EQNXTDZ($A$1,$B16,DA$1)</f>
        <v>0</v>
      </c>
      <c r="DB16" s="106" cm="1">
        <f t="array" ref="DB16">_xll.EQNXTDZ($A$1,$B16,DB$1)</f>
        <v>0</v>
      </c>
      <c r="DC16" s="106" cm="1">
        <f t="array" ref="DC16">_xll.EQNXTDZ($A$1,$B16,DC$1)</f>
        <v>0</v>
      </c>
      <c r="DD16" s="106" cm="1">
        <f t="array" ref="DD16">_xll.EQNXTDZ($A$1,$B16,DD$1)</f>
        <v>0</v>
      </c>
      <c r="DE16" s="106" cm="1">
        <f t="array" ref="DE16">_xll.EQNXTDZ($A$1,$B16,DE$1)</f>
        <v>0</v>
      </c>
      <c r="DF16" s="106" cm="1">
        <f t="array" ref="DF16">_xll.EQNXTDZ($A$1,$B16,DF$1)</f>
        <v>0</v>
      </c>
      <c r="DG16" s="106" cm="1">
        <f t="array" ref="DG16">_xll.EQNXTDZ($A$1,$B16,DG$1)</f>
        <v>0</v>
      </c>
      <c r="DH16" s="106" cm="1">
        <f t="array" ref="DH16">_xll.EQNXTDZ($A$1,$B16,DH$1)</f>
        <v>0</v>
      </c>
      <c r="DI16" s="106" cm="1">
        <f t="array" ref="DI16">_xll.EQNXTDZ($A$1,$B16,DI$1)</f>
        <v>0</v>
      </c>
      <c r="DJ16" s="106" cm="1">
        <f t="array" ref="DJ16">_xll.EQNXTDZ($A$1,$B16,DJ$1)</f>
        <v>0</v>
      </c>
      <c r="DK16" s="106" cm="1">
        <f t="array" ref="DK16">_xll.EQNXTDZ($A$1,$B16,DK$1)</f>
        <v>0</v>
      </c>
      <c r="DL16" s="106" cm="1">
        <f t="array" ref="DL16">_xll.EQNXTDZ($A$1,$B16,DL$1)</f>
        <v>0</v>
      </c>
      <c r="DM16" s="106" cm="1">
        <f t="array" ref="DM16">_xll.EQNXTDZ($A$1,$B16,DM$1)</f>
        <v>0</v>
      </c>
      <c r="DN16" s="106" cm="1">
        <f t="array" ref="DN16">_xll.EQNXTDZ($A$1,$B16,DN$1)</f>
        <v>0</v>
      </c>
      <c r="DO16" s="106" cm="1">
        <f t="array" ref="DO16">_xll.EQNXTDZ($A$1,$B16,DO$1)</f>
        <v>0</v>
      </c>
      <c r="DP16" s="106" cm="1">
        <f t="array" ref="DP16">_xll.EQNXTDZ($A$1,$B16,DP$1)</f>
        <v>0</v>
      </c>
      <c r="DQ16" s="106" cm="1">
        <f t="array" ref="DQ16">_xll.EQNXTDZ($A$1,$B16,DQ$1)</f>
        <v>0</v>
      </c>
      <c r="DR16" s="106" cm="1">
        <f t="array" ref="DR16">_xll.EQNXTDZ($A$1,$B16,DR$1)</f>
        <v>0</v>
      </c>
      <c r="DS16" s="106" cm="1">
        <f t="array" ref="DS16">_xll.EQNXTDZ($A$1,$B16,DS$1)</f>
        <v>0</v>
      </c>
      <c r="DT16" s="106" cm="1">
        <f t="array" ref="DT16">_xll.EQNXTDZ($A$1,$B16,DT$1)</f>
        <v>0</v>
      </c>
      <c r="DU16" s="106" cm="1">
        <f t="array" ref="DU16">_xll.EQNXTDZ($A$1,$B16,DU$1)</f>
        <v>0</v>
      </c>
      <c r="DV16" s="106" cm="1">
        <f t="array" ref="DV16">_xll.EQNXTDZ($A$1,$B16,DV$1)</f>
        <v>0</v>
      </c>
      <c r="DW16" s="106" cm="1">
        <f t="array" ref="DW16">_xll.EQNXTDZ($A$1,$B16,DW$1)</f>
        <v>0</v>
      </c>
      <c r="DX16" s="106" cm="1">
        <f t="array" ref="DX16">_xll.EQNXTDZ($A$1,$B16,DX$1)</f>
        <v>0</v>
      </c>
      <c r="DY16" s="106" cm="1">
        <f t="array" ref="DY16">_xll.EQNXTDZ($A$1,$B16,DY$1)</f>
        <v>0</v>
      </c>
      <c r="DZ16" s="106" cm="1">
        <f t="array" ref="DZ16">_xll.EQNXTDZ($A$1,$B16,DZ$1)</f>
        <v>0</v>
      </c>
      <c r="EA16" s="106" cm="1">
        <f t="array" ref="EA16">_xll.EQNXTDZ($A$1,$B16,EA$1)</f>
        <v>0</v>
      </c>
      <c r="EB16" s="106" cm="1">
        <f t="array" ref="EB16">_xll.EQNXTDZ($A$1,$B16,EB$1)</f>
        <v>0</v>
      </c>
      <c r="EC16" s="106" cm="1">
        <f t="array" ref="EC16">_xll.EQNXTDZ($A$1,$B16,EC$1)</f>
        <v>0</v>
      </c>
      <c r="ED16" s="106" cm="1">
        <f t="array" ref="ED16">_xll.EQNXTDZ($A$1,$B16,ED$1)</f>
        <v>0</v>
      </c>
      <c r="EE16" s="106" cm="1">
        <f t="array" ref="EE16">_xll.EQNXTDZ($A$1,$B16,EE$1)</f>
        <v>0</v>
      </c>
      <c r="EF16" s="106" cm="1">
        <f t="array" ref="EF16">_xll.EQNXTDZ($A$1,$B16,EF$1)</f>
        <v>0</v>
      </c>
      <c r="EG16" s="106" cm="1">
        <f t="array" ref="EG16">_xll.EQNXTDZ($A$1,$B16,EG$1)</f>
        <v>0</v>
      </c>
      <c r="EH16" s="106" cm="1">
        <f t="array" ref="EH16">_xll.EQNXTDZ($A$1,$B16,EH$1)</f>
        <v>0</v>
      </c>
      <c r="EI16" s="106" cm="1">
        <f t="array" ref="EI16">_xll.EQNXTDZ($A$1,$B16,EI$1)</f>
        <v>0</v>
      </c>
      <c r="EJ16" s="106" cm="1">
        <f t="array" ref="EJ16">_xll.EQNXTDZ($A$1,$B16,EJ$1)</f>
        <v>0</v>
      </c>
      <c r="EK16" s="106" cm="1">
        <f t="array" ref="EK16">_xll.EQNXTDZ($A$1,$B16,EK$1)</f>
        <v>0</v>
      </c>
      <c r="EL16" s="106" cm="1">
        <f t="array" ref="EL16">_xll.EQNXTDZ($A$1,$B16,EL$1)</f>
        <v>0</v>
      </c>
      <c r="EM16" s="106" cm="1">
        <f t="array" ref="EM16">_xll.EQNXTDZ($A$1,$B16,EM$1)</f>
        <v>0</v>
      </c>
      <c r="EN16" s="106" cm="1">
        <f t="array" ref="EN16">_xll.EQNXTDZ($A$1,$B16,EN$1)</f>
        <v>0</v>
      </c>
      <c r="EO16" s="106" cm="1">
        <f t="array" ref="EO16">_xll.EQNXTDZ($A$1,$B16,EO$1)</f>
        <v>0</v>
      </c>
      <c r="EP16" s="106" cm="1">
        <f t="array" ref="EP16">_xll.EQNXTDZ($A$1,$B16,EP$1)</f>
        <v>0</v>
      </c>
      <c r="EQ16" s="106" cm="1">
        <f t="array" ref="EQ16">_xll.EQNXTDZ($A$1,$B16,EQ$1)</f>
        <v>0</v>
      </c>
      <c r="ER16" s="106" cm="1">
        <f t="array" ref="ER16">_xll.EQNXTDZ($A$1,$B16,ER$1)</f>
        <v>0</v>
      </c>
      <c r="ES16" s="106" cm="1">
        <f t="array" ref="ES16">_xll.EQNXTDZ($A$1,$B16,ES$1)</f>
        <v>0</v>
      </c>
      <c r="ET16" s="106" cm="1">
        <f t="array" ref="ET16">_xll.EQNXTDZ($A$1,$B16,ET$1)</f>
        <v>0</v>
      </c>
      <c r="EU16" s="106" cm="1">
        <f t="array" ref="EU16">_xll.EQNXTDZ($A$1,$B16,EU$1)</f>
        <v>0</v>
      </c>
      <c r="EV16" s="106" cm="1">
        <f t="array" ref="EV16">_xll.EQNXTDZ($A$1,$B16,EV$1)</f>
        <v>0</v>
      </c>
      <c r="EW16" s="106" cm="1">
        <f t="array" ref="EW16">_xll.EQNXTDZ($A$1,$B16,EW$1)</f>
        <v>0</v>
      </c>
      <c r="EX16" s="106" cm="1">
        <f t="array" ref="EX16">_xll.EQNXTDZ($A$1,$B16,EX$1)</f>
        <v>0</v>
      </c>
      <c r="EY16" s="106" cm="1">
        <f t="array" ref="EY16">_xll.EQNXTDZ($A$1,$B16,EY$1)</f>
        <v>0</v>
      </c>
      <c r="EZ16" s="106" cm="1">
        <f t="array" ref="EZ16">_xll.EQNXTDZ($A$1,$B16,EZ$1)</f>
        <v>0</v>
      </c>
      <c r="FA16" s="106" cm="1">
        <f t="array" ref="FA16">_xll.EQNXTDZ($A$1,$B16,FA$1)</f>
        <v>0</v>
      </c>
      <c r="FB16" s="106" cm="1">
        <f t="array" ref="FB16">_xll.EQNXTDZ($A$1,$B16,FB$1)</f>
        <v>0</v>
      </c>
      <c r="FC16" s="106" cm="1">
        <f t="array" ref="FC16">_xll.EQNXTDZ($A$1,$B16,FC$1)</f>
        <v>0</v>
      </c>
      <c r="FD16" s="106" cm="1">
        <f t="array" ref="FD16">_xll.EQNXTDZ($A$1,$B16,FD$1)</f>
        <v>0</v>
      </c>
      <c r="FE16" s="106" cm="1">
        <f t="array" ref="FE16">_xll.EQNXTDZ($A$1,$B16,FE$1)</f>
        <v>0</v>
      </c>
      <c r="FF16" s="106" cm="1">
        <f t="array" ref="FF16">_xll.EQNXTDZ($A$1,$B16,FF$1)</f>
        <v>0</v>
      </c>
      <c r="FG16" s="106" cm="1">
        <f t="array" ref="FG16">_xll.EQNXTDZ($A$1,$B16,FG$1)</f>
        <v>0</v>
      </c>
      <c r="FH16" s="106" cm="1">
        <f t="array" ref="FH16">_xll.EQNXTDZ($A$1,$B16,FH$1)</f>
        <v>0</v>
      </c>
      <c r="FI16" s="106" cm="1">
        <f t="array" ref="FI16">_xll.EQNXTDZ($A$1,$B16,FI$1)</f>
        <v>0</v>
      </c>
      <c r="FJ16" s="106" cm="1">
        <f t="array" ref="FJ16">_xll.EQNXTDZ($A$1,$B16,FJ$1)</f>
        <v>0</v>
      </c>
      <c r="FK16" s="106" cm="1">
        <f t="array" ref="FK16">_xll.EQNXTDZ($A$1,$B16,FK$1)</f>
        <v>0</v>
      </c>
      <c r="FL16" s="106" cm="1">
        <f t="array" ref="FL16">_xll.EQNXTDZ($A$1,$B16,FL$1)</f>
        <v>0</v>
      </c>
      <c r="FM16" s="106" cm="1">
        <f t="array" ref="FM16">_xll.EQNXTDZ($A$1,$B16,FM$1)</f>
        <v>0</v>
      </c>
      <c r="FN16" s="106" cm="1">
        <f t="array" ref="FN16">_xll.EQNXTDZ($A$1,$B16,FN$1)</f>
        <v>0</v>
      </c>
      <c r="FO16" s="106" cm="1">
        <f t="array" ref="FO16">_xll.EQNXTDZ($A$1,$B16,FO$1)</f>
        <v>0</v>
      </c>
      <c r="FP16" s="106" cm="1">
        <f t="array" ref="FP16">_xll.EQNXTDZ($A$1,$B16,FP$1)</f>
        <v>0</v>
      </c>
      <c r="FQ16" s="106" cm="1">
        <f t="array" ref="FQ16">_xll.EQNXTDZ($A$1,$B16,FQ$1)</f>
        <v>0</v>
      </c>
      <c r="FR16" s="106" cm="1">
        <f t="array" ref="FR16">_xll.EQNXTDZ($A$1,$B16,FR$1)</f>
        <v>0</v>
      </c>
      <c r="FS16" s="106" cm="1">
        <f t="array" ref="FS16">_xll.EQNXTDZ($A$1,$B16,FS$1)</f>
        <v>0</v>
      </c>
      <c r="FT16" s="106" cm="1">
        <f t="array" ref="FT16">_xll.EQNXTDZ($A$1,$B16,FT$1)</f>
        <v>0</v>
      </c>
      <c r="FU16" s="106" cm="1">
        <f t="array" ref="FU16">_xll.EQNXTDZ($A$1,$B16,FU$1)</f>
        <v>0</v>
      </c>
      <c r="FV16" s="106" cm="1">
        <f t="array" ref="FV16">_xll.EQNXTDZ($A$1,$B16,FV$1)</f>
        <v>0</v>
      </c>
      <c r="FW16" s="106" cm="1">
        <f t="array" ref="FW16">_xll.EQNXTDZ($A$1,$B16,FW$1)</f>
        <v>0</v>
      </c>
      <c r="FX16" s="106" cm="1">
        <f t="array" ref="FX16">_xll.EQNXTDZ($A$1,$B16,FX$1)</f>
        <v>0</v>
      </c>
      <c r="FY16" s="106" cm="1">
        <f t="array" ref="FY16">_xll.EQNXTDZ($A$1,$B16,FY$1)</f>
        <v>0</v>
      </c>
      <c r="FZ16" s="106" cm="1">
        <f t="array" ref="FZ16">_xll.EQNXTDZ($A$1,$B16,FZ$1)</f>
        <v>0</v>
      </c>
      <c r="GA16" s="106" cm="1">
        <f t="array" ref="GA16">_xll.EQNXTDZ($A$1,$B16,GA$1)</f>
        <v>0</v>
      </c>
      <c r="GB16" s="106" cm="1">
        <f t="array" ref="GB16">_xll.EQNXTDZ($A$1,$B16,GB$1)</f>
        <v>0</v>
      </c>
      <c r="GC16" s="106" cm="1">
        <f t="array" ref="GC16">_xll.EQNXTDZ($A$1,$B16,GC$1)</f>
        <v>0</v>
      </c>
      <c r="GD16" s="106" cm="1">
        <f t="array" ref="GD16">_xll.EQNXTDZ($A$1,$B16,GD$1)</f>
        <v>0</v>
      </c>
      <c r="GE16" s="106" cm="1">
        <f t="array" ref="GE16">_xll.EQNXTDZ($A$1,$B16,GE$1)</f>
        <v>0</v>
      </c>
      <c r="GF16" s="106" cm="1">
        <f t="array" ref="GF16">_xll.EQNXTDZ($A$1,$B16,GF$1)</f>
        <v>0</v>
      </c>
      <c r="GG16" s="106" cm="1">
        <f t="array" ref="GG16">_xll.EQNXTDZ($A$1,$B16,GG$1)</f>
        <v>0</v>
      </c>
      <c r="GH16" s="106" cm="1">
        <f t="array" ref="GH16">_xll.EQNXTDZ($A$1,$B16,GH$1)</f>
        <v>0</v>
      </c>
      <c r="GI16" s="106" cm="1">
        <f t="array" ref="GI16">_xll.EQNXTDZ($A$1,$B16,GI$1)</f>
        <v>0</v>
      </c>
      <c r="GJ16" s="106" cm="1">
        <f t="array" ref="GJ16">_xll.EQNXTDZ($A$1,$B16,GJ$1)</f>
        <v>0</v>
      </c>
      <c r="GK16" s="106" cm="1">
        <f t="array" ref="GK16">_xll.EQNXTDZ($A$1,$B16,GK$1)</f>
        <v>0</v>
      </c>
      <c r="GL16" s="106" cm="1">
        <f t="array" ref="GL16">_xll.EQNXTDZ($A$1,$B16,GL$1)</f>
        <v>0</v>
      </c>
      <c r="GM16" s="106" cm="1">
        <f t="array" ref="GM16">_xll.EQNXTDZ($A$1,$B16,GM$1)</f>
        <v>0</v>
      </c>
      <c r="GN16" s="106" cm="1">
        <f t="array" ref="GN16">_xll.EQNXTDZ($A$1,$B16,GN$1)</f>
        <v>0</v>
      </c>
      <c r="GO16" s="106" cm="1">
        <f t="array" ref="GO16">_xll.EQNXTDZ($A$1,$B16,GO$1)</f>
        <v>0</v>
      </c>
      <c r="GP16" s="106" cm="1">
        <f t="array" ref="GP16">_xll.EQNXTDZ($A$1,$B16,GP$1)</f>
        <v>0</v>
      </c>
      <c r="GQ16" s="106" cm="1">
        <f t="array" ref="GQ16">_xll.EQNXTDZ($A$1,$B16,GQ$1)</f>
        <v>0</v>
      </c>
      <c r="GR16" s="106" cm="1">
        <f t="array" ref="GR16">_xll.EQNXTDZ($A$1,$B16,GR$1)</f>
        <v>0</v>
      </c>
      <c r="GS16" s="106" cm="1">
        <f t="array" ref="GS16">_xll.EQNXTDZ($A$1,$B16,GS$1)</f>
        <v>0</v>
      </c>
      <c r="GT16" s="106" cm="1">
        <f t="array" ref="GT16">_xll.EQNXTDZ($A$1,$B16,GT$1)</f>
        <v>0</v>
      </c>
      <c r="GU16" s="106" cm="1">
        <f t="array" ref="GU16">_xll.EQNXTDZ($A$1,$B16,GU$1)</f>
        <v>0</v>
      </c>
      <c r="GV16" s="106" cm="1">
        <f t="array" ref="GV16">_xll.EQNXTDZ($A$1,$B16,GV$1)</f>
        <v>0</v>
      </c>
      <c r="GW16" s="106" cm="1">
        <f t="array" ref="GW16">_xll.EQNXTDZ($A$1,$B16,GW$1)</f>
        <v>0</v>
      </c>
      <c r="GX16" s="106" cm="1">
        <f t="array" ref="GX16">_xll.EQNXTDZ($A$1,$B16,GX$1)</f>
        <v>0</v>
      </c>
      <c r="GY16" s="106" cm="1">
        <f t="array" ref="GY16">_xll.EQNXTDZ($A$1,$B16,GY$1)</f>
        <v>0</v>
      </c>
      <c r="GZ16" s="106" cm="1">
        <f t="array" ref="GZ16">_xll.EQNXTDZ($A$1,$B16,GZ$1)</f>
        <v>0</v>
      </c>
      <c r="HA16" s="106" cm="1">
        <f t="array" ref="HA16">_xll.EQNXTDZ($A$1,$B16,HA$1)</f>
        <v>0</v>
      </c>
      <c r="HB16" s="106" cm="1">
        <f t="array" ref="HB16">_xll.EQNXTDZ($A$1,$B16,HB$1)</f>
        <v>0</v>
      </c>
      <c r="HC16" s="106" cm="1">
        <f t="array" ref="HC16">_xll.EQNXTDZ($A$1,$B16,HC$1)</f>
        <v>0</v>
      </c>
      <c r="HD16" s="106" cm="1">
        <f t="array" ref="HD16">_xll.EQNXTDZ($A$1,$B16,HD$1)</f>
        <v>0</v>
      </c>
      <c r="HE16" s="106" cm="1">
        <f t="array" ref="HE16">_xll.EQNXTDZ($A$1,$B16,HE$1)</f>
        <v>0</v>
      </c>
      <c r="HF16" s="106" cm="1">
        <f t="array" ref="HF16">_xll.EQNXTDZ($A$1,$B16,HF$1)</f>
        <v>0</v>
      </c>
      <c r="HG16" s="106" cm="1">
        <f t="array" ref="HG16">_xll.EQNXTDZ($A$1,$B16,HG$1)</f>
        <v>0</v>
      </c>
      <c r="HH16" s="106" cm="1">
        <f t="array" ref="HH16">_xll.EQNXTDZ($A$1,$B16,HH$1)</f>
        <v>0</v>
      </c>
      <c r="HP16" s="106">
        <f>+F16</f>
        <v>0</v>
      </c>
      <c r="HQ16" s="106">
        <f>+I16</f>
        <v>0</v>
      </c>
      <c r="HR16" s="106">
        <f>+L16</f>
        <v>0</v>
      </c>
      <c r="HS16" s="106">
        <f>+O16</f>
        <v>0</v>
      </c>
      <c r="HT16" s="106">
        <f>+R16</f>
        <v>0</v>
      </c>
      <c r="HU16" s="106">
        <f>+U16</f>
        <v>0</v>
      </c>
      <c r="HV16" s="106">
        <f>+X16</f>
        <v>0</v>
      </c>
      <c r="HW16" s="106">
        <f>+AA16</f>
        <v>0</v>
      </c>
      <c r="HX16" s="106">
        <f>+AD16</f>
        <v>0</v>
      </c>
      <c r="HY16" s="106">
        <f>+AG16</f>
        <v>0</v>
      </c>
      <c r="HZ16" s="106">
        <f>+AJ16</f>
        <v>0</v>
      </c>
      <c r="IA16" s="106">
        <f>+AM16</f>
        <v>0</v>
      </c>
      <c r="IB16" s="106">
        <f>+AP16</f>
        <v>0</v>
      </c>
      <c r="IC16" s="106">
        <f>+AS16</f>
        <v>0</v>
      </c>
      <c r="ID16" s="106">
        <f>+AV16</f>
        <v>0</v>
      </c>
      <c r="IE16" s="106">
        <f>+AY16</f>
        <v>0</v>
      </c>
      <c r="IF16" s="106">
        <f>+BB16</f>
        <v>0</v>
      </c>
      <c r="IG16" s="106">
        <f>+BE16</f>
        <v>0</v>
      </c>
      <c r="IH16" s="106">
        <f>+BH16</f>
        <v>0</v>
      </c>
      <c r="II16" s="106">
        <f>+BK16</f>
        <v>0</v>
      </c>
      <c r="IJ16" s="106">
        <f>+BN16</f>
        <v>0</v>
      </c>
      <c r="IK16" s="106">
        <f>+BQ16</f>
        <v>0</v>
      </c>
      <c r="IL16" s="106">
        <f>+BT16</f>
        <v>0</v>
      </c>
      <c r="IM16" s="106">
        <f>+BW16</f>
        <v>0</v>
      </c>
      <c r="IN16" s="106">
        <f>+BZ16</f>
        <v>0</v>
      </c>
      <c r="IO16" s="106">
        <f>+CC16</f>
        <v>0</v>
      </c>
      <c r="IP16" s="106">
        <f>+CF16</f>
        <v>0</v>
      </c>
      <c r="IQ16" s="106">
        <f>+CI16</f>
        <v>0</v>
      </c>
      <c r="IR16" s="106">
        <f>+CL16</f>
        <v>0</v>
      </c>
      <c r="IS16" s="106">
        <f>+CO16</f>
        <v>0</v>
      </c>
      <c r="IT16" s="106">
        <f>+CR16</f>
        <v>0</v>
      </c>
      <c r="IU16" s="106">
        <f>+CU16</f>
        <v>0</v>
      </c>
      <c r="IV16" s="106">
        <f>+CX16</f>
        <v>0</v>
      </c>
      <c r="IW16" s="106">
        <f>+DA16</f>
        <v>0</v>
      </c>
      <c r="IX16" s="106">
        <f>+DD16</f>
        <v>0</v>
      </c>
      <c r="IY16" s="106">
        <f>+DG16</f>
        <v>0</v>
      </c>
      <c r="IZ16" s="106">
        <f>+DJ16</f>
        <v>0</v>
      </c>
      <c r="JA16" s="106">
        <f>+DM16</f>
        <v>0</v>
      </c>
      <c r="JB16" s="106">
        <f>+DP16</f>
        <v>0</v>
      </c>
      <c r="JC16" s="106">
        <f>+DS16</f>
        <v>0</v>
      </c>
      <c r="JD16" s="106">
        <f>+DV16</f>
        <v>0</v>
      </c>
      <c r="JE16" s="106">
        <f>+DY16</f>
        <v>0</v>
      </c>
      <c r="JF16" s="106">
        <f>+EB16</f>
        <v>0</v>
      </c>
      <c r="JG16" s="106">
        <f>+EE16</f>
        <v>0</v>
      </c>
      <c r="JH16" s="106">
        <f>+EH16</f>
        <v>0</v>
      </c>
      <c r="JI16" s="106">
        <f>+EK16</f>
        <v>0</v>
      </c>
      <c r="JJ16" s="106">
        <f>+EN16</f>
        <v>0</v>
      </c>
      <c r="JK16" s="106">
        <f>EQ16</f>
        <v>0</v>
      </c>
      <c r="JL16" s="106">
        <f>ET16</f>
        <v>0</v>
      </c>
      <c r="JM16" s="106">
        <f>EW16</f>
        <v>0</v>
      </c>
      <c r="JN16" s="106">
        <f>EZ16</f>
        <v>0</v>
      </c>
      <c r="JO16" s="106">
        <f>FC16</f>
        <v>0</v>
      </c>
      <c r="JP16" s="106">
        <f>FF16</f>
        <v>0</v>
      </c>
      <c r="JQ16" s="106">
        <f>FI16</f>
        <v>0</v>
      </c>
      <c r="JR16" s="106">
        <f>FL16</f>
        <v>0</v>
      </c>
      <c r="JS16" s="106">
        <f>FO16</f>
        <v>0</v>
      </c>
      <c r="JT16" s="106">
        <f>FR16</f>
        <v>0</v>
      </c>
      <c r="JU16" s="106">
        <f>FU16</f>
        <v>0</v>
      </c>
      <c r="JV16" s="106">
        <f>FX16</f>
        <v>0</v>
      </c>
      <c r="JW16" s="106">
        <f>GA16</f>
        <v>0</v>
      </c>
      <c r="JX16" s="106">
        <f>GD16</f>
        <v>0</v>
      </c>
      <c r="JY16" s="106">
        <f>GG16</f>
        <v>0</v>
      </c>
      <c r="JZ16" s="106">
        <f>GJ16</f>
        <v>0</v>
      </c>
      <c r="KA16" s="106">
        <f>GM16</f>
        <v>0</v>
      </c>
      <c r="KB16" s="106">
        <f>GP16</f>
        <v>0</v>
      </c>
      <c r="KC16" s="106">
        <f>GS16</f>
        <v>0</v>
      </c>
      <c r="KD16" s="106">
        <f>GV16</f>
        <v>0</v>
      </c>
      <c r="KE16" s="106">
        <f>GY16</f>
        <v>0</v>
      </c>
      <c r="KF16" s="106">
        <f>HB16</f>
        <v>0</v>
      </c>
      <c r="KG16" s="106">
        <f>HE16</f>
        <v>0</v>
      </c>
      <c r="KH16" s="106">
        <f>HH16</f>
        <v>0</v>
      </c>
    </row>
    <row r="17" spans="1:294" s="106" customFormat="1" x14ac:dyDescent="0.25"/>
    <row r="18" spans="1:294" s="106" customFormat="1" x14ac:dyDescent="0.25"/>
    <row r="19" spans="1:294" s="106" customFormat="1" x14ac:dyDescent="0.25">
      <c r="A19" s="106" t="s">
        <v>37</v>
      </c>
      <c r="HP19" s="106">
        <f>+IF(HP14=0,HP7,HP14)</f>
        <v>0</v>
      </c>
      <c r="HQ19" s="106">
        <f t="shared" ref="HQ19:JO21" si="0">+IF(HQ14=0,HQ7,HQ14)</f>
        <v>0</v>
      </c>
      <c r="HR19" s="106">
        <f t="shared" si="0"/>
        <v>0</v>
      </c>
      <c r="HS19" s="106">
        <f t="shared" si="0"/>
        <v>0</v>
      </c>
      <c r="HT19" s="106">
        <f t="shared" si="0"/>
        <v>0</v>
      </c>
      <c r="HU19" s="106">
        <f t="shared" si="0"/>
        <v>0</v>
      </c>
      <c r="HV19" s="106">
        <f t="shared" si="0"/>
        <v>0</v>
      </c>
      <c r="HW19" s="106">
        <f t="shared" si="0"/>
        <v>0</v>
      </c>
      <c r="HX19" s="106">
        <f t="shared" si="0"/>
        <v>0</v>
      </c>
      <c r="HY19" s="106">
        <f t="shared" si="0"/>
        <v>0</v>
      </c>
      <c r="HZ19" s="106">
        <f t="shared" si="0"/>
        <v>0</v>
      </c>
      <c r="IA19" s="106">
        <f t="shared" si="0"/>
        <v>0</v>
      </c>
      <c r="IB19" s="106">
        <f t="shared" si="0"/>
        <v>0</v>
      </c>
      <c r="IC19" s="106">
        <f t="shared" si="0"/>
        <v>0</v>
      </c>
      <c r="ID19" s="106">
        <f t="shared" si="0"/>
        <v>0</v>
      </c>
      <c r="IE19" s="106">
        <f t="shared" si="0"/>
        <v>0</v>
      </c>
      <c r="IF19" s="106">
        <f t="shared" si="0"/>
        <v>0</v>
      </c>
      <c r="IG19" s="106">
        <f t="shared" si="0"/>
        <v>0</v>
      </c>
      <c r="IH19" s="106">
        <f t="shared" si="0"/>
        <v>0</v>
      </c>
      <c r="II19" s="106">
        <f t="shared" si="0"/>
        <v>0</v>
      </c>
      <c r="IJ19" s="106">
        <f t="shared" si="0"/>
        <v>0</v>
      </c>
      <c r="IK19" s="106">
        <f t="shared" si="0"/>
        <v>0</v>
      </c>
      <c r="IL19" s="106">
        <f t="shared" si="0"/>
        <v>0</v>
      </c>
      <c r="IM19" s="106">
        <f t="shared" si="0"/>
        <v>0</v>
      </c>
      <c r="IN19" s="106">
        <f t="shared" si="0"/>
        <v>0</v>
      </c>
      <c r="IO19" s="106">
        <f t="shared" si="0"/>
        <v>0</v>
      </c>
      <c r="IP19" s="106">
        <f t="shared" si="0"/>
        <v>0</v>
      </c>
      <c r="IQ19" s="106">
        <f t="shared" si="0"/>
        <v>0</v>
      </c>
      <c r="IR19" s="106">
        <f t="shared" si="0"/>
        <v>0</v>
      </c>
      <c r="IS19" s="106">
        <f t="shared" si="0"/>
        <v>0</v>
      </c>
      <c r="IT19" s="106">
        <f t="shared" si="0"/>
        <v>0</v>
      </c>
      <c r="IU19" s="106">
        <f t="shared" si="0"/>
        <v>0</v>
      </c>
      <c r="IV19" s="106">
        <f t="shared" si="0"/>
        <v>0</v>
      </c>
      <c r="IW19" s="106">
        <f t="shared" si="0"/>
        <v>0</v>
      </c>
      <c r="IX19" s="106">
        <f t="shared" si="0"/>
        <v>0</v>
      </c>
      <c r="IY19" s="106">
        <f t="shared" si="0"/>
        <v>0</v>
      </c>
      <c r="IZ19" s="106">
        <f t="shared" si="0"/>
        <v>0</v>
      </c>
      <c r="JA19" s="106">
        <f t="shared" si="0"/>
        <v>0</v>
      </c>
      <c r="JB19" s="106">
        <f t="shared" si="0"/>
        <v>0</v>
      </c>
      <c r="JC19" s="106">
        <f t="shared" si="0"/>
        <v>0</v>
      </c>
      <c r="JD19" s="106">
        <f t="shared" si="0"/>
        <v>0</v>
      </c>
      <c r="JE19" s="106">
        <f t="shared" si="0"/>
        <v>0</v>
      </c>
      <c r="JF19" s="106">
        <f t="shared" si="0"/>
        <v>0</v>
      </c>
      <c r="JG19" s="106">
        <f t="shared" si="0"/>
        <v>0</v>
      </c>
      <c r="JH19" s="106">
        <f t="shared" si="0"/>
        <v>0</v>
      </c>
      <c r="JI19" s="106">
        <f t="shared" si="0"/>
        <v>0</v>
      </c>
      <c r="JJ19" s="106">
        <f t="shared" si="0"/>
        <v>0</v>
      </c>
      <c r="JK19" s="106">
        <f t="shared" si="0"/>
        <v>0</v>
      </c>
      <c r="JL19" s="106">
        <f t="shared" si="0"/>
        <v>0</v>
      </c>
      <c r="JM19" s="106">
        <f t="shared" si="0"/>
        <v>0</v>
      </c>
      <c r="JN19" s="106">
        <f t="shared" si="0"/>
        <v>0</v>
      </c>
      <c r="JO19" s="106">
        <f t="shared" si="0"/>
        <v>0</v>
      </c>
      <c r="JP19" s="106">
        <f t="shared" ref="JP19:KH21" si="1">+IF(JP14=0,JP7,JP14)</f>
        <v>0</v>
      </c>
      <c r="JQ19" s="106">
        <f t="shared" si="1"/>
        <v>0</v>
      </c>
      <c r="JR19" s="106">
        <f t="shared" si="1"/>
        <v>0</v>
      </c>
      <c r="JS19" s="106">
        <f t="shared" si="1"/>
        <v>0</v>
      </c>
      <c r="JT19" s="106">
        <f t="shared" si="1"/>
        <v>0</v>
      </c>
      <c r="JU19" s="106">
        <f t="shared" si="1"/>
        <v>0</v>
      </c>
      <c r="JV19" s="106">
        <f t="shared" si="1"/>
        <v>0</v>
      </c>
      <c r="JW19" s="106">
        <f t="shared" si="1"/>
        <v>0</v>
      </c>
      <c r="JX19" s="106">
        <f t="shared" si="1"/>
        <v>0</v>
      </c>
      <c r="JY19" s="106">
        <f t="shared" si="1"/>
        <v>0</v>
      </c>
      <c r="JZ19" s="106">
        <f t="shared" si="1"/>
        <v>0</v>
      </c>
      <c r="KA19" s="106">
        <f t="shared" si="1"/>
        <v>0</v>
      </c>
      <c r="KB19" s="106">
        <f t="shared" si="1"/>
        <v>0</v>
      </c>
      <c r="KC19" s="106">
        <f t="shared" si="1"/>
        <v>0</v>
      </c>
      <c r="KD19" s="106">
        <f t="shared" si="1"/>
        <v>0</v>
      </c>
      <c r="KE19" s="106">
        <f t="shared" si="1"/>
        <v>0</v>
      </c>
      <c r="KF19" s="106">
        <f t="shared" si="1"/>
        <v>0</v>
      </c>
      <c r="KG19" s="106">
        <f t="shared" si="1"/>
        <v>0</v>
      </c>
      <c r="KH19" s="106">
        <f t="shared" si="1"/>
        <v>0</v>
      </c>
    </row>
    <row r="20" spans="1:294" s="106" customFormat="1" x14ac:dyDescent="0.25">
      <c r="A20" s="106" t="s">
        <v>38</v>
      </c>
      <c r="HP20" s="106">
        <f t="shared" ref="HP20:IE21" si="2">+IF(HP15=0,HP8,HP15)</f>
        <v>0</v>
      </c>
      <c r="HQ20" s="106">
        <f t="shared" si="2"/>
        <v>0</v>
      </c>
      <c r="HR20" s="106">
        <f t="shared" si="2"/>
        <v>0</v>
      </c>
      <c r="HS20" s="106">
        <f t="shared" si="2"/>
        <v>0</v>
      </c>
      <c r="HT20" s="106">
        <f t="shared" si="2"/>
        <v>0</v>
      </c>
      <c r="HU20" s="106">
        <f t="shared" si="2"/>
        <v>0</v>
      </c>
      <c r="HV20" s="106">
        <f t="shared" si="2"/>
        <v>0</v>
      </c>
      <c r="HW20" s="106">
        <f t="shared" si="2"/>
        <v>0</v>
      </c>
      <c r="HX20" s="106">
        <f t="shared" si="2"/>
        <v>0</v>
      </c>
      <c r="HY20" s="106">
        <f t="shared" si="2"/>
        <v>0</v>
      </c>
      <c r="HZ20" s="106">
        <f t="shared" si="2"/>
        <v>0</v>
      </c>
      <c r="IA20" s="106">
        <f t="shared" si="2"/>
        <v>0</v>
      </c>
      <c r="IB20" s="106">
        <f t="shared" si="2"/>
        <v>0</v>
      </c>
      <c r="IC20" s="106">
        <f t="shared" si="2"/>
        <v>0</v>
      </c>
      <c r="ID20" s="106">
        <f t="shared" si="2"/>
        <v>0</v>
      </c>
      <c r="IE20" s="106">
        <f t="shared" si="2"/>
        <v>0</v>
      </c>
      <c r="IF20" s="106">
        <f t="shared" si="0"/>
        <v>0</v>
      </c>
      <c r="IG20" s="106">
        <f t="shared" si="0"/>
        <v>0</v>
      </c>
      <c r="IH20" s="106">
        <f t="shared" si="0"/>
        <v>0</v>
      </c>
      <c r="II20" s="106">
        <f t="shared" si="0"/>
        <v>0</v>
      </c>
      <c r="IJ20" s="106">
        <f t="shared" si="0"/>
        <v>0</v>
      </c>
      <c r="IK20" s="106">
        <f t="shared" si="0"/>
        <v>0</v>
      </c>
      <c r="IL20" s="106">
        <f t="shared" si="0"/>
        <v>0</v>
      </c>
      <c r="IM20" s="106">
        <f t="shared" si="0"/>
        <v>0</v>
      </c>
      <c r="IN20" s="106">
        <f t="shared" si="0"/>
        <v>0</v>
      </c>
      <c r="IO20" s="106">
        <f t="shared" si="0"/>
        <v>0</v>
      </c>
      <c r="IP20" s="106">
        <f t="shared" si="0"/>
        <v>0</v>
      </c>
      <c r="IQ20" s="106">
        <f t="shared" si="0"/>
        <v>0</v>
      </c>
      <c r="IR20" s="106">
        <f t="shared" si="0"/>
        <v>0</v>
      </c>
      <c r="IS20" s="106">
        <f t="shared" si="0"/>
        <v>0</v>
      </c>
      <c r="IT20" s="106">
        <f t="shared" si="0"/>
        <v>0</v>
      </c>
      <c r="IU20" s="106">
        <f t="shared" si="0"/>
        <v>0</v>
      </c>
      <c r="IV20" s="106">
        <f t="shared" si="0"/>
        <v>0</v>
      </c>
      <c r="IW20" s="106">
        <f t="shared" si="0"/>
        <v>0</v>
      </c>
      <c r="IX20" s="106">
        <f t="shared" si="0"/>
        <v>0</v>
      </c>
      <c r="IY20" s="106">
        <f t="shared" si="0"/>
        <v>0</v>
      </c>
      <c r="IZ20" s="106">
        <f t="shared" si="0"/>
        <v>0</v>
      </c>
      <c r="JA20" s="106">
        <f t="shared" si="0"/>
        <v>0</v>
      </c>
      <c r="JB20" s="106">
        <f t="shared" si="0"/>
        <v>0</v>
      </c>
      <c r="JC20" s="106">
        <f t="shared" si="0"/>
        <v>0</v>
      </c>
      <c r="JD20" s="106">
        <f t="shared" si="0"/>
        <v>0</v>
      </c>
      <c r="JE20" s="106">
        <f t="shared" si="0"/>
        <v>0</v>
      </c>
      <c r="JF20" s="106">
        <f t="shared" si="0"/>
        <v>0</v>
      </c>
      <c r="JG20" s="106">
        <f t="shared" si="0"/>
        <v>0</v>
      </c>
      <c r="JH20" s="106">
        <f t="shared" si="0"/>
        <v>0</v>
      </c>
      <c r="JI20" s="106">
        <f t="shared" si="0"/>
        <v>0</v>
      </c>
      <c r="JJ20" s="106">
        <f t="shared" si="0"/>
        <v>0</v>
      </c>
      <c r="JK20" s="106">
        <f t="shared" si="0"/>
        <v>0</v>
      </c>
      <c r="JL20" s="106">
        <f t="shared" si="0"/>
        <v>0</v>
      </c>
      <c r="JM20" s="106">
        <f t="shared" si="0"/>
        <v>0</v>
      </c>
      <c r="JN20" s="106">
        <f t="shared" si="0"/>
        <v>0</v>
      </c>
      <c r="JO20" s="106">
        <f t="shared" si="0"/>
        <v>0</v>
      </c>
      <c r="JP20" s="106">
        <f t="shared" ref="JP20" si="3">+IF(JP15=0,JP8,JP15)</f>
        <v>0</v>
      </c>
      <c r="JQ20" s="106">
        <f t="shared" si="1"/>
        <v>0</v>
      </c>
      <c r="JR20" s="106">
        <f t="shared" si="1"/>
        <v>0</v>
      </c>
      <c r="JS20" s="106">
        <f t="shared" si="1"/>
        <v>0</v>
      </c>
      <c r="JT20" s="106">
        <f t="shared" si="1"/>
        <v>0</v>
      </c>
      <c r="JU20" s="106">
        <f t="shared" si="1"/>
        <v>0</v>
      </c>
      <c r="JV20" s="106">
        <f t="shared" si="1"/>
        <v>0</v>
      </c>
      <c r="JW20" s="106">
        <f t="shared" si="1"/>
        <v>0</v>
      </c>
      <c r="JX20" s="106">
        <f t="shared" si="1"/>
        <v>0</v>
      </c>
      <c r="JY20" s="106">
        <f t="shared" si="1"/>
        <v>0</v>
      </c>
      <c r="JZ20" s="106">
        <f t="shared" si="1"/>
        <v>0</v>
      </c>
      <c r="KA20" s="106">
        <f t="shared" si="1"/>
        <v>0</v>
      </c>
      <c r="KB20" s="106">
        <f t="shared" si="1"/>
        <v>0</v>
      </c>
      <c r="KC20" s="106">
        <f t="shared" si="1"/>
        <v>0</v>
      </c>
      <c r="KD20" s="106">
        <f t="shared" si="1"/>
        <v>0</v>
      </c>
      <c r="KE20" s="106">
        <f t="shared" si="1"/>
        <v>0</v>
      </c>
      <c r="KF20" s="106">
        <f t="shared" si="1"/>
        <v>0</v>
      </c>
      <c r="KG20" s="106">
        <f t="shared" si="1"/>
        <v>0</v>
      </c>
      <c r="KH20" s="106">
        <f t="shared" si="1"/>
        <v>0</v>
      </c>
    </row>
    <row r="21" spans="1:294" s="106" customFormat="1" x14ac:dyDescent="0.25">
      <c r="A21" s="106" t="s">
        <v>40</v>
      </c>
      <c r="HP21" s="106">
        <f t="shared" si="2"/>
        <v>0</v>
      </c>
      <c r="HQ21" s="106">
        <f t="shared" si="0"/>
        <v>0</v>
      </c>
      <c r="HR21" s="106">
        <f t="shared" si="0"/>
        <v>0</v>
      </c>
      <c r="HS21" s="106">
        <f t="shared" si="0"/>
        <v>0</v>
      </c>
      <c r="HT21" s="106">
        <f t="shared" si="0"/>
        <v>0</v>
      </c>
      <c r="HU21" s="106">
        <f t="shared" si="0"/>
        <v>0</v>
      </c>
      <c r="HV21" s="106">
        <f t="shared" si="0"/>
        <v>0</v>
      </c>
      <c r="HW21" s="106">
        <f t="shared" si="0"/>
        <v>0</v>
      </c>
      <c r="HX21" s="106">
        <f t="shared" si="0"/>
        <v>0</v>
      </c>
      <c r="HY21" s="106">
        <f t="shared" si="0"/>
        <v>0</v>
      </c>
      <c r="HZ21" s="106">
        <f t="shared" si="0"/>
        <v>0</v>
      </c>
      <c r="IA21" s="106">
        <f t="shared" si="0"/>
        <v>0</v>
      </c>
      <c r="IB21" s="106">
        <f t="shared" si="0"/>
        <v>0</v>
      </c>
      <c r="IC21" s="106">
        <f t="shared" si="0"/>
        <v>0</v>
      </c>
      <c r="ID21" s="106">
        <f t="shared" si="0"/>
        <v>0</v>
      </c>
      <c r="IE21" s="106">
        <f t="shared" si="0"/>
        <v>0</v>
      </c>
      <c r="IF21" s="106">
        <f t="shared" si="0"/>
        <v>0</v>
      </c>
      <c r="IG21" s="106">
        <f t="shared" si="0"/>
        <v>0</v>
      </c>
      <c r="IH21" s="106">
        <f t="shared" si="0"/>
        <v>0</v>
      </c>
      <c r="II21" s="106">
        <f t="shared" si="0"/>
        <v>0</v>
      </c>
      <c r="IJ21" s="106">
        <f t="shared" si="0"/>
        <v>0</v>
      </c>
      <c r="IK21" s="106">
        <f t="shared" si="0"/>
        <v>0</v>
      </c>
      <c r="IL21" s="106">
        <f t="shared" si="0"/>
        <v>0</v>
      </c>
      <c r="IM21" s="106">
        <f t="shared" si="0"/>
        <v>0</v>
      </c>
      <c r="IN21" s="106">
        <f t="shared" si="0"/>
        <v>0</v>
      </c>
      <c r="IO21" s="106">
        <f t="shared" si="0"/>
        <v>0</v>
      </c>
      <c r="IP21" s="106">
        <f t="shared" si="0"/>
        <v>0</v>
      </c>
      <c r="IQ21" s="106">
        <f t="shared" si="0"/>
        <v>0</v>
      </c>
      <c r="IR21" s="106">
        <f t="shared" si="0"/>
        <v>0</v>
      </c>
      <c r="IS21" s="106">
        <f t="shared" si="0"/>
        <v>0</v>
      </c>
      <c r="IT21" s="106">
        <f t="shared" si="0"/>
        <v>0</v>
      </c>
      <c r="IU21" s="106">
        <f t="shared" si="0"/>
        <v>0</v>
      </c>
      <c r="IV21" s="106">
        <f t="shared" si="0"/>
        <v>0</v>
      </c>
      <c r="IW21" s="106">
        <f t="shared" si="0"/>
        <v>0</v>
      </c>
      <c r="IX21" s="106">
        <f t="shared" si="0"/>
        <v>0</v>
      </c>
      <c r="IY21" s="106">
        <f t="shared" si="0"/>
        <v>0</v>
      </c>
      <c r="IZ21" s="106">
        <f t="shared" si="0"/>
        <v>0</v>
      </c>
      <c r="JA21" s="106">
        <f t="shared" si="0"/>
        <v>0</v>
      </c>
      <c r="JB21" s="106">
        <f t="shared" si="0"/>
        <v>0</v>
      </c>
      <c r="JC21" s="106">
        <f t="shared" si="0"/>
        <v>0</v>
      </c>
      <c r="JD21" s="106">
        <f t="shared" si="0"/>
        <v>0</v>
      </c>
      <c r="JE21" s="106">
        <f t="shared" si="0"/>
        <v>0</v>
      </c>
      <c r="JF21" s="106">
        <f t="shared" si="0"/>
        <v>0</v>
      </c>
      <c r="JG21" s="106">
        <f t="shared" si="0"/>
        <v>0</v>
      </c>
      <c r="JH21" s="106">
        <f t="shared" si="0"/>
        <v>0</v>
      </c>
      <c r="JI21" s="106">
        <f t="shared" si="0"/>
        <v>0</v>
      </c>
      <c r="JJ21" s="106">
        <f t="shared" si="0"/>
        <v>0</v>
      </c>
      <c r="JK21" s="106">
        <f t="shared" si="0"/>
        <v>0</v>
      </c>
      <c r="JL21" s="106">
        <f t="shared" si="0"/>
        <v>0</v>
      </c>
      <c r="JM21" s="106">
        <f t="shared" si="0"/>
        <v>0</v>
      </c>
      <c r="JN21" s="106">
        <f t="shared" si="0"/>
        <v>0</v>
      </c>
      <c r="JO21" s="106">
        <f t="shared" si="0"/>
        <v>0</v>
      </c>
      <c r="JP21" s="106">
        <f t="shared" ref="JP21" si="4">+IF(JP16=0,JP9,JP16)</f>
        <v>0</v>
      </c>
      <c r="JQ21" s="106">
        <f t="shared" si="1"/>
        <v>0</v>
      </c>
      <c r="JR21" s="106">
        <f t="shared" si="1"/>
        <v>0</v>
      </c>
      <c r="JS21" s="106">
        <f t="shared" si="1"/>
        <v>0</v>
      </c>
      <c r="JT21" s="106">
        <f t="shared" si="1"/>
        <v>0</v>
      </c>
      <c r="JU21" s="106">
        <f t="shared" si="1"/>
        <v>0</v>
      </c>
      <c r="JV21" s="106">
        <f t="shared" si="1"/>
        <v>0</v>
      </c>
      <c r="JW21" s="106">
        <f t="shared" si="1"/>
        <v>0</v>
      </c>
      <c r="JX21" s="106">
        <f t="shared" si="1"/>
        <v>0</v>
      </c>
      <c r="JY21" s="106">
        <f t="shared" si="1"/>
        <v>0</v>
      </c>
      <c r="JZ21" s="106">
        <f t="shared" si="1"/>
        <v>0</v>
      </c>
      <c r="KA21" s="106">
        <f t="shared" si="1"/>
        <v>0</v>
      </c>
      <c r="KB21" s="106">
        <f t="shared" si="1"/>
        <v>0</v>
      </c>
      <c r="KC21" s="106">
        <f t="shared" si="1"/>
        <v>0</v>
      </c>
      <c r="KD21" s="106">
        <f t="shared" si="1"/>
        <v>0</v>
      </c>
      <c r="KE21" s="106">
        <f t="shared" si="1"/>
        <v>0</v>
      </c>
      <c r="KF21" s="106">
        <f t="shared" si="1"/>
        <v>0</v>
      </c>
      <c r="KG21" s="106">
        <f t="shared" si="1"/>
        <v>0</v>
      </c>
      <c r="KH21" s="106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EB74-9B62-47F0-8E87-DA87ADABCA00}">
  <dimension ref="A1:R6441"/>
  <sheetViews>
    <sheetView workbookViewId="0">
      <selection activeCell="B1" sqref="B1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Fetching Data</v>
      </c>
      <c r="B1">
        <f>+'Annual Raw'!A1</f>
        <v>0</v>
      </c>
      <c r="L1" t="str">
        <f>_xll.EQNXTH(B1,"[NADJC];[NADJH];[NADJLOW];[NADJOPEN];[NUCLOSE];[NVOLUME]","2015-Jan-01","Y","All traded days","Asc")</f>
        <v>Fetching Data</v>
      </c>
    </row>
    <row r="2" spans="1:18" x14ac:dyDescent="0.25">
      <c r="A2" s="143"/>
      <c r="L2" s="143"/>
    </row>
    <row r="3" spans="1:18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4"/>
      <c r="M3" s="146"/>
      <c r="N3" s="146"/>
      <c r="O3" s="146"/>
      <c r="P3" s="146"/>
      <c r="Q3" s="146"/>
      <c r="R3" s="145"/>
    </row>
    <row r="4" spans="1:18" x14ac:dyDescent="0.25">
      <c r="A4" s="143"/>
      <c r="B4" s="106"/>
      <c r="C4" s="106"/>
      <c r="D4" s="106"/>
      <c r="E4" s="106"/>
      <c r="F4" s="106"/>
      <c r="H4" s="106"/>
      <c r="I4" s="106"/>
      <c r="L4" s="143"/>
    </row>
    <row r="5" spans="1:18" x14ac:dyDescent="0.25">
      <c r="A5" s="143"/>
      <c r="B5" s="106"/>
      <c r="C5" s="106"/>
      <c r="D5" s="106"/>
      <c r="E5" s="106"/>
      <c r="F5" s="106"/>
      <c r="H5" s="106"/>
      <c r="I5" s="106"/>
      <c r="L5" s="143"/>
    </row>
    <row r="6" spans="1:18" x14ac:dyDescent="0.25">
      <c r="A6" s="143"/>
      <c r="B6" s="106"/>
      <c r="C6" s="106"/>
      <c r="D6" s="106"/>
      <c r="E6" s="106"/>
      <c r="F6" s="106"/>
      <c r="H6" s="106"/>
      <c r="I6" s="106"/>
      <c r="L6" s="143"/>
    </row>
    <row r="7" spans="1:18" x14ac:dyDescent="0.25">
      <c r="A7" s="143"/>
      <c r="B7" s="106"/>
      <c r="C7" s="106"/>
      <c r="D7" s="106"/>
      <c r="E7" s="106"/>
      <c r="F7" s="106"/>
      <c r="H7" s="106"/>
      <c r="I7" s="106"/>
      <c r="L7" s="143"/>
    </row>
    <row r="8" spans="1:18" x14ac:dyDescent="0.25">
      <c r="A8" s="143"/>
      <c r="B8" s="106"/>
      <c r="C8" s="106"/>
      <c r="D8" s="106"/>
      <c r="E8" s="106"/>
      <c r="F8" s="106"/>
      <c r="H8" s="106"/>
      <c r="I8" s="106"/>
      <c r="L8" s="143"/>
    </row>
    <row r="9" spans="1:18" x14ac:dyDescent="0.25">
      <c r="A9" s="143"/>
      <c r="B9" s="106"/>
      <c r="C9" s="106"/>
      <c r="D9" s="106"/>
      <c r="E9" s="106"/>
      <c r="F9" s="106"/>
      <c r="H9" s="106"/>
      <c r="I9" s="106"/>
      <c r="L9" s="143"/>
    </row>
    <row r="10" spans="1:18" x14ac:dyDescent="0.25">
      <c r="A10" s="143"/>
      <c r="B10" s="106"/>
      <c r="C10" s="106"/>
      <c r="D10" s="106"/>
      <c r="E10" s="106"/>
      <c r="F10" s="106"/>
      <c r="H10" s="106"/>
      <c r="I10" s="106"/>
      <c r="L10" s="143"/>
    </row>
    <row r="11" spans="1:18" x14ac:dyDescent="0.25">
      <c r="A11" s="143"/>
      <c r="B11" s="106"/>
      <c r="C11" s="106"/>
      <c r="D11" s="106"/>
      <c r="E11" s="106"/>
      <c r="F11" s="106"/>
      <c r="H11" s="106"/>
      <c r="I11" s="106"/>
      <c r="L11" s="143"/>
    </row>
    <row r="12" spans="1:18" x14ac:dyDescent="0.25">
      <c r="A12" s="143"/>
      <c r="B12" s="106"/>
      <c r="C12" s="106"/>
      <c r="D12" s="106"/>
      <c r="E12" s="106"/>
      <c r="F12" s="106"/>
      <c r="H12" s="106"/>
      <c r="I12" s="106"/>
      <c r="L12" s="143"/>
    </row>
    <row r="13" spans="1:18" x14ac:dyDescent="0.25">
      <c r="A13" s="143"/>
      <c r="B13" s="106"/>
      <c r="C13" s="106"/>
      <c r="D13" s="106"/>
      <c r="E13" s="106"/>
      <c r="F13" s="106"/>
      <c r="H13" s="106"/>
      <c r="I13" s="106"/>
      <c r="L13" s="143"/>
    </row>
    <row r="14" spans="1:18" x14ac:dyDescent="0.25">
      <c r="A14" s="143"/>
      <c r="B14" s="106"/>
      <c r="C14" s="106"/>
      <c r="D14" s="106"/>
      <c r="E14" s="106"/>
      <c r="F14" s="106"/>
      <c r="H14" s="106"/>
      <c r="I14" s="106"/>
      <c r="L14" s="143"/>
    </row>
    <row r="15" spans="1:18" x14ac:dyDescent="0.25">
      <c r="A15" s="143"/>
      <c r="B15" s="106"/>
      <c r="C15" s="106"/>
      <c r="D15" s="106"/>
      <c r="E15" s="106"/>
      <c r="F15" s="106"/>
      <c r="H15" s="106"/>
      <c r="I15" s="106"/>
      <c r="L15" s="143"/>
    </row>
    <row r="16" spans="1:18" x14ac:dyDescent="0.25">
      <c r="A16" s="143"/>
      <c r="B16" s="106"/>
      <c r="C16" s="106"/>
      <c r="D16" s="106"/>
      <c r="E16" s="106"/>
      <c r="F16" s="106"/>
      <c r="H16" s="106"/>
      <c r="I16" s="106"/>
      <c r="L16" s="143"/>
    </row>
    <row r="17" spans="1:12" x14ac:dyDescent="0.25">
      <c r="A17" s="143"/>
      <c r="B17" s="106"/>
      <c r="C17" s="106"/>
      <c r="D17" s="106"/>
      <c r="E17" s="106"/>
      <c r="F17" s="106"/>
      <c r="H17" s="106"/>
      <c r="I17" s="106"/>
      <c r="L17" s="143"/>
    </row>
    <row r="18" spans="1:12" x14ac:dyDescent="0.25">
      <c r="A18" s="143"/>
      <c r="B18" s="106"/>
      <c r="C18" s="106"/>
      <c r="D18" s="106"/>
      <c r="E18" s="106"/>
      <c r="F18" s="106"/>
      <c r="H18" s="106"/>
      <c r="I18" s="106"/>
      <c r="L18" s="143"/>
    </row>
    <row r="19" spans="1:12" x14ac:dyDescent="0.25">
      <c r="A19" s="143"/>
      <c r="B19" s="106"/>
      <c r="C19" s="106"/>
      <c r="D19" s="106"/>
      <c r="E19" s="106"/>
      <c r="F19" s="106"/>
      <c r="H19" s="106"/>
      <c r="I19" s="106"/>
      <c r="L19" s="143"/>
    </row>
    <row r="20" spans="1:12" x14ac:dyDescent="0.25">
      <c r="A20" s="143"/>
      <c r="B20" s="106"/>
      <c r="C20" s="106"/>
      <c r="D20" s="106"/>
      <c r="E20" s="106"/>
      <c r="F20" s="106"/>
      <c r="H20" s="106"/>
      <c r="I20" s="106"/>
      <c r="L20" s="143"/>
    </row>
    <row r="21" spans="1:12" x14ac:dyDescent="0.25">
      <c r="A21" s="143"/>
      <c r="B21" s="106"/>
      <c r="C21" s="106"/>
      <c r="D21" s="106"/>
      <c r="E21" s="106"/>
      <c r="F21" s="106"/>
      <c r="H21" s="106"/>
      <c r="I21" s="106"/>
      <c r="L21" s="143"/>
    </row>
    <row r="22" spans="1:12" x14ac:dyDescent="0.25">
      <c r="A22" s="143"/>
      <c r="B22" s="106"/>
      <c r="C22" s="106"/>
      <c r="D22" s="106"/>
      <c r="E22" s="106"/>
      <c r="F22" s="106"/>
      <c r="H22" s="106"/>
      <c r="I22" s="106"/>
      <c r="L22" s="143"/>
    </row>
    <row r="23" spans="1:12" x14ac:dyDescent="0.25">
      <c r="A23" s="143"/>
      <c r="B23" s="106"/>
      <c r="C23" s="106"/>
      <c r="D23" s="106"/>
      <c r="E23" s="106"/>
      <c r="F23" s="106"/>
      <c r="H23" s="106"/>
      <c r="I23" s="106"/>
      <c r="L23" s="143"/>
    </row>
    <row r="24" spans="1:12" x14ac:dyDescent="0.25">
      <c r="A24" s="143"/>
      <c r="B24" s="106"/>
      <c r="C24" s="106"/>
      <c r="D24" s="106"/>
      <c r="E24" s="106"/>
      <c r="F24" s="106"/>
      <c r="H24" s="106"/>
      <c r="I24" s="106"/>
      <c r="L24" s="143"/>
    </row>
    <row r="25" spans="1:12" x14ac:dyDescent="0.25">
      <c r="A25" s="143"/>
      <c r="B25" s="106"/>
      <c r="C25" s="106"/>
      <c r="D25" s="106"/>
      <c r="E25" s="106"/>
      <c r="F25" s="106"/>
      <c r="H25" s="106"/>
      <c r="I25" s="106"/>
      <c r="L25" s="143"/>
    </row>
    <row r="26" spans="1:12" x14ac:dyDescent="0.25">
      <c r="A26" s="143"/>
      <c r="B26" s="106"/>
      <c r="C26" s="106"/>
      <c r="D26" s="106"/>
      <c r="E26" s="106"/>
      <c r="F26" s="106"/>
      <c r="H26" s="106"/>
      <c r="I26" s="106"/>
      <c r="L26" s="143"/>
    </row>
    <row r="27" spans="1:12" x14ac:dyDescent="0.25">
      <c r="A27" s="143"/>
      <c r="B27" s="106"/>
      <c r="C27" s="106"/>
      <c r="D27" s="106"/>
      <c r="E27" s="106"/>
      <c r="F27" s="106"/>
      <c r="H27" s="106"/>
      <c r="I27" s="106"/>
      <c r="L27" s="143"/>
    </row>
    <row r="28" spans="1:12" x14ac:dyDescent="0.25">
      <c r="A28" s="143"/>
      <c r="B28" s="106"/>
      <c r="C28" s="106"/>
      <c r="D28" s="106"/>
      <c r="E28" s="106"/>
      <c r="F28" s="106"/>
      <c r="H28" s="106"/>
      <c r="I28" s="106"/>
      <c r="L28" s="143"/>
    </row>
    <row r="29" spans="1:12" x14ac:dyDescent="0.25">
      <c r="A29" s="143"/>
      <c r="B29" s="106"/>
      <c r="C29" s="106"/>
      <c r="D29" s="106"/>
      <c r="E29" s="106"/>
      <c r="F29" s="106"/>
      <c r="H29" s="106"/>
      <c r="I29" s="106"/>
      <c r="L29" s="143"/>
    </row>
    <row r="30" spans="1:12" x14ac:dyDescent="0.25">
      <c r="A30" s="143"/>
      <c r="B30" s="106"/>
      <c r="C30" s="106"/>
      <c r="D30" s="106"/>
      <c r="E30" s="106"/>
      <c r="F30" s="106"/>
      <c r="H30" s="106"/>
      <c r="I30" s="106"/>
      <c r="L30" s="143"/>
    </row>
    <row r="31" spans="1:12" x14ac:dyDescent="0.25">
      <c r="A31" s="143"/>
      <c r="B31" s="106"/>
      <c r="C31" s="106"/>
      <c r="D31" s="106"/>
      <c r="E31" s="106"/>
      <c r="F31" s="106"/>
      <c r="H31" s="106"/>
      <c r="I31" s="106"/>
      <c r="L31" s="143"/>
    </row>
    <row r="32" spans="1:12" x14ac:dyDescent="0.25">
      <c r="A32" s="143"/>
      <c r="B32" s="106"/>
      <c r="C32" s="106"/>
      <c r="D32" s="106"/>
      <c r="E32" s="106"/>
      <c r="F32" s="106"/>
      <c r="H32" s="106"/>
      <c r="I32" s="106"/>
      <c r="L32" s="143"/>
    </row>
    <row r="33" spans="1:12" x14ac:dyDescent="0.25">
      <c r="A33" s="143"/>
      <c r="B33" s="106"/>
      <c r="C33" s="106"/>
      <c r="D33" s="106"/>
      <c r="E33" s="106"/>
      <c r="F33" s="106"/>
      <c r="H33" s="106"/>
      <c r="I33" s="106"/>
      <c r="L33" s="143"/>
    </row>
    <row r="34" spans="1:12" x14ac:dyDescent="0.25">
      <c r="A34" s="143"/>
      <c r="B34" s="106"/>
      <c r="C34" s="106"/>
      <c r="D34" s="106"/>
      <c r="E34" s="106"/>
      <c r="F34" s="106"/>
      <c r="H34" s="106"/>
      <c r="I34" s="106"/>
      <c r="L34" s="143"/>
    </row>
    <row r="35" spans="1:12" x14ac:dyDescent="0.25">
      <c r="A35" s="143"/>
      <c r="B35" s="106"/>
      <c r="C35" s="106"/>
      <c r="D35" s="106"/>
      <c r="E35" s="106"/>
      <c r="F35" s="106"/>
      <c r="H35" s="106"/>
      <c r="I35" s="106"/>
      <c r="L35" s="143"/>
    </row>
    <row r="36" spans="1:12" x14ac:dyDescent="0.25">
      <c r="A36" s="143"/>
      <c r="B36" s="106"/>
      <c r="C36" s="106"/>
      <c r="D36" s="106"/>
      <c r="E36" s="106"/>
      <c r="F36" s="106"/>
      <c r="H36" s="106"/>
      <c r="I36" s="106"/>
      <c r="L36" s="143"/>
    </row>
    <row r="37" spans="1:12" x14ac:dyDescent="0.25">
      <c r="A37" s="143"/>
      <c r="B37" s="106"/>
      <c r="C37" s="106"/>
      <c r="D37" s="106"/>
      <c r="E37" s="106"/>
      <c r="F37" s="106"/>
      <c r="H37" s="106"/>
      <c r="I37" s="106"/>
      <c r="L37" s="143"/>
    </row>
    <row r="38" spans="1:12" x14ac:dyDescent="0.25">
      <c r="A38" s="143"/>
      <c r="B38" s="106"/>
      <c r="C38" s="106"/>
      <c r="D38" s="106"/>
      <c r="E38" s="106"/>
      <c r="F38" s="106"/>
      <c r="H38" s="106"/>
      <c r="I38" s="106"/>
      <c r="L38" s="143"/>
    </row>
    <row r="39" spans="1:12" x14ac:dyDescent="0.25">
      <c r="A39" s="143"/>
      <c r="B39" s="106"/>
      <c r="C39" s="106"/>
      <c r="D39" s="106"/>
      <c r="E39" s="106"/>
      <c r="F39" s="106"/>
      <c r="H39" s="106"/>
      <c r="I39" s="106"/>
      <c r="L39" s="143"/>
    </row>
    <row r="40" spans="1:12" x14ac:dyDescent="0.25">
      <c r="A40" s="143"/>
      <c r="B40" s="106"/>
      <c r="C40" s="106"/>
      <c r="D40" s="106"/>
      <c r="E40" s="106"/>
      <c r="F40" s="106"/>
      <c r="H40" s="106"/>
      <c r="I40" s="106"/>
      <c r="L40" s="143"/>
    </row>
    <row r="41" spans="1:12" x14ac:dyDescent="0.25">
      <c r="A41" s="143"/>
      <c r="B41" s="106"/>
      <c r="C41" s="106"/>
      <c r="D41" s="106"/>
      <c r="E41" s="106"/>
      <c r="F41" s="106"/>
      <c r="H41" s="106"/>
      <c r="I41" s="106"/>
      <c r="L41" s="143"/>
    </row>
    <row r="42" spans="1:12" x14ac:dyDescent="0.25">
      <c r="A42" s="143"/>
      <c r="B42" s="106"/>
      <c r="C42" s="106"/>
      <c r="D42" s="106"/>
      <c r="E42" s="106"/>
      <c r="F42" s="106"/>
      <c r="H42" s="106"/>
      <c r="I42" s="106"/>
      <c r="L42" s="143"/>
    </row>
    <row r="43" spans="1:12" x14ac:dyDescent="0.25">
      <c r="A43" s="143"/>
      <c r="B43" s="106"/>
      <c r="C43" s="106"/>
      <c r="D43" s="106"/>
      <c r="E43" s="106"/>
      <c r="F43" s="106"/>
      <c r="H43" s="106"/>
      <c r="I43" s="106"/>
      <c r="L43" s="143"/>
    </row>
    <row r="44" spans="1:12" x14ac:dyDescent="0.25">
      <c r="A44" s="143"/>
      <c r="B44" s="106"/>
      <c r="C44" s="106"/>
      <c r="D44" s="106"/>
      <c r="E44" s="106"/>
      <c r="F44" s="106"/>
      <c r="H44" s="106"/>
      <c r="I44" s="106"/>
      <c r="L44" s="143"/>
    </row>
    <row r="45" spans="1:12" x14ac:dyDescent="0.25">
      <c r="A45" s="143"/>
      <c r="B45" s="106"/>
      <c r="C45" s="106"/>
      <c r="D45" s="106"/>
      <c r="E45" s="106"/>
      <c r="F45" s="106"/>
      <c r="H45" s="106"/>
      <c r="I45" s="106"/>
      <c r="L45" s="143"/>
    </row>
    <row r="46" spans="1:12" x14ac:dyDescent="0.25">
      <c r="A46" s="143"/>
      <c r="B46" s="106"/>
      <c r="C46" s="106"/>
      <c r="D46" s="106"/>
      <c r="E46" s="106"/>
      <c r="F46" s="106"/>
      <c r="H46" s="106"/>
      <c r="I46" s="106"/>
      <c r="L46" s="143"/>
    </row>
    <row r="47" spans="1:12" x14ac:dyDescent="0.25">
      <c r="A47" s="143"/>
      <c r="B47" s="106"/>
      <c r="C47" s="106"/>
      <c r="D47" s="106"/>
      <c r="E47" s="106"/>
      <c r="F47" s="106"/>
      <c r="H47" s="106"/>
      <c r="I47" s="106"/>
      <c r="L47" s="143"/>
    </row>
    <row r="48" spans="1:12" x14ac:dyDescent="0.25">
      <c r="A48" s="143"/>
      <c r="B48" s="106"/>
      <c r="C48" s="106"/>
      <c r="D48" s="106"/>
      <c r="E48" s="106"/>
      <c r="F48" s="106"/>
      <c r="H48" s="106"/>
      <c r="I48" s="106"/>
      <c r="L48" s="143"/>
    </row>
    <row r="49" spans="1:12" x14ac:dyDescent="0.25">
      <c r="A49" s="143"/>
      <c r="B49" s="106"/>
      <c r="C49" s="106"/>
      <c r="D49" s="106"/>
      <c r="E49" s="106"/>
      <c r="F49" s="106"/>
      <c r="H49" s="106"/>
      <c r="I49" s="106"/>
      <c r="L49" s="143"/>
    </row>
    <row r="50" spans="1:12" x14ac:dyDescent="0.25">
      <c r="A50" s="143"/>
      <c r="B50" s="106"/>
      <c r="C50" s="106"/>
      <c r="D50" s="106"/>
      <c r="E50" s="106"/>
      <c r="F50" s="106"/>
      <c r="H50" s="106"/>
      <c r="I50" s="106"/>
      <c r="L50" s="143"/>
    </row>
    <row r="51" spans="1:12" x14ac:dyDescent="0.25">
      <c r="A51" s="143"/>
      <c r="B51" s="106"/>
      <c r="C51" s="106"/>
      <c r="D51" s="106"/>
      <c r="E51" s="106"/>
      <c r="F51" s="106"/>
      <c r="H51" s="106"/>
      <c r="I51" s="106"/>
      <c r="L51" s="143"/>
    </row>
    <row r="52" spans="1:12" x14ac:dyDescent="0.25">
      <c r="A52" s="143"/>
      <c r="B52" s="106"/>
      <c r="C52" s="106"/>
      <c r="D52" s="106"/>
      <c r="E52" s="106"/>
      <c r="F52" s="106"/>
      <c r="H52" s="106"/>
      <c r="I52" s="106"/>
      <c r="L52" s="143"/>
    </row>
    <row r="53" spans="1:12" x14ac:dyDescent="0.25">
      <c r="A53" s="143"/>
      <c r="B53" s="106"/>
      <c r="C53" s="106"/>
      <c r="D53" s="106"/>
      <c r="E53" s="106"/>
      <c r="F53" s="106"/>
      <c r="H53" s="106"/>
      <c r="I53" s="106"/>
      <c r="L53" s="143"/>
    </row>
    <row r="54" spans="1:12" x14ac:dyDescent="0.25">
      <c r="A54" s="143"/>
      <c r="B54" s="106"/>
      <c r="C54" s="106"/>
      <c r="D54" s="106"/>
      <c r="E54" s="106"/>
      <c r="F54" s="106"/>
      <c r="H54" s="106"/>
      <c r="I54" s="106"/>
      <c r="L54" s="143"/>
    </row>
    <row r="55" spans="1:12" x14ac:dyDescent="0.25">
      <c r="A55" s="143"/>
      <c r="B55" s="106"/>
      <c r="C55" s="106"/>
      <c r="D55" s="106"/>
      <c r="E55" s="106"/>
      <c r="F55" s="106"/>
      <c r="H55" s="106"/>
      <c r="I55" s="106"/>
      <c r="L55" s="143"/>
    </row>
    <row r="56" spans="1:12" x14ac:dyDescent="0.25">
      <c r="A56" s="143"/>
      <c r="B56" s="106"/>
      <c r="C56" s="106"/>
      <c r="D56" s="106"/>
      <c r="E56" s="106"/>
      <c r="F56" s="106"/>
      <c r="H56" s="106"/>
      <c r="I56" s="106"/>
      <c r="L56" s="143"/>
    </row>
    <row r="57" spans="1:12" x14ac:dyDescent="0.25">
      <c r="A57" s="143"/>
      <c r="B57" s="106"/>
      <c r="C57" s="106"/>
      <c r="D57" s="106"/>
      <c r="E57" s="106"/>
      <c r="F57" s="106"/>
      <c r="H57" s="106"/>
      <c r="I57" s="106"/>
      <c r="L57" s="143"/>
    </row>
    <row r="58" spans="1:12" x14ac:dyDescent="0.25">
      <c r="A58" s="143"/>
      <c r="B58" s="106"/>
      <c r="C58" s="106"/>
      <c r="D58" s="106"/>
      <c r="E58" s="106"/>
      <c r="F58" s="106"/>
      <c r="H58" s="106"/>
      <c r="I58" s="106"/>
      <c r="L58" s="143"/>
    </row>
    <row r="59" spans="1:12" x14ac:dyDescent="0.25">
      <c r="A59" s="143"/>
      <c r="B59" s="106"/>
      <c r="C59" s="106"/>
      <c r="D59" s="106"/>
      <c r="E59" s="106"/>
      <c r="F59" s="106"/>
      <c r="H59" s="106"/>
      <c r="I59" s="106"/>
      <c r="L59" s="143"/>
    </row>
    <row r="60" spans="1:12" x14ac:dyDescent="0.25">
      <c r="A60" s="143"/>
      <c r="B60" s="106"/>
      <c r="C60" s="106"/>
      <c r="D60" s="106"/>
      <c r="E60" s="106"/>
      <c r="F60" s="106"/>
      <c r="H60" s="106"/>
      <c r="I60" s="106"/>
      <c r="L60" s="143"/>
    </row>
    <row r="61" spans="1:12" x14ac:dyDescent="0.25">
      <c r="A61" s="143"/>
      <c r="B61" s="106"/>
      <c r="C61" s="106"/>
      <c r="D61" s="106"/>
      <c r="E61" s="106"/>
      <c r="F61" s="106"/>
      <c r="H61" s="106"/>
      <c r="I61" s="106"/>
      <c r="L61" s="143"/>
    </row>
    <row r="62" spans="1:12" x14ac:dyDescent="0.25">
      <c r="A62" s="143"/>
      <c r="B62" s="106"/>
      <c r="C62" s="106"/>
      <c r="D62" s="106"/>
      <c r="E62" s="106"/>
      <c r="F62" s="106"/>
      <c r="H62" s="106"/>
      <c r="I62" s="106"/>
      <c r="L62" s="143"/>
    </row>
    <row r="63" spans="1:12" x14ac:dyDescent="0.25">
      <c r="A63" s="143"/>
      <c r="B63" s="106"/>
      <c r="C63" s="106"/>
      <c r="D63" s="106"/>
      <c r="E63" s="106"/>
      <c r="F63" s="106"/>
      <c r="H63" s="106"/>
      <c r="I63" s="106"/>
      <c r="L63" s="143"/>
    </row>
    <row r="64" spans="1:12" x14ac:dyDescent="0.25">
      <c r="A64" s="143"/>
      <c r="B64" s="106"/>
      <c r="C64" s="106"/>
      <c r="D64" s="106"/>
      <c r="E64" s="106"/>
      <c r="F64" s="106"/>
      <c r="H64" s="106"/>
      <c r="I64" s="106"/>
      <c r="L64" s="143"/>
    </row>
    <row r="65" spans="1:12" x14ac:dyDescent="0.25">
      <c r="A65" s="143"/>
      <c r="B65" s="106"/>
      <c r="C65" s="106"/>
      <c r="D65" s="106"/>
      <c r="E65" s="106"/>
      <c r="F65" s="106"/>
      <c r="H65" s="106"/>
      <c r="I65" s="106"/>
      <c r="L65" s="143"/>
    </row>
    <row r="66" spans="1:12" x14ac:dyDescent="0.25">
      <c r="A66" s="143"/>
      <c r="B66" s="106"/>
      <c r="C66" s="106"/>
      <c r="D66" s="106"/>
      <c r="E66" s="106"/>
      <c r="F66" s="106"/>
      <c r="H66" s="106"/>
      <c r="I66" s="106"/>
      <c r="L66" s="143"/>
    </row>
    <row r="67" spans="1:12" x14ac:dyDescent="0.25">
      <c r="A67" s="143"/>
      <c r="B67" s="106"/>
      <c r="C67" s="106"/>
      <c r="D67" s="106"/>
      <c r="E67" s="106"/>
      <c r="F67" s="106"/>
      <c r="H67" s="106"/>
      <c r="I67" s="106"/>
      <c r="L67" s="143"/>
    </row>
    <row r="68" spans="1:12" x14ac:dyDescent="0.25">
      <c r="A68" s="143"/>
      <c r="B68" s="106"/>
      <c r="C68" s="106"/>
      <c r="D68" s="106"/>
      <c r="E68" s="106"/>
      <c r="F68" s="106"/>
      <c r="H68" s="106"/>
      <c r="I68" s="106"/>
      <c r="L68" s="143"/>
    </row>
    <row r="69" spans="1:12" x14ac:dyDescent="0.25">
      <c r="A69" s="143"/>
      <c r="B69" s="106"/>
      <c r="C69" s="106"/>
      <c r="D69" s="106"/>
      <c r="E69" s="106"/>
      <c r="F69" s="106"/>
      <c r="H69" s="106"/>
      <c r="I69" s="106"/>
      <c r="L69" s="143"/>
    </row>
    <row r="70" spans="1:12" x14ac:dyDescent="0.25">
      <c r="A70" s="143"/>
      <c r="B70" s="106"/>
      <c r="C70" s="106"/>
      <c r="D70" s="106"/>
      <c r="E70" s="106"/>
      <c r="F70" s="106"/>
      <c r="H70" s="106"/>
      <c r="I70" s="106"/>
      <c r="L70" s="143"/>
    </row>
    <row r="71" spans="1:12" x14ac:dyDescent="0.25">
      <c r="A71" s="143"/>
      <c r="B71" s="106"/>
      <c r="C71" s="106"/>
      <c r="D71" s="106"/>
      <c r="E71" s="106"/>
      <c r="F71" s="106"/>
      <c r="H71" s="106"/>
      <c r="I71" s="106"/>
      <c r="L71" s="143"/>
    </row>
    <row r="72" spans="1:12" x14ac:dyDescent="0.25">
      <c r="A72" s="143"/>
      <c r="B72" s="106"/>
      <c r="C72" s="106"/>
      <c r="D72" s="106"/>
      <c r="E72" s="106"/>
      <c r="F72" s="106"/>
      <c r="H72" s="106"/>
      <c r="I72" s="106"/>
      <c r="L72" s="143"/>
    </row>
    <row r="73" spans="1:12" x14ac:dyDescent="0.25">
      <c r="A73" s="143"/>
      <c r="B73" s="106"/>
      <c r="C73" s="106"/>
      <c r="D73" s="106"/>
      <c r="E73" s="106"/>
      <c r="F73" s="106"/>
      <c r="H73" s="106"/>
      <c r="I73" s="106"/>
      <c r="L73" s="143"/>
    </row>
    <row r="74" spans="1:12" x14ac:dyDescent="0.25">
      <c r="A74" s="143"/>
      <c r="B74" s="106"/>
      <c r="C74" s="106"/>
      <c r="D74" s="106"/>
      <c r="E74" s="106"/>
      <c r="F74" s="106"/>
      <c r="H74" s="106"/>
      <c r="I74" s="106"/>
      <c r="L74" s="143"/>
    </row>
    <row r="75" spans="1:12" x14ac:dyDescent="0.25">
      <c r="A75" s="143"/>
      <c r="B75" s="106"/>
      <c r="C75" s="106"/>
      <c r="D75" s="106"/>
      <c r="E75" s="106"/>
      <c r="F75" s="106"/>
      <c r="H75" s="106"/>
      <c r="I75" s="106"/>
      <c r="L75" s="143"/>
    </row>
    <row r="76" spans="1:12" x14ac:dyDescent="0.25">
      <c r="A76" s="143"/>
      <c r="B76" s="106"/>
      <c r="C76" s="106"/>
      <c r="D76" s="106"/>
      <c r="E76" s="106"/>
      <c r="F76" s="106"/>
      <c r="H76" s="106"/>
      <c r="I76" s="106"/>
      <c r="L76" s="143"/>
    </row>
    <row r="77" spans="1:12" x14ac:dyDescent="0.25">
      <c r="A77" s="143"/>
      <c r="B77" s="106"/>
      <c r="C77" s="106"/>
      <c r="D77" s="106"/>
      <c r="E77" s="106"/>
      <c r="F77" s="106"/>
      <c r="H77" s="106"/>
      <c r="I77" s="106"/>
      <c r="L77" s="143"/>
    </row>
    <row r="78" spans="1:12" x14ac:dyDescent="0.25">
      <c r="A78" s="143"/>
      <c r="B78" s="106"/>
      <c r="C78" s="106"/>
      <c r="D78" s="106"/>
      <c r="E78" s="106"/>
      <c r="F78" s="106"/>
      <c r="H78" s="106"/>
      <c r="I78" s="106"/>
      <c r="L78" s="143"/>
    </row>
    <row r="79" spans="1:12" x14ac:dyDescent="0.25">
      <c r="A79" s="143"/>
      <c r="B79" s="106"/>
      <c r="C79" s="106"/>
      <c r="D79" s="106"/>
      <c r="E79" s="106"/>
      <c r="F79" s="106"/>
      <c r="H79" s="106"/>
      <c r="I79" s="106"/>
      <c r="L79" s="143"/>
    </row>
    <row r="80" spans="1:12" x14ac:dyDescent="0.25">
      <c r="A80" s="143"/>
      <c r="B80" s="106"/>
      <c r="C80" s="106"/>
      <c r="D80" s="106"/>
      <c r="E80" s="106"/>
      <c r="F80" s="106"/>
      <c r="H80" s="106"/>
      <c r="I80" s="106"/>
      <c r="L80" s="143"/>
    </row>
    <row r="81" spans="1:12" x14ac:dyDescent="0.25">
      <c r="A81" s="143"/>
      <c r="B81" s="106"/>
      <c r="C81" s="106"/>
      <c r="D81" s="106"/>
      <c r="E81" s="106"/>
      <c r="F81" s="106"/>
      <c r="H81" s="106"/>
      <c r="I81" s="106"/>
      <c r="L81" s="143"/>
    </row>
    <row r="82" spans="1:12" x14ac:dyDescent="0.25">
      <c r="A82" s="143"/>
      <c r="B82" s="106"/>
      <c r="C82" s="106"/>
      <c r="D82" s="106"/>
      <c r="E82" s="106"/>
      <c r="F82" s="106"/>
      <c r="H82" s="106"/>
      <c r="I82" s="106"/>
      <c r="L82" s="143"/>
    </row>
    <row r="83" spans="1:12" x14ac:dyDescent="0.25">
      <c r="A83" s="143"/>
      <c r="B83" s="106"/>
      <c r="C83" s="106"/>
      <c r="D83" s="106"/>
      <c r="E83" s="106"/>
      <c r="F83" s="106"/>
      <c r="H83" s="106"/>
      <c r="I83" s="106"/>
      <c r="L83" s="143"/>
    </row>
    <row r="84" spans="1:12" x14ac:dyDescent="0.25">
      <c r="A84" s="143"/>
      <c r="B84" s="106"/>
      <c r="C84" s="106"/>
      <c r="D84" s="106"/>
      <c r="E84" s="106"/>
      <c r="F84" s="106"/>
      <c r="H84" s="106"/>
      <c r="I84" s="106"/>
      <c r="L84" s="143"/>
    </row>
    <row r="85" spans="1:12" x14ac:dyDescent="0.25">
      <c r="A85" s="143"/>
      <c r="B85" s="106"/>
      <c r="C85" s="106"/>
      <c r="D85" s="106"/>
      <c r="E85" s="106"/>
      <c r="F85" s="106"/>
      <c r="H85" s="106"/>
      <c r="I85" s="106"/>
      <c r="L85" s="143"/>
    </row>
    <row r="86" spans="1:12" x14ac:dyDescent="0.25">
      <c r="A86" s="143"/>
      <c r="B86" s="106"/>
      <c r="C86" s="106"/>
      <c r="D86" s="106"/>
      <c r="E86" s="106"/>
      <c r="F86" s="106"/>
      <c r="H86" s="106"/>
      <c r="I86" s="106"/>
      <c r="L86" s="143"/>
    </row>
    <row r="87" spans="1:12" x14ac:dyDescent="0.25">
      <c r="A87" s="143"/>
      <c r="B87" s="106"/>
      <c r="C87" s="106"/>
      <c r="D87" s="106"/>
      <c r="E87" s="106"/>
      <c r="F87" s="106"/>
      <c r="H87" s="106"/>
      <c r="I87" s="106"/>
      <c r="L87" s="143"/>
    </row>
    <row r="88" spans="1:12" x14ac:dyDescent="0.25">
      <c r="A88" s="143"/>
      <c r="B88" s="106"/>
      <c r="C88" s="106"/>
      <c r="D88" s="106"/>
      <c r="E88" s="106"/>
      <c r="F88" s="106"/>
      <c r="H88" s="106"/>
      <c r="I88" s="106"/>
      <c r="L88" s="143"/>
    </row>
    <row r="89" spans="1:12" x14ac:dyDescent="0.25">
      <c r="A89" s="143"/>
      <c r="B89" s="106"/>
      <c r="C89" s="106"/>
      <c r="D89" s="106"/>
      <c r="E89" s="106"/>
      <c r="F89" s="106"/>
      <c r="H89" s="106"/>
      <c r="I89" s="106"/>
      <c r="L89" s="143"/>
    </row>
    <row r="90" spans="1:12" x14ac:dyDescent="0.25">
      <c r="A90" s="143"/>
      <c r="B90" s="106"/>
      <c r="C90" s="106"/>
      <c r="D90" s="106"/>
      <c r="E90" s="106"/>
      <c r="F90" s="106"/>
      <c r="H90" s="106"/>
      <c r="I90" s="106"/>
      <c r="L90" s="143"/>
    </row>
    <row r="91" spans="1:12" x14ac:dyDescent="0.25">
      <c r="A91" s="143"/>
      <c r="B91" s="106"/>
      <c r="C91" s="106"/>
      <c r="D91" s="106"/>
      <c r="E91" s="106"/>
      <c r="F91" s="106"/>
      <c r="H91" s="106"/>
      <c r="I91" s="106"/>
      <c r="L91" s="143"/>
    </row>
    <row r="92" spans="1:12" x14ac:dyDescent="0.25">
      <c r="A92" s="143"/>
      <c r="B92" s="106"/>
      <c r="C92" s="106"/>
      <c r="D92" s="106"/>
      <c r="E92" s="106"/>
      <c r="F92" s="106"/>
      <c r="H92" s="106"/>
      <c r="I92" s="106"/>
      <c r="L92" s="143"/>
    </row>
    <row r="93" spans="1:12" x14ac:dyDescent="0.25">
      <c r="A93" s="143"/>
      <c r="B93" s="106"/>
      <c r="C93" s="106"/>
      <c r="D93" s="106"/>
      <c r="E93" s="106"/>
      <c r="F93" s="106"/>
      <c r="H93" s="106"/>
      <c r="I93" s="106"/>
      <c r="L93" s="143"/>
    </row>
    <row r="94" spans="1:12" x14ac:dyDescent="0.25">
      <c r="A94" s="143"/>
      <c r="B94" s="106"/>
      <c r="C94" s="106"/>
      <c r="D94" s="106"/>
      <c r="E94" s="106"/>
      <c r="F94" s="106"/>
      <c r="H94" s="106"/>
      <c r="I94" s="106"/>
      <c r="L94" s="143"/>
    </row>
    <row r="95" spans="1:12" x14ac:dyDescent="0.25">
      <c r="A95" s="143"/>
      <c r="B95" s="106"/>
      <c r="C95" s="106"/>
      <c r="D95" s="106"/>
      <c r="E95" s="106"/>
      <c r="F95" s="106"/>
      <c r="H95" s="106"/>
      <c r="I95" s="106"/>
      <c r="L95" s="143"/>
    </row>
    <row r="96" spans="1:12" x14ac:dyDescent="0.25">
      <c r="A96" s="143"/>
      <c r="B96" s="106"/>
      <c r="C96" s="106"/>
      <c r="D96" s="106"/>
      <c r="E96" s="106"/>
      <c r="F96" s="106"/>
      <c r="H96" s="106"/>
      <c r="I96" s="106"/>
      <c r="L96" s="143"/>
    </row>
    <row r="97" spans="1:12" x14ac:dyDescent="0.25">
      <c r="A97" s="143"/>
      <c r="B97" s="106"/>
      <c r="C97" s="106"/>
      <c r="D97" s="106"/>
      <c r="E97" s="106"/>
      <c r="F97" s="106"/>
      <c r="H97" s="106"/>
      <c r="I97" s="106"/>
      <c r="L97" s="143"/>
    </row>
    <row r="98" spans="1:12" x14ac:dyDescent="0.25">
      <c r="A98" s="143"/>
      <c r="B98" s="106"/>
      <c r="C98" s="106"/>
      <c r="D98" s="106"/>
      <c r="E98" s="106"/>
      <c r="F98" s="106"/>
      <c r="H98" s="106"/>
      <c r="I98" s="106"/>
      <c r="L98" s="143"/>
    </row>
    <row r="99" spans="1:12" x14ac:dyDescent="0.25">
      <c r="A99" s="143"/>
      <c r="B99" s="106"/>
      <c r="C99" s="106"/>
      <c r="D99" s="106"/>
      <c r="E99" s="106"/>
      <c r="F99" s="106"/>
      <c r="H99" s="106"/>
      <c r="I99" s="106"/>
      <c r="L99" s="143"/>
    </row>
    <row r="100" spans="1:12" x14ac:dyDescent="0.25">
      <c r="A100" s="143"/>
      <c r="B100" s="106"/>
      <c r="C100" s="106"/>
      <c r="D100" s="106"/>
      <c r="E100" s="106"/>
      <c r="F100" s="106"/>
      <c r="H100" s="106"/>
      <c r="I100" s="106"/>
      <c r="L100" s="143"/>
    </row>
    <row r="101" spans="1:12" x14ac:dyDescent="0.25">
      <c r="A101" s="143"/>
      <c r="B101" s="106"/>
      <c r="C101" s="106"/>
      <c r="D101" s="106"/>
      <c r="E101" s="106"/>
      <c r="F101" s="106"/>
      <c r="H101" s="106"/>
      <c r="I101" s="106"/>
      <c r="L101" s="143"/>
    </row>
    <row r="102" spans="1:12" x14ac:dyDescent="0.25">
      <c r="A102" s="143"/>
      <c r="B102" s="106"/>
      <c r="C102" s="106"/>
      <c r="D102" s="106"/>
      <c r="E102" s="106"/>
      <c r="F102" s="106"/>
      <c r="H102" s="106"/>
      <c r="I102" s="106"/>
      <c r="L102" s="143"/>
    </row>
    <row r="103" spans="1:12" x14ac:dyDescent="0.25">
      <c r="A103" s="143"/>
      <c r="B103" s="106"/>
      <c r="C103" s="106"/>
      <c r="D103" s="106"/>
      <c r="E103" s="106"/>
      <c r="F103" s="106"/>
      <c r="H103" s="106"/>
      <c r="I103" s="106"/>
      <c r="L103" s="143"/>
    </row>
    <row r="104" spans="1:12" x14ac:dyDescent="0.25">
      <c r="A104" s="143"/>
      <c r="B104" s="106"/>
      <c r="C104" s="106"/>
      <c r="D104" s="106"/>
      <c r="E104" s="106"/>
      <c r="F104" s="106"/>
      <c r="H104" s="106"/>
      <c r="I104" s="106"/>
      <c r="L104" s="143"/>
    </row>
    <row r="105" spans="1:12" x14ac:dyDescent="0.25">
      <c r="A105" s="143"/>
      <c r="B105" s="106"/>
      <c r="C105" s="106"/>
      <c r="D105" s="106"/>
      <c r="E105" s="106"/>
      <c r="F105" s="106"/>
      <c r="H105" s="106"/>
      <c r="I105" s="106"/>
      <c r="L105" s="143"/>
    </row>
    <row r="106" spans="1:12" x14ac:dyDescent="0.25">
      <c r="A106" s="143"/>
      <c r="B106" s="106"/>
      <c r="C106" s="106"/>
      <c r="D106" s="106"/>
      <c r="E106" s="106"/>
      <c r="F106" s="106"/>
      <c r="H106" s="106"/>
      <c r="I106" s="106"/>
      <c r="L106" s="143"/>
    </row>
    <row r="107" spans="1:12" x14ac:dyDescent="0.25">
      <c r="A107" s="143"/>
      <c r="B107" s="106"/>
      <c r="C107" s="106"/>
      <c r="D107" s="106"/>
      <c r="E107" s="106"/>
      <c r="F107" s="106"/>
      <c r="H107" s="106"/>
      <c r="I107" s="106"/>
      <c r="L107" s="143"/>
    </row>
    <row r="108" spans="1:12" x14ac:dyDescent="0.25">
      <c r="A108" s="143"/>
      <c r="B108" s="106"/>
      <c r="C108" s="106"/>
      <c r="D108" s="106"/>
      <c r="E108" s="106"/>
      <c r="F108" s="106"/>
      <c r="H108" s="106"/>
      <c r="I108" s="106"/>
      <c r="L108" s="143"/>
    </row>
    <row r="109" spans="1:12" x14ac:dyDescent="0.25">
      <c r="A109" s="143"/>
      <c r="B109" s="106"/>
      <c r="C109" s="106"/>
      <c r="D109" s="106"/>
      <c r="E109" s="106"/>
      <c r="F109" s="106"/>
      <c r="H109" s="106"/>
      <c r="I109" s="106"/>
      <c r="L109" s="143"/>
    </row>
    <row r="110" spans="1:12" x14ac:dyDescent="0.25">
      <c r="A110" s="143"/>
      <c r="B110" s="106"/>
      <c r="C110" s="106"/>
      <c r="D110" s="106"/>
      <c r="E110" s="106"/>
      <c r="F110" s="106"/>
      <c r="H110" s="106"/>
      <c r="I110" s="106"/>
      <c r="L110" s="143"/>
    </row>
    <row r="111" spans="1:12" x14ac:dyDescent="0.25">
      <c r="A111" s="143"/>
      <c r="B111" s="106"/>
      <c r="C111" s="106"/>
      <c r="D111" s="106"/>
      <c r="E111" s="106"/>
      <c r="F111" s="106"/>
      <c r="H111" s="106"/>
      <c r="I111" s="106"/>
      <c r="L111" s="143"/>
    </row>
    <row r="112" spans="1:12" x14ac:dyDescent="0.25">
      <c r="A112" s="143"/>
      <c r="B112" s="106"/>
      <c r="C112" s="106"/>
      <c r="D112" s="106"/>
      <c r="E112" s="106"/>
      <c r="F112" s="106"/>
      <c r="H112" s="106"/>
      <c r="I112" s="106"/>
      <c r="L112" s="143"/>
    </row>
    <row r="113" spans="1:12" x14ac:dyDescent="0.25">
      <c r="A113" s="143"/>
      <c r="B113" s="106"/>
      <c r="C113" s="106"/>
      <c r="D113" s="106"/>
      <c r="E113" s="106"/>
      <c r="F113" s="106"/>
      <c r="H113" s="106"/>
      <c r="I113" s="106"/>
      <c r="L113" s="143"/>
    </row>
    <row r="114" spans="1:12" x14ac:dyDescent="0.25">
      <c r="A114" s="143"/>
      <c r="B114" s="106"/>
      <c r="C114" s="106"/>
      <c r="D114" s="106"/>
      <c r="E114" s="106"/>
      <c r="F114" s="106"/>
      <c r="H114" s="106"/>
      <c r="I114" s="106"/>
      <c r="L114" s="143"/>
    </row>
    <row r="115" spans="1:12" x14ac:dyDescent="0.25">
      <c r="A115" s="143"/>
      <c r="B115" s="106"/>
      <c r="C115" s="106"/>
      <c r="D115" s="106"/>
      <c r="E115" s="106"/>
      <c r="F115" s="106"/>
      <c r="H115" s="106"/>
      <c r="I115" s="106"/>
      <c r="L115" s="143"/>
    </row>
    <row r="116" spans="1:12" x14ac:dyDescent="0.25">
      <c r="A116" s="143"/>
      <c r="B116" s="106"/>
      <c r="C116" s="106"/>
      <c r="D116" s="106"/>
      <c r="E116" s="106"/>
      <c r="F116" s="106"/>
      <c r="H116" s="106"/>
      <c r="I116" s="106"/>
      <c r="L116" s="143"/>
    </row>
    <row r="117" spans="1:12" x14ac:dyDescent="0.25">
      <c r="A117" s="143"/>
      <c r="B117" s="106"/>
      <c r="C117" s="106"/>
      <c r="D117" s="106"/>
      <c r="E117" s="106"/>
      <c r="F117" s="106"/>
      <c r="H117" s="106"/>
      <c r="I117" s="106"/>
      <c r="L117" s="143"/>
    </row>
    <row r="118" spans="1:12" x14ac:dyDescent="0.25">
      <c r="A118" s="143"/>
      <c r="B118" s="106"/>
      <c r="C118" s="106"/>
      <c r="D118" s="106"/>
      <c r="E118" s="106"/>
      <c r="F118" s="106"/>
      <c r="H118" s="106"/>
      <c r="I118" s="106"/>
      <c r="L118" s="143"/>
    </row>
    <row r="119" spans="1:12" x14ac:dyDescent="0.25">
      <c r="A119" s="143"/>
      <c r="B119" s="106"/>
      <c r="C119" s="106"/>
      <c r="D119" s="106"/>
      <c r="E119" s="106"/>
      <c r="F119" s="106"/>
      <c r="H119" s="106"/>
      <c r="I119" s="106"/>
      <c r="L119" s="143"/>
    </row>
    <row r="120" spans="1:12" x14ac:dyDescent="0.25">
      <c r="A120" s="143"/>
      <c r="B120" s="106"/>
      <c r="C120" s="106"/>
      <c r="D120" s="106"/>
      <c r="E120" s="106"/>
      <c r="F120" s="106"/>
      <c r="H120" s="106"/>
      <c r="I120" s="106"/>
      <c r="L120" s="143"/>
    </row>
    <row r="121" spans="1:12" x14ac:dyDescent="0.25">
      <c r="A121" s="143"/>
      <c r="B121" s="106"/>
      <c r="C121" s="106"/>
      <c r="D121" s="106"/>
      <c r="E121" s="106"/>
      <c r="F121" s="106"/>
      <c r="H121" s="106"/>
      <c r="I121" s="106"/>
      <c r="L121" s="143"/>
    </row>
    <row r="122" spans="1:12" x14ac:dyDescent="0.25">
      <c r="A122" s="143"/>
      <c r="B122" s="106"/>
      <c r="C122" s="106"/>
      <c r="D122" s="106"/>
      <c r="E122" s="106"/>
      <c r="F122" s="106"/>
      <c r="H122" s="106"/>
      <c r="I122" s="106"/>
      <c r="L122" s="143"/>
    </row>
    <row r="123" spans="1:12" x14ac:dyDescent="0.25">
      <c r="A123" s="143"/>
      <c r="B123" s="106"/>
      <c r="C123" s="106"/>
      <c r="D123" s="106"/>
      <c r="E123" s="106"/>
      <c r="F123" s="106"/>
      <c r="H123" s="106"/>
      <c r="I123" s="106"/>
      <c r="L123" s="143"/>
    </row>
    <row r="124" spans="1:12" x14ac:dyDescent="0.25">
      <c r="A124" s="143"/>
      <c r="B124" s="106"/>
      <c r="C124" s="106"/>
      <c r="D124" s="106"/>
      <c r="E124" s="106"/>
      <c r="F124" s="106"/>
      <c r="H124" s="106"/>
      <c r="I124" s="106"/>
      <c r="L124" s="143"/>
    </row>
    <row r="125" spans="1:12" x14ac:dyDescent="0.25">
      <c r="A125" s="143"/>
      <c r="B125" s="106"/>
      <c r="C125" s="106"/>
      <c r="D125" s="106"/>
      <c r="E125" s="106"/>
      <c r="F125" s="106"/>
      <c r="H125" s="106"/>
      <c r="I125" s="106"/>
      <c r="L125" s="143"/>
    </row>
    <row r="126" spans="1:12" x14ac:dyDescent="0.25">
      <c r="A126" s="143"/>
      <c r="B126" s="106"/>
      <c r="C126" s="106"/>
      <c r="D126" s="106"/>
      <c r="E126" s="106"/>
      <c r="F126" s="106"/>
      <c r="H126" s="106"/>
      <c r="I126" s="106"/>
      <c r="L126" s="143"/>
    </row>
    <row r="127" spans="1:12" x14ac:dyDescent="0.25">
      <c r="A127" s="143"/>
      <c r="B127" s="106"/>
      <c r="C127" s="106"/>
      <c r="D127" s="106"/>
      <c r="E127" s="106"/>
      <c r="F127" s="106"/>
      <c r="H127" s="106"/>
      <c r="I127" s="106"/>
      <c r="L127" s="143"/>
    </row>
    <row r="128" spans="1:12" x14ac:dyDescent="0.25">
      <c r="A128" s="143"/>
      <c r="B128" s="106"/>
      <c r="C128" s="106"/>
      <c r="D128" s="106"/>
      <c r="E128" s="106"/>
      <c r="F128" s="106"/>
      <c r="H128" s="106"/>
      <c r="I128" s="106"/>
      <c r="L128" s="143"/>
    </row>
    <row r="129" spans="1:12" x14ac:dyDescent="0.25">
      <c r="A129" s="143"/>
      <c r="B129" s="106"/>
      <c r="C129" s="106"/>
      <c r="D129" s="106"/>
      <c r="E129" s="106"/>
      <c r="F129" s="106"/>
      <c r="H129" s="106"/>
      <c r="I129" s="106"/>
      <c r="L129" s="143"/>
    </row>
    <row r="130" spans="1:12" x14ac:dyDescent="0.25">
      <c r="A130" s="143"/>
      <c r="B130" s="106"/>
      <c r="C130" s="106"/>
      <c r="D130" s="106"/>
      <c r="E130" s="106"/>
      <c r="F130" s="106"/>
      <c r="H130" s="106"/>
      <c r="I130" s="106"/>
      <c r="L130" s="143"/>
    </row>
    <row r="131" spans="1:12" x14ac:dyDescent="0.25">
      <c r="A131" s="143"/>
      <c r="B131" s="106"/>
      <c r="C131" s="106"/>
      <c r="D131" s="106"/>
      <c r="E131" s="106"/>
      <c r="F131" s="106"/>
      <c r="H131" s="106"/>
      <c r="I131" s="106"/>
      <c r="L131" s="143"/>
    </row>
    <row r="132" spans="1:12" x14ac:dyDescent="0.25">
      <c r="A132" s="143"/>
      <c r="B132" s="106"/>
      <c r="C132" s="106"/>
      <c r="D132" s="106"/>
      <c r="E132" s="106"/>
      <c r="F132" s="106"/>
      <c r="H132" s="106"/>
      <c r="I132" s="106"/>
      <c r="L132" s="143"/>
    </row>
    <row r="133" spans="1:12" x14ac:dyDescent="0.25">
      <c r="A133" s="143"/>
      <c r="B133" s="106"/>
      <c r="C133" s="106"/>
      <c r="D133" s="106"/>
      <c r="E133" s="106"/>
      <c r="F133" s="106"/>
      <c r="H133" s="106"/>
      <c r="I133" s="106"/>
      <c r="L133" s="143"/>
    </row>
    <row r="134" spans="1:12" x14ac:dyDescent="0.25">
      <c r="A134" s="143"/>
      <c r="B134" s="106"/>
      <c r="C134" s="106"/>
      <c r="D134" s="106"/>
      <c r="E134" s="106"/>
      <c r="F134" s="106"/>
      <c r="H134" s="106"/>
      <c r="I134" s="106"/>
      <c r="L134" s="143"/>
    </row>
    <row r="135" spans="1:12" x14ac:dyDescent="0.25">
      <c r="A135" s="143"/>
      <c r="B135" s="106"/>
      <c r="C135" s="106"/>
      <c r="D135" s="106"/>
      <c r="E135" s="106"/>
      <c r="F135" s="106"/>
      <c r="H135" s="106"/>
      <c r="I135" s="106"/>
      <c r="L135" s="143"/>
    </row>
    <row r="136" spans="1:12" x14ac:dyDescent="0.25">
      <c r="A136" s="143"/>
      <c r="B136" s="106"/>
      <c r="C136" s="106"/>
      <c r="D136" s="106"/>
      <c r="E136" s="106"/>
      <c r="F136" s="106"/>
      <c r="H136" s="106"/>
      <c r="I136" s="106"/>
      <c r="L136" s="143"/>
    </row>
    <row r="137" spans="1:12" x14ac:dyDescent="0.25">
      <c r="A137" s="143"/>
      <c r="B137" s="106"/>
      <c r="C137" s="106"/>
      <c r="D137" s="106"/>
      <c r="E137" s="106"/>
      <c r="F137" s="106"/>
      <c r="H137" s="106"/>
      <c r="I137" s="106"/>
      <c r="L137" s="143"/>
    </row>
    <row r="138" spans="1:12" x14ac:dyDescent="0.25">
      <c r="A138" s="143"/>
      <c r="B138" s="106"/>
      <c r="C138" s="106"/>
      <c r="D138" s="106"/>
      <c r="E138" s="106"/>
      <c r="F138" s="106"/>
      <c r="H138" s="106"/>
      <c r="I138" s="106"/>
      <c r="L138" s="143"/>
    </row>
    <row r="139" spans="1:12" x14ac:dyDescent="0.25">
      <c r="A139" s="143"/>
      <c r="B139" s="106"/>
      <c r="C139" s="106"/>
      <c r="D139" s="106"/>
      <c r="E139" s="106"/>
      <c r="F139" s="106"/>
      <c r="H139" s="106"/>
      <c r="I139" s="106"/>
      <c r="L139" s="143"/>
    </row>
    <row r="140" spans="1:12" x14ac:dyDescent="0.25">
      <c r="A140" s="143"/>
      <c r="B140" s="106"/>
      <c r="C140" s="106"/>
      <c r="D140" s="106"/>
      <c r="E140" s="106"/>
      <c r="F140" s="106"/>
      <c r="H140" s="106"/>
      <c r="I140" s="106"/>
      <c r="L140" s="143"/>
    </row>
    <row r="141" spans="1:12" x14ac:dyDescent="0.25">
      <c r="A141" s="143"/>
      <c r="B141" s="106"/>
      <c r="C141" s="106"/>
      <c r="D141" s="106"/>
      <c r="E141" s="106"/>
      <c r="F141" s="106"/>
      <c r="H141" s="106"/>
      <c r="I141" s="106"/>
      <c r="L141" s="143"/>
    </row>
    <row r="142" spans="1:12" x14ac:dyDescent="0.25">
      <c r="A142" s="143"/>
      <c r="B142" s="106"/>
      <c r="C142" s="106"/>
      <c r="D142" s="106"/>
      <c r="E142" s="106"/>
      <c r="F142" s="106"/>
      <c r="H142" s="106"/>
      <c r="I142" s="106"/>
      <c r="L142" s="143"/>
    </row>
    <row r="143" spans="1:12" x14ac:dyDescent="0.25">
      <c r="A143" s="143"/>
      <c r="B143" s="106"/>
      <c r="C143" s="106"/>
      <c r="D143" s="106"/>
      <c r="E143" s="106"/>
      <c r="F143" s="106"/>
      <c r="H143" s="106"/>
      <c r="I143" s="106"/>
      <c r="L143" s="143"/>
    </row>
    <row r="144" spans="1:12" x14ac:dyDescent="0.25">
      <c r="A144" s="143"/>
      <c r="B144" s="106"/>
      <c r="C144" s="106"/>
      <c r="D144" s="106"/>
      <c r="E144" s="106"/>
      <c r="F144" s="106"/>
      <c r="H144" s="106"/>
      <c r="I144" s="106"/>
      <c r="L144" s="143"/>
    </row>
    <row r="145" spans="1:18" x14ac:dyDescent="0.25">
      <c r="A145" s="143"/>
      <c r="B145" s="106"/>
      <c r="C145" s="106"/>
      <c r="D145" s="106"/>
      <c r="E145" s="106"/>
      <c r="F145" s="106"/>
      <c r="H145" s="106"/>
      <c r="I145" s="106"/>
      <c r="L145" s="143"/>
    </row>
    <row r="146" spans="1:18" x14ac:dyDescent="0.25">
      <c r="A146" s="143"/>
      <c r="B146" s="106"/>
      <c r="C146" s="106"/>
      <c r="D146" s="106"/>
      <c r="E146" s="106"/>
      <c r="F146" s="106"/>
      <c r="H146" s="106"/>
      <c r="I146" s="106"/>
      <c r="L146" s="143"/>
    </row>
    <row r="147" spans="1:18" x14ac:dyDescent="0.25">
      <c r="A147" s="143"/>
      <c r="B147" s="106"/>
      <c r="C147" s="106"/>
      <c r="D147" s="106"/>
      <c r="E147" s="106"/>
      <c r="F147" s="106"/>
      <c r="H147" s="106"/>
      <c r="I147" s="106"/>
      <c r="L147" s="143"/>
    </row>
    <row r="148" spans="1:18" x14ac:dyDescent="0.25">
      <c r="A148" s="143"/>
      <c r="B148" s="106"/>
      <c r="C148" s="106"/>
      <c r="D148" s="106"/>
      <c r="E148" s="106"/>
      <c r="F148" s="106"/>
      <c r="H148" s="106"/>
      <c r="I148" s="106"/>
      <c r="L148" s="143"/>
    </row>
    <row r="149" spans="1:18" x14ac:dyDescent="0.25">
      <c r="A149" s="143"/>
      <c r="B149" s="106"/>
      <c r="C149" s="106"/>
      <c r="D149" s="106"/>
      <c r="E149" s="106"/>
      <c r="F149" s="106"/>
      <c r="H149" s="106"/>
      <c r="I149" s="106"/>
      <c r="L149" s="143"/>
    </row>
    <row r="150" spans="1:18" x14ac:dyDescent="0.25">
      <c r="A150" s="143"/>
      <c r="B150" s="106"/>
      <c r="C150" s="106"/>
      <c r="D150" s="106"/>
      <c r="E150" s="106"/>
      <c r="F150" s="106"/>
      <c r="H150" s="106"/>
      <c r="I150" s="106"/>
      <c r="L150" s="143"/>
    </row>
    <row r="151" spans="1:18" x14ac:dyDescent="0.25">
      <c r="A151" s="143"/>
      <c r="B151" s="106"/>
      <c r="C151" s="106"/>
      <c r="D151" s="106"/>
      <c r="E151" s="106"/>
      <c r="F151" s="106"/>
      <c r="H151" s="106"/>
      <c r="I151" s="106"/>
      <c r="L151" s="143"/>
    </row>
    <row r="152" spans="1:18" x14ac:dyDescent="0.25">
      <c r="A152" s="143"/>
      <c r="B152" s="106"/>
      <c r="C152" s="106"/>
      <c r="D152" s="106"/>
      <c r="E152" s="106"/>
      <c r="F152" s="106"/>
      <c r="H152" s="106"/>
      <c r="I152" s="106"/>
      <c r="L152" s="143"/>
    </row>
    <row r="153" spans="1:18" x14ac:dyDescent="0.25">
      <c r="A153" s="143"/>
      <c r="B153" s="106"/>
      <c r="C153" s="106"/>
      <c r="D153" s="106"/>
      <c r="E153" s="106"/>
      <c r="F153" s="106"/>
      <c r="H153" s="106"/>
      <c r="I153" s="106"/>
      <c r="L153" s="143"/>
    </row>
    <row r="154" spans="1:18" x14ac:dyDescent="0.25">
      <c r="A154" s="143">
        <v>42223</v>
      </c>
      <c r="B154" s="106">
        <v>136.56</v>
      </c>
      <c r="C154" s="106">
        <v>130.02000000000001</v>
      </c>
      <c r="D154" s="106">
        <v>129.4</v>
      </c>
      <c r="E154" s="106">
        <v>134.66</v>
      </c>
      <c r="F154" s="106">
        <v>650.1</v>
      </c>
      <c r="G154">
        <v>19836</v>
      </c>
      <c r="H154" s="106"/>
      <c r="I154" s="106"/>
      <c r="L154" s="143">
        <v>42223</v>
      </c>
      <c r="M154" s="106">
        <v>131</v>
      </c>
      <c r="N154" s="106">
        <v>136.72999999999999</v>
      </c>
      <c r="O154" s="106">
        <v>129.62</v>
      </c>
      <c r="P154" s="106">
        <v>134.02000000000001</v>
      </c>
      <c r="Q154" s="106">
        <v>655</v>
      </c>
      <c r="R154">
        <v>35076</v>
      </c>
    </row>
    <row r="155" spans="1:18" x14ac:dyDescent="0.25">
      <c r="A155" s="143">
        <v>42226</v>
      </c>
      <c r="B155" s="106">
        <v>133.4</v>
      </c>
      <c r="C155" s="106">
        <v>130.07</v>
      </c>
      <c r="D155" s="106">
        <v>128.1</v>
      </c>
      <c r="E155" s="106">
        <v>131.80000000000001</v>
      </c>
      <c r="F155" s="106">
        <v>650.35</v>
      </c>
      <c r="G155">
        <v>3756</v>
      </c>
      <c r="H155" s="106"/>
      <c r="I155" s="106"/>
      <c r="L155" s="143">
        <v>42226</v>
      </c>
      <c r="M155" s="106">
        <v>129.69999999999999</v>
      </c>
      <c r="N155" s="106">
        <v>133.58000000000001</v>
      </c>
      <c r="O155" s="106">
        <v>127.71</v>
      </c>
      <c r="P155" s="106">
        <v>132.58000000000001</v>
      </c>
      <c r="Q155" s="106">
        <v>648.5</v>
      </c>
      <c r="R155">
        <v>29284</v>
      </c>
    </row>
    <row r="156" spans="1:18" x14ac:dyDescent="0.25">
      <c r="A156" s="143">
        <v>42227</v>
      </c>
      <c r="B156" s="106">
        <v>131</v>
      </c>
      <c r="C156" s="106">
        <v>129.85</v>
      </c>
      <c r="D156" s="106">
        <v>129</v>
      </c>
      <c r="E156" s="106">
        <v>129.19999999999999</v>
      </c>
      <c r="F156" s="106">
        <v>649.25</v>
      </c>
      <c r="G156">
        <v>15693</v>
      </c>
      <c r="H156" s="106"/>
      <c r="I156" s="106"/>
      <c r="L156" s="143">
        <v>42227</v>
      </c>
      <c r="M156" s="106">
        <v>129.47</v>
      </c>
      <c r="N156" s="106">
        <v>131.19999999999999</v>
      </c>
      <c r="O156" s="106">
        <v>129</v>
      </c>
      <c r="P156" s="106">
        <v>130.19999999999999</v>
      </c>
      <c r="Q156" s="106">
        <v>647.35</v>
      </c>
      <c r="R156">
        <v>11805</v>
      </c>
    </row>
    <row r="157" spans="1:18" x14ac:dyDescent="0.25">
      <c r="A157" s="143">
        <v>42228</v>
      </c>
      <c r="B157" s="106">
        <v>131.38</v>
      </c>
      <c r="C157" s="106">
        <v>127.93</v>
      </c>
      <c r="D157" s="106">
        <v>126.4</v>
      </c>
      <c r="E157" s="106">
        <v>130</v>
      </c>
      <c r="F157" s="106">
        <v>639.65</v>
      </c>
      <c r="G157">
        <v>5106</v>
      </c>
      <c r="H157" s="106"/>
      <c r="I157" s="106"/>
      <c r="L157" s="143">
        <v>42228</v>
      </c>
      <c r="M157" s="106">
        <v>128.97</v>
      </c>
      <c r="N157" s="106">
        <v>131.47</v>
      </c>
      <c r="O157" s="106">
        <v>126</v>
      </c>
      <c r="P157" s="106">
        <v>129.87</v>
      </c>
      <c r="Q157" s="106">
        <v>644.85</v>
      </c>
      <c r="R157">
        <v>21163</v>
      </c>
    </row>
    <row r="158" spans="1:18" x14ac:dyDescent="0.25">
      <c r="A158" s="143">
        <v>42229</v>
      </c>
      <c r="B158" s="106">
        <v>129.01</v>
      </c>
      <c r="C158" s="106">
        <v>125.63</v>
      </c>
      <c r="D158" s="106">
        <v>124.59</v>
      </c>
      <c r="E158" s="106">
        <v>128.47999999999999</v>
      </c>
      <c r="F158" s="106">
        <v>628.15</v>
      </c>
      <c r="G158">
        <v>2840</v>
      </c>
      <c r="H158" s="106"/>
      <c r="I158" s="106"/>
      <c r="L158" s="143">
        <v>42229</v>
      </c>
      <c r="M158" s="106">
        <v>125.56</v>
      </c>
      <c r="N158" s="106">
        <v>129.36000000000001</v>
      </c>
      <c r="O158" s="106">
        <v>125</v>
      </c>
      <c r="P158" s="106">
        <v>128.4</v>
      </c>
      <c r="Q158" s="106">
        <v>627.79999999999995</v>
      </c>
      <c r="R158">
        <v>11891</v>
      </c>
    </row>
    <row r="159" spans="1:18" x14ac:dyDescent="0.25">
      <c r="A159" s="143">
        <v>42230</v>
      </c>
      <c r="B159" s="106">
        <v>131.63999999999999</v>
      </c>
      <c r="C159" s="106">
        <v>129.28</v>
      </c>
      <c r="D159" s="106">
        <v>125.3</v>
      </c>
      <c r="E159" s="106">
        <v>125.4</v>
      </c>
      <c r="F159" s="106">
        <v>646.4</v>
      </c>
      <c r="G159">
        <v>13562</v>
      </c>
      <c r="H159" s="106"/>
      <c r="I159" s="106"/>
      <c r="L159" s="143">
        <v>42230</v>
      </c>
      <c r="M159" s="106">
        <v>128.80000000000001</v>
      </c>
      <c r="N159" s="106">
        <v>131.80000000000001</v>
      </c>
      <c r="O159" s="106">
        <v>125.16</v>
      </c>
      <c r="P159" s="106">
        <v>125.78</v>
      </c>
      <c r="Q159" s="106">
        <v>644</v>
      </c>
      <c r="R159">
        <v>95841</v>
      </c>
    </row>
    <row r="160" spans="1:18" x14ac:dyDescent="0.25">
      <c r="A160" s="143">
        <v>42233</v>
      </c>
      <c r="B160" s="106">
        <v>131.96</v>
      </c>
      <c r="C160" s="106">
        <v>130.53</v>
      </c>
      <c r="D160" s="106">
        <v>126.8</v>
      </c>
      <c r="E160" s="106">
        <v>129.22</v>
      </c>
      <c r="F160" s="106">
        <v>652.65</v>
      </c>
      <c r="G160">
        <v>5310</v>
      </c>
      <c r="H160" s="106"/>
      <c r="I160" s="106"/>
      <c r="L160" s="143">
        <v>42233</v>
      </c>
      <c r="M160" s="106">
        <v>130.6</v>
      </c>
      <c r="N160" s="106">
        <v>131.80000000000001</v>
      </c>
      <c r="O160" s="106">
        <v>126.2</v>
      </c>
      <c r="P160" s="106">
        <v>127.91</v>
      </c>
      <c r="Q160" s="106">
        <v>653</v>
      </c>
      <c r="R160">
        <v>13448</v>
      </c>
    </row>
    <row r="161" spans="1:18" x14ac:dyDescent="0.25">
      <c r="A161" s="143">
        <v>42234</v>
      </c>
      <c r="B161" s="106">
        <v>132</v>
      </c>
      <c r="C161" s="106">
        <v>129.69999999999999</v>
      </c>
      <c r="D161" s="106">
        <v>127</v>
      </c>
      <c r="E161" s="106">
        <v>130.22</v>
      </c>
      <c r="F161" s="106">
        <v>648.5</v>
      </c>
      <c r="G161">
        <v>8254</v>
      </c>
      <c r="H161" s="106"/>
      <c r="I161" s="106"/>
      <c r="L161" s="143">
        <v>42234</v>
      </c>
      <c r="M161" s="106">
        <v>131.13</v>
      </c>
      <c r="N161" s="106">
        <v>132.6</v>
      </c>
      <c r="O161" s="106">
        <v>129.03</v>
      </c>
      <c r="P161" s="106">
        <v>130.41</v>
      </c>
      <c r="Q161" s="106">
        <v>655.65</v>
      </c>
      <c r="R161">
        <v>19275</v>
      </c>
    </row>
    <row r="162" spans="1:18" x14ac:dyDescent="0.25">
      <c r="A162" s="143">
        <v>42235</v>
      </c>
      <c r="B162" s="106">
        <v>136</v>
      </c>
      <c r="C162" s="106">
        <v>133.53</v>
      </c>
      <c r="D162" s="106">
        <v>130.63</v>
      </c>
      <c r="E162" s="106">
        <v>131.6</v>
      </c>
      <c r="F162" s="106">
        <v>667.65</v>
      </c>
      <c r="G162">
        <v>10909</v>
      </c>
      <c r="H162" s="106"/>
      <c r="I162" s="106"/>
      <c r="L162" s="143">
        <v>42235</v>
      </c>
      <c r="M162" s="106">
        <v>132.61000000000001</v>
      </c>
      <c r="N162" s="106">
        <v>135.74</v>
      </c>
      <c r="O162" s="106">
        <v>130.08000000000001</v>
      </c>
      <c r="P162" s="106">
        <v>133.38999999999999</v>
      </c>
      <c r="Q162" s="106">
        <v>663.05</v>
      </c>
      <c r="R162">
        <v>15526</v>
      </c>
    </row>
    <row r="163" spans="1:18" x14ac:dyDescent="0.25">
      <c r="A163" s="143">
        <v>42236</v>
      </c>
      <c r="B163" s="106">
        <v>142.19999999999999</v>
      </c>
      <c r="C163" s="106">
        <v>126.97</v>
      </c>
      <c r="D163" s="106">
        <v>125.65</v>
      </c>
      <c r="E163" s="106">
        <v>137.99</v>
      </c>
      <c r="F163" s="106">
        <v>634.85</v>
      </c>
      <c r="G163">
        <v>49628</v>
      </c>
      <c r="H163" s="106"/>
      <c r="I163" s="106"/>
      <c r="L163" s="143">
        <v>42236</v>
      </c>
      <c r="M163" s="106">
        <v>126.93</v>
      </c>
      <c r="N163" s="106">
        <v>142</v>
      </c>
      <c r="O163" s="106">
        <v>125.32</v>
      </c>
      <c r="P163" s="106">
        <v>139</v>
      </c>
      <c r="Q163" s="106">
        <v>634.65</v>
      </c>
      <c r="R163">
        <v>201049</v>
      </c>
    </row>
    <row r="164" spans="1:18" x14ac:dyDescent="0.25">
      <c r="A164" s="143">
        <v>42237</v>
      </c>
      <c r="B164" s="106">
        <v>128.35</v>
      </c>
      <c r="C164" s="106">
        <v>124.74</v>
      </c>
      <c r="D164" s="106">
        <v>120.6</v>
      </c>
      <c r="E164" s="106">
        <v>125</v>
      </c>
      <c r="F164" s="106">
        <v>623.70000000000005</v>
      </c>
      <c r="G164">
        <v>14645</v>
      </c>
      <c r="H164" s="106"/>
      <c r="I164" s="106"/>
      <c r="L164" s="143">
        <v>42237</v>
      </c>
      <c r="M164" s="106">
        <v>124.55</v>
      </c>
      <c r="N164" s="106">
        <v>128.19</v>
      </c>
      <c r="O164" s="106">
        <v>120.2</v>
      </c>
      <c r="P164" s="106">
        <v>125.07</v>
      </c>
      <c r="Q164" s="106">
        <v>622.75</v>
      </c>
      <c r="R164">
        <v>55828</v>
      </c>
    </row>
    <row r="165" spans="1:18" x14ac:dyDescent="0.25">
      <c r="A165" s="143">
        <v>42240</v>
      </c>
      <c r="B165" s="106">
        <v>122.2</v>
      </c>
      <c r="C165" s="106">
        <v>118.26</v>
      </c>
      <c r="D165" s="106">
        <v>117</v>
      </c>
      <c r="E165" s="106">
        <v>121</v>
      </c>
      <c r="F165" s="106">
        <v>591.29999999999995</v>
      </c>
      <c r="G165">
        <v>14768</v>
      </c>
      <c r="H165" s="106"/>
      <c r="I165" s="106"/>
      <c r="L165" s="143">
        <v>42240</v>
      </c>
      <c r="M165" s="106">
        <v>120.18</v>
      </c>
      <c r="N165" s="106">
        <v>122.94</v>
      </c>
      <c r="O165" s="106">
        <v>118.25</v>
      </c>
      <c r="P165" s="106">
        <v>122.94</v>
      </c>
      <c r="Q165" s="106">
        <v>600.9</v>
      </c>
      <c r="R165">
        <v>59123</v>
      </c>
    </row>
    <row r="166" spans="1:18" x14ac:dyDescent="0.25">
      <c r="A166" s="143">
        <v>42241</v>
      </c>
      <c r="B166" s="106">
        <v>122.79</v>
      </c>
      <c r="C166" s="106">
        <v>119.73</v>
      </c>
      <c r="D166" s="106">
        <v>114.08</v>
      </c>
      <c r="E166" s="106">
        <v>122.79</v>
      </c>
      <c r="F166" s="106">
        <v>598.65</v>
      </c>
      <c r="G166">
        <v>19377</v>
      </c>
      <c r="H166" s="106"/>
      <c r="I166" s="106"/>
      <c r="L166" s="143">
        <v>42241</v>
      </c>
      <c r="M166" s="106">
        <v>121.65</v>
      </c>
      <c r="N166" s="106">
        <v>123.2</v>
      </c>
      <c r="O166" s="106">
        <v>114</v>
      </c>
      <c r="P166" s="106">
        <v>121</v>
      </c>
      <c r="Q166" s="106">
        <v>608.25</v>
      </c>
      <c r="R166">
        <v>38027</v>
      </c>
    </row>
    <row r="167" spans="1:18" x14ac:dyDescent="0.25">
      <c r="A167" s="143">
        <v>42242</v>
      </c>
      <c r="B167" s="106">
        <v>125.79</v>
      </c>
      <c r="C167" s="106">
        <v>124.29</v>
      </c>
      <c r="D167" s="106">
        <v>119</v>
      </c>
      <c r="E167" s="106">
        <v>119</v>
      </c>
      <c r="F167" s="106">
        <v>621.45000000000005</v>
      </c>
      <c r="G167">
        <v>123908</v>
      </c>
      <c r="H167" s="106"/>
      <c r="I167" s="106"/>
      <c r="L167" s="143">
        <v>42242</v>
      </c>
      <c r="M167" s="106">
        <v>124.65</v>
      </c>
      <c r="N167" s="106">
        <v>125.8</v>
      </c>
      <c r="O167" s="106">
        <v>118.3</v>
      </c>
      <c r="P167" s="106">
        <v>122</v>
      </c>
      <c r="Q167" s="106">
        <v>623.25</v>
      </c>
      <c r="R167">
        <v>84188</v>
      </c>
    </row>
    <row r="168" spans="1:18" x14ac:dyDescent="0.25">
      <c r="A168" s="143">
        <v>42243</v>
      </c>
      <c r="B168" s="106">
        <v>125</v>
      </c>
      <c r="C168" s="106">
        <v>121.52</v>
      </c>
      <c r="D168" s="106">
        <v>121</v>
      </c>
      <c r="E168" s="106">
        <v>125</v>
      </c>
      <c r="F168" s="106">
        <v>607.6</v>
      </c>
      <c r="G168">
        <v>7628</v>
      </c>
      <c r="H168" s="106"/>
      <c r="I168" s="106"/>
      <c r="L168" s="143">
        <v>42243</v>
      </c>
      <c r="M168" s="106">
        <v>121.27</v>
      </c>
      <c r="N168" s="106">
        <v>126.99</v>
      </c>
      <c r="O168" s="106">
        <v>119.82</v>
      </c>
      <c r="P168" s="106">
        <v>126.99</v>
      </c>
      <c r="Q168" s="106">
        <v>606.35</v>
      </c>
      <c r="R168">
        <v>90575</v>
      </c>
    </row>
    <row r="169" spans="1:18" x14ac:dyDescent="0.25">
      <c r="A169" s="143">
        <v>42244</v>
      </c>
      <c r="B169" s="106">
        <v>123</v>
      </c>
      <c r="C169" s="106">
        <v>120.37</v>
      </c>
      <c r="D169" s="106">
        <v>119.7</v>
      </c>
      <c r="E169" s="106">
        <v>122</v>
      </c>
      <c r="F169" s="106">
        <v>601.85</v>
      </c>
      <c r="G169">
        <v>3257</v>
      </c>
      <c r="H169" s="106"/>
      <c r="I169" s="106"/>
      <c r="L169" s="143">
        <v>42244</v>
      </c>
      <c r="M169" s="106">
        <v>120.38</v>
      </c>
      <c r="N169" s="106">
        <v>124.47</v>
      </c>
      <c r="O169" s="106">
        <v>120</v>
      </c>
      <c r="P169" s="106">
        <v>124.47</v>
      </c>
      <c r="Q169" s="106">
        <v>601.9</v>
      </c>
      <c r="R169">
        <v>26664</v>
      </c>
    </row>
    <row r="170" spans="1:18" x14ac:dyDescent="0.25">
      <c r="A170" s="143">
        <v>42247</v>
      </c>
      <c r="B170" s="106">
        <v>123.69</v>
      </c>
      <c r="C170" s="106">
        <v>121.05</v>
      </c>
      <c r="D170" s="106">
        <v>119.4</v>
      </c>
      <c r="E170" s="106">
        <v>122</v>
      </c>
      <c r="F170" s="106">
        <v>605.25</v>
      </c>
      <c r="G170">
        <v>2110</v>
      </c>
      <c r="H170" s="106"/>
      <c r="I170" s="106"/>
      <c r="L170" s="143">
        <v>42247</v>
      </c>
      <c r="M170" s="106">
        <v>121.12</v>
      </c>
      <c r="N170" s="106">
        <v>123.41</v>
      </c>
      <c r="O170" s="106">
        <v>119.8</v>
      </c>
      <c r="P170" s="106">
        <v>121.8</v>
      </c>
      <c r="Q170" s="106">
        <v>605.6</v>
      </c>
      <c r="R170">
        <v>19828</v>
      </c>
    </row>
    <row r="171" spans="1:18" x14ac:dyDescent="0.25">
      <c r="A171" s="143">
        <v>42248</v>
      </c>
      <c r="B171" s="106">
        <v>121.45</v>
      </c>
      <c r="C171" s="106">
        <v>120.03</v>
      </c>
      <c r="D171" s="106">
        <v>119.21</v>
      </c>
      <c r="E171" s="106">
        <v>120</v>
      </c>
      <c r="F171" s="106">
        <v>600.15</v>
      </c>
      <c r="G171">
        <v>3549</v>
      </c>
      <c r="H171" s="106"/>
      <c r="I171" s="106"/>
      <c r="L171" s="143">
        <v>42248</v>
      </c>
      <c r="M171" s="106">
        <v>120.49</v>
      </c>
      <c r="N171" s="106">
        <v>121.96</v>
      </c>
      <c r="O171" s="106">
        <v>119.78</v>
      </c>
      <c r="P171" s="106">
        <v>119.81</v>
      </c>
      <c r="Q171" s="106">
        <v>602.45000000000005</v>
      </c>
      <c r="R171">
        <v>15819</v>
      </c>
    </row>
    <row r="172" spans="1:18" x14ac:dyDescent="0.25">
      <c r="A172" s="143">
        <v>42249</v>
      </c>
      <c r="B172" s="106">
        <v>121.62</v>
      </c>
      <c r="C172" s="106">
        <v>120.44</v>
      </c>
      <c r="D172" s="106">
        <v>119.99</v>
      </c>
      <c r="E172" s="106">
        <v>120.6</v>
      </c>
      <c r="F172" s="106">
        <v>602.20000000000005</v>
      </c>
      <c r="G172">
        <v>2012</v>
      </c>
      <c r="H172" s="106"/>
      <c r="I172" s="106"/>
      <c r="L172" s="143">
        <v>42249</v>
      </c>
      <c r="M172" s="106">
        <v>120.63</v>
      </c>
      <c r="N172" s="106">
        <v>122.2</v>
      </c>
      <c r="O172" s="106">
        <v>119.8</v>
      </c>
      <c r="P172" s="106">
        <v>120.4</v>
      </c>
      <c r="Q172" s="106">
        <v>603.15</v>
      </c>
      <c r="R172">
        <v>82199</v>
      </c>
    </row>
    <row r="173" spans="1:18" x14ac:dyDescent="0.25">
      <c r="A173" s="143">
        <v>42250</v>
      </c>
      <c r="B173" s="106">
        <v>121.6</v>
      </c>
      <c r="C173" s="106">
        <v>117.01</v>
      </c>
      <c r="D173" s="106">
        <v>117</v>
      </c>
      <c r="E173" s="106">
        <v>120.19</v>
      </c>
      <c r="F173" s="106">
        <v>585.04999999999995</v>
      </c>
      <c r="G173">
        <v>152786</v>
      </c>
      <c r="H173" s="106"/>
      <c r="I173" s="106"/>
      <c r="L173" s="143">
        <v>42250</v>
      </c>
      <c r="M173" s="106">
        <v>117.36</v>
      </c>
      <c r="N173" s="106">
        <v>122.18</v>
      </c>
      <c r="O173" s="106">
        <v>117</v>
      </c>
      <c r="P173" s="106">
        <v>120.03</v>
      </c>
      <c r="Q173" s="106">
        <v>586.79999999999995</v>
      </c>
      <c r="R173">
        <v>636711</v>
      </c>
    </row>
    <row r="174" spans="1:18" x14ac:dyDescent="0.25">
      <c r="A174" s="143">
        <v>42251</v>
      </c>
      <c r="B174" s="106">
        <v>120.65</v>
      </c>
      <c r="C174" s="106">
        <v>118.84</v>
      </c>
      <c r="D174" s="106">
        <v>117.6</v>
      </c>
      <c r="E174" s="106">
        <v>118.78</v>
      </c>
      <c r="F174" s="106">
        <v>594.20000000000005</v>
      </c>
      <c r="G174">
        <v>5442</v>
      </c>
      <c r="H174" s="106"/>
      <c r="I174" s="106"/>
      <c r="L174" s="143">
        <v>42251</v>
      </c>
      <c r="M174" s="106">
        <v>119.59</v>
      </c>
      <c r="N174" s="106">
        <v>120.73</v>
      </c>
      <c r="O174" s="106">
        <v>117.24</v>
      </c>
      <c r="P174" s="106">
        <v>117.24</v>
      </c>
      <c r="Q174" s="106">
        <v>597.95000000000005</v>
      </c>
      <c r="R174">
        <v>24351</v>
      </c>
    </row>
    <row r="175" spans="1:18" x14ac:dyDescent="0.25">
      <c r="A175" s="143">
        <v>42254</v>
      </c>
      <c r="B175" s="106">
        <v>121.4</v>
      </c>
      <c r="C175" s="106">
        <v>119</v>
      </c>
      <c r="D175" s="106">
        <v>116</v>
      </c>
      <c r="E175" s="106">
        <v>120.99</v>
      </c>
      <c r="F175" s="106">
        <v>595</v>
      </c>
      <c r="G175">
        <v>2823</v>
      </c>
      <c r="H175" s="106"/>
      <c r="I175" s="106"/>
      <c r="L175" s="143">
        <v>42254</v>
      </c>
      <c r="M175" s="106">
        <v>119.04</v>
      </c>
      <c r="N175" s="106">
        <v>121.4</v>
      </c>
      <c r="O175" s="106">
        <v>114.1</v>
      </c>
      <c r="P175" s="106">
        <v>119.98</v>
      </c>
      <c r="Q175" s="106">
        <v>595.20000000000005</v>
      </c>
      <c r="R175">
        <v>26705</v>
      </c>
    </row>
    <row r="176" spans="1:18" x14ac:dyDescent="0.25">
      <c r="A176" s="143">
        <v>42255</v>
      </c>
      <c r="B176" s="106">
        <v>128.47999999999999</v>
      </c>
      <c r="C176" s="106">
        <v>121.97</v>
      </c>
      <c r="D176" s="106">
        <v>116.4</v>
      </c>
      <c r="E176" s="106">
        <v>117</v>
      </c>
      <c r="F176" s="106">
        <v>609.85</v>
      </c>
      <c r="G176">
        <v>10521</v>
      </c>
      <c r="H176" s="106"/>
      <c r="I176" s="106"/>
      <c r="L176" s="143">
        <v>42255</v>
      </c>
      <c r="M176" s="106">
        <v>122.37</v>
      </c>
      <c r="N176" s="106">
        <v>128.78</v>
      </c>
      <c r="O176" s="106">
        <v>116.1</v>
      </c>
      <c r="P176" s="106">
        <v>117</v>
      </c>
      <c r="Q176" s="106">
        <v>611.85</v>
      </c>
      <c r="R176">
        <v>46508</v>
      </c>
    </row>
    <row r="177" spans="1:18" x14ac:dyDescent="0.25">
      <c r="A177" s="143">
        <v>42256</v>
      </c>
      <c r="B177" s="106">
        <v>124.3</v>
      </c>
      <c r="C177" s="106">
        <v>119.79</v>
      </c>
      <c r="D177" s="106">
        <v>118.01</v>
      </c>
      <c r="E177" s="106">
        <v>120</v>
      </c>
      <c r="F177" s="106">
        <v>598.95000000000005</v>
      </c>
      <c r="G177">
        <v>8934</v>
      </c>
      <c r="H177" s="106"/>
      <c r="I177" s="106"/>
      <c r="L177" s="143">
        <v>42256</v>
      </c>
      <c r="M177" s="106">
        <v>119.32</v>
      </c>
      <c r="N177" s="106">
        <v>124.5</v>
      </c>
      <c r="O177" s="106">
        <v>118.13</v>
      </c>
      <c r="P177" s="106">
        <v>123</v>
      </c>
      <c r="Q177" s="106">
        <v>596.6</v>
      </c>
      <c r="R177">
        <v>24103</v>
      </c>
    </row>
    <row r="178" spans="1:18" x14ac:dyDescent="0.25">
      <c r="A178" s="143">
        <v>42257</v>
      </c>
      <c r="B178" s="106">
        <v>125.24</v>
      </c>
      <c r="C178" s="106">
        <v>123.51</v>
      </c>
      <c r="D178" s="106">
        <v>118.5</v>
      </c>
      <c r="E178" s="106">
        <v>119</v>
      </c>
      <c r="F178" s="106">
        <v>617.54999999999995</v>
      </c>
      <c r="G178">
        <v>6979</v>
      </c>
      <c r="H178" s="106"/>
      <c r="I178" s="106"/>
      <c r="L178" s="143">
        <v>42257</v>
      </c>
      <c r="M178" s="106">
        <v>123.61</v>
      </c>
      <c r="N178" s="106">
        <v>125.6</v>
      </c>
      <c r="O178" s="106">
        <v>118.45</v>
      </c>
      <c r="P178" s="106">
        <v>119.8</v>
      </c>
      <c r="Q178" s="106">
        <v>618.04999999999995</v>
      </c>
      <c r="R178">
        <v>30847</v>
      </c>
    </row>
    <row r="179" spans="1:18" x14ac:dyDescent="0.25">
      <c r="A179" s="143">
        <v>42258</v>
      </c>
      <c r="B179" s="106">
        <v>124.9</v>
      </c>
      <c r="C179" s="106">
        <v>123.86</v>
      </c>
      <c r="D179" s="106">
        <v>122.48</v>
      </c>
      <c r="E179" s="106">
        <v>124.85</v>
      </c>
      <c r="F179" s="106">
        <v>619.29999999999995</v>
      </c>
      <c r="G179">
        <v>3215</v>
      </c>
      <c r="H179" s="106"/>
      <c r="I179" s="106"/>
      <c r="L179" s="143">
        <v>42258</v>
      </c>
      <c r="M179" s="106">
        <v>124.05</v>
      </c>
      <c r="N179" s="106">
        <v>126</v>
      </c>
      <c r="O179" s="106">
        <v>123</v>
      </c>
      <c r="P179" s="106">
        <v>126</v>
      </c>
      <c r="Q179" s="106">
        <v>620.25</v>
      </c>
      <c r="R179">
        <v>17787</v>
      </c>
    </row>
    <row r="180" spans="1:18" x14ac:dyDescent="0.25">
      <c r="A180" s="143">
        <v>42261</v>
      </c>
      <c r="B180" s="106">
        <v>126</v>
      </c>
      <c r="C180" s="106">
        <v>122.02</v>
      </c>
      <c r="D180" s="106">
        <v>121.2</v>
      </c>
      <c r="E180" s="106">
        <v>125.2</v>
      </c>
      <c r="F180" s="106">
        <v>610.1</v>
      </c>
      <c r="G180">
        <v>7086</v>
      </c>
      <c r="H180" s="106"/>
      <c r="I180" s="106"/>
      <c r="L180" s="143">
        <v>42261</v>
      </c>
      <c r="M180" s="106">
        <v>122.35</v>
      </c>
      <c r="N180" s="106">
        <v>126.93</v>
      </c>
      <c r="O180" s="106">
        <v>121.7</v>
      </c>
      <c r="P180" s="106">
        <v>126.93</v>
      </c>
      <c r="Q180" s="106">
        <v>611.75</v>
      </c>
      <c r="R180">
        <v>26559</v>
      </c>
    </row>
    <row r="181" spans="1:18" x14ac:dyDescent="0.25">
      <c r="A181" s="143">
        <v>42262</v>
      </c>
      <c r="B181" s="106">
        <v>125</v>
      </c>
      <c r="C181" s="106">
        <v>123.98</v>
      </c>
      <c r="D181" s="106">
        <v>122.51</v>
      </c>
      <c r="E181" s="106">
        <v>123</v>
      </c>
      <c r="F181" s="106">
        <v>619.9</v>
      </c>
      <c r="G181">
        <v>1632</v>
      </c>
      <c r="H181" s="106"/>
      <c r="I181" s="106"/>
      <c r="L181" s="143">
        <v>42262</v>
      </c>
      <c r="M181" s="106">
        <v>123.52</v>
      </c>
      <c r="N181" s="106">
        <v>125.51</v>
      </c>
      <c r="O181" s="106">
        <v>122.16</v>
      </c>
      <c r="P181" s="106">
        <v>123.61</v>
      </c>
      <c r="Q181" s="106">
        <v>617.6</v>
      </c>
      <c r="R181">
        <v>6828</v>
      </c>
    </row>
    <row r="182" spans="1:18" x14ac:dyDescent="0.25">
      <c r="A182" s="143">
        <v>42263</v>
      </c>
      <c r="B182" s="106">
        <v>127.79</v>
      </c>
      <c r="C182" s="106">
        <v>125.77</v>
      </c>
      <c r="D182" s="106">
        <v>124.55</v>
      </c>
      <c r="E182" s="106">
        <v>125</v>
      </c>
      <c r="F182" s="106">
        <v>628.85</v>
      </c>
      <c r="G182">
        <v>1496</v>
      </c>
      <c r="H182" s="106"/>
      <c r="I182" s="106"/>
      <c r="L182" s="143">
        <v>42263</v>
      </c>
      <c r="M182" s="106">
        <v>126.28</v>
      </c>
      <c r="N182" s="106">
        <v>128.36000000000001</v>
      </c>
      <c r="O182" s="106">
        <v>124.7</v>
      </c>
      <c r="P182" s="106">
        <v>126.3</v>
      </c>
      <c r="Q182" s="106">
        <v>631.4</v>
      </c>
      <c r="R182">
        <v>20867</v>
      </c>
    </row>
    <row r="183" spans="1:18" x14ac:dyDescent="0.25">
      <c r="A183" s="143">
        <v>42265</v>
      </c>
      <c r="B183" s="106">
        <v>128.49</v>
      </c>
      <c r="C183" s="106">
        <v>121.77</v>
      </c>
      <c r="D183" s="106">
        <v>118.7</v>
      </c>
      <c r="E183" s="106">
        <v>123.4</v>
      </c>
      <c r="F183" s="106">
        <v>608.85</v>
      </c>
      <c r="G183">
        <v>5970</v>
      </c>
      <c r="H183" s="106"/>
      <c r="I183" s="106"/>
      <c r="L183" s="143">
        <v>42265</v>
      </c>
      <c r="M183" s="106">
        <v>120.85</v>
      </c>
      <c r="N183" s="106">
        <v>128.6</v>
      </c>
      <c r="O183" s="106">
        <v>118.3</v>
      </c>
      <c r="P183" s="106">
        <v>125.2</v>
      </c>
      <c r="Q183" s="106">
        <v>604.25</v>
      </c>
      <c r="R183">
        <v>47230</v>
      </c>
    </row>
    <row r="184" spans="1:18" x14ac:dyDescent="0.25">
      <c r="A184" s="143">
        <v>42268</v>
      </c>
      <c r="B184" s="106">
        <v>124</v>
      </c>
      <c r="C184" s="106">
        <v>120.92</v>
      </c>
      <c r="D184" s="106">
        <v>120.07</v>
      </c>
      <c r="E184" s="106">
        <v>121.5</v>
      </c>
      <c r="F184" s="106">
        <v>604.6</v>
      </c>
      <c r="G184">
        <v>5902</v>
      </c>
      <c r="H184" s="106"/>
      <c r="I184" s="106"/>
      <c r="L184" s="143">
        <v>42268</v>
      </c>
      <c r="M184" s="106">
        <v>120.76</v>
      </c>
      <c r="N184" s="106">
        <v>124</v>
      </c>
      <c r="O184" s="106">
        <v>119.48</v>
      </c>
      <c r="P184" s="106">
        <v>123.18</v>
      </c>
      <c r="Q184" s="106">
        <v>603.79999999999995</v>
      </c>
      <c r="R184">
        <v>35326</v>
      </c>
    </row>
    <row r="185" spans="1:18" x14ac:dyDescent="0.25">
      <c r="A185" s="143">
        <v>42269</v>
      </c>
      <c r="B185" s="106">
        <v>123.25</v>
      </c>
      <c r="C185" s="106">
        <v>121.93</v>
      </c>
      <c r="D185" s="106">
        <v>121.06</v>
      </c>
      <c r="E185" s="106">
        <v>122</v>
      </c>
      <c r="F185" s="106">
        <v>609.65</v>
      </c>
      <c r="G185">
        <v>758</v>
      </c>
      <c r="H185" s="106"/>
      <c r="I185" s="106"/>
      <c r="L185" s="143">
        <v>42269</v>
      </c>
      <c r="M185" s="106">
        <v>122.02</v>
      </c>
      <c r="N185" s="106">
        <v>124.12</v>
      </c>
      <c r="O185" s="106">
        <v>121.2</v>
      </c>
      <c r="P185" s="106">
        <v>122.21</v>
      </c>
      <c r="Q185" s="106">
        <v>610.1</v>
      </c>
      <c r="R185">
        <v>59462</v>
      </c>
    </row>
    <row r="186" spans="1:18" x14ac:dyDescent="0.25">
      <c r="A186" s="143">
        <v>42270</v>
      </c>
      <c r="B186" s="106">
        <v>125.38</v>
      </c>
      <c r="C186" s="106">
        <v>124.36</v>
      </c>
      <c r="D186" s="106">
        <v>120.9</v>
      </c>
      <c r="E186" s="106">
        <v>122.31</v>
      </c>
      <c r="F186" s="106">
        <v>621.79999999999995</v>
      </c>
      <c r="G186">
        <v>1499</v>
      </c>
      <c r="H186" s="106"/>
      <c r="I186" s="106"/>
      <c r="L186" s="143">
        <v>42270</v>
      </c>
      <c r="M186" s="106">
        <v>124.01</v>
      </c>
      <c r="N186" s="106">
        <v>125.4</v>
      </c>
      <c r="O186" s="106">
        <v>121</v>
      </c>
      <c r="P186" s="106">
        <v>122.01</v>
      </c>
      <c r="Q186" s="106">
        <v>620.04999999999995</v>
      </c>
      <c r="R186">
        <v>10938</v>
      </c>
    </row>
    <row r="187" spans="1:18" x14ac:dyDescent="0.25">
      <c r="A187" s="143">
        <v>42271</v>
      </c>
      <c r="B187" s="106">
        <v>128.6</v>
      </c>
      <c r="C187" s="106">
        <v>126.22</v>
      </c>
      <c r="D187" s="106">
        <v>123.02</v>
      </c>
      <c r="E187" s="106">
        <v>124</v>
      </c>
      <c r="F187" s="106">
        <v>631.1</v>
      </c>
      <c r="G187">
        <v>5866</v>
      </c>
      <c r="H187" s="106"/>
      <c r="I187" s="106"/>
      <c r="L187" s="143">
        <v>42271</v>
      </c>
      <c r="M187" s="106">
        <v>125.63</v>
      </c>
      <c r="N187" s="106">
        <v>126.52</v>
      </c>
      <c r="O187" s="106">
        <v>123.13</v>
      </c>
      <c r="P187" s="106">
        <v>124.17</v>
      </c>
      <c r="Q187" s="106">
        <v>628.15</v>
      </c>
      <c r="R187">
        <v>9440</v>
      </c>
    </row>
    <row r="188" spans="1:18" x14ac:dyDescent="0.25">
      <c r="A188" s="143">
        <v>42275</v>
      </c>
      <c r="B188" s="106">
        <v>130.5</v>
      </c>
      <c r="C188" s="106">
        <v>129.66999999999999</v>
      </c>
      <c r="D188" s="106">
        <v>124.5</v>
      </c>
      <c r="E188" s="106">
        <v>124.5</v>
      </c>
      <c r="F188" s="106">
        <v>648.35</v>
      </c>
      <c r="G188">
        <v>8520</v>
      </c>
      <c r="H188" s="106"/>
      <c r="I188" s="106"/>
      <c r="L188" s="143">
        <v>42275</v>
      </c>
      <c r="M188" s="106">
        <v>128.08000000000001</v>
      </c>
      <c r="N188" s="106">
        <v>129.28</v>
      </c>
      <c r="O188" s="106">
        <v>123.12</v>
      </c>
      <c r="P188" s="106">
        <v>123.12</v>
      </c>
      <c r="Q188" s="106">
        <v>640.4</v>
      </c>
      <c r="R188">
        <v>17770</v>
      </c>
    </row>
    <row r="189" spans="1:18" x14ac:dyDescent="0.25">
      <c r="A189" s="143">
        <v>42276</v>
      </c>
      <c r="B189" s="106">
        <v>130.69999999999999</v>
      </c>
      <c r="C189" s="106">
        <v>129.52000000000001</v>
      </c>
      <c r="D189" s="106">
        <v>125.51</v>
      </c>
      <c r="E189" s="106">
        <v>128</v>
      </c>
      <c r="F189" s="106">
        <v>647.6</v>
      </c>
      <c r="G189">
        <v>2809</v>
      </c>
      <c r="H189" s="106"/>
      <c r="I189" s="106"/>
      <c r="L189" s="143">
        <v>42276</v>
      </c>
      <c r="M189" s="106">
        <v>129.38999999999999</v>
      </c>
      <c r="N189" s="106">
        <v>131</v>
      </c>
      <c r="O189" s="106">
        <v>125.1</v>
      </c>
      <c r="P189" s="106">
        <v>127.6</v>
      </c>
      <c r="Q189" s="106">
        <v>646.95000000000005</v>
      </c>
      <c r="R189">
        <v>9805</v>
      </c>
    </row>
    <row r="190" spans="1:18" x14ac:dyDescent="0.25">
      <c r="A190" s="143">
        <v>42277</v>
      </c>
      <c r="B190" s="106">
        <v>131.99</v>
      </c>
      <c r="C190" s="106">
        <v>129.65</v>
      </c>
      <c r="D190" s="106">
        <v>128</v>
      </c>
      <c r="E190" s="106">
        <v>131</v>
      </c>
      <c r="F190" s="106">
        <v>648.25</v>
      </c>
      <c r="G190">
        <v>3292</v>
      </c>
      <c r="H190" s="106"/>
      <c r="I190" s="106"/>
      <c r="L190" s="143">
        <v>42277</v>
      </c>
      <c r="M190" s="106">
        <v>130.27000000000001</v>
      </c>
      <c r="N190" s="106">
        <v>139</v>
      </c>
      <c r="O190" s="106">
        <v>127.6</v>
      </c>
      <c r="P190" s="106">
        <v>127.6</v>
      </c>
      <c r="Q190" s="106">
        <v>651.35</v>
      </c>
      <c r="R190">
        <v>8861</v>
      </c>
    </row>
    <row r="191" spans="1:18" x14ac:dyDescent="0.25">
      <c r="A191" s="143">
        <v>42278</v>
      </c>
      <c r="B191" s="106">
        <v>129.99</v>
      </c>
      <c r="C191" s="106">
        <v>129.4</v>
      </c>
      <c r="D191" s="106">
        <v>126.01</v>
      </c>
      <c r="E191" s="106">
        <v>129.91</v>
      </c>
      <c r="F191" s="106">
        <v>647</v>
      </c>
      <c r="G191">
        <v>3376</v>
      </c>
      <c r="H191" s="106"/>
      <c r="I191" s="106"/>
      <c r="L191" s="143">
        <v>42278</v>
      </c>
      <c r="M191" s="106">
        <v>129.63</v>
      </c>
      <c r="N191" s="106">
        <v>135.59</v>
      </c>
      <c r="O191" s="106">
        <v>126</v>
      </c>
      <c r="P191" s="106">
        <v>128.80000000000001</v>
      </c>
      <c r="Q191" s="106">
        <v>648.15</v>
      </c>
      <c r="R191">
        <v>12709</v>
      </c>
    </row>
    <row r="192" spans="1:18" x14ac:dyDescent="0.25">
      <c r="A192" s="143">
        <v>42282</v>
      </c>
      <c r="B192" s="106">
        <v>130.4</v>
      </c>
      <c r="C192" s="106">
        <v>129.74</v>
      </c>
      <c r="D192" s="106">
        <v>128.19999999999999</v>
      </c>
      <c r="E192" s="106">
        <v>130</v>
      </c>
      <c r="F192" s="106">
        <v>648.70000000000005</v>
      </c>
      <c r="G192">
        <v>3337</v>
      </c>
      <c r="H192" s="106"/>
      <c r="I192" s="106"/>
      <c r="L192" s="143">
        <v>42282</v>
      </c>
      <c r="M192" s="106">
        <v>129.22</v>
      </c>
      <c r="N192" s="106">
        <v>131.19999999999999</v>
      </c>
      <c r="O192" s="106">
        <v>127.8</v>
      </c>
      <c r="P192" s="106">
        <v>130.66999999999999</v>
      </c>
      <c r="Q192" s="106">
        <v>646.1</v>
      </c>
      <c r="R192">
        <v>16428</v>
      </c>
    </row>
    <row r="193" spans="1:18" x14ac:dyDescent="0.25">
      <c r="A193" s="143">
        <v>42283</v>
      </c>
      <c r="B193" s="106">
        <v>130.15</v>
      </c>
      <c r="C193" s="106">
        <v>128.35</v>
      </c>
      <c r="D193" s="106">
        <v>127.02</v>
      </c>
      <c r="E193" s="106">
        <v>128.81</v>
      </c>
      <c r="F193" s="106">
        <v>641.75</v>
      </c>
      <c r="G193">
        <v>2707</v>
      </c>
      <c r="H193" s="106"/>
      <c r="I193" s="106"/>
      <c r="L193" s="143">
        <v>42283</v>
      </c>
      <c r="M193" s="106">
        <v>128.47999999999999</v>
      </c>
      <c r="N193" s="106">
        <v>130.4</v>
      </c>
      <c r="O193" s="106">
        <v>127.1</v>
      </c>
      <c r="P193" s="106">
        <v>128.81</v>
      </c>
      <c r="Q193" s="106">
        <v>642.4</v>
      </c>
      <c r="R193">
        <v>8764</v>
      </c>
    </row>
    <row r="194" spans="1:18" x14ac:dyDescent="0.25">
      <c r="A194" s="143">
        <v>42284</v>
      </c>
      <c r="B194" s="106">
        <v>129.97999999999999</v>
      </c>
      <c r="C194" s="106">
        <v>127.94</v>
      </c>
      <c r="D194" s="106">
        <v>127.19</v>
      </c>
      <c r="E194" s="106">
        <v>128</v>
      </c>
      <c r="F194" s="106">
        <v>639.70000000000005</v>
      </c>
      <c r="G194">
        <v>5482</v>
      </c>
      <c r="H194" s="106"/>
      <c r="I194" s="106"/>
      <c r="L194" s="143">
        <v>42284</v>
      </c>
      <c r="M194" s="106">
        <v>128.28</v>
      </c>
      <c r="N194" s="106">
        <v>129.96</v>
      </c>
      <c r="O194" s="106">
        <v>127</v>
      </c>
      <c r="P194" s="106">
        <v>128.25</v>
      </c>
      <c r="Q194" s="106">
        <v>641.4</v>
      </c>
      <c r="R194">
        <v>15700</v>
      </c>
    </row>
    <row r="195" spans="1:18" x14ac:dyDescent="0.25">
      <c r="A195" s="143">
        <v>42285</v>
      </c>
      <c r="B195" s="106">
        <v>128.80000000000001</v>
      </c>
      <c r="C195" s="106">
        <v>125.95</v>
      </c>
      <c r="D195" s="106">
        <v>125.36</v>
      </c>
      <c r="E195" s="106">
        <v>128.80000000000001</v>
      </c>
      <c r="F195" s="106">
        <v>629.75</v>
      </c>
      <c r="G195">
        <v>3449</v>
      </c>
      <c r="H195" s="106"/>
      <c r="I195" s="106"/>
      <c r="L195" s="143">
        <v>42285</v>
      </c>
      <c r="M195" s="106">
        <v>125.56</v>
      </c>
      <c r="N195" s="106">
        <v>129.19999999999999</v>
      </c>
      <c r="O195" s="106">
        <v>125</v>
      </c>
      <c r="P195" s="106">
        <v>128.09</v>
      </c>
      <c r="Q195" s="106">
        <v>627.79999999999995</v>
      </c>
      <c r="R195">
        <v>15789</v>
      </c>
    </row>
    <row r="196" spans="1:18" x14ac:dyDescent="0.25">
      <c r="A196" s="143">
        <v>42286</v>
      </c>
      <c r="B196" s="106">
        <v>127.98</v>
      </c>
      <c r="C196" s="106">
        <v>123.09</v>
      </c>
      <c r="D196" s="106">
        <v>122.47</v>
      </c>
      <c r="E196" s="106">
        <v>127.88</v>
      </c>
      <c r="F196" s="106">
        <v>615.45000000000005</v>
      </c>
      <c r="G196">
        <v>311209</v>
      </c>
      <c r="H196" s="106"/>
      <c r="I196" s="106"/>
      <c r="L196" s="143">
        <v>42286</v>
      </c>
      <c r="M196" s="106">
        <v>123.71</v>
      </c>
      <c r="N196" s="106">
        <v>127.31</v>
      </c>
      <c r="O196" s="106">
        <v>123.2</v>
      </c>
      <c r="P196" s="106">
        <v>125.2</v>
      </c>
      <c r="Q196" s="106">
        <v>618.54999999999995</v>
      </c>
      <c r="R196">
        <v>14526</v>
      </c>
    </row>
    <row r="197" spans="1:18" x14ac:dyDescent="0.25">
      <c r="A197" s="143">
        <v>42289</v>
      </c>
      <c r="B197" s="106">
        <v>124.63</v>
      </c>
      <c r="C197" s="106">
        <v>123.13</v>
      </c>
      <c r="D197" s="106">
        <v>122.41</v>
      </c>
      <c r="E197" s="106">
        <v>123.49</v>
      </c>
      <c r="F197" s="106">
        <v>615.65</v>
      </c>
      <c r="G197">
        <v>4769</v>
      </c>
      <c r="H197" s="106"/>
      <c r="I197" s="106"/>
      <c r="L197" s="143">
        <v>42289</v>
      </c>
      <c r="M197" s="106">
        <v>123.77</v>
      </c>
      <c r="N197" s="106">
        <v>125.2</v>
      </c>
      <c r="O197" s="106">
        <v>122</v>
      </c>
      <c r="P197" s="106">
        <v>125.2</v>
      </c>
      <c r="Q197" s="106">
        <v>618.85</v>
      </c>
      <c r="R197">
        <v>11189</v>
      </c>
    </row>
    <row r="198" spans="1:18" x14ac:dyDescent="0.25">
      <c r="A198" s="143">
        <v>42290</v>
      </c>
      <c r="B198" s="106">
        <v>124.21</v>
      </c>
      <c r="C198" s="106">
        <v>122.98</v>
      </c>
      <c r="D198" s="106">
        <v>122</v>
      </c>
      <c r="E198" s="106">
        <v>122.6</v>
      </c>
      <c r="F198" s="106">
        <v>614.9</v>
      </c>
      <c r="G198">
        <v>21634</v>
      </c>
      <c r="H198" s="106"/>
      <c r="I198" s="106"/>
      <c r="L198" s="143">
        <v>42290</v>
      </c>
      <c r="M198" s="106">
        <v>122.6</v>
      </c>
      <c r="N198" s="106">
        <v>124.8</v>
      </c>
      <c r="O198" s="106">
        <v>121.66</v>
      </c>
      <c r="P198" s="106">
        <v>122</v>
      </c>
      <c r="Q198" s="106">
        <v>613</v>
      </c>
      <c r="R198">
        <v>18515</v>
      </c>
    </row>
    <row r="199" spans="1:18" x14ac:dyDescent="0.25">
      <c r="A199" s="143">
        <v>42291</v>
      </c>
      <c r="B199" s="106">
        <v>124.85</v>
      </c>
      <c r="C199" s="106">
        <v>124.41</v>
      </c>
      <c r="D199" s="106">
        <v>122.1</v>
      </c>
      <c r="E199" s="106">
        <v>123.43</v>
      </c>
      <c r="F199" s="106">
        <v>622.04999999999995</v>
      </c>
      <c r="G199">
        <v>2976</v>
      </c>
      <c r="H199" s="106"/>
      <c r="I199" s="106"/>
      <c r="L199" s="143">
        <v>42291</v>
      </c>
      <c r="M199" s="106">
        <v>124.11</v>
      </c>
      <c r="N199" s="106">
        <v>124.8</v>
      </c>
      <c r="O199" s="106">
        <v>122.59</v>
      </c>
      <c r="P199" s="106">
        <v>122.65</v>
      </c>
      <c r="Q199" s="106">
        <v>620.54999999999995</v>
      </c>
      <c r="R199">
        <v>17089</v>
      </c>
    </row>
    <row r="200" spans="1:18" x14ac:dyDescent="0.25">
      <c r="A200" s="143">
        <v>42292</v>
      </c>
      <c r="B200" s="106">
        <v>131.99</v>
      </c>
      <c r="C200" s="106">
        <v>123.31</v>
      </c>
      <c r="D200" s="106">
        <v>122.73</v>
      </c>
      <c r="E200" s="106">
        <v>131.99</v>
      </c>
      <c r="F200" s="106">
        <v>616.54999999999995</v>
      </c>
      <c r="G200">
        <v>6854</v>
      </c>
      <c r="H200" s="106"/>
      <c r="I200" s="106"/>
      <c r="L200" s="143">
        <v>42292</v>
      </c>
      <c r="M200" s="106">
        <v>123.73</v>
      </c>
      <c r="N200" s="106">
        <v>125.16</v>
      </c>
      <c r="O200" s="106">
        <v>123.4</v>
      </c>
      <c r="P200" s="106">
        <v>124.41</v>
      </c>
      <c r="Q200" s="106">
        <v>618.65</v>
      </c>
      <c r="R200">
        <v>11946</v>
      </c>
    </row>
    <row r="201" spans="1:18" x14ac:dyDescent="0.25">
      <c r="A201" s="143">
        <v>42293</v>
      </c>
      <c r="B201" s="106">
        <v>125.93</v>
      </c>
      <c r="C201" s="106">
        <v>120.93</v>
      </c>
      <c r="D201" s="106">
        <v>117.91</v>
      </c>
      <c r="E201" s="106">
        <v>124.59</v>
      </c>
      <c r="F201" s="106">
        <v>604.65</v>
      </c>
      <c r="G201">
        <v>895549</v>
      </c>
      <c r="H201" s="106"/>
      <c r="I201" s="106"/>
      <c r="L201" s="143">
        <v>42293</v>
      </c>
      <c r="M201" s="106">
        <v>121.09</v>
      </c>
      <c r="N201" s="106">
        <v>125.79</v>
      </c>
      <c r="O201" s="106">
        <v>117.95</v>
      </c>
      <c r="P201" s="106">
        <v>124</v>
      </c>
      <c r="Q201" s="106">
        <v>605.45000000000005</v>
      </c>
      <c r="R201">
        <v>865557</v>
      </c>
    </row>
    <row r="202" spans="1:18" x14ac:dyDescent="0.25">
      <c r="A202" s="143">
        <v>42296</v>
      </c>
      <c r="B202" s="106">
        <v>129.4</v>
      </c>
      <c r="C202" s="106">
        <v>122.41</v>
      </c>
      <c r="D202" s="106">
        <v>121</v>
      </c>
      <c r="E202" s="106">
        <v>122</v>
      </c>
      <c r="F202" s="106">
        <v>612.04999999999995</v>
      </c>
      <c r="G202">
        <v>12254</v>
      </c>
      <c r="H202" s="106"/>
      <c r="I202" s="106"/>
      <c r="L202" s="143">
        <v>42296</v>
      </c>
      <c r="M202" s="106">
        <v>122.16</v>
      </c>
      <c r="N202" s="106">
        <v>125.35</v>
      </c>
      <c r="O202" s="106">
        <v>121.2</v>
      </c>
      <c r="P202" s="106">
        <v>122.3</v>
      </c>
      <c r="Q202" s="106">
        <v>610.79999999999995</v>
      </c>
      <c r="R202">
        <v>28329</v>
      </c>
    </row>
    <row r="203" spans="1:18" x14ac:dyDescent="0.25">
      <c r="A203" s="143">
        <v>42297</v>
      </c>
      <c r="B203" s="106">
        <v>125.8</v>
      </c>
      <c r="C203" s="106">
        <v>119.36</v>
      </c>
      <c r="D203" s="106">
        <v>118</v>
      </c>
      <c r="E203" s="106">
        <v>125.8</v>
      </c>
      <c r="F203" s="106">
        <v>596.79999999999995</v>
      </c>
      <c r="G203">
        <v>337318</v>
      </c>
      <c r="H203" s="106"/>
      <c r="I203" s="106"/>
      <c r="L203" s="143">
        <v>42297</v>
      </c>
      <c r="M203" s="106">
        <v>119.41</v>
      </c>
      <c r="N203" s="106">
        <v>123.38</v>
      </c>
      <c r="O203" s="106">
        <v>118</v>
      </c>
      <c r="P203" s="106">
        <v>122.39</v>
      </c>
      <c r="Q203" s="106">
        <v>597.04999999999995</v>
      </c>
      <c r="R203">
        <v>905567</v>
      </c>
    </row>
    <row r="204" spans="1:18" x14ac:dyDescent="0.25">
      <c r="A204" s="143">
        <v>42298</v>
      </c>
      <c r="B204" s="106">
        <v>122.6</v>
      </c>
      <c r="C204" s="106">
        <v>120.07</v>
      </c>
      <c r="D204" s="106">
        <v>120</v>
      </c>
      <c r="E204" s="106">
        <v>120.75</v>
      </c>
      <c r="F204" s="106">
        <v>600.35</v>
      </c>
      <c r="G204">
        <v>10961</v>
      </c>
      <c r="H204" s="106"/>
      <c r="I204" s="106"/>
      <c r="L204" s="143">
        <v>42298</v>
      </c>
      <c r="M204" s="106">
        <v>120.07</v>
      </c>
      <c r="N204" s="106">
        <v>122.54</v>
      </c>
      <c r="O204" s="106">
        <v>119.8</v>
      </c>
      <c r="P204" s="106">
        <v>119.8</v>
      </c>
      <c r="Q204" s="106">
        <v>600.35</v>
      </c>
      <c r="R204">
        <v>35936</v>
      </c>
    </row>
    <row r="205" spans="1:18" x14ac:dyDescent="0.25">
      <c r="A205" s="143">
        <v>42300</v>
      </c>
      <c r="B205" s="106">
        <v>121.45</v>
      </c>
      <c r="C205" s="106">
        <v>119.27</v>
      </c>
      <c r="D205" s="106">
        <v>119</v>
      </c>
      <c r="E205" s="106">
        <v>120.2</v>
      </c>
      <c r="F205" s="106">
        <v>596.35</v>
      </c>
      <c r="G205">
        <v>6388</v>
      </c>
      <c r="H205" s="106"/>
      <c r="I205" s="106"/>
      <c r="L205" s="143">
        <v>42300</v>
      </c>
      <c r="M205" s="106">
        <v>119.14</v>
      </c>
      <c r="N205" s="106">
        <v>121.4</v>
      </c>
      <c r="O205" s="106">
        <v>119</v>
      </c>
      <c r="P205" s="106">
        <v>121.38</v>
      </c>
      <c r="Q205" s="106">
        <v>595.70000000000005</v>
      </c>
      <c r="R205">
        <v>27252</v>
      </c>
    </row>
    <row r="206" spans="1:18" x14ac:dyDescent="0.25">
      <c r="A206" s="143">
        <v>42303</v>
      </c>
      <c r="B206" s="106">
        <v>122.97</v>
      </c>
      <c r="C206" s="106">
        <v>120.36</v>
      </c>
      <c r="D206" s="106">
        <v>120.01</v>
      </c>
      <c r="E206" s="106">
        <v>121.49</v>
      </c>
      <c r="F206" s="106">
        <v>601.79999999999995</v>
      </c>
      <c r="G206">
        <v>8969</v>
      </c>
      <c r="H206" s="106"/>
      <c r="I206" s="106"/>
      <c r="L206" s="143">
        <v>42303</v>
      </c>
      <c r="M206" s="106">
        <v>120.38</v>
      </c>
      <c r="N206" s="106">
        <v>122.9</v>
      </c>
      <c r="O206" s="106">
        <v>119.8</v>
      </c>
      <c r="P206" s="106">
        <v>121.8</v>
      </c>
      <c r="Q206" s="106">
        <v>601.9</v>
      </c>
      <c r="R206">
        <v>143880</v>
      </c>
    </row>
    <row r="207" spans="1:18" x14ac:dyDescent="0.25">
      <c r="A207" s="143">
        <v>42304</v>
      </c>
      <c r="B207" s="106">
        <v>121.12</v>
      </c>
      <c r="C207" s="106">
        <v>120.24</v>
      </c>
      <c r="D207" s="106">
        <v>119.35</v>
      </c>
      <c r="E207" s="106">
        <v>120</v>
      </c>
      <c r="F207" s="106">
        <v>601.20000000000005</v>
      </c>
      <c r="G207">
        <v>3520</v>
      </c>
      <c r="H207" s="106"/>
      <c r="I207" s="106"/>
      <c r="L207" s="143">
        <v>42304</v>
      </c>
      <c r="M207" s="106">
        <v>120.4</v>
      </c>
      <c r="N207" s="106">
        <v>121.98</v>
      </c>
      <c r="O207" s="106">
        <v>119.4</v>
      </c>
      <c r="P207" s="106">
        <v>119.99</v>
      </c>
      <c r="Q207" s="106">
        <v>602</v>
      </c>
      <c r="R207">
        <v>32597</v>
      </c>
    </row>
    <row r="208" spans="1:18" x14ac:dyDescent="0.25">
      <c r="A208" s="143">
        <v>42305</v>
      </c>
      <c r="B208" s="106">
        <v>126.55</v>
      </c>
      <c r="C208" s="106">
        <v>123.1</v>
      </c>
      <c r="D208" s="106">
        <v>120.59</v>
      </c>
      <c r="E208" s="106">
        <v>120.99</v>
      </c>
      <c r="F208" s="106">
        <v>615.5</v>
      </c>
      <c r="G208">
        <v>18597</v>
      </c>
      <c r="H208" s="106"/>
      <c r="I208" s="106"/>
      <c r="L208" s="143">
        <v>42305</v>
      </c>
      <c r="M208" s="106">
        <v>123.24</v>
      </c>
      <c r="N208" s="106">
        <v>126.41</v>
      </c>
      <c r="O208" s="106">
        <v>120</v>
      </c>
      <c r="P208" s="106">
        <v>121.59</v>
      </c>
      <c r="Q208" s="106">
        <v>616.20000000000005</v>
      </c>
      <c r="R208">
        <v>390883</v>
      </c>
    </row>
    <row r="209" spans="1:18" x14ac:dyDescent="0.25">
      <c r="A209" s="143">
        <v>42306</v>
      </c>
      <c r="B209" s="106">
        <v>126.95</v>
      </c>
      <c r="C209" s="106">
        <v>125.88</v>
      </c>
      <c r="D209" s="106">
        <v>123.8</v>
      </c>
      <c r="E209" s="106">
        <v>123.8</v>
      </c>
      <c r="F209" s="106">
        <v>629.4</v>
      </c>
      <c r="G209">
        <v>8000</v>
      </c>
      <c r="H209" s="106"/>
      <c r="I209" s="106"/>
      <c r="L209" s="143">
        <v>42306</v>
      </c>
      <c r="M209" s="106">
        <v>125.87</v>
      </c>
      <c r="N209" s="106">
        <v>127.01</v>
      </c>
      <c r="O209" s="106">
        <v>123.55</v>
      </c>
      <c r="P209" s="106">
        <v>125</v>
      </c>
      <c r="Q209" s="106">
        <v>629.35</v>
      </c>
      <c r="R209">
        <v>80959</v>
      </c>
    </row>
    <row r="210" spans="1:18" x14ac:dyDescent="0.25">
      <c r="A210" s="143">
        <v>42307</v>
      </c>
      <c r="B210" s="106">
        <v>126.8</v>
      </c>
      <c r="C210" s="106">
        <v>124.33</v>
      </c>
      <c r="D210" s="106">
        <v>122.29</v>
      </c>
      <c r="E210" s="106">
        <v>124.83</v>
      </c>
      <c r="F210" s="106">
        <v>621.65</v>
      </c>
      <c r="G210">
        <v>4896</v>
      </c>
      <c r="H210" s="106"/>
      <c r="I210" s="106"/>
      <c r="L210" s="143">
        <v>42307</v>
      </c>
      <c r="M210" s="106">
        <v>124.27</v>
      </c>
      <c r="N210" s="106">
        <v>127.18</v>
      </c>
      <c r="O210" s="106">
        <v>122.01</v>
      </c>
      <c r="P210" s="106">
        <v>125.21</v>
      </c>
      <c r="Q210" s="106">
        <v>621.35</v>
      </c>
      <c r="R210">
        <v>409347</v>
      </c>
    </row>
    <row r="211" spans="1:18" x14ac:dyDescent="0.25">
      <c r="A211" s="143">
        <v>42310</v>
      </c>
      <c r="B211" s="106">
        <v>128.80000000000001</v>
      </c>
      <c r="C211" s="106">
        <v>125.88</v>
      </c>
      <c r="D211" s="106">
        <v>124.4</v>
      </c>
      <c r="E211" s="106">
        <v>125</v>
      </c>
      <c r="F211" s="106">
        <v>629.4</v>
      </c>
      <c r="G211">
        <v>3315</v>
      </c>
      <c r="H211" s="106"/>
      <c r="I211" s="106"/>
      <c r="L211" s="143">
        <v>42310</v>
      </c>
      <c r="M211" s="106">
        <v>125.68</v>
      </c>
      <c r="N211" s="106">
        <v>128.97</v>
      </c>
      <c r="O211" s="106">
        <v>124.2</v>
      </c>
      <c r="P211" s="106">
        <v>124.4</v>
      </c>
      <c r="Q211" s="106">
        <v>628.4</v>
      </c>
      <c r="R211">
        <v>43824</v>
      </c>
    </row>
    <row r="212" spans="1:18" x14ac:dyDescent="0.25">
      <c r="A212" s="143">
        <v>42311</v>
      </c>
      <c r="B212" s="106">
        <v>128.36000000000001</v>
      </c>
      <c r="C212" s="106">
        <v>127.5</v>
      </c>
      <c r="D212" s="106">
        <v>125.96</v>
      </c>
      <c r="E212" s="106">
        <v>126</v>
      </c>
      <c r="F212" s="106">
        <v>637.5</v>
      </c>
      <c r="G212">
        <v>1760</v>
      </c>
      <c r="H212" s="106"/>
      <c r="I212" s="106"/>
      <c r="L212" s="143">
        <v>42311</v>
      </c>
      <c r="M212" s="106">
        <v>128</v>
      </c>
      <c r="N212" s="106">
        <v>128.99</v>
      </c>
      <c r="O212" s="106">
        <v>125.42</v>
      </c>
      <c r="P212" s="106">
        <v>126.43</v>
      </c>
      <c r="Q212" s="106">
        <v>640</v>
      </c>
      <c r="R212">
        <v>83535</v>
      </c>
    </row>
    <row r="213" spans="1:18" x14ac:dyDescent="0.25">
      <c r="A213" s="143">
        <v>42312</v>
      </c>
      <c r="B213" s="106">
        <v>129.19999999999999</v>
      </c>
      <c r="C213" s="106">
        <v>128.16</v>
      </c>
      <c r="D213" s="106">
        <v>127</v>
      </c>
      <c r="E213" s="106">
        <v>128.62</v>
      </c>
      <c r="F213" s="106">
        <v>640.79999999999995</v>
      </c>
      <c r="G213">
        <v>2826</v>
      </c>
      <c r="H213" s="106"/>
      <c r="I213" s="106"/>
      <c r="L213" s="143">
        <v>42312</v>
      </c>
      <c r="M213" s="106">
        <v>128.57</v>
      </c>
      <c r="N213" s="106">
        <v>129.80000000000001</v>
      </c>
      <c r="O213" s="106">
        <v>127</v>
      </c>
      <c r="P213" s="106">
        <v>128.79</v>
      </c>
      <c r="Q213" s="106">
        <v>642.85</v>
      </c>
      <c r="R213">
        <v>44390</v>
      </c>
    </row>
    <row r="214" spans="1:18" x14ac:dyDescent="0.25">
      <c r="A214" s="143">
        <v>42313</v>
      </c>
      <c r="B214" s="106">
        <v>129</v>
      </c>
      <c r="C214" s="106">
        <v>124.11</v>
      </c>
      <c r="D214" s="106">
        <v>123.2</v>
      </c>
      <c r="E214" s="106">
        <v>128.4</v>
      </c>
      <c r="F214" s="106">
        <v>620.54999999999995</v>
      </c>
      <c r="G214">
        <v>2610</v>
      </c>
      <c r="H214" s="106"/>
      <c r="I214" s="106"/>
      <c r="L214" s="143">
        <v>42313</v>
      </c>
      <c r="M214" s="106">
        <v>124.5</v>
      </c>
      <c r="N214" s="106">
        <v>129</v>
      </c>
      <c r="O214" s="106">
        <v>123.23</v>
      </c>
      <c r="P214" s="106">
        <v>128.84</v>
      </c>
      <c r="Q214" s="106">
        <v>622.5</v>
      </c>
      <c r="R214">
        <v>26107</v>
      </c>
    </row>
    <row r="215" spans="1:18" x14ac:dyDescent="0.25">
      <c r="A215" s="143">
        <v>42314</v>
      </c>
      <c r="B215" s="106">
        <v>124</v>
      </c>
      <c r="C215" s="106">
        <v>122.84</v>
      </c>
      <c r="D215" s="106">
        <v>122</v>
      </c>
      <c r="E215" s="106">
        <v>124</v>
      </c>
      <c r="F215" s="106">
        <v>614.20000000000005</v>
      </c>
      <c r="G215">
        <v>920</v>
      </c>
      <c r="H215" s="106"/>
      <c r="I215" s="106"/>
      <c r="L215" s="143">
        <v>42314</v>
      </c>
      <c r="M215" s="106">
        <v>122.59</v>
      </c>
      <c r="N215" s="106">
        <v>125.01</v>
      </c>
      <c r="O215" s="106">
        <v>121.78</v>
      </c>
      <c r="P215" s="106">
        <v>123.78</v>
      </c>
      <c r="Q215" s="106">
        <v>612.95000000000005</v>
      </c>
      <c r="R215">
        <v>14802</v>
      </c>
    </row>
    <row r="216" spans="1:18" x14ac:dyDescent="0.25">
      <c r="A216" s="143">
        <v>42317</v>
      </c>
      <c r="B216" s="106">
        <v>124.99</v>
      </c>
      <c r="C216" s="106">
        <v>123.85</v>
      </c>
      <c r="D216" s="106">
        <v>118.9</v>
      </c>
      <c r="E216" s="106">
        <v>120.6</v>
      </c>
      <c r="F216" s="106">
        <v>619.25</v>
      </c>
      <c r="G216">
        <v>1543</v>
      </c>
      <c r="H216" s="106"/>
      <c r="I216" s="106"/>
      <c r="L216" s="143">
        <v>42317</v>
      </c>
      <c r="M216" s="106">
        <v>123.98</v>
      </c>
      <c r="N216" s="106">
        <v>124.8</v>
      </c>
      <c r="O216" s="106">
        <v>119.2</v>
      </c>
      <c r="P216" s="106">
        <v>120</v>
      </c>
      <c r="Q216" s="106">
        <v>619.9</v>
      </c>
      <c r="R216">
        <v>19343</v>
      </c>
    </row>
    <row r="217" spans="1:18" x14ac:dyDescent="0.25">
      <c r="A217" s="143">
        <v>42318</v>
      </c>
      <c r="B217" s="106">
        <v>124.27</v>
      </c>
      <c r="C217" s="106">
        <v>121.16</v>
      </c>
      <c r="D217" s="106">
        <v>120.7</v>
      </c>
      <c r="E217" s="106">
        <v>124.01</v>
      </c>
      <c r="F217" s="106">
        <v>605.79999999999995</v>
      </c>
      <c r="G217">
        <v>863</v>
      </c>
      <c r="H217" s="106"/>
      <c r="I217" s="106"/>
      <c r="L217" s="143">
        <v>42318</v>
      </c>
      <c r="M217" s="106">
        <v>121.13</v>
      </c>
      <c r="N217" s="106">
        <v>125.06</v>
      </c>
      <c r="O217" s="106">
        <v>120.9</v>
      </c>
      <c r="P217" s="106">
        <v>125.06</v>
      </c>
      <c r="Q217" s="106">
        <v>605.65</v>
      </c>
      <c r="R217">
        <v>20567</v>
      </c>
    </row>
    <row r="218" spans="1:18" x14ac:dyDescent="0.25">
      <c r="A218" s="143">
        <v>42319</v>
      </c>
      <c r="B218" s="106">
        <v>125.36</v>
      </c>
      <c r="C218" s="106">
        <v>124.26</v>
      </c>
      <c r="D218" s="106">
        <v>122.22</v>
      </c>
      <c r="E218" s="106">
        <v>124</v>
      </c>
      <c r="F218" s="106">
        <v>621.29999999999995</v>
      </c>
      <c r="G218">
        <v>824</v>
      </c>
      <c r="H218" s="106"/>
      <c r="I218" s="106"/>
      <c r="L218" s="143">
        <v>42319</v>
      </c>
      <c r="M218" s="106">
        <v>123.9</v>
      </c>
      <c r="N218" s="106">
        <v>125</v>
      </c>
      <c r="O218" s="106">
        <v>121.84</v>
      </c>
      <c r="P218" s="106">
        <v>122.64</v>
      </c>
      <c r="Q218" s="106">
        <v>619.5</v>
      </c>
      <c r="R218">
        <v>3867</v>
      </c>
    </row>
    <row r="219" spans="1:18" x14ac:dyDescent="0.25">
      <c r="A219" s="143">
        <v>42321</v>
      </c>
      <c r="B219" s="106">
        <v>125</v>
      </c>
      <c r="C219" s="106">
        <v>122.5</v>
      </c>
      <c r="D219" s="106">
        <v>120.2</v>
      </c>
      <c r="E219" s="106">
        <v>123.8</v>
      </c>
      <c r="F219" s="106">
        <v>612.5</v>
      </c>
      <c r="G219">
        <v>666</v>
      </c>
      <c r="H219" s="106"/>
      <c r="I219" s="106"/>
      <c r="L219" s="143">
        <v>42321</v>
      </c>
      <c r="M219" s="106">
        <v>122.12</v>
      </c>
      <c r="N219" s="106">
        <v>124.92</v>
      </c>
      <c r="O219" s="106">
        <v>121.71</v>
      </c>
      <c r="P219" s="106">
        <v>124.92</v>
      </c>
      <c r="Q219" s="106">
        <v>610.6</v>
      </c>
      <c r="R219">
        <v>10614</v>
      </c>
    </row>
    <row r="220" spans="1:18" x14ac:dyDescent="0.25">
      <c r="A220" s="143">
        <v>42324</v>
      </c>
      <c r="B220" s="106">
        <v>123</v>
      </c>
      <c r="C220" s="106">
        <v>122.15</v>
      </c>
      <c r="D220" s="106">
        <v>121</v>
      </c>
      <c r="E220" s="106">
        <v>122.46</v>
      </c>
      <c r="F220" s="106">
        <v>610.75</v>
      </c>
      <c r="G220">
        <v>812</v>
      </c>
      <c r="H220" s="106"/>
      <c r="I220" s="106"/>
      <c r="L220" s="143">
        <v>42324</v>
      </c>
      <c r="M220" s="106">
        <v>121.9</v>
      </c>
      <c r="N220" s="106">
        <v>123.64</v>
      </c>
      <c r="O220" s="106">
        <v>121.23</v>
      </c>
      <c r="P220" s="106">
        <v>123</v>
      </c>
      <c r="Q220" s="106">
        <v>609.5</v>
      </c>
      <c r="R220">
        <v>13537</v>
      </c>
    </row>
    <row r="221" spans="1:18" x14ac:dyDescent="0.25">
      <c r="A221" s="143">
        <v>42325</v>
      </c>
      <c r="B221" s="106">
        <v>123.2</v>
      </c>
      <c r="C221" s="106">
        <v>122.07</v>
      </c>
      <c r="D221" s="106">
        <v>120.41</v>
      </c>
      <c r="E221" s="106">
        <v>122.63</v>
      </c>
      <c r="F221" s="106">
        <v>610.35</v>
      </c>
      <c r="G221">
        <v>4250</v>
      </c>
      <c r="H221" s="106"/>
      <c r="I221" s="106"/>
      <c r="L221" s="143">
        <v>42325</v>
      </c>
      <c r="M221" s="106">
        <v>121.54</v>
      </c>
      <c r="N221" s="106">
        <v>123.99</v>
      </c>
      <c r="O221" s="106">
        <v>120.6</v>
      </c>
      <c r="P221" s="106">
        <v>123.99</v>
      </c>
      <c r="Q221" s="106">
        <v>607.70000000000005</v>
      </c>
      <c r="R221">
        <v>29798</v>
      </c>
    </row>
    <row r="222" spans="1:18" x14ac:dyDescent="0.25">
      <c r="A222" s="143">
        <v>42326</v>
      </c>
      <c r="B222" s="106">
        <v>121.78</v>
      </c>
      <c r="C222" s="106">
        <v>120.95</v>
      </c>
      <c r="D222" s="106">
        <v>119.5</v>
      </c>
      <c r="E222" s="106">
        <v>121.78</v>
      </c>
      <c r="F222" s="106">
        <v>604.75</v>
      </c>
      <c r="G222">
        <v>994</v>
      </c>
      <c r="H222" s="106"/>
      <c r="I222" s="106"/>
      <c r="L222" s="143">
        <v>42326</v>
      </c>
      <c r="M222" s="106">
        <v>120.68</v>
      </c>
      <c r="N222" s="106">
        <v>121.55</v>
      </c>
      <c r="O222" s="106">
        <v>119.8</v>
      </c>
      <c r="P222" s="106">
        <v>121.55</v>
      </c>
      <c r="Q222" s="106">
        <v>603.4</v>
      </c>
      <c r="R222">
        <v>63775</v>
      </c>
    </row>
    <row r="223" spans="1:18" x14ac:dyDescent="0.25">
      <c r="A223" s="143">
        <v>42327</v>
      </c>
      <c r="B223" s="106">
        <v>122</v>
      </c>
      <c r="C223" s="106">
        <v>120.98</v>
      </c>
      <c r="D223" s="106">
        <v>120</v>
      </c>
      <c r="E223" s="106">
        <v>120</v>
      </c>
      <c r="F223" s="106">
        <v>604.9</v>
      </c>
      <c r="G223">
        <v>1293</v>
      </c>
      <c r="H223" s="106"/>
      <c r="I223" s="106"/>
      <c r="L223" s="143">
        <v>42327</v>
      </c>
      <c r="M223" s="106">
        <v>121.48</v>
      </c>
      <c r="N223" s="106">
        <v>122.36</v>
      </c>
      <c r="O223" s="106">
        <v>120</v>
      </c>
      <c r="P223" s="106">
        <v>121.54</v>
      </c>
      <c r="Q223" s="106">
        <v>607.4</v>
      </c>
      <c r="R223">
        <v>9592</v>
      </c>
    </row>
    <row r="224" spans="1:18" x14ac:dyDescent="0.25">
      <c r="A224" s="143">
        <v>42328</v>
      </c>
      <c r="B224" s="106">
        <v>128.80000000000001</v>
      </c>
      <c r="C224" s="106">
        <v>127.14</v>
      </c>
      <c r="D224" s="106">
        <v>121</v>
      </c>
      <c r="E224" s="106">
        <v>121.75</v>
      </c>
      <c r="F224" s="106">
        <v>635.70000000000005</v>
      </c>
      <c r="G224">
        <v>1930</v>
      </c>
      <c r="H224" s="106"/>
      <c r="I224" s="106"/>
      <c r="L224" s="143">
        <v>42328</v>
      </c>
      <c r="M224" s="106">
        <v>127.99</v>
      </c>
      <c r="N224" s="106">
        <v>129.26</v>
      </c>
      <c r="O224" s="106">
        <v>120.98</v>
      </c>
      <c r="P224" s="106">
        <v>121.4</v>
      </c>
      <c r="Q224" s="106">
        <v>639.95000000000005</v>
      </c>
      <c r="R224">
        <v>39421</v>
      </c>
    </row>
    <row r="225" spans="1:18" x14ac:dyDescent="0.25">
      <c r="A225" s="143">
        <v>42331</v>
      </c>
      <c r="B225" s="106">
        <v>129</v>
      </c>
      <c r="C225" s="106">
        <v>127.81</v>
      </c>
      <c r="D225" s="106">
        <v>125.64</v>
      </c>
      <c r="E225" s="106">
        <v>129</v>
      </c>
      <c r="F225" s="106">
        <v>639.04999999999995</v>
      </c>
      <c r="G225">
        <v>1503</v>
      </c>
      <c r="H225" s="106"/>
      <c r="I225" s="106"/>
      <c r="L225" s="143">
        <v>42331</v>
      </c>
      <c r="M225" s="106">
        <v>127.04</v>
      </c>
      <c r="N225" s="106">
        <v>129.6</v>
      </c>
      <c r="O225" s="106">
        <v>124</v>
      </c>
      <c r="P225" s="106">
        <v>127.41</v>
      </c>
      <c r="Q225" s="106">
        <v>635.20000000000005</v>
      </c>
      <c r="R225">
        <v>403021</v>
      </c>
    </row>
    <row r="226" spans="1:18" x14ac:dyDescent="0.25">
      <c r="A226" s="143">
        <v>42332</v>
      </c>
      <c r="B226" s="106">
        <v>129.38</v>
      </c>
      <c r="C226" s="106">
        <v>128.01</v>
      </c>
      <c r="D226" s="106">
        <v>126</v>
      </c>
      <c r="E226" s="106">
        <v>126.88</v>
      </c>
      <c r="F226" s="106">
        <v>640.04999999999995</v>
      </c>
      <c r="G226">
        <v>30815</v>
      </c>
      <c r="H226" s="106"/>
      <c r="I226" s="106"/>
      <c r="L226" s="143">
        <v>42332</v>
      </c>
      <c r="M226" s="106">
        <v>128.61000000000001</v>
      </c>
      <c r="N226" s="106">
        <v>129.99</v>
      </c>
      <c r="O226" s="106">
        <v>125.61</v>
      </c>
      <c r="P226" s="106">
        <v>126.49</v>
      </c>
      <c r="Q226" s="106">
        <v>643.04999999999995</v>
      </c>
      <c r="R226">
        <v>13716</v>
      </c>
    </row>
    <row r="227" spans="1:18" x14ac:dyDescent="0.25">
      <c r="A227" s="143">
        <v>42334</v>
      </c>
      <c r="B227" s="106">
        <v>129</v>
      </c>
      <c r="C227" s="106">
        <v>128.13</v>
      </c>
      <c r="D227" s="106">
        <v>126.02</v>
      </c>
      <c r="E227" s="106">
        <v>129</v>
      </c>
      <c r="F227" s="106">
        <v>640.65</v>
      </c>
      <c r="G227">
        <v>777</v>
      </c>
      <c r="H227" s="106"/>
      <c r="I227" s="106"/>
      <c r="L227" s="143">
        <v>42334</v>
      </c>
      <c r="M227" s="106">
        <v>127.99</v>
      </c>
      <c r="N227" s="106">
        <v>130.99</v>
      </c>
      <c r="O227" s="106">
        <v>126.32</v>
      </c>
      <c r="P227" s="106">
        <v>129</v>
      </c>
      <c r="Q227" s="106">
        <v>639.95000000000005</v>
      </c>
      <c r="R227">
        <v>269951</v>
      </c>
    </row>
    <row r="228" spans="1:18" x14ac:dyDescent="0.25">
      <c r="A228" s="143">
        <v>42335</v>
      </c>
      <c r="B228" s="106">
        <v>130.26</v>
      </c>
      <c r="C228" s="106">
        <v>129.16999999999999</v>
      </c>
      <c r="D228" s="106">
        <v>128</v>
      </c>
      <c r="E228" s="106">
        <v>129</v>
      </c>
      <c r="F228" s="106">
        <v>645.85</v>
      </c>
      <c r="G228">
        <v>891</v>
      </c>
      <c r="H228" s="106"/>
      <c r="I228" s="106"/>
      <c r="L228" s="143">
        <v>42335</v>
      </c>
      <c r="M228" s="106">
        <v>129.6</v>
      </c>
      <c r="N228" s="106">
        <v>130</v>
      </c>
      <c r="O228" s="106">
        <v>127.87</v>
      </c>
      <c r="P228" s="106">
        <v>128.4</v>
      </c>
      <c r="Q228" s="106">
        <v>648</v>
      </c>
      <c r="R228">
        <v>9333</v>
      </c>
    </row>
    <row r="229" spans="1:18" x14ac:dyDescent="0.25">
      <c r="A229" s="143">
        <v>42338</v>
      </c>
      <c r="B229" s="106">
        <v>130</v>
      </c>
      <c r="C229" s="106">
        <v>128.57</v>
      </c>
      <c r="D229" s="106">
        <v>128</v>
      </c>
      <c r="E229" s="106">
        <v>129.19999999999999</v>
      </c>
      <c r="F229" s="106">
        <v>642.85</v>
      </c>
      <c r="G229">
        <v>946</v>
      </c>
      <c r="H229" s="106"/>
      <c r="I229" s="106"/>
      <c r="L229" s="143">
        <v>42338</v>
      </c>
      <c r="M229" s="106">
        <v>129.08000000000001</v>
      </c>
      <c r="N229" s="106">
        <v>130.5</v>
      </c>
      <c r="O229" s="106">
        <v>126.09</v>
      </c>
      <c r="P229" s="106">
        <v>129.55000000000001</v>
      </c>
      <c r="Q229" s="106">
        <v>645.4</v>
      </c>
      <c r="R229">
        <v>62570</v>
      </c>
    </row>
    <row r="230" spans="1:18" x14ac:dyDescent="0.25">
      <c r="A230" s="143">
        <v>42339</v>
      </c>
      <c r="B230" s="106">
        <v>129.80000000000001</v>
      </c>
      <c r="C230" s="106">
        <v>128.03</v>
      </c>
      <c r="D230" s="106">
        <v>127.8</v>
      </c>
      <c r="E230" s="106">
        <v>128.69999999999999</v>
      </c>
      <c r="F230" s="106">
        <v>640.15</v>
      </c>
      <c r="G230">
        <v>27296</v>
      </c>
      <c r="H230" s="106"/>
      <c r="I230" s="106"/>
      <c r="L230" s="143">
        <v>42339</v>
      </c>
      <c r="M230" s="106">
        <v>128.46</v>
      </c>
      <c r="N230" s="106">
        <v>130</v>
      </c>
      <c r="O230" s="106">
        <v>127.25</v>
      </c>
      <c r="P230" s="106">
        <v>129.81</v>
      </c>
      <c r="Q230" s="106">
        <v>642.29999999999995</v>
      </c>
      <c r="R230">
        <v>51867</v>
      </c>
    </row>
    <row r="231" spans="1:18" x14ac:dyDescent="0.25">
      <c r="A231" s="143">
        <v>42340</v>
      </c>
      <c r="B231" s="106">
        <v>129.6</v>
      </c>
      <c r="C231" s="106">
        <v>127.2</v>
      </c>
      <c r="D231" s="106">
        <v>125.58</v>
      </c>
      <c r="E231" s="106">
        <v>128.4</v>
      </c>
      <c r="F231" s="106">
        <v>636</v>
      </c>
      <c r="G231">
        <v>898</v>
      </c>
      <c r="H231" s="106"/>
      <c r="I231" s="106"/>
      <c r="L231" s="143">
        <v>42340</v>
      </c>
      <c r="M231" s="106">
        <v>125.98</v>
      </c>
      <c r="N231" s="106">
        <v>129.22</v>
      </c>
      <c r="O231" s="106">
        <v>125.44</v>
      </c>
      <c r="P231" s="106">
        <v>127.95</v>
      </c>
      <c r="Q231" s="106">
        <v>629.9</v>
      </c>
      <c r="R231">
        <v>40501</v>
      </c>
    </row>
    <row r="232" spans="1:18" x14ac:dyDescent="0.25">
      <c r="A232" s="143">
        <v>42341</v>
      </c>
      <c r="B232" s="106">
        <v>128</v>
      </c>
      <c r="C232" s="106">
        <v>125.53</v>
      </c>
      <c r="D232" s="106">
        <v>124</v>
      </c>
      <c r="E232" s="106">
        <v>127.2</v>
      </c>
      <c r="F232" s="106">
        <v>627.65</v>
      </c>
      <c r="G232">
        <v>766</v>
      </c>
      <c r="H232" s="106"/>
      <c r="I232" s="106"/>
      <c r="L232" s="143">
        <v>42341</v>
      </c>
      <c r="M232" s="106">
        <v>124.99</v>
      </c>
      <c r="N232" s="106">
        <v>128.79</v>
      </c>
      <c r="O232" s="106">
        <v>124.33</v>
      </c>
      <c r="P232" s="106">
        <v>127.9</v>
      </c>
      <c r="Q232" s="106">
        <v>624.95000000000005</v>
      </c>
      <c r="R232">
        <v>46777</v>
      </c>
    </row>
    <row r="233" spans="1:18" x14ac:dyDescent="0.25">
      <c r="A233" s="143">
        <v>42342</v>
      </c>
      <c r="B233" s="106">
        <v>127.8</v>
      </c>
      <c r="C233" s="106">
        <v>125.89</v>
      </c>
      <c r="D233" s="106">
        <v>125</v>
      </c>
      <c r="E233" s="106">
        <v>126</v>
      </c>
      <c r="F233" s="106">
        <v>629.45000000000005</v>
      </c>
      <c r="G233">
        <v>3789</v>
      </c>
      <c r="H233" s="106"/>
      <c r="I233" s="106"/>
      <c r="L233" s="143">
        <v>42342</v>
      </c>
      <c r="M233" s="106">
        <v>126.34</v>
      </c>
      <c r="N233" s="106">
        <v>128.36000000000001</v>
      </c>
      <c r="O233" s="106">
        <v>124</v>
      </c>
      <c r="P233" s="106">
        <v>124</v>
      </c>
      <c r="Q233" s="106">
        <v>631.70000000000005</v>
      </c>
      <c r="R233">
        <v>10949</v>
      </c>
    </row>
    <row r="234" spans="1:18" x14ac:dyDescent="0.25">
      <c r="A234" s="143">
        <v>42345</v>
      </c>
      <c r="B234" s="106">
        <v>128.93</v>
      </c>
      <c r="C234" s="106">
        <v>128.11000000000001</v>
      </c>
      <c r="D234" s="106">
        <v>126.02</v>
      </c>
      <c r="E234" s="106">
        <v>127</v>
      </c>
      <c r="F234" s="106">
        <v>640.54999999999995</v>
      </c>
      <c r="G234">
        <v>485</v>
      </c>
      <c r="H234" s="106"/>
      <c r="I234" s="106"/>
      <c r="L234" s="143">
        <v>42345</v>
      </c>
      <c r="M234" s="106">
        <v>127.41</v>
      </c>
      <c r="N234" s="106">
        <v>130</v>
      </c>
      <c r="O234" s="106">
        <v>125.6</v>
      </c>
      <c r="P234" s="106">
        <v>125.61</v>
      </c>
      <c r="Q234" s="106">
        <v>637.04999999999995</v>
      </c>
      <c r="R234">
        <v>6027</v>
      </c>
    </row>
    <row r="235" spans="1:18" x14ac:dyDescent="0.25">
      <c r="A235" s="143">
        <v>42346</v>
      </c>
      <c r="B235" s="106">
        <v>128.01</v>
      </c>
      <c r="C235" s="106">
        <v>126.61</v>
      </c>
      <c r="D235" s="106">
        <v>125.2</v>
      </c>
      <c r="E235" s="106">
        <v>127</v>
      </c>
      <c r="F235" s="106">
        <v>633.04999999999995</v>
      </c>
      <c r="G235">
        <v>1697</v>
      </c>
      <c r="H235" s="106"/>
      <c r="I235" s="106"/>
      <c r="L235" s="143">
        <v>42346</v>
      </c>
      <c r="M235" s="106">
        <v>126.66</v>
      </c>
      <c r="N235" s="106">
        <v>128.19999999999999</v>
      </c>
      <c r="O235" s="106">
        <v>126</v>
      </c>
      <c r="P235" s="106">
        <v>126.56</v>
      </c>
      <c r="Q235" s="106">
        <v>633.29999999999995</v>
      </c>
      <c r="R235">
        <v>9343</v>
      </c>
    </row>
    <row r="236" spans="1:18" x14ac:dyDescent="0.25">
      <c r="A236" s="143">
        <v>42347</v>
      </c>
      <c r="B236" s="106">
        <v>126.2</v>
      </c>
      <c r="C236" s="106">
        <v>124.56</v>
      </c>
      <c r="D236" s="106">
        <v>122.8</v>
      </c>
      <c r="E236" s="106">
        <v>126</v>
      </c>
      <c r="F236" s="106">
        <v>622.79999999999995</v>
      </c>
      <c r="G236">
        <v>2338</v>
      </c>
      <c r="H236" s="106"/>
      <c r="I236" s="106"/>
      <c r="L236" s="143">
        <v>42347</v>
      </c>
      <c r="M236" s="106">
        <v>124.46</v>
      </c>
      <c r="N236" s="106">
        <v>126.97</v>
      </c>
      <c r="O236" s="106">
        <v>122.39</v>
      </c>
      <c r="P236" s="106">
        <v>126.26</v>
      </c>
      <c r="Q236" s="106">
        <v>622.29999999999995</v>
      </c>
      <c r="R236">
        <v>21585</v>
      </c>
    </row>
    <row r="237" spans="1:18" x14ac:dyDescent="0.25">
      <c r="A237" s="143">
        <v>42348</v>
      </c>
      <c r="B237" s="106">
        <v>125.4</v>
      </c>
      <c r="C237" s="106">
        <v>124.77</v>
      </c>
      <c r="D237" s="106">
        <v>121.32</v>
      </c>
      <c r="E237" s="106">
        <v>124</v>
      </c>
      <c r="F237" s="106">
        <v>623.85</v>
      </c>
      <c r="G237">
        <v>1281</v>
      </c>
      <c r="H237" s="106"/>
      <c r="I237" s="106"/>
      <c r="L237" s="143">
        <v>42348</v>
      </c>
      <c r="M237" s="106">
        <v>124.8</v>
      </c>
      <c r="N237" s="106">
        <v>126.2</v>
      </c>
      <c r="O237" s="106">
        <v>123.05</v>
      </c>
      <c r="P237" s="106">
        <v>123.05</v>
      </c>
      <c r="Q237" s="106">
        <v>624</v>
      </c>
      <c r="R237">
        <v>12666</v>
      </c>
    </row>
    <row r="238" spans="1:18" x14ac:dyDescent="0.25">
      <c r="A238" s="143">
        <v>42349</v>
      </c>
      <c r="B238" s="106">
        <v>127.99</v>
      </c>
      <c r="C238" s="106">
        <v>126.53</v>
      </c>
      <c r="D238" s="106">
        <v>124.01</v>
      </c>
      <c r="E238" s="106">
        <v>125</v>
      </c>
      <c r="F238" s="106">
        <v>632.65</v>
      </c>
      <c r="G238">
        <v>715</v>
      </c>
      <c r="H238" s="106"/>
      <c r="I238" s="106"/>
      <c r="L238" s="143">
        <v>42349</v>
      </c>
      <c r="M238" s="106">
        <v>126.4</v>
      </c>
      <c r="N238" s="106">
        <v>127.98</v>
      </c>
      <c r="O238" s="106">
        <v>123.81</v>
      </c>
      <c r="P238" s="106">
        <v>125.11</v>
      </c>
      <c r="Q238" s="106">
        <v>632</v>
      </c>
      <c r="R238">
        <v>10881</v>
      </c>
    </row>
    <row r="239" spans="1:18" x14ac:dyDescent="0.25">
      <c r="A239" s="143">
        <v>42352</v>
      </c>
      <c r="B239" s="106">
        <v>127.78</v>
      </c>
      <c r="C239" s="106">
        <v>126.41</v>
      </c>
      <c r="D239" s="106">
        <v>123.12</v>
      </c>
      <c r="E239" s="106">
        <v>127</v>
      </c>
      <c r="F239" s="106">
        <v>632.04999999999995</v>
      </c>
      <c r="G239">
        <v>5081</v>
      </c>
      <c r="H239" s="106"/>
      <c r="I239" s="106"/>
      <c r="L239" s="143">
        <v>42352</v>
      </c>
      <c r="M239" s="106">
        <v>126.17</v>
      </c>
      <c r="N239" s="106">
        <v>127.6</v>
      </c>
      <c r="O239" s="106">
        <v>125.17</v>
      </c>
      <c r="P239" s="106">
        <v>125.17</v>
      </c>
      <c r="Q239" s="106">
        <v>630.85</v>
      </c>
      <c r="R239">
        <v>11305</v>
      </c>
    </row>
    <row r="240" spans="1:18" x14ac:dyDescent="0.25">
      <c r="A240" s="143">
        <v>42353</v>
      </c>
      <c r="B240" s="106">
        <v>129.6</v>
      </c>
      <c r="C240" s="106">
        <v>128.80000000000001</v>
      </c>
      <c r="D240" s="106">
        <v>125.4</v>
      </c>
      <c r="E240" s="106">
        <v>126.21</v>
      </c>
      <c r="F240" s="106">
        <v>644</v>
      </c>
      <c r="G240">
        <v>717</v>
      </c>
      <c r="H240" s="106"/>
      <c r="I240" s="106"/>
      <c r="L240" s="143">
        <v>42353</v>
      </c>
      <c r="M240" s="106">
        <v>128.93</v>
      </c>
      <c r="N240" s="106">
        <v>129.6</v>
      </c>
      <c r="O240" s="106">
        <v>125.2</v>
      </c>
      <c r="P240" s="106">
        <v>128.91</v>
      </c>
      <c r="Q240" s="106">
        <v>644.65</v>
      </c>
      <c r="R240">
        <v>21349</v>
      </c>
    </row>
    <row r="241" spans="1:18" x14ac:dyDescent="0.25">
      <c r="A241" s="143">
        <v>42354</v>
      </c>
      <c r="B241" s="106">
        <v>128.21</v>
      </c>
      <c r="C241" s="106">
        <v>127.38</v>
      </c>
      <c r="D241" s="106">
        <v>126.8</v>
      </c>
      <c r="E241" s="106">
        <v>128</v>
      </c>
      <c r="F241" s="106">
        <v>636.9</v>
      </c>
      <c r="G241">
        <v>3768</v>
      </c>
      <c r="H241" s="106"/>
      <c r="I241" s="106"/>
      <c r="L241" s="143">
        <v>42354</v>
      </c>
      <c r="M241" s="106">
        <v>127.88</v>
      </c>
      <c r="N241" s="106">
        <v>129.80000000000001</v>
      </c>
      <c r="O241" s="106">
        <v>126.52</v>
      </c>
      <c r="P241" s="106">
        <v>129</v>
      </c>
      <c r="Q241" s="106">
        <v>639.4</v>
      </c>
      <c r="R241">
        <v>9521</v>
      </c>
    </row>
    <row r="242" spans="1:18" x14ac:dyDescent="0.25">
      <c r="A242" s="143">
        <v>42355</v>
      </c>
      <c r="B242" s="106">
        <v>128</v>
      </c>
      <c r="C242" s="106">
        <v>127.89</v>
      </c>
      <c r="D242" s="106">
        <v>125.63</v>
      </c>
      <c r="E242" s="106">
        <v>127</v>
      </c>
      <c r="F242" s="106">
        <v>639.45000000000005</v>
      </c>
      <c r="G242">
        <v>970</v>
      </c>
      <c r="H242" s="106"/>
      <c r="I242" s="106"/>
      <c r="L242" s="143">
        <v>42355</v>
      </c>
      <c r="M242" s="106">
        <v>127.63</v>
      </c>
      <c r="N242" s="106">
        <v>128.6</v>
      </c>
      <c r="O242" s="106">
        <v>126.14</v>
      </c>
      <c r="P242" s="106">
        <v>128.38999999999999</v>
      </c>
      <c r="Q242" s="106">
        <v>638.15</v>
      </c>
      <c r="R242">
        <v>10069</v>
      </c>
    </row>
    <row r="243" spans="1:18" x14ac:dyDescent="0.25">
      <c r="A243" s="143">
        <v>42356</v>
      </c>
      <c r="B243" s="106">
        <v>128.5</v>
      </c>
      <c r="C243" s="106">
        <v>126.83</v>
      </c>
      <c r="D243" s="106">
        <v>126.6</v>
      </c>
      <c r="E243" s="106">
        <v>127.71</v>
      </c>
      <c r="F243" s="106">
        <v>634.15</v>
      </c>
      <c r="G243">
        <v>5703</v>
      </c>
      <c r="H243" s="106"/>
      <c r="I243" s="106"/>
      <c r="L243" s="143">
        <v>42356</v>
      </c>
      <c r="M243" s="106">
        <v>127.32</v>
      </c>
      <c r="N243" s="106">
        <v>129</v>
      </c>
      <c r="O243" s="106">
        <v>126.59</v>
      </c>
      <c r="P243" s="106">
        <v>128.59</v>
      </c>
      <c r="Q243" s="106">
        <v>636.6</v>
      </c>
      <c r="R243">
        <v>78951</v>
      </c>
    </row>
    <row r="244" spans="1:18" x14ac:dyDescent="0.25">
      <c r="A244" s="143">
        <v>42359</v>
      </c>
      <c r="B244" s="106">
        <v>131</v>
      </c>
      <c r="C244" s="106">
        <v>129.02000000000001</v>
      </c>
      <c r="D244" s="106">
        <v>128</v>
      </c>
      <c r="E244" s="106">
        <v>128</v>
      </c>
      <c r="F244" s="106">
        <v>645.1</v>
      </c>
      <c r="G244">
        <v>1602</v>
      </c>
      <c r="H244" s="106"/>
      <c r="I244" s="106"/>
      <c r="L244" s="143">
        <v>42359</v>
      </c>
      <c r="M244" s="106">
        <v>129.59</v>
      </c>
      <c r="N244" s="106">
        <v>131.9</v>
      </c>
      <c r="O244" s="106">
        <v>128.01</v>
      </c>
      <c r="P244" s="106">
        <v>128.19999999999999</v>
      </c>
      <c r="Q244" s="106">
        <v>647.95000000000005</v>
      </c>
      <c r="R244">
        <v>90626</v>
      </c>
    </row>
    <row r="245" spans="1:18" x14ac:dyDescent="0.25">
      <c r="A245" s="143">
        <v>42360</v>
      </c>
      <c r="B245" s="106">
        <v>130.99</v>
      </c>
      <c r="C245" s="106">
        <v>128.91999999999999</v>
      </c>
      <c r="D245" s="106">
        <v>127.73</v>
      </c>
      <c r="E245" s="106">
        <v>130</v>
      </c>
      <c r="F245" s="106">
        <v>644.6</v>
      </c>
      <c r="G245">
        <v>2586</v>
      </c>
      <c r="H245" s="106"/>
      <c r="I245" s="106"/>
      <c r="L245" s="143">
        <v>42360</v>
      </c>
      <c r="M245" s="106">
        <v>129.16</v>
      </c>
      <c r="N245" s="106">
        <v>131.4</v>
      </c>
      <c r="O245" s="106">
        <v>127.33</v>
      </c>
      <c r="P245" s="106">
        <v>129.57</v>
      </c>
      <c r="Q245" s="106">
        <v>645.79999999999995</v>
      </c>
      <c r="R245">
        <v>36296</v>
      </c>
    </row>
    <row r="246" spans="1:18" x14ac:dyDescent="0.25">
      <c r="A246" s="143">
        <v>42361</v>
      </c>
      <c r="B246" s="106">
        <v>132.29</v>
      </c>
      <c r="C246" s="106">
        <v>130.99</v>
      </c>
      <c r="D246" s="106">
        <v>129.6</v>
      </c>
      <c r="E246" s="106">
        <v>130</v>
      </c>
      <c r="F246" s="106">
        <v>654.95000000000005</v>
      </c>
      <c r="G246">
        <v>13374</v>
      </c>
      <c r="H246" s="106"/>
      <c r="I246" s="106"/>
      <c r="L246" s="143">
        <v>42361</v>
      </c>
      <c r="M246" s="106">
        <v>130.96</v>
      </c>
      <c r="N246" s="106">
        <v>132.4</v>
      </c>
      <c r="O246" s="106">
        <v>129.22</v>
      </c>
      <c r="P246" s="106">
        <v>132</v>
      </c>
      <c r="Q246" s="106">
        <v>654.79999999999995</v>
      </c>
      <c r="R246">
        <v>41447</v>
      </c>
    </row>
    <row r="247" spans="1:18" x14ac:dyDescent="0.25">
      <c r="A247" s="143">
        <v>42362</v>
      </c>
      <c r="B247" s="106">
        <v>132.06</v>
      </c>
      <c r="C247" s="106">
        <v>131.34</v>
      </c>
      <c r="D247" s="106">
        <v>128.94999999999999</v>
      </c>
      <c r="E247" s="106">
        <v>130</v>
      </c>
      <c r="F247" s="106">
        <v>656.7</v>
      </c>
      <c r="G247">
        <v>2113</v>
      </c>
      <c r="H247" s="106"/>
      <c r="I247" s="106"/>
      <c r="L247" s="143">
        <v>42362</v>
      </c>
      <c r="M247" s="106">
        <v>131.22999999999999</v>
      </c>
      <c r="N247" s="106">
        <v>132.4</v>
      </c>
      <c r="O247" s="106">
        <v>128.69999999999999</v>
      </c>
      <c r="P247" s="106">
        <v>130.81</v>
      </c>
      <c r="Q247" s="106">
        <v>656.15</v>
      </c>
      <c r="R247">
        <v>12168</v>
      </c>
    </row>
    <row r="248" spans="1:18" x14ac:dyDescent="0.25">
      <c r="A248" s="143">
        <v>42366</v>
      </c>
      <c r="B248" s="106">
        <v>133.6</v>
      </c>
      <c r="C248" s="106">
        <v>131.15</v>
      </c>
      <c r="D248" s="106">
        <v>130.21</v>
      </c>
      <c r="E248" s="106">
        <v>131.5</v>
      </c>
      <c r="F248" s="106">
        <v>655.75</v>
      </c>
      <c r="G248">
        <v>1592</v>
      </c>
      <c r="H248" s="106"/>
      <c r="I248" s="106"/>
      <c r="L248" s="143">
        <v>42366</v>
      </c>
      <c r="M248" s="106">
        <v>130.59</v>
      </c>
      <c r="N248" s="106">
        <v>134.02000000000001</v>
      </c>
      <c r="O248" s="106">
        <v>130</v>
      </c>
      <c r="P248" s="106">
        <v>132.59</v>
      </c>
      <c r="Q248" s="106">
        <v>652.95000000000005</v>
      </c>
      <c r="R248">
        <v>12973</v>
      </c>
    </row>
    <row r="249" spans="1:18" x14ac:dyDescent="0.25">
      <c r="A249" s="143">
        <v>42367</v>
      </c>
      <c r="B249" s="106">
        <v>132</v>
      </c>
      <c r="C249" s="106">
        <v>128.27000000000001</v>
      </c>
      <c r="D249" s="106">
        <v>127.63</v>
      </c>
      <c r="E249" s="106">
        <v>131</v>
      </c>
      <c r="F249" s="106">
        <v>641.35</v>
      </c>
      <c r="G249">
        <v>1190</v>
      </c>
      <c r="H249" s="106"/>
      <c r="I249" s="106"/>
      <c r="L249" s="143">
        <v>42367</v>
      </c>
      <c r="M249" s="106">
        <v>128.24</v>
      </c>
      <c r="N249" s="106">
        <v>131.72</v>
      </c>
      <c r="O249" s="106">
        <v>127.42</v>
      </c>
      <c r="P249" s="106">
        <v>130.86000000000001</v>
      </c>
      <c r="Q249" s="106">
        <v>641.20000000000005</v>
      </c>
      <c r="R249">
        <v>165964</v>
      </c>
    </row>
    <row r="250" spans="1:18" x14ac:dyDescent="0.25">
      <c r="A250" s="143">
        <v>42368</v>
      </c>
      <c r="B250" s="106">
        <v>130</v>
      </c>
      <c r="C250" s="106">
        <v>128.22999999999999</v>
      </c>
      <c r="D250" s="106">
        <v>128.02000000000001</v>
      </c>
      <c r="E250" s="106">
        <v>128.02000000000001</v>
      </c>
      <c r="F250" s="106">
        <v>641.15</v>
      </c>
      <c r="G250">
        <v>100</v>
      </c>
      <c r="H250" s="106"/>
      <c r="I250" s="106"/>
      <c r="L250" s="143">
        <v>42368</v>
      </c>
      <c r="M250" s="106">
        <v>128.35</v>
      </c>
      <c r="N250" s="106">
        <v>130.75</v>
      </c>
      <c r="O250" s="106">
        <v>127.62</v>
      </c>
      <c r="P250" s="106">
        <v>129.15</v>
      </c>
      <c r="Q250" s="106">
        <v>641.75</v>
      </c>
      <c r="R250">
        <v>171747</v>
      </c>
    </row>
    <row r="251" spans="1:18" x14ac:dyDescent="0.25">
      <c r="A251" s="143">
        <v>42369</v>
      </c>
      <c r="B251" s="106">
        <v>129</v>
      </c>
      <c r="C251" s="106">
        <v>128.38</v>
      </c>
      <c r="D251" s="106">
        <v>126.12</v>
      </c>
      <c r="E251" s="106">
        <v>128.19999999999999</v>
      </c>
      <c r="F251" s="106">
        <v>641.9</v>
      </c>
      <c r="G251">
        <v>1023</v>
      </c>
      <c r="H251" s="106"/>
      <c r="I251" s="106"/>
      <c r="L251" s="143">
        <v>42369</v>
      </c>
      <c r="M251" s="106">
        <v>128.37</v>
      </c>
      <c r="N251" s="106">
        <v>129.19999999999999</v>
      </c>
      <c r="O251" s="106">
        <v>126.3</v>
      </c>
      <c r="P251" s="106">
        <v>128.42000000000002</v>
      </c>
      <c r="Q251" s="106">
        <v>641.85</v>
      </c>
      <c r="R251">
        <v>214958</v>
      </c>
    </row>
    <row r="252" spans="1:18" x14ac:dyDescent="0.25">
      <c r="A252" s="143">
        <v>42370</v>
      </c>
      <c r="B252" s="106">
        <v>129.19999999999999</v>
      </c>
      <c r="C252" s="106">
        <v>128.56</v>
      </c>
      <c r="D252" s="106">
        <v>127</v>
      </c>
      <c r="E252" s="106">
        <v>128</v>
      </c>
      <c r="F252" s="106">
        <v>642.79999999999995</v>
      </c>
      <c r="G252">
        <v>819</v>
      </c>
      <c r="H252" s="106"/>
      <c r="I252" s="106"/>
      <c r="L252" s="143">
        <v>42370</v>
      </c>
      <c r="M252" s="106">
        <v>127.75</v>
      </c>
      <c r="N252" s="106">
        <v>129.39000000000001</v>
      </c>
      <c r="O252" s="106">
        <v>125.59</v>
      </c>
      <c r="P252" s="106">
        <v>129.39000000000001</v>
      </c>
      <c r="Q252" s="106">
        <v>638.75</v>
      </c>
      <c r="R252">
        <v>9629</v>
      </c>
    </row>
    <row r="253" spans="1:18" x14ac:dyDescent="0.25">
      <c r="A253" s="143">
        <v>42373</v>
      </c>
      <c r="B253" s="106">
        <v>128.80000000000001</v>
      </c>
      <c r="C253" s="106">
        <v>127.9</v>
      </c>
      <c r="D253" s="106">
        <v>126</v>
      </c>
      <c r="E253" s="106">
        <v>128</v>
      </c>
      <c r="F253" s="106">
        <v>639.5</v>
      </c>
      <c r="G253">
        <v>11123</v>
      </c>
      <c r="H253" s="106"/>
      <c r="I253" s="106"/>
      <c r="L253" s="143">
        <v>42373</v>
      </c>
      <c r="M253" s="106">
        <v>128.07999999999998</v>
      </c>
      <c r="N253" s="106">
        <v>130.6</v>
      </c>
      <c r="O253" s="106">
        <v>126.62</v>
      </c>
      <c r="P253" s="106">
        <v>128.25</v>
      </c>
      <c r="Q253" s="106">
        <v>640.4</v>
      </c>
      <c r="R253">
        <v>12459</v>
      </c>
    </row>
    <row r="254" spans="1:18" x14ac:dyDescent="0.25">
      <c r="A254" s="143">
        <v>42374</v>
      </c>
      <c r="B254" s="106">
        <v>129.78</v>
      </c>
      <c r="C254" s="106">
        <v>128.5</v>
      </c>
      <c r="D254" s="106">
        <v>127.2</v>
      </c>
      <c r="E254" s="106">
        <v>128</v>
      </c>
      <c r="F254" s="106">
        <v>642.5</v>
      </c>
      <c r="G254">
        <v>505</v>
      </c>
      <c r="H254" s="106"/>
      <c r="I254" s="106"/>
      <c r="L254" s="143">
        <v>42374</v>
      </c>
      <c r="M254" s="106">
        <v>128.38</v>
      </c>
      <c r="N254" s="106">
        <v>130</v>
      </c>
      <c r="O254" s="106">
        <v>127.2</v>
      </c>
      <c r="P254" s="106">
        <v>128.19999999999999</v>
      </c>
      <c r="Q254" s="106">
        <v>641.9</v>
      </c>
      <c r="R254">
        <v>327930</v>
      </c>
    </row>
    <row r="255" spans="1:18" x14ac:dyDescent="0.25">
      <c r="A255" s="143">
        <v>42375</v>
      </c>
      <c r="B255" s="106">
        <v>130</v>
      </c>
      <c r="C255" s="106">
        <v>129.35999999999999</v>
      </c>
      <c r="D255" s="106">
        <v>127.77000000000001</v>
      </c>
      <c r="E255" s="106">
        <v>128.78</v>
      </c>
      <c r="F255" s="106">
        <v>646.79999999999995</v>
      </c>
      <c r="G255">
        <v>433</v>
      </c>
      <c r="H255" s="106"/>
      <c r="I255" s="106"/>
      <c r="L255" s="143">
        <v>42375</v>
      </c>
      <c r="M255" s="106">
        <v>129.57</v>
      </c>
      <c r="N255" s="106">
        <v>130</v>
      </c>
      <c r="O255" s="106">
        <v>127.5</v>
      </c>
      <c r="P255" s="106">
        <v>128.4</v>
      </c>
      <c r="Q255" s="106">
        <v>647.85</v>
      </c>
      <c r="R255">
        <v>13665</v>
      </c>
    </row>
    <row r="256" spans="1:18" x14ac:dyDescent="0.25">
      <c r="A256" s="143">
        <v>42376</v>
      </c>
      <c r="B256" s="106">
        <v>129.59</v>
      </c>
      <c r="C256" s="106">
        <v>128.82999999999998</v>
      </c>
      <c r="D256" s="106">
        <v>127</v>
      </c>
      <c r="E256" s="106">
        <v>128.4</v>
      </c>
      <c r="F256" s="106">
        <v>644.15</v>
      </c>
      <c r="G256">
        <v>496</v>
      </c>
      <c r="H256" s="106"/>
      <c r="I256" s="106"/>
      <c r="L256" s="143">
        <v>42376</v>
      </c>
      <c r="M256" s="106">
        <v>128.57999999999998</v>
      </c>
      <c r="N256" s="106">
        <v>129.1</v>
      </c>
      <c r="O256" s="106">
        <v>126.2</v>
      </c>
      <c r="P256" s="106">
        <v>127.60999999999999</v>
      </c>
      <c r="Q256" s="106">
        <v>642.9</v>
      </c>
      <c r="R256">
        <v>28674</v>
      </c>
    </row>
    <row r="257" spans="1:18" x14ac:dyDescent="0.25">
      <c r="A257" s="143">
        <v>42377</v>
      </c>
      <c r="B257" s="106">
        <v>130.47999999999999</v>
      </c>
      <c r="C257" s="106">
        <v>129.24</v>
      </c>
      <c r="D257" s="106">
        <v>128.4</v>
      </c>
      <c r="E257" s="106">
        <v>130</v>
      </c>
      <c r="F257" s="106">
        <v>646.20000000000005</v>
      </c>
      <c r="G257">
        <v>661</v>
      </c>
      <c r="H257" s="106"/>
      <c r="I257" s="106"/>
      <c r="L257" s="143">
        <v>42377</v>
      </c>
      <c r="M257" s="106">
        <v>129.78</v>
      </c>
      <c r="N257" s="106">
        <v>130</v>
      </c>
      <c r="O257" s="106">
        <v>128.13</v>
      </c>
      <c r="P257" s="106">
        <v>129.99</v>
      </c>
      <c r="Q257" s="106">
        <v>648.9</v>
      </c>
      <c r="R257">
        <v>16233</v>
      </c>
    </row>
    <row r="258" spans="1:18" x14ac:dyDescent="0.25">
      <c r="A258" s="143">
        <v>42380</v>
      </c>
      <c r="B258" s="106">
        <v>130.4</v>
      </c>
      <c r="C258" s="106">
        <v>128.44999999999999</v>
      </c>
      <c r="D258" s="106">
        <v>128</v>
      </c>
      <c r="E258" s="106">
        <v>128.6</v>
      </c>
      <c r="F258" s="106">
        <v>642.25</v>
      </c>
      <c r="G258">
        <v>674</v>
      </c>
      <c r="H258" s="106"/>
      <c r="I258" s="106"/>
      <c r="L258" s="143">
        <v>42380</v>
      </c>
      <c r="M258" s="106">
        <v>128.13</v>
      </c>
      <c r="N258" s="106">
        <v>131.84</v>
      </c>
      <c r="O258" s="106">
        <v>126.32000000000001</v>
      </c>
      <c r="P258" s="106">
        <v>131.84</v>
      </c>
      <c r="Q258" s="106">
        <v>640.65</v>
      </c>
      <c r="R258">
        <v>33009</v>
      </c>
    </row>
    <row r="259" spans="1:18" x14ac:dyDescent="0.25">
      <c r="A259" s="143">
        <v>42381</v>
      </c>
      <c r="B259" s="106">
        <v>131.01</v>
      </c>
      <c r="C259" s="106">
        <v>128.95999999999998</v>
      </c>
      <c r="D259" s="106">
        <v>127.64000000000001</v>
      </c>
      <c r="E259" s="106">
        <v>129</v>
      </c>
      <c r="F259" s="106">
        <v>644.79999999999995</v>
      </c>
      <c r="G259">
        <v>520</v>
      </c>
      <c r="H259" s="106"/>
      <c r="I259" s="106"/>
      <c r="L259" s="143">
        <v>42381</v>
      </c>
      <c r="M259" s="106">
        <v>128.82999999999998</v>
      </c>
      <c r="N259" s="106">
        <v>130.80000000000001</v>
      </c>
      <c r="O259" s="106">
        <v>128.01</v>
      </c>
      <c r="P259" s="106">
        <v>129.31</v>
      </c>
      <c r="Q259" s="106">
        <v>644.15</v>
      </c>
      <c r="R259">
        <v>12724</v>
      </c>
    </row>
    <row r="260" spans="1:18" x14ac:dyDescent="0.25">
      <c r="A260" s="143">
        <v>42382</v>
      </c>
      <c r="B260" s="106">
        <v>129</v>
      </c>
      <c r="C260" s="106">
        <v>125.08</v>
      </c>
      <c r="D260" s="106">
        <v>123</v>
      </c>
      <c r="E260" s="106">
        <v>128.80000000000001</v>
      </c>
      <c r="F260" s="106">
        <v>625.4</v>
      </c>
      <c r="G260">
        <v>834</v>
      </c>
      <c r="H260" s="106"/>
      <c r="I260" s="106"/>
      <c r="L260" s="143">
        <v>42382</v>
      </c>
      <c r="M260" s="106">
        <v>124.9</v>
      </c>
      <c r="N260" s="106">
        <v>129.6</v>
      </c>
      <c r="O260" s="106">
        <v>122.04</v>
      </c>
      <c r="P260" s="106">
        <v>129.6</v>
      </c>
      <c r="Q260" s="106">
        <v>624.5</v>
      </c>
      <c r="R260">
        <v>14143</v>
      </c>
    </row>
    <row r="261" spans="1:18" x14ac:dyDescent="0.25">
      <c r="A261" s="143">
        <v>42383</v>
      </c>
      <c r="B261" s="106">
        <v>128</v>
      </c>
      <c r="C261" s="106">
        <v>125.04</v>
      </c>
      <c r="D261" s="106">
        <v>124.47</v>
      </c>
      <c r="E261" s="106">
        <v>125.67</v>
      </c>
      <c r="F261" s="106">
        <v>625.20000000000005</v>
      </c>
      <c r="G261">
        <v>45580</v>
      </c>
      <c r="H261" s="106"/>
      <c r="I261" s="106"/>
      <c r="L261" s="143">
        <v>42383</v>
      </c>
      <c r="M261" s="106">
        <v>125.16</v>
      </c>
      <c r="N261" s="106">
        <v>128</v>
      </c>
      <c r="O261" s="106">
        <v>123.72</v>
      </c>
      <c r="P261" s="106">
        <v>126</v>
      </c>
      <c r="Q261" s="106">
        <v>625.79999999999995</v>
      </c>
      <c r="R261">
        <v>15618</v>
      </c>
    </row>
    <row r="262" spans="1:18" x14ac:dyDescent="0.25">
      <c r="A262" s="143">
        <v>42384</v>
      </c>
      <c r="B262" s="106">
        <v>125.04</v>
      </c>
      <c r="C262" s="106">
        <v>123.14000000000001</v>
      </c>
      <c r="D262" s="106">
        <v>122</v>
      </c>
      <c r="E262" s="106">
        <v>124.17999999999999</v>
      </c>
      <c r="F262" s="106">
        <v>615.70000000000005</v>
      </c>
      <c r="G262">
        <v>1203</v>
      </c>
      <c r="H262" s="106"/>
      <c r="I262" s="106"/>
      <c r="L262" s="143">
        <v>42384</v>
      </c>
      <c r="M262" s="106">
        <v>122.45</v>
      </c>
      <c r="N262" s="106">
        <v>126.79</v>
      </c>
      <c r="O262" s="106">
        <v>122.05</v>
      </c>
      <c r="P262" s="106">
        <v>126.79</v>
      </c>
      <c r="Q262" s="106">
        <v>612.25</v>
      </c>
      <c r="R262">
        <v>4146</v>
      </c>
    </row>
    <row r="263" spans="1:18" x14ac:dyDescent="0.25">
      <c r="A263" s="143">
        <v>42387</v>
      </c>
      <c r="B263" s="106">
        <v>123</v>
      </c>
      <c r="C263" s="106">
        <v>119.25999999999999</v>
      </c>
      <c r="D263" s="106">
        <v>117.8</v>
      </c>
      <c r="E263" s="106">
        <v>122</v>
      </c>
      <c r="F263" s="106">
        <v>596.29999999999995</v>
      </c>
      <c r="G263">
        <v>1435</v>
      </c>
      <c r="H263" s="106"/>
      <c r="I263" s="106"/>
      <c r="L263" s="143">
        <v>42387</v>
      </c>
      <c r="M263" s="106">
        <v>119.82000000000001</v>
      </c>
      <c r="N263" s="106">
        <v>126</v>
      </c>
      <c r="O263" s="106">
        <v>118.5</v>
      </c>
      <c r="P263" s="106">
        <v>126</v>
      </c>
      <c r="Q263" s="106">
        <v>599.1</v>
      </c>
      <c r="R263">
        <v>82279</v>
      </c>
    </row>
    <row r="264" spans="1:18" x14ac:dyDescent="0.25">
      <c r="A264" s="143">
        <v>42388</v>
      </c>
      <c r="B264" s="106">
        <v>123.42</v>
      </c>
      <c r="C264" s="106">
        <v>121.9</v>
      </c>
      <c r="D264" s="106">
        <v>120</v>
      </c>
      <c r="E264" s="106">
        <v>120</v>
      </c>
      <c r="F264" s="106">
        <v>609.5</v>
      </c>
      <c r="G264">
        <v>133</v>
      </c>
      <c r="H264" s="106"/>
      <c r="I264" s="106"/>
      <c r="L264" s="143">
        <v>42388</v>
      </c>
      <c r="M264" s="106">
        <v>121.71</v>
      </c>
      <c r="N264" s="106">
        <v>123.59</v>
      </c>
      <c r="O264" s="106">
        <v>120.41</v>
      </c>
      <c r="P264" s="106">
        <v>121.19000000000001</v>
      </c>
      <c r="Q264" s="106">
        <v>608.54999999999995</v>
      </c>
      <c r="R264">
        <v>9585</v>
      </c>
    </row>
    <row r="265" spans="1:18" x14ac:dyDescent="0.25">
      <c r="A265" s="143">
        <v>42389</v>
      </c>
      <c r="B265" s="106">
        <v>120.89000000000001</v>
      </c>
      <c r="C265" s="106">
        <v>118.96</v>
      </c>
      <c r="D265" s="106">
        <v>116.5</v>
      </c>
      <c r="E265" s="106">
        <v>120.77000000000001</v>
      </c>
      <c r="F265" s="106">
        <v>594.79999999999995</v>
      </c>
      <c r="G265">
        <v>3006</v>
      </c>
      <c r="H265" s="106"/>
      <c r="I265" s="106"/>
      <c r="L265" s="143">
        <v>42389</v>
      </c>
      <c r="M265" s="106">
        <v>118.99000000000001</v>
      </c>
      <c r="N265" s="106">
        <v>123</v>
      </c>
      <c r="O265" s="106">
        <v>118</v>
      </c>
      <c r="P265" s="106">
        <v>123</v>
      </c>
      <c r="Q265" s="106">
        <v>594.95000000000005</v>
      </c>
      <c r="R265">
        <v>264450</v>
      </c>
    </row>
    <row r="266" spans="1:18" x14ac:dyDescent="0.25">
      <c r="A266" s="143">
        <v>42390</v>
      </c>
      <c r="B266" s="106">
        <v>124.55999999999999</v>
      </c>
      <c r="C266" s="106">
        <v>122.9</v>
      </c>
      <c r="D266" s="106">
        <v>118.6</v>
      </c>
      <c r="E266" s="106">
        <v>120</v>
      </c>
      <c r="F266" s="106">
        <v>614.5</v>
      </c>
      <c r="G266">
        <v>1977</v>
      </c>
      <c r="H266" s="106"/>
      <c r="I266" s="106"/>
      <c r="L266" s="143">
        <v>42390</v>
      </c>
      <c r="M266" s="106">
        <v>123.38</v>
      </c>
      <c r="N266" s="106">
        <v>124.54</v>
      </c>
      <c r="O266" s="106">
        <v>118.6</v>
      </c>
      <c r="P266" s="106">
        <v>121.79</v>
      </c>
      <c r="Q266" s="106">
        <v>616.9</v>
      </c>
      <c r="R266">
        <v>26056</v>
      </c>
    </row>
    <row r="267" spans="1:18" x14ac:dyDescent="0.25">
      <c r="A267" s="143">
        <v>42391</v>
      </c>
      <c r="B267" s="106">
        <v>125</v>
      </c>
      <c r="C267" s="106">
        <v>122.22</v>
      </c>
      <c r="D267" s="106">
        <v>121</v>
      </c>
      <c r="E267" s="106">
        <v>124</v>
      </c>
      <c r="F267" s="106">
        <v>611.1</v>
      </c>
      <c r="G267">
        <v>1346</v>
      </c>
      <c r="H267" s="106"/>
      <c r="I267" s="106"/>
      <c r="L267" s="143">
        <v>42391</v>
      </c>
      <c r="M267" s="106">
        <v>122.50999999999999</v>
      </c>
      <c r="N267" s="106">
        <v>126.4</v>
      </c>
      <c r="O267" s="106">
        <v>120.4</v>
      </c>
      <c r="P267" s="106">
        <v>123.91</v>
      </c>
      <c r="Q267" s="106">
        <v>612.54999999999995</v>
      </c>
      <c r="R267">
        <v>12890</v>
      </c>
    </row>
    <row r="268" spans="1:18" x14ac:dyDescent="0.25">
      <c r="A268" s="143">
        <v>42394</v>
      </c>
      <c r="B268" s="106">
        <v>123.4</v>
      </c>
      <c r="C268" s="106">
        <v>121.10999999999999</v>
      </c>
      <c r="D268" s="106">
        <v>120.05</v>
      </c>
      <c r="E268" s="106">
        <v>122.24000000000001</v>
      </c>
      <c r="F268" s="106">
        <v>605.54999999999995</v>
      </c>
      <c r="G268">
        <v>364</v>
      </c>
      <c r="H268" s="106"/>
      <c r="I268" s="106"/>
      <c r="L268" s="143">
        <v>42394</v>
      </c>
      <c r="M268" s="106">
        <v>120.9</v>
      </c>
      <c r="N268" s="106">
        <v>124.00999999999999</v>
      </c>
      <c r="O268" s="106">
        <v>120</v>
      </c>
      <c r="P268" s="106">
        <v>122.65</v>
      </c>
      <c r="Q268" s="106">
        <v>604.5</v>
      </c>
      <c r="R268">
        <v>20592</v>
      </c>
    </row>
    <row r="269" spans="1:18" x14ac:dyDescent="0.25">
      <c r="A269" s="143">
        <v>42396</v>
      </c>
      <c r="B269" s="106">
        <v>128</v>
      </c>
      <c r="C269" s="106">
        <v>124.5</v>
      </c>
      <c r="D269" s="106">
        <v>120.14000000000001</v>
      </c>
      <c r="E269" s="106">
        <v>121</v>
      </c>
      <c r="F269" s="106">
        <v>622.5</v>
      </c>
      <c r="G269">
        <v>3731</v>
      </c>
      <c r="H269" s="106"/>
      <c r="I269" s="106"/>
      <c r="L269" s="143">
        <v>42396</v>
      </c>
      <c r="M269" s="106">
        <v>124.53</v>
      </c>
      <c r="N269" s="106">
        <v>127.8</v>
      </c>
      <c r="O269" s="106">
        <v>120.59</v>
      </c>
      <c r="P269" s="106">
        <v>123</v>
      </c>
      <c r="Q269" s="106">
        <v>622.65</v>
      </c>
      <c r="R269">
        <v>38091</v>
      </c>
    </row>
    <row r="270" spans="1:18" x14ac:dyDescent="0.25">
      <c r="A270" s="143">
        <v>42397</v>
      </c>
      <c r="B270" s="106">
        <v>126.35</v>
      </c>
      <c r="C270" s="106">
        <v>125.39000000000001</v>
      </c>
      <c r="D270" s="106">
        <v>122.00999999999999</v>
      </c>
      <c r="E270" s="106">
        <v>124.4</v>
      </c>
      <c r="F270" s="106">
        <v>626.95000000000005</v>
      </c>
      <c r="G270">
        <v>1087</v>
      </c>
      <c r="H270" s="106"/>
      <c r="I270" s="106"/>
      <c r="L270" s="143">
        <v>42397</v>
      </c>
      <c r="M270" s="106">
        <v>125.15</v>
      </c>
      <c r="N270" s="106">
        <v>125.96</v>
      </c>
      <c r="O270" s="106">
        <v>122.4</v>
      </c>
      <c r="P270" s="106">
        <v>125.55999999999999</v>
      </c>
      <c r="Q270" s="106">
        <v>625.75</v>
      </c>
      <c r="R270">
        <v>10146</v>
      </c>
    </row>
    <row r="271" spans="1:18" x14ac:dyDescent="0.25">
      <c r="A271" s="143">
        <v>42398</v>
      </c>
      <c r="B271" s="106">
        <v>128</v>
      </c>
      <c r="C271" s="106">
        <v>127.05</v>
      </c>
      <c r="D271" s="106">
        <v>124.58</v>
      </c>
      <c r="E271" s="106">
        <v>125</v>
      </c>
      <c r="F271" s="106">
        <v>635.25</v>
      </c>
      <c r="G271">
        <v>1573</v>
      </c>
      <c r="H271" s="106"/>
      <c r="I271" s="106"/>
      <c r="L271" s="143">
        <v>42398</v>
      </c>
      <c r="M271" s="106">
        <v>126.4</v>
      </c>
      <c r="N271" s="106">
        <v>127.28</v>
      </c>
      <c r="O271" s="106">
        <v>124.00999999999999</v>
      </c>
      <c r="P271" s="106">
        <v>126.79</v>
      </c>
      <c r="Q271" s="106">
        <v>632</v>
      </c>
      <c r="R271">
        <v>40651</v>
      </c>
    </row>
    <row r="272" spans="1:18" x14ac:dyDescent="0.25">
      <c r="A272" s="143">
        <v>42401</v>
      </c>
      <c r="B272" s="106">
        <v>132.64000000000001</v>
      </c>
      <c r="C272" s="106">
        <v>129.27000000000001</v>
      </c>
      <c r="D272" s="106">
        <v>128</v>
      </c>
      <c r="E272" s="106">
        <v>129</v>
      </c>
      <c r="F272" s="106">
        <v>646.35</v>
      </c>
      <c r="G272">
        <v>4926</v>
      </c>
      <c r="H272" s="106"/>
      <c r="I272" s="106"/>
      <c r="L272" s="143">
        <v>42401</v>
      </c>
      <c r="M272" s="106">
        <v>129.27000000000001</v>
      </c>
      <c r="N272" s="106">
        <v>136</v>
      </c>
      <c r="O272" s="106">
        <v>127.66</v>
      </c>
      <c r="P272" s="106">
        <v>130.19999999999999</v>
      </c>
      <c r="Q272" s="106">
        <v>646.35</v>
      </c>
      <c r="R272">
        <v>33834</v>
      </c>
    </row>
    <row r="273" spans="1:18" x14ac:dyDescent="0.25">
      <c r="A273" s="143">
        <v>42402</v>
      </c>
      <c r="B273" s="106">
        <v>131.16</v>
      </c>
      <c r="C273" s="106">
        <v>129.31</v>
      </c>
      <c r="D273" s="106">
        <v>127.50999999999999</v>
      </c>
      <c r="E273" s="106">
        <v>130.30000000000001</v>
      </c>
      <c r="F273" s="106">
        <v>646.54999999999995</v>
      </c>
      <c r="G273">
        <v>964</v>
      </c>
      <c r="H273" s="106"/>
      <c r="I273" s="106"/>
      <c r="L273" s="143">
        <v>42402</v>
      </c>
      <c r="M273" s="106">
        <v>128.66</v>
      </c>
      <c r="N273" s="106">
        <v>131.99</v>
      </c>
      <c r="O273" s="106">
        <v>127.47</v>
      </c>
      <c r="P273" s="106">
        <v>131.99</v>
      </c>
      <c r="Q273" s="106">
        <v>643.29999999999995</v>
      </c>
      <c r="R273">
        <v>19838</v>
      </c>
    </row>
    <row r="274" spans="1:18" x14ac:dyDescent="0.25">
      <c r="A274" s="143">
        <v>42403</v>
      </c>
      <c r="B274" s="106">
        <v>131.79000000000002</v>
      </c>
      <c r="C274" s="106">
        <v>131.05000000000001</v>
      </c>
      <c r="D274" s="106">
        <v>125</v>
      </c>
      <c r="E274" s="106">
        <v>127.6</v>
      </c>
      <c r="F274" s="106">
        <v>655.25</v>
      </c>
      <c r="G274">
        <v>1050</v>
      </c>
      <c r="H274" s="106"/>
      <c r="I274" s="106"/>
      <c r="L274" s="143">
        <v>42403</v>
      </c>
      <c r="M274" s="106">
        <v>130.77000000000001</v>
      </c>
      <c r="N274" s="106">
        <v>131.80000000000001</v>
      </c>
      <c r="O274" s="106">
        <v>126</v>
      </c>
      <c r="P274" s="106">
        <v>126.00999999999999</v>
      </c>
      <c r="Q274" s="106">
        <v>653.85</v>
      </c>
      <c r="R274">
        <v>18539</v>
      </c>
    </row>
    <row r="275" spans="1:18" x14ac:dyDescent="0.25">
      <c r="A275" s="143">
        <v>42404</v>
      </c>
      <c r="B275" s="106">
        <v>134.99</v>
      </c>
      <c r="C275" s="106">
        <v>134.47999999999999</v>
      </c>
      <c r="D275" s="106">
        <v>129.59</v>
      </c>
      <c r="E275" s="106">
        <v>131</v>
      </c>
      <c r="F275" s="106">
        <v>672.4</v>
      </c>
      <c r="G275">
        <v>1493</v>
      </c>
      <c r="H275" s="106"/>
      <c r="I275" s="106"/>
      <c r="L275" s="143">
        <v>42404</v>
      </c>
      <c r="M275" s="106">
        <v>134.49</v>
      </c>
      <c r="N275" s="106">
        <v>135</v>
      </c>
      <c r="O275" s="106">
        <v>129.42000000000002</v>
      </c>
      <c r="P275" s="106">
        <v>130.80000000000001</v>
      </c>
      <c r="Q275" s="106">
        <v>672.45</v>
      </c>
      <c r="R275">
        <v>17063</v>
      </c>
    </row>
    <row r="276" spans="1:18" x14ac:dyDescent="0.25">
      <c r="A276" s="143">
        <v>42405</v>
      </c>
      <c r="B276" s="106">
        <v>139.18</v>
      </c>
      <c r="C276" s="106">
        <v>136.94999999999999</v>
      </c>
      <c r="D276" s="106">
        <v>131.6</v>
      </c>
      <c r="E276" s="106">
        <v>135</v>
      </c>
      <c r="F276" s="106">
        <v>684.75</v>
      </c>
      <c r="G276">
        <v>697331</v>
      </c>
      <c r="H276" s="106"/>
      <c r="I276" s="106"/>
      <c r="L276" s="143">
        <v>42405</v>
      </c>
      <c r="M276" s="106">
        <v>137.84</v>
      </c>
      <c r="N276" s="106">
        <v>139.04000000000002</v>
      </c>
      <c r="O276" s="106">
        <v>130.80000000000001</v>
      </c>
      <c r="P276" s="106">
        <v>134.4</v>
      </c>
      <c r="Q276" s="106">
        <v>689.2</v>
      </c>
      <c r="R276">
        <v>210911</v>
      </c>
    </row>
    <row r="277" spans="1:18" x14ac:dyDescent="0.25">
      <c r="A277" s="143">
        <v>42408</v>
      </c>
      <c r="B277" s="106">
        <v>144.35</v>
      </c>
      <c r="C277" s="106">
        <v>140.5</v>
      </c>
      <c r="D277" s="106">
        <v>136</v>
      </c>
      <c r="E277" s="106">
        <v>138.19999999999999</v>
      </c>
      <c r="F277" s="106">
        <v>702.5</v>
      </c>
      <c r="G277">
        <v>5021</v>
      </c>
      <c r="H277" s="106"/>
      <c r="I277" s="106"/>
      <c r="L277" s="143">
        <v>42408</v>
      </c>
      <c r="M277" s="106">
        <v>140.32999999999998</v>
      </c>
      <c r="N277" s="106">
        <v>144.9</v>
      </c>
      <c r="O277" s="106">
        <v>135</v>
      </c>
      <c r="P277" s="106">
        <v>138</v>
      </c>
      <c r="Q277" s="106">
        <v>701.65</v>
      </c>
      <c r="R277">
        <v>679995</v>
      </c>
    </row>
    <row r="278" spans="1:18" x14ac:dyDescent="0.25">
      <c r="A278" s="143">
        <v>42409</v>
      </c>
      <c r="B278" s="106">
        <v>139.80000000000001</v>
      </c>
      <c r="C278" s="106">
        <v>137.54000000000002</v>
      </c>
      <c r="D278" s="106">
        <v>136.02000000000001</v>
      </c>
      <c r="E278" s="106">
        <v>139.80000000000001</v>
      </c>
      <c r="F278" s="106">
        <v>687.7</v>
      </c>
      <c r="G278">
        <v>978</v>
      </c>
      <c r="H278" s="106"/>
      <c r="I278" s="106"/>
      <c r="L278" s="143">
        <v>42409</v>
      </c>
      <c r="M278" s="106">
        <v>136.89000000000001</v>
      </c>
      <c r="N278" s="106">
        <v>141.38</v>
      </c>
      <c r="O278" s="106">
        <v>136.12</v>
      </c>
      <c r="P278" s="106">
        <v>138</v>
      </c>
      <c r="Q278" s="106">
        <v>684.45</v>
      </c>
      <c r="R278">
        <v>10118</v>
      </c>
    </row>
    <row r="279" spans="1:18" x14ac:dyDescent="0.25">
      <c r="A279" s="143">
        <v>42410</v>
      </c>
      <c r="B279" s="106">
        <v>138.35</v>
      </c>
      <c r="C279" s="106">
        <v>137.82</v>
      </c>
      <c r="D279" s="106">
        <v>133.20999999999998</v>
      </c>
      <c r="E279" s="106">
        <v>137</v>
      </c>
      <c r="F279" s="106">
        <v>689.1</v>
      </c>
      <c r="G279">
        <v>151374</v>
      </c>
      <c r="H279" s="106"/>
      <c r="I279" s="106"/>
      <c r="L279" s="143">
        <v>42410</v>
      </c>
      <c r="M279" s="106">
        <v>137.93</v>
      </c>
      <c r="N279" s="106">
        <v>138.6</v>
      </c>
      <c r="O279" s="106">
        <v>132.56</v>
      </c>
      <c r="P279" s="106">
        <v>137</v>
      </c>
      <c r="Q279" s="106">
        <v>689.65</v>
      </c>
      <c r="R279">
        <v>105702</v>
      </c>
    </row>
    <row r="280" spans="1:18" x14ac:dyDescent="0.25">
      <c r="A280" s="143">
        <v>42411</v>
      </c>
      <c r="B280" s="106">
        <v>138.80000000000001</v>
      </c>
      <c r="C280" s="106">
        <v>136.53</v>
      </c>
      <c r="D280" s="106">
        <v>130.41</v>
      </c>
      <c r="E280" s="106">
        <v>137</v>
      </c>
      <c r="F280" s="106">
        <v>682.65</v>
      </c>
      <c r="G280">
        <v>2934</v>
      </c>
      <c r="H280" s="106"/>
      <c r="I280" s="106"/>
      <c r="L280" s="143">
        <v>42411</v>
      </c>
      <c r="M280" s="106">
        <v>135.44999999999999</v>
      </c>
      <c r="N280" s="106">
        <v>138.97999999999999</v>
      </c>
      <c r="O280" s="106">
        <v>130.82</v>
      </c>
      <c r="P280" s="106">
        <v>137.99</v>
      </c>
      <c r="Q280" s="106">
        <v>677.25</v>
      </c>
      <c r="R280">
        <v>25859</v>
      </c>
    </row>
    <row r="281" spans="1:18" x14ac:dyDescent="0.25">
      <c r="A281" s="143">
        <v>42412</v>
      </c>
      <c r="B281" s="106">
        <v>151.35999999999999</v>
      </c>
      <c r="C281" s="106">
        <v>143.28</v>
      </c>
      <c r="D281" s="106">
        <v>125.16</v>
      </c>
      <c r="E281" s="106">
        <v>136</v>
      </c>
      <c r="F281" s="106">
        <v>716.4</v>
      </c>
      <c r="G281">
        <v>6986</v>
      </c>
      <c r="H281" s="106"/>
      <c r="I281" s="106"/>
      <c r="L281" s="143">
        <v>42412</v>
      </c>
      <c r="M281" s="106">
        <v>139.56</v>
      </c>
      <c r="N281" s="106">
        <v>150.4</v>
      </c>
      <c r="O281" s="106">
        <v>125.22</v>
      </c>
      <c r="P281" s="106">
        <v>137</v>
      </c>
      <c r="Q281" s="106">
        <v>697.8</v>
      </c>
      <c r="R281">
        <v>268627</v>
      </c>
    </row>
    <row r="282" spans="1:18" x14ac:dyDescent="0.25">
      <c r="A282" s="143">
        <v>42415</v>
      </c>
      <c r="B282" s="106">
        <v>145.97</v>
      </c>
      <c r="C282" s="106">
        <v>139.13</v>
      </c>
      <c r="D282" s="106">
        <v>138.01</v>
      </c>
      <c r="E282" s="106">
        <v>142</v>
      </c>
      <c r="F282" s="106">
        <v>695.65</v>
      </c>
      <c r="G282">
        <v>2407</v>
      </c>
      <c r="H282" s="106"/>
      <c r="I282" s="106"/>
      <c r="L282" s="143">
        <v>42415</v>
      </c>
      <c r="M282" s="106">
        <v>139.27000000000001</v>
      </c>
      <c r="N282" s="106">
        <v>144.6</v>
      </c>
      <c r="O282" s="106">
        <v>137.80000000000001</v>
      </c>
      <c r="P282" s="106">
        <v>144</v>
      </c>
      <c r="Q282" s="106">
        <v>696.35</v>
      </c>
      <c r="R282">
        <v>31659</v>
      </c>
    </row>
    <row r="283" spans="1:18" x14ac:dyDescent="0.25">
      <c r="A283" s="143">
        <v>42416</v>
      </c>
      <c r="B283" s="106">
        <v>139.29000000000002</v>
      </c>
      <c r="C283" s="106">
        <v>134.54000000000002</v>
      </c>
      <c r="D283" s="106">
        <v>133.26</v>
      </c>
      <c r="E283" s="106">
        <v>139</v>
      </c>
      <c r="F283" s="106">
        <v>672.7</v>
      </c>
      <c r="G283">
        <v>1110</v>
      </c>
      <c r="H283" s="106"/>
      <c r="I283" s="106"/>
      <c r="L283" s="143">
        <v>42416</v>
      </c>
      <c r="M283" s="106">
        <v>134.85</v>
      </c>
      <c r="N283" s="106">
        <v>140.80000000000001</v>
      </c>
      <c r="O283" s="106">
        <v>133.02000000000001</v>
      </c>
      <c r="P283" s="106">
        <v>140.80000000000001</v>
      </c>
      <c r="Q283" s="106">
        <v>674.25</v>
      </c>
      <c r="R283">
        <v>12888</v>
      </c>
    </row>
    <row r="284" spans="1:18" x14ac:dyDescent="0.25">
      <c r="A284" s="143">
        <v>42417</v>
      </c>
      <c r="B284" s="106">
        <v>134</v>
      </c>
      <c r="C284" s="106">
        <v>132.29000000000002</v>
      </c>
      <c r="D284" s="106">
        <v>131</v>
      </c>
      <c r="E284" s="106">
        <v>134</v>
      </c>
      <c r="F284" s="106">
        <v>661.45</v>
      </c>
      <c r="G284">
        <v>2124</v>
      </c>
      <c r="H284" s="106"/>
      <c r="I284" s="106"/>
      <c r="L284" s="143">
        <v>42417</v>
      </c>
      <c r="M284" s="106">
        <v>132.76</v>
      </c>
      <c r="N284" s="106">
        <v>137.59</v>
      </c>
      <c r="O284" s="106">
        <v>130.82</v>
      </c>
      <c r="P284" s="106">
        <v>137.59</v>
      </c>
      <c r="Q284" s="106">
        <v>663.8</v>
      </c>
      <c r="R284">
        <v>13463</v>
      </c>
    </row>
    <row r="285" spans="1:18" x14ac:dyDescent="0.25">
      <c r="A285" s="143">
        <v>42418</v>
      </c>
      <c r="B285" s="106">
        <v>133</v>
      </c>
      <c r="C285" s="106">
        <v>129.84</v>
      </c>
      <c r="D285" s="106">
        <v>128.64000000000001</v>
      </c>
      <c r="E285" s="106">
        <v>132.85</v>
      </c>
      <c r="F285" s="106">
        <v>649.20000000000005</v>
      </c>
      <c r="G285">
        <v>1806</v>
      </c>
      <c r="H285" s="106"/>
      <c r="I285" s="106"/>
      <c r="L285" s="143">
        <v>42418</v>
      </c>
      <c r="M285" s="106">
        <v>129.1</v>
      </c>
      <c r="N285" s="106">
        <v>133.67000000000002</v>
      </c>
      <c r="O285" s="106">
        <v>127.8</v>
      </c>
      <c r="P285" s="106">
        <v>133.35999999999999</v>
      </c>
      <c r="Q285" s="106">
        <v>645.5</v>
      </c>
      <c r="R285">
        <v>15038</v>
      </c>
    </row>
    <row r="286" spans="1:18" x14ac:dyDescent="0.25">
      <c r="A286" s="143">
        <v>42419</v>
      </c>
      <c r="B286" s="106">
        <v>133.68</v>
      </c>
      <c r="C286" s="106">
        <v>132.34</v>
      </c>
      <c r="D286" s="106">
        <v>128.41</v>
      </c>
      <c r="E286" s="106">
        <v>129.4</v>
      </c>
      <c r="F286" s="106">
        <v>661.7</v>
      </c>
      <c r="G286">
        <v>274</v>
      </c>
      <c r="H286" s="106"/>
      <c r="I286" s="106"/>
      <c r="L286" s="143">
        <v>42419</v>
      </c>
      <c r="M286" s="106">
        <v>132.01</v>
      </c>
      <c r="N286" s="106">
        <v>133.6</v>
      </c>
      <c r="O286" s="106">
        <v>128.10999999999999</v>
      </c>
      <c r="P286" s="106">
        <v>129.29000000000002</v>
      </c>
      <c r="Q286" s="106">
        <v>660.05</v>
      </c>
      <c r="R286">
        <v>5972</v>
      </c>
    </row>
    <row r="287" spans="1:18" x14ac:dyDescent="0.25">
      <c r="A287" s="143">
        <v>42422</v>
      </c>
      <c r="B287" s="106">
        <v>133.4</v>
      </c>
      <c r="C287" s="106">
        <v>132.97</v>
      </c>
      <c r="D287" s="106">
        <v>130.80000000000001</v>
      </c>
      <c r="E287" s="106">
        <v>132</v>
      </c>
      <c r="F287" s="106">
        <v>664.85</v>
      </c>
      <c r="G287">
        <v>301</v>
      </c>
      <c r="H287" s="106"/>
      <c r="I287" s="106"/>
      <c r="L287" s="143">
        <v>42422</v>
      </c>
      <c r="M287" s="106">
        <v>132.74</v>
      </c>
      <c r="N287" s="106">
        <v>133.59</v>
      </c>
      <c r="O287" s="106">
        <v>130</v>
      </c>
      <c r="P287" s="106">
        <v>130.9</v>
      </c>
      <c r="Q287" s="106">
        <v>663.7</v>
      </c>
      <c r="R287">
        <v>54879</v>
      </c>
    </row>
    <row r="288" spans="1:18" x14ac:dyDescent="0.25">
      <c r="A288" s="143">
        <v>42423</v>
      </c>
      <c r="B288" s="106">
        <v>130</v>
      </c>
      <c r="C288" s="106">
        <v>127.91</v>
      </c>
      <c r="D288" s="106">
        <v>127</v>
      </c>
      <c r="E288" s="106">
        <v>130</v>
      </c>
      <c r="F288" s="106">
        <v>639.54999999999995</v>
      </c>
      <c r="G288">
        <v>700</v>
      </c>
      <c r="H288" s="106"/>
      <c r="I288" s="106"/>
      <c r="L288" s="143">
        <v>42423</v>
      </c>
      <c r="M288" s="106">
        <v>127.22999999999999</v>
      </c>
      <c r="N288" s="106">
        <v>132</v>
      </c>
      <c r="O288" s="106">
        <v>126.49000000000001</v>
      </c>
      <c r="P288" s="106">
        <v>131.94</v>
      </c>
      <c r="Q288" s="106">
        <v>636.15</v>
      </c>
      <c r="R288">
        <v>16507</v>
      </c>
    </row>
    <row r="289" spans="1:18" x14ac:dyDescent="0.25">
      <c r="A289" s="143">
        <v>42424</v>
      </c>
      <c r="B289" s="106">
        <v>131</v>
      </c>
      <c r="C289" s="106">
        <v>128.69</v>
      </c>
      <c r="D289" s="106">
        <v>125.19000000000001</v>
      </c>
      <c r="E289" s="106">
        <v>126.8</v>
      </c>
      <c r="F289" s="106">
        <v>643.45000000000005</v>
      </c>
      <c r="G289">
        <v>247</v>
      </c>
      <c r="H289" s="106"/>
      <c r="I289" s="106"/>
      <c r="L289" s="143">
        <v>42424</v>
      </c>
      <c r="M289" s="106">
        <v>128.5</v>
      </c>
      <c r="N289" s="106">
        <v>131</v>
      </c>
      <c r="O289" s="106">
        <v>125.29</v>
      </c>
      <c r="P289" s="106">
        <v>125.99000000000001</v>
      </c>
      <c r="Q289" s="106">
        <v>642.5</v>
      </c>
      <c r="R289">
        <v>10350</v>
      </c>
    </row>
    <row r="290" spans="1:18" x14ac:dyDescent="0.25">
      <c r="A290" s="143">
        <v>42425</v>
      </c>
      <c r="B290" s="106">
        <v>131.78</v>
      </c>
      <c r="C290" s="106">
        <v>127.45</v>
      </c>
      <c r="D290" s="106">
        <v>125.25</v>
      </c>
      <c r="E290" s="106">
        <v>129</v>
      </c>
      <c r="F290" s="106">
        <v>637.25</v>
      </c>
      <c r="G290">
        <v>457</v>
      </c>
      <c r="H290" s="106"/>
      <c r="I290" s="106"/>
      <c r="L290" s="143">
        <v>42425</v>
      </c>
      <c r="M290" s="106">
        <v>126.25</v>
      </c>
      <c r="N290" s="106">
        <v>131.99</v>
      </c>
      <c r="O290" s="106">
        <v>125.33</v>
      </c>
      <c r="P290" s="106">
        <v>128</v>
      </c>
      <c r="Q290" s="106">
        <v>631.25</v>
      </c>
      <c r="R290">
        <v>45583</v>
      </c>
    </row>
    <row r="291" spans="1:18" x14ac:dyDescent="0.25">
      <c r="A291" s="143">
        <v>42426</v>
      </c>
      <c r="B291" s="106">
        <v>128.88</v>
      </c>
      <c r="C291" s="106">
        <v>126.77000000000001</v>
      </c>
      <c r="D291" s="106">
        <v>126.1</v>
      </c>
      <c r="E291" s="106">
        <v>128</v>
      </c>
      <c r="F291" s="106">
        <v>633.85</v>
      </c>
      <c r="G291">
        <v>464</v>
      </c>
      <c r="H291" s="106"/>
      <c r="I291" s="106"/>
      <c r="L291" s="143">
        <v>42426</v>
      </c>
      <c r="M291" s="106">
        <v>127.24000000000001</v>
      </c>
      <c r="N291" s="106">
        <v>129.35</v>
      </c>
      <c r="O291" s="106">
        <v>126.1</v>
      </c>
      <c r="P291" s="106">
        <v>128.99</v>
      </c>
      <c r="Q291" s="106">
        <v>636.20000000000005</v>
      </c>
      <c r="R291">
        <v>5604</v>
      </c>
    </row>
    <row r="292" spans="1:18" x14ac:dyDescent="0.25">
      <c r="A292" s="143">
        <v>42429</v>
      </c>
      <c r="B292" s="106">
        <v>129.94</v>
      </c>
      <c r="C292" s="106">
        <v>128.41</v>
      </c>
      <c r="D292" s="106">
        <v>125.1</v>
      </c>
      <c r="E292" s="106">
        <v>126.96</v>
      </c>
      <c r="F292" s="106">
        <v>642.04999999999995</v>
      </c>
      <c r="G292">
        <v>1611</v>
      </c>
      <c r="H292" s="106"/>
      <c r="I292" s="106"/>
      <c r="L292" s="143">
        <v>42429</v>
      </c>
      <c r="M292" s="106">
        <v>128.84</v>
      </c>
      <c r="N292" s="106">
        <v>131.39000000000001</v>
      </c>
      <c r="O292" s="106">
        <v>125</v>
      </c>
      <c r="P292" s="106">
        <v>131.39000000000001</v>
      </c>
      <c r="Q292" s="106">
        <v>644.20000000000005</v>
      </c>
      <c r="R292">
        <v>11020</v>
      </c>
    </row>
    <row r="293" spans="1:18" x14ac:dyDescent="0.25">
      <c r="A293" s="143">
        <v>42430</v>
      </c>
      <c r="B293" s="106">
        <v>130.75</v>
      </c>
      <c r="C293" s="106">
        <v>129.4</v>
      </c>
      <c r="D293" s="106">
        <v>126</v>
      </c>
      <c r="E293" s="106">
        <v>128</v>
      </c>
      <c r="F293" s="106">
        <v>647</v>
      </c>
      <c r="G293">
        <v>1127</v>
      </c>
      <c r="H293" s="106"/>
      <c r="I293" s="106"/>
      <c r="L293" s="143">
        <v>42430</v>
      </c>
      <c r="M293" s="106">
        <v>129.52000000000001</v>
      </c>
      <c r="N293" s="106">
        <v>131</v>
      </c>
      <c r="O293" s="106">
        <v>125.4</v>
      </c>
      <c r="P293" s="106">
        <v>127.07000000000001</v>
      </c>
      <c r="Q293" s="106">
        <v>647.6</v>
      </c>
      <c r="R293">
        <v>28037</v>
      </c>
    </row>
    <row r="294" spans="1:18" x14ac:dyDescent="0.25">
      <c r="A294" s="143">
        <v>42431</v>
      </c>
      <c r="B294" s="106">
        <v>132.47999999999999</v>
      </c>
      <c r="C294" s="106">
        <v>131.62</v>
      </c>
      <c r="D294" s="106">
        <v>130.4</v>
      </c>
      <c r="E294" s="106">
        <v>130.4</v>
      </c>
      <c r="F294" s="106">
        <v>658.1</v>
      </c>
      <c r="G294">
        <v>620</v>
      </c>
      <c r="H294" s="106"/>
      <c r="I294" s="106"/>
      <c r="L294" s="143">
        <v>42431</v>
      </c>
      <c r="M294" s="106">
        <v>130.94999999999999</v>
      </c>
      <c r="N294" s="106">
        <v>133.10999999999999</v>
      </c>
      <c r="O294" s="106">
        <v>129</v>
      </c>
      <c r="P294" s="106">
        <v>131.97999999999999</v>
      </c>
      <c r="Q294" s="106">
        <v>654.75</v>
      </c>
      <c r="R294">
        <v>36988</v>
      </c>
    </row>
    <row r="295" spans="1:18" x14ac:dyDescent="0.25">
      <c r="A295" s="143">
        <v>42432</v>
      </c>
      <c r="B295" s="106">
        <v>134.66</v>
      </c>
      <c r="C295" s="106">
        <v>133.52000000000001</v>
      </c>
      <c r="D295" s="106">
        <v>130.80000000000001</v>
      </c>
      <c r="E295" s="106">
        <v>132.53</v>
      </c>
      <c r="F295" s="106">
        <v>667.6</v>
      </c>
      <c r="G295">
        <v>11561</v>
      </c>
      <c r="H295" s="106"/>
      <c r="I295" s="106"/>
      <c r="L295" s="143">
        <v>42432</v>
      </c>
      <c r="M295" s="106">
        <v>133.18</v>
      </c>
      <c r="N295" s="106">
        <v>134.4</v>
      </c>
      <c r="O295" s="106">
        <v>130.43</v>
      </c>
      <c r="P295" s="106">
        <v>131.84</v>
      </c>
      <c r="Q295" s="106">
        <v>665.9</v>
      </c>
      <c r="R295">
        <v>42736</v>
      </c>
    </row>
    <row r="296" spans="1:18" x14ac:dyDescent="0.25">
      <c r="A296" s="143">
        <v>42433</v>
      </c>
      <c r="B296" s="106">
        <v>133.28</v>
      </c>
      <c r="C296" s="106">
        <v>132.13</v>
      </c>
      <c r="D296" s="106">
        <v>131.51</v>
      </c>
      <c r="E296" s="106">
        <v>131.52000000000001</v>
      </c>
      <c r="F296" s="106">
        <v>660.65</v>
      </c>
      <c r="G296">
        <v>768</v>
      </c>
      <c r="H296" s="106"/>
      <c r="I296" s="106"/>
      <c r="L296" s="143">
        <v>42433</v>
      </c>
      <c r="M296" s="106">
        <v>132.92000000000002</v>
      </c>
      <c r="N296" s="106">
        <v>134.4</v>
      </c>
      <c r="O296" s="106">
        <v>131.79000000000002</v>
      </c>
      <c r="P296" s="106">
        <v>132.99</v>
      </c>
      <c r="Q296" s="106">
        <v>664.6</v>
      </c>
      <c r="R296">
        <v>13711</v>
      </c>
    </row>
    <row r="297" spans="1:18" x14ac:dyDescent="0.25">
      <c r="A297" s="143">
        <v>42437</v>
      </c>
      <c r="B297" s="106">
        <v>133</v>
      </c>
      <c r="C297" s="106">
        <v>132.24</v>
      </c>
      <c r="D297" s="106">
        <v>130</v>
      </c>
      <c r="E297" s="106">
        <v>132.60999999999999</v>
      </c>
      <c r="F297" s="106">
        <v>661.2</v>
      </c>
      <c r="G297">
        <v>848</v>
      </c>
      <c r="H297" s="106"/>
      <c r="I297" s="106"/>
      <c r="L297" s="143">
        <v>42437</v>
      </c>
      <c r="M297" s="106">
        <v>132.74</v>
      </c>
      <c r="N297" s="106">
        <v>132.80000000000001</v>
      </c>
      <c r="O297" s="106">
        <v>130.07</v>
      </c>
      <c r="P297" s="106">
        <v>132.80000000000001</v>
      </c>
      <c r="Q297" s="106">
        <v>663.7</v>
      </c>
      <c r="R297">
        <v>14093</v>
      </c>
    </row>
    <row r="298" spans="1:18" x14ac:dyDescent="0.25">
      <c r="A298" s="143">
        <v>42438</v>
      </c>
      <c r="B298" s="106">
        <v>134.41</v>
      </c>
      <c r="C298" s="106">
        <v>133.99</v>
      </c>
      <c r="D298" s="106">
        <v>132</v>
      </c>
      <c r="E298" s="106">
        <v>132</v>
      </c>
      <c r="F298" s="106">
        <v>669.95</v>
      </c>
      <c r="G298">
        <v>364</v>
      </c>
      <c r="H298" s="106"/>
      <c r="I298" s="106"/>
      <c r="L298" s="143">
        <v>42438</v>
      </c>
      <c r="M298" s="106">
        <v>133.66</v>
      </c>
      <c r="N298" s="106">
        <v>134</v>
      </c>
      <c r="O298" s="106">
        <v>131.60999999999999</v>
      </c>
      <c r="P298" s="106">
        <v>133.02000000000001</v>
      </c>
      <c r="Q298" s="106">
        <v>668.3</v>
      </c>
      <c r="R298">
        <v>23850</v>
      </c>
    </row>
    <row r="299" spans="1:18" x14ac:dyDescent="0.25">
      <c r="A299" s="143">
        <v>42439</v>
      </c>
      <c r="B299" s="106">
        <v>138.80000000000001</v>
      </c>
      <c r="C299" s="106">
        <v>137.79000000000002</v>
      </c>
      <c r="D299" s="106">
        <v>132</v>
      </c>
      <c r="E299" s="106">
        <v>132</v>
      </c>
      <c r="F299" s="106">
        <v>688.95</v>
      </c>
      <c r="G299">
        <v>4649</v>
      </c>
      <c r="H299" s="106"/>
      <c r="I299" s="106"/>
      <c r="L299" s="143">
        <v>42439</v>
      </c>
      <c r="M299" s="106">
        <v>137.99</v>
      </c>
      <c r="N299" s="106">
        <v>138.54000000000002</v>
      </c>
      <c r="O299" s="106">
        <v>131</v>
      </c>
      <c r="P299" s="106">
        <v>131</v>
      </c>
      <c r="Q299" s="106">
        <v>689.95</v>
      </c>
      <c r="R299">
        <v>21184</v>
      </c>
    </row>
    <row r="300" spans="1:18" x14ac:dyDescent="0.25">
      <c r="A300" s="143">
        <v>42440</v>
      </c>
      <c r="B300" s="106">
        <v>139.20999999999998</v>
      </c>
      <c r="C300" s="106">
        <v>134.44</v>
      </c>
      <c r="D300" s="106">
        <v>133.19999999999999</v>
      </c>
      <c r="E300" s="106">
        <v>138</v>
      </c>
      <c r="F300" s="106">
        <v>672.2</v>
      </c>
      <c r="G300">
        <v>3413</v>
      </c>
      <c r="H300" s="106"/>
      <c r="I300" s="106"/>
      <c r="L300" s="143">
        <v>42440</v>
      </c>
      <c r="M300" s="106">
        <v>134.06</v>
      </c>
      <c r="N300" s="106">
        <v>139</v>
      </c>
      <c r="O300" s="106">
        <v>133.10999999999999</v>
      </c>
      <c r="P300" s="106">
        <v>138</v>
      </c>
      <c r="Q300" s="106">
        <v>670.3</v>
      </c>
      <c r="R300">
        <v>23454</v>
      </c>
    </row>
    <row r="301" spans="1:18" x14ac:dyDescent="0.25">
      <c r="A301" s="143">
        <v>42443</v>
      </c>
      <c r="B301" s="106">
        <v>136.47</v>
      </c>
      <c r="C301" s="106">
        <v>133.70999999999998</v>
      </c>
      <c r="D301" s="106">
        <v>133.19999999999999</v>
      </c>
      <c r="E301" s="106">
        <v>135</v>
      </c>
      <c r="F301" s="106">
        <v>668.55</v>
      </c>
      <c r="G301">
        <v>2747</v>
      </c>
      <c r="H301" s="106"/>
      <c r="I301" s="106"/>
      <c r="L301" s="143">
        <v>42443</v>
      </c>
      <c r="M301" s="106">
        <v>133.72999999999999</v>
      </c>
      <c r="N301" s="106">
        <v>136.69999999999999</v>
      </c>
      <c r="O301" s="106">
        <v>133.01</v>
      </c>
      <c r="P301" s="106">
        <v>134.80000000000001</v>
      </c>
      <c r="Q301" s="106">
        <v>668.65</v>
      </c>
      <c r="R301">
        <v>16247</v>
      </c>
    </row>
    <row r="302" spans="1:18" x14ac:dyDescent="0.25">
      <c r="A302" s="143">
        <v>42444</v>
      </c>
      <c r="B302" s="106">
        <v>135.19999999999999</v>
      </c>
      <c r="C302" s="106">
        <v>133.65</v>
      </c>
      <c r="D302" s="106">
        <v>130.6</v>
      </c>
      <c r="E302" s="106">
        <v>135.14000000000001</v>
      </c>
      <c r="F302" s="106">
        <v>668.25</v>
      </c>
      <c r="G302">
        <v>2035</v>
      </c>
      <c r="H302" s="106"/>
      <c r="I302" s="106"/>
      <c r="L302" s="143">
        <v>42444</v>
      </c>
      <c r="M302" s="106">
        <v>133.4</v>
      </c>
      <c r="N302" s="106">
        <v>134.97</v>
      </c>
      <c r="O302" s="106">
        <v>130.13</v>
      </c>
      <c r="P302" s="106">
        <v>134.97</v>
      </c>
      <c r="Q302" s="106">
        <v>667</v>
      </c>
      <c r="R302">
        <v>13268</v>
      </c>
    </row>
    <row r="303" spans="1:18" x14ac:dyDescent="0.25">
      <c r="A303" s="143">
        <v>42445</v>
      </c>
      <c r="B303" s="106">
        <v>134.44999999999999</v>
      </c>
      <c r="C303" s="106">
        <v>130.72999999999999</v>
      </c>
      <c r="D303" s="106">
        <v>130.30000000000001</v>
      </c>
      <c r="E303" s="106">
        <v>134</v>
      </c>
      <c r="F303" s="106">
        <v>653.65</v>
      </c>
      <c r="G303">
        <v>845</v>
      </c>
      <c r="H303" s="106"/>
      <c r="I303" s="106"/>
      <c r="L303" s="143">
        <v>42445</v>
      </c>
      <c r="M303" s="106">
        <v>130.57999999999998</v>
      </c>
      <c r="N303" s="106">
        <v>136.4</v>
      </c>
      <c r="O303" s="106">
        <v>130</v>
      </c>
      <c r="P303" s="106">
        <v>133.88</v>
      </c>
      <c r="Q303" s="106">
        <v>652.9</v>
      </c>
      <c r="R303">
        <v>68962</v>
      </c>
    </row>
    <row r="304" spans="1:18" x14ac:dyDescent="0.25">
      <c r="A304" s="143">
        <v>42446</v>
      </c>
      <c r="B304" s="106">
        <v>136.99</v>
      </c>
      <c r="C304" s="106">
        <v>135.97999999999999</v>
      </c>
      <c r="D304" s="106">
        <v>130.84</v>
      </c>
      <c r="E304" s="106">
        <v>131</v>
      </c>
      <c r="F304" s="106">
        <v>679.9</v>
      </c>
      <c r="G304">
        <v>1484</v>
      </c>
      <c r="H304" s="106"/>
      <c r="I304" s="106"/>
      <c r="L304" s="143">
        <v>42446</v>
      </c>
      <c r="M304" s="106">
        <v>135.81</v>
      </c>
      <c r="N304" s="106">
        <v>136.80000000000001</v>
      </c>
      <c r="O304" s="106">
        <v>131.12</v>
      </c>
      <c r="P304" s="106">
        <v>131.19999999999999</v>
      </c>
      <c r="Q304" s="106">
        <v>679.05</v>
      </c>
      <c r="R304">
        <v>26722</v>
      </c>
    </row>
    <row r="305" spans="1:18" x14ac:dyDescent="0.25">
      <c r="A305" s="143">
        <v>42447</v>
      </c>
      <c r="B305" s="106">
        <v>137.05000000000001</v>
      </c>
      <c r="C305" s="106">
        <v>133.63</v>
      </c>
      <c r="D305" s="106">
        <v>132.6</v>
      </c>
      <c r="E305" s="106">
        <v>137</v>
      </c>
      <c r="F305" s="106">
        <v>668.15</v>
      </c>
      <c r="G305">
        <v>2697</v>
      </c>
      <c r="H305" s="106"/>
      <c r="I305" s="106"/>
      <c r="L305" s="143">
        <v>42447</v>
      </c>
      <c r="M305" s="106">
        <v>134.02000000000001</v>
      </c>
      <c r="N305" s="106">
        <v>137.89000000000001</v>
      </c>
      <c r="O305" s="106">
        <v>132.25</v>
      </c>
      <c r="P305" s="106">
        <v>135.81</v>
      </c>
      <c r="Q305" s="106">
        <v>670.1</v>
      </c>
      <c r="R305">
        <v>42664</v>
      </c>
    </row>
    <row r="306" spans="1:18" x14ac:dyDescent="0.25">
      <c r="A306" s="143">
        <v>42450</v>
      </c>
      <c r="B306" s="106">
        <v>137.97999999999999</v>
      </c>
      <c r="C306" s="106">
        <v>136.75</v>
      </c>
      <c r="D306" s="106">
        <v>133.32</v>
      </c>
      <c r="E306" s="106">
        <v>133.6</v>
      </c>
      <c r="F306" s="106">
        <v>683.75</v>
      </c>
      <c r="G306">
        <v>841</v>
      </c>
      <c r="H306" s="106"/>
      <c r="I306" s="106"/>
      <c r="L306" s="143">
        <v>42450</v>
      </c>
      <c r="M306" s="106">
        <v>136.67000000000002</v>
      </c>
      <c r="N306" s="106">
        <v>137.95999999999998</v>
      </c>
      <c r="O306" s="106">
        <v>133.25</v>
      </c>
      <c r="P306" s="106">
        <v>135.19</v>
      </c>
      <c r="Q306" s="106">
        <v>683.35</v>
      </c>
      <c r="R306">
        <v>14893</v>
      </c>
    </row>
    <row r="307" spans="1:18" x14ac:dyDescent="0.25">
      <c r="A307" s="143">
        <v>42451</v>
      </c>
      <c r="B307" s="106">
        <v>138.4</v>
      </c>
      <c r="C307" s="106">
        <v>137.64000000000001</v>
      </c>
      <c r="D307" s="106">
        <v>134</v>
      </c>
      <c r="E307" s="106">
        <v>136</v>
      </c>
      <c r="F307" s="106">
        <v>688.2</v>
      </c>
      <c r="G307">
        <v>3080</v>
      </c>
      <c r="H307" s="106"/>
      <c r="I307" s="106"/>
      <c r="L307" s="143">
        <v>42451</v>
      </c>
      <c r="M307" s="106">
        <v>137.10999999999999</v>
      </c>
      <c r="N307" s="106">
        <v>138</v>
      </c>
      <c r="O307" s="106">
        <v>133</v>
      </c>
      <c r="P307" s="106">
        <v>138</v>
      </c>
      <c r="Q307" s="106">
        <v>685.55</v>
      </c>
      <c r="R307">
        <v>27549</v>
      </c>
    </row>
    <row r="308" spans="1:18" x14ac:dyDescent="0.25">
      <c r="A308" s="143">
        <v>42452</v>
      </c>
      <c r="B308" s="106">
        <v>137.72</v>
      </c>
      <c r="C308" s="106">
        <v>137.45999999999998</v>
      </c>
      <c r="D308" s="106">
        <v>136</v>
      </c>
      <c r="E308" s="106">
        <v>136.70999999999998</v>
      </c>
      <c r="F308" s="106">
        <v>687.3</v>
      </c>
      <c r="G308">
        <v>637</v>
      </c>
      <c r="H308" s="106"/>
      <c r="I308" s="106"/>
      <c r="L308" s="143">
        <v>42452</v>
      </c>
      <c r="M308" s="106">
        <v>137.44999999999999</v>
      </c>
      <c r="N308" s="106">
        <v>137.80000000000001</v>
      </c>
      <c r="O308" s="106">
        <v>135.62</v>
      </c>
      <c r="P308" s="106">
        <v>136</v>
      </c>
      <c r="Q308" s="106">
        <v>687.25</v>
      </c>
      <c r="R308">
        <v>213070</v>
      </c>
    </row>
    <row r="309" spans="1:18" x14ac:dyDescent="0.25">
      <c r="A309" s="143">
        <v>42457</v>
      </c>
      <c r="B309" s="106">
        <v>140.59</v>
      </c>
      <c r="C309" s="106">
        <v>138.9</v>
      </c>
      <c r="D309" s="106">
        <v>135.12</v>
      </c>
      <c r="E309" s="106">
        <v>136.34</v>
      </c>
      <c r="F309" s="106">
        <v>694.5</v>
      </c>
      <c r="G309">
        <v>2881</v>
      </c>
      <c r="H309" s="106"/>
      <c r="I309" s="106"/>
      <c r="L309" s="143">
        <v>42457</v>
      </c>
      <c r="M309" s="106">
        <v>139.17000000000002</v>
      </c>
      <c r="N309" s="106">
        <v>141</v>
      </c>
      <c r="O309" s="106">
        <v>134.53</v>
      </c>
      <c r="P309" s="106">
        <v>136.51</v>
      </c>
      <c r="Q309" s="106">
        <v>695.85</v>
      </c>
      <c r="R309">
        <v>32806</v>
      </c>
    </row>
    <row r="310" spans="1:18" x14ac:dyDescent="0.25">
      <c r="A310" s="143">
        <v>42458</v>
      </c>
      <c r="B310" s="106">
        <v>140.57999999999998</v>
      </c>
      <c r="C310" s="106">
        <v>138.74</v>
      </c>
      <c r="D310" s="106">
        <v>137</v>
      </c>
      <c r="E310" s="106">
        <v>138.55000000000001</v>
      </c>
      <c r="F310" s="106">
        <v>693.7</v>
      </c>
      <c r="G310">
        <v>2559</v>
      </c>
      <c r="H310" s="106"/>
      <c r="I310" s="106"/>
      <c r="L310" s="143">
        <v>42458</v>
      </c>
      <c r="M310" s="106">
        <v>139.64000000000001</v>
      </c>
      <c r="N310" s="106">
        <v>141.5</v>
      </c>
      <c r="O310" s="106">
        <v>137.60999999999999</v>
      </c>
      <c r="P310" s="106">
        <v>141.30000000000001</v>
      </c>
      <c r="Q310" s="106">
        <v>698.2</v>
      </c>
      <c r="R310">
        <v>19788</v>
      </c>
    </row>
    <row r="311" spans="1:18" x14ac:dyDescent="0.25">
      <c r="A311" s="143">
        <v>42459</v>
      </c>
      <c r="B311" s="106">
        <v>141.97</v>
      </c>
      <c r="C311" s="106">
        <v>140.64000000000001</v>
      </c>
      <c r="D311" s="106">
        <v>137.51</v>
      </c>
      <c r="E311" s="106">
        <v>137.51</v>
      </c>
      <c r="F311" s="106">
        <v>703.2</v>
      </c>
      <c r="G311">
        <v>2895</v>
      </c>
      <c r="H311" s="106"/>
      <c r="I311" s="106"/>
      <c r="L311" s="143">
        <v>42459</v>
      </c>
      <c r="M311" s="106">
        <v>139.88</v>
      </c>
      <c r="N311" s="106">
        <v>140.99</v>
      </c>
      <c r="O311" s="106">
        <v>137.15</v>
      </c>
      <c r="P311" s="106">
        <v>138.5</v>
      </c>
      <c r="Q311" s="106">
        <v>699.4</v>
      </c>
      <c r="R311">
        <v>653020</v>
      </c>
    </row>
    <row r="312" spans="1:18" x14ac:dyDescent="0.25">
      <c r="A312" s="143">
        <v>42460</v>
      </c>
      <c r="B312" s="106">
        <v>145.35999999999999</v>
      </c>
      <c r="C312" s="106">
        <v>142.69</v>
      </c>
      <c r="D312" s="106">
        <v>140.45999999999998</v>
      </c>
      <c r="E312" s="106">
        <v>142</v>
      </c>
      <c r="F312" s="106">
        <v>713.45</v>
      </c>
      <c r="G312">
        <v>9698</v>
      </c>
      <c r="H312" s="106"/>
      <c r="I312" s="106"/>
      <c r="L312" s="143">
        <v>42460</v>
      </c>
      <c r="M312" s="106">
        <v>144.25</v>
      </c>
      <c r="N312" s="106">
        <v>145.35</v>
      </c>
      <c r="O312" s="106">
        <v>141.81</v>
      </c>
      <c r="P312" s="106">
        <v>143.49</v>
      </c>
      <c r="Q312" s="106">
        <v>721.25</v>
      </c>
      <c r="R312">
        <v>78159</v>
      </c>
    </row>
    <row r="313" spans="1:18" x14ac:dyDescent="0.25">
      <c r="A313" s="143">
        <v>42461</v>
      </c>
      <c r="B313" s="106">
        <v>147.4</v>
      </c>
      <c r="C313" s="106">
        <v>146.17000000000002</v>
      </c>
      <c r="D313" s="106">
        <v>142.69</v>
      </c>
      <c r="E313" s="106">
        <v>142.69</v>
      </c>
      <c r="F313" s="106">
        <v>730.85</v>
      </c>
      <c r="G313">
        <v>6436</v>
      </c>
      <c r="H313" s="106"/>
      <c r="I313" s="106"/>
      <c r="L313" s="143">
        <v>42461</v>
      </c>
      <c r="M313" s="106">
        <v>146.49</v>
      </c>
      <c r="N313" s="106">
        <v>147</v>
      </c>
      <c r="O313" s="106">
        <v>142.49</v>
      </c>
      <c r="P313" s="106">
        <v>143.57999999999998</v>
      </c>
      <c r="Q313" s="106">
        <v>732.45</v>
      </c>
      <c r="R313">
        <v>17612</v>
      </c>
    </row>
    <row r="314" spans="1:18" x14ac:dyDescent="0.25">
      <c r="A314" s="143">
        <v>42464</v>
      </c>
      <c r="B314" s="106">
        <v>148.82</v>
      </c>
      <c r="C314" s="106">
        <v>147.99</v>
      </c>
      <c r="D314" s="106">
        <v>146.56</v>
      </c>
      <c r="E314" s="106">
        <v>147</v>
      </c>
      <c r="F314" s="106">
        <v>739.95</v>
      </c>
      <c r="G314">
        <v>586</v>
      </c>
      <c r="H314" s="106"/>
      <c r="I314" s="106"/>
      <c r="L314" s="143">
        <v>42464</v>
      </c>
      <c r="M314" s="106">
        <v>148.05000000000001</v>
      </c>
      <c r="N314" s="106">
        <v>149.59</v>
      </c>
      <c r="O314" s="106">
        <v>146.80000000000001</v>
      </c>
      <c r="P314" s="106">
        <v>147.97999999999999</v>
      </c>
      <c r="Q314" s="106">
        <v>740.25</v>
      </c>
      <c r="R314">
        <v>18848</v>
      </c>
    </row>
    <row r="315" spans="1:18" x14ac:dyDescent="0.25">
      <c r="A315" s="143">
        <v>42465</v>
      </c>
      <c r="B315" s="106">
        <v>150.19</v>
      </c>
      <c r="C315" s="106">
        <v>147.24</v>
      </c>
      <c r="D315" s="106">
        <v>144.69999999999999</v>
      </c>
      <c r="E315" s="106">
        <v>148.05000000000001</v>
      </c>
      <c r="F315" s="106">
        <v>736.2</v>
      </c>
      <c r="G315">
        <v>1272</v>
      </c>
      <c r="H315" s="106"/>
      <c r="I315" s="106"/>
      <c r="L315" s="143">
        <v>42465</v>
      </c>
      <c r="M315" s="106">
        <v>147.99</v>
      </c>
      <c r="N315" s="106">
        <v>150</v>
      </c>
      <c r="O315" s="106">
        <v>147.22</v>
      </c>
      <c r="P315" s="106">
        <v>149.6</v>
      </c>
      <c r="Q315" s="106">
        <v>739.95</v>
      </c>
      <c r="R315">
        <v>33893</v>
      </c>
    </row>
    <row r="316" spans="1:18" x14ac:dyDescent="0.25">
      <c r="A316" s="143">
        <v>42466</v>
      </c>
      <c r="B316" s="106">
        <v>148.30000000000001</v>
      </c>
      <c r="C316" s="106">
        <v>145.01</v>
      </c>
      <c r="D316" s="106">
        <v>142.29000000000002</v>
      </c>
      <c r="E316" s="106">
        <v>147.57999999999998</v>
      </c>
      <c r="F316" s="106">
        <v>725.05</v>
      </c>
      <c r="G316">
        <v>11671</v>
      </c>
      <c r="H316" s="106"/>
      <c r="I316" s="106"/>
      <c r="L316" s="143">
        <v>42466</v>
      </c>
      <c r="M316" s="106">
        <v>145.31</v>
      </c>
      <c r="N316" s="106">
        <v>148.79000000000002</v>
      </c>
      <c r="O316" s="106">
        <v>142.60999999999999</v>
      </c>
      <c r="P316" s="106">
        <v>147.95999999999998</v>
      </c>
      <c r="Q316" s="106">
        <v>726.55</v>
      </c>
      <c r="R316">
        <v>44043</v>
      </c>
    </row>
    <row r="317" spans="1:18" x14ac:dyDescent="0.25">
      <c r="A317" s="143">
        <v>42467</v>
      </c>
      <c r="B317" s="106">
        <v>155.19999999999999</v>
      </c>
      <c r="C317" s="106">
        <v>148.95999999999998</v>
      </c>
      <c r="D317" s="106">
        <v>139.30000000000001</v>
      </c>
      <c r="E317" s="106">
        <v>143.80000000000001</v>
      </c>
      <c r="F317" s="106">
        <v>744.8</v>
      </c>
      <c r="G317">
        <v>16965</v>
      </c>
      <c r="H317" s="106"/>
      <c r="I317" s="106"/>
      <c r="L317" s="143">
        <v>42467</v>
      </c>
      <c r="M317" s="106">
        <v>149.09</v>
      </c>
      <c r="N317" s="106">
        <v>155.59</v>
      </c>
      <c r="O317" s="106">
        <v>138.82</v>
      </c>
      <c r="P317" s="106">
        <v>140.4</v>
      </c>
      <c r="Q317" s="106">
        <v>745.45</v>
      </c>
      <c r="R317">
        <v>132985</v>
      </c>
    </row>
    <row r="318" spans="1:18" x14ac:dyDescent="0.25">
      <c r="A318" s="143">
        <v>42468</v>
      </c>
      <c r="B318" s="106">
        <v>150</v>
      </c>
      <c r="C318" s="106">
        <v>147.88</v>
      </c>
      <c r="D318" s="106">
        <v>146.4</v>
      </c>
      <c r="E318" s="106">
        <v>150</v>
      </c>
      <c r="F318" s="106">
        <v>739.4</v>
      </c>
      <c r="G318">
        <v>1806</v>
      </c>
      <c r="H318" s="106"/>
      <c r="I318" s="106"/>
      <c r="L318" s="143">
        <v>42468</v>
      </c>
      <c r="M318" s="106">
        <v>147.64000000000001</v>
      </c>
      <c r="N318" s="106">
        <v>149.6</v>
      </c>
      <c r="O318" s="106">
        <v>146</v>
      </c>
      <c r="P318" s="106">
        <v>148.4</v>
      </c>
      <c r="Q318" s="106">
        <v>738.2</v>
      </c>
      <c r="R318">
        <v>167757</v>
      </c>
    </row>
    <row r="319" spans="1:18" x14ac:dyDescent="0.25">
      <c r="A319" s="143">
        <v>42471</v>
      </c>
      <c r="B319" s="106">
        <v>155</v>
      </c>
      <c r="C319" s="106">
        <v>152.84</v>
      </c>
      <c r="D319" s="106">
        <v>147.6</v>
      </c>
      <c r="E319" s="106">
        <v>147.79000000000002</v>
      </c>
      <c r="F319" s="106">
        <v>764.2</v>
      </c>
      <c r="G319">
        <v>110955</v>
      </c>
      <c r="H319" s="106"/>
      <c r="I319" s="106"/>
      <c r="L319" s="143">
        <v>42471</v>
      </c>
      <c r="M319" s="106">
        <v>152.94999999999999</v>
      </c>
      <c r="N319" s="106">
        <v>153.93</v>
      </c>
      <c r="O319" s="106">
        <v>146</v>
      </c>
      <c r="P319" s="106">
        <v>150</v>
      </c>
      <c r="Q319" s="106">
        <v>764.75</v>
      </c>
      <c r="R319">
        <v>161492</v>
      </c>
    </row>
    <row r="320" spans="1:18" x14ac:dyDescent="0.25">
      <c r="A320" s="143">
        <v>42472</v>
      </c>
      <c r="B320" s="106">
        <v>160.67000000000002</v>
      </c>
      <c r="C320" s="106">
        <v>158.13</v>
      </c>
      <c r="D320" s="106">
        <v>153.64000000000001</v>
      </c>
      <c r="E320" s="106">
        <v>154.07</v>
      </c>
      <c r="F320" s="106">
        <v>790.65</v>
      </c>
      <c r="G320">
        <v>7093</v>
      </c>
      <c r="H320" s="106"/>
      <c r="I320" s="106"/>
      <c r="L320" s="143">
        <v>42472</v>
      </c>
      <c r="M320" s="106">
        <v>157.69999999999999</v>
      </c>
      <c r="N320" s="106">
        <v>161.57</v>
      </c>
      <c r="O320" s="106">
        <v>153</v>
      </c>
      <c r="P320" s="106">
        <v>153</v>
      </c>
      <c r="Q320" s="106">
        <v>788.5</v>
      </c>
      <c r="R320">
        <v>50085</v>
      </c>
    </row>
    <row r="321" spans="1:18" x14ac:dyDescent="0.25">
      <c r="A321" s="143">
        <v>42473</v>
      </c>
      <c r="B321" s="106">
        <v>160</v>
      </c>
      <c r="C321" s="106">
        <v>158.28</v>
      </c>
      <c r="D321" s="106">
        <v>156.6</v>
      </c>
      <c r="E321" s="106">
        <v>159.14000000000001</v>
      </c>
      <c r="F321" s="106">
        <v>791.4</v>
      </c>
      <c r="G321">
        <v>128375</v>
      </c>
      <c r="H321" s="106"/>
      <c r="I321" s="106"/>
      <c r="L321" s="143">
        <v>42473</v>
      </c>
      <c r="M321" s="106">
        <v>157.99</v>
      </c>
      <c r="N321" s="106">
        <v>160.4</v>
      </c>
      <c r="O321" s="106">
        <v>156</v>
      </c>
      <c r="P321" s="106">
        <v>156.30000000000001</v>
      </c>
      <c r="Q321" s="106">
        <v>789.95</v>
      </c>
      <c r="R321">
        <v>97601</v>
      </c>
    </row>
    <row r="322" spans="1:18" x14ac:dyDescent="0.25">
      <c r="A322" s="143">
        <v>42478</v>
      </c>
      <c r="B322" s="106">
        <v>159.95999999999998</v>
      </c>
      <c r="C322" s="106">
        <v>158.69</v>
      </c>
      <c r="D322" s="106">
        <v>156.01</v>
      </c>
      <c r="E322" s="106">
        <v>159</v>
      </c>
      <c r="F322" s="106">
        <v>793.45</v>
      </c>
      <c r="G322">
        <v>102846</v>
      </c>
      <c r="H322" s="106"/>
      <c r="I322" s="106"/>
      <c r="L322" s="143">
        <v>42478</v>
      </c>
      <c r="M322" s="106">
        <v>158.53</v>
      </c>
      <c r="N322" s="106">
        <v>160</v>
      </c>
      <c r="O322" s="106">
        <v>156.01</v>
      </c>
      <c r="P322" s="106">
        <v>160</v>
      </c>
      <c r="Q322" s="106">
        <v>792.65</v>
      </c>
      <c r="R322">
        <v>30103</v>
      </c>
    </row>
    <row r="323" spans="1:18" x14ac:dyDescent="0.25">
      <c r="A323" s="143">
        <v>42480</v>
      </c>
      <c r="B323" s="106">
        <v>159.19999999999999</v>
      </c>
      <c r="C323" s="106">
        <v>156.89000000000001</v>
      </c>
      <c r="D323" s="106">
        <v>156.19999999999999</v>
      </c>
      <c r="E323" s="106">
        <v>159.19999999999999</v>
      </c>
      <c r="F323" s="106">
        <v>784.45</v>
      </c>
      <c r="G323">
        <v>2773</v>
      </c>
      <c r="H323" s="106"/>
      <c r="I323" s="106"/>
      <c r="L323" s="143">
        <v>42480</v>
      </c>
      <c r="M323" s="106">
        <v>156.97999999999999</v>
      </c>
      <c r="N323" s="106">
        <v>161.4</v>
      </c>
      <c r="O323" s="106">
        <v>156.06</v>
      </c>
      <c r="P323" s="106">
        <v>160</v>
      </c>
      <c r="Q323" s="106">
        <v>784.9</v>
      </c>
      <c r="R323">
        <v>121791</v>
      </c>
    </row>
    <row r="324" spans="1:18" x14ac:dyDescent="0.25">
      <c r="A324" s="143">
        <v>42481</v>
      </c>
      <c r="B324" s="106">
        <v>159.44</v>
      </c>
      <c r="C324" s="106">
        <v>154.05000000000001</v>
      </c>
      <c r="D324" s="106">
        <v>150.6</v>
      </c>
      <c r="E324" s="106">
        <v>159</v>
      </c>
      <c r="F324" s="106">
        <v>770.25</v>
      </c>
      <c r="G324">
        <v>2008</v>
      </c>
      <c r="H324" s="106"/>
      <c r="I324" s="106"/>
      <c r="L324" s="143">
        <v>42481</v>
      </c>
      <c r="M324" s="106">
        <v>152.84</v>
      </c>
      <c r="N324" s="106">
        <v>158.38</v>
      </c>
      <c r="O324" s="106">
        <v>150.20999999999998</v>
      </c>
      <c r="P324" s="106">
        <v>156.80000000000001</v>
      </c>
      <c r="Q324" s="106">
        <v>764.2</v>
      </c>
      <c r="R324">
        <v>37460</v>
      </c>
    </row>
    <row r="325" spans="1:18" x14ac:dyDescent="0.25">
      <c r="A325" s="143">
        <v>42482</v>
      </c>
      <c r="B325" s="106">
        <v>158</v>
      </c>
      <c r="C325" s="106">
        <v>157.79000000000002</v>
      </c>
      <c r="D325" s="106">
        <v>153</v>
      </c>
      <c r="E325" s="106">
        <v>153.19999999999999</v>
      </c>
      <c r="F325" s="106">
        <v>788.95</v>
      </c>
      <c r="G325">
        <v>1142</v>
      </c>
      <c r="H325" s="106"/>
      <c r="I325" s="106"/>
      <c r="L325" s="143">
        <v>42482</v>
      </c>
      <c r="M325" s="106">
        <v>157.28</v>
      </c>
      <c r="N325" s="106">
        <v>158</v>
      </c>
      <c r="O325" s="106">
        <v>153.19999999999999</v>
      </c>
      <c r="P325" s="106">
        <v>153.19999999999999</v>
      </c>
      <c r="Q325" s="106">
        <v>786.4</v>
      </c>
      <c r="R325">
        <v>14181</v>
      </c>
    </row>
    <row r="326" spans="1:18" x14ac:dyDescent="0.25">
      <c r="A326" s="143">
        <v>42485</v>
      </c>
      <c r="B326" s="106">
        <v>158.54000000000002</v>
      </c>
      <c r="C326" s="106">
        <v>156.85</v>
      </c>
      <c r="D326" s="106">
        <v>154.6</v>
      </c>
      <c r="E326" s="106">
        <v>158</v>
      </c>
      <c r="F326" s="106">
        <v>784.25</v>
      </c>
      <c r="G326">
        <v>942</v>
      </c>
      <c r="H326" s="106"/>
      <c r="I326" s="106"/>
      <c r="L326" s="143">
        <v>42485</v>
      </c>
      <c r="M326" s="106">
        <v>157.20999999999998</v>
      </c>
      <c r="N326" s="106">
        <v>159.80000000000001</v>
      </c>
      <c r="O326" s="106">
        <v>155.4</v>
      </c>
      <c r="P326" s="106">
        <v>155.6</v>
      </c>
      <c r="Q326" s="106">
        <v>786.05</v>
      </c>
      <c r="R326">
        <v>30629</v>
      </c>
    </row>
    <row r="327" spans="1:18" x14ac:dyDescent="0.25">
      <c r="A327" s="143">
        <v>42486</v>
      </c>
      <c r="B327" s="106">
        <v>158.80000000000001</v>
      </c>
      <c r="C327" s="106">
        <v>156.77000000000001</v>
      </c>
      <c r="D327" s="106">
        <v>155.32999999999998</v>
      </c>
      <c r="E327" s="106">
        <v>156.30000000000001</v>
      </c>
      <c r="F327" s="106">
        <v>783.85</v>
      </c>
      <c r="G327">
        <v>1468</v>
      </c>
      <c r="H327" s="106"/>
      <c r="I327" s="106"/>
      <c r="L327" s="143">
        <v>42486</v>
      </c>
      <c r="M327" s="106">
        <v>158</v>
      </c>
      <c r="N327" s="106">
        <v>159.19999999999999</v>
      </c>
      <c r="O327" s="106">
        <v>155.04000000000002</v>
      </c>
      <c r="P327" s="106">
        <v>155.6</v>
      </c>
      <c r="Q327" s="106">
        <v>790</v>
      </c>
      <c r="R327">
        <v>11870</v>
      </c>
    </row>
    <row r="328" spans="1:18" x14ac:dyDescent="0.25">
      <c r="A328" s="143">
        <v>42487</v>
      </c>
      <c r="B328" s="106">
        <v>160.49</v>
      </c>
      <c r="C328" s="106">
        <v>158.97999999999999</v>
      </c>
      <c r="D328" s="106">
        <v>157</v>
      </c>
      <c r="E328" s="106">
        <v>157</v>
      </c>
      <c r="F328" s="106">
        <v>794.9</v>
      </c>
      <c r="G328">
        <v>417</v>
      </c>
      <c r="H328" s="106"/>
      <c r="I328" s="106"/>
      <c r="L328" s="143">
        <v>42487</v>
      </c>
      <c r="M328" s="106">
        <v>159.24</v>
      </c>
      <c r="N328" s="106">
        <v>160.16</v>
      </c>
      <c r="O328" s="106">
        <v>156.16</v>
      </c>
      <c r="P328" s="106">
        <v>157.94999999999999</v>
      </c>
      <c r="Q328" s="106">
        <v>796.2</v>
      </c>
      <c r="R328">
        <v>26891</v>
      </c>
    </row>
    <row r="329" spans="1:18" x14ac:dyDescent="0.25">
      <c r="A329" s="143">
        <v>42488</v>
      </c>
      <c r="B329" s="106">
        <v>160.57999999999998</v>
      </c>
      <c r="C329" s="106">
        <v>159.59</v>
      </c>
      <c r="D329" s="106">
        <v>158.6</v>
      </c>
      <c r="E329" s="106">
        <v>159.19999999999999</v>
      </c>
      <c r="F329" s="106">
        <v>797.95</v>
      </c>
      <c r="G329">
        <v>1247</v>
      </c>
      <c r="H329" s="106"/>
      <c r="I329" s="106"/>
      <c r="L329" s="143">
        <v>42488</v>
      </c>
      <c r="M329" s="106">
        <v>159.29000000000002</v>
      </c>
      <c r="N329" s="106">
        <v>160.68</v>
      </c>
      <c r="O329" s="106">
        <v>158.41</v>
      </c>
      <c r="P329" s="106">
        <v>160.68</v>
      </c>
      <c r="Q329" s="106">
        <v>796.45</v>
      </c>
      <c r="R329">
        <v>10876</v>
      </c>
    </row>
    <row r="330" spans="1:18" x14ac:dyDescent="0.25">
      <c r="A330" s="143">
        <v>42489</v>
      </c>
      <c r="B330" s="106">
        <v>161</v>
      </c>
      <c r="C330" s="106">
        <v>159.17000000000002</v>
      </c>
      <c r="D330" s="106">
        <v>158</v>
      </c>
      <c r="E330" s="106">
        <v>159</v>
      </c>
      <c r="F330" s="106">
        <v>795.85</v>
      </c>
      <c r="G330">
        <v>2380</v>
      </c>
      <c r="H330" s="106"/>
      <c r="I330" s="106"/>
      <c r="L330" s="143">
        <v>42489</v>
      </c>
      <c r="M330" s="106">
        <v>159.84</v>
      </c>
      <c r="N330" s="106">
        <v>160.79000000000002</v>
      </c>
      <c r="O330" s="106">
        <v>158</v>
      </c>
      <c r="P330" s="106">
        <v>160.79000000000002</v>
      </c>
      <c r="Q330" s="106">
        <v>799.2</v>
      </c>
      <c r="R330">
        <v>53373</v>
      </c>
    </row>
    <row r="331" spans="1:18" x14ac:dyDescent="0.25">
      <c r="A331" s="143">
        <v>42492</v>
      </c>
      <c r="B331" s="106">
        <v>172.04000000000002</v>
      </c>
      <c r="C331" s="106">
        <v>170.28</v>
      </c>
      <c r="D331" s="106">
        <v>160</v>
      </c>
      <c r="E331" s="106">
        <v>162</v>
      </c>
      <c r="F331" s="106">
        <v>851.4</v>
      </c>
      <c r="G331">
        <v>31805</v>
      </c>
      <c r="H331" s="106"/>
      <c r="I331" s="106"/>
      <c r="L331" s="143">
        <v>42492</v>
      </c>
      <c r="M331" s="106">
        <v>170.19</v>
      </c>
      <c r="N331" s="106">
        <v>172</v>
      </c>
      <c r="O331" s="106">
        <v>159.9</v>
      </c>
      <c r="P331" s="106">
        <v>164</v>
      </c>
      <c r="Q331" s="106">
        <v>850.95</v>
      </c>
      <c r="R331">
        <v>417661</v>
      </c>
    </row>
    <row r="332" spans="1:18" x14ac:dyDescent="0.25">
      <c r="A332" s="143">
        <v>42493</v>
      </c>
      <c r="B332" s="106">
        <v>171.3</v>
      </c>
      <c r="C332" s="106">
        <v>169.35</v>
      </c>
      <c r="D332" s="106">
        <v>166.3</v>
      </c>
      <c r="E332" s="106">
        <v>170.72</v>
      </c>
      <c r="F332" s="106">
        <v>846.75</v>
      </c>
      <c r="G332">
        <v>6536</v>
      </c>
      <c r="H332" s="106"/>
      <c r="I332" s="106"/>
      <c r="L332" s="143">
        <v>42493</v>
      </c>
      <c r="M332" s="106">
        <v>169.22</v>
      </c>
      <c r="N332" s="106">
        <v>171</v>
      </c>
      <c r="O332" s="106">
        <v>166.53</v>
      </c>
      <c r="P332" s="106">
        <v>170</v>
      </c>
      <c r="Q332" s="106">
        <v>846.1</v>
      </c>
      <c r="R332">
        <v>53569</v>
      </c>
    </row>
    <row r="333" spans="1:18" x14ac:dyDescent="0.25">
      <c r="A333" s="143">
        <v>42494</v>
      </c>
      <c r="B333" s="106">
        <v>178.2</v>
      </c>
      <c r="C333" s="106">
        <v>175.07</v>
      </c>
      <c r="D333" s="106">
        <v>168.43</v>
      </c>
      <c r="E333" s="106">
        <v>169.4</v>
      </c>
      <c r="F333" s="106">
        <v>875.35</v>
      </c>
      <c r="G333">
        <v>19112</v>
      </c>
      <c r="H333" s="106"/>
      <c r="I333" s="106"/>
      <c r="L333" s="143">
        <v>42494</v>
      </c>
      <c r="M333" s="106">
        <v>174.98</v>
      </c>
      <c r="N333" s="106">
        <v>178.4</v>
      </c>
      <c r="O333" s="106">
        <v>167.4</v>
      </c>
      <c r="P333" s="106">
        <v>167.4</v>
      </c>
      <c r="Q333" s="106">
        <v>874.9</v>
      </c>
      <c r="R333">
        <v>294225</v>
      </c>
    </row>
    <row r="334" spans="1:18" x14ac:dyDescent="0.25">
      <c r="A334" s="143">
        <v>42495</v>
      </c>
      <c r="B334" s="106">
        <v>177.4</v>
      </c>
      <c r="C334" s="106">
        <v>175.73</v>
      </c>
      <c r="D334" s="106">
        <v>172.7</v>
      </c>
      <c r="E334" s="106">
        <v>176</v>
      </c>
      <c r="F334" s="106">
        <v>878.65</v>
      </c>
      <c r="G334">
        <v>106571</v>
      </c>
      <c r="H334" s="106"/>
      <c r="I334" s="106"/>
      <c r="L334" s="143">
        <v>42495</v>
      </c>
      <c r="M334" s="106">
        <v>175.60999999999999</v>
      </c>
      <c r="N334" s="106">
        <v>177.3</v>
      </c>
      <c r="O334" s="106">
        <v>171.32</v>
      </c>
      <c r="P334" s="106">
        <v>175</v>
      </c>
      <c r="Q334" s="106">
        <v>878.05</v>
      </c>
      <c r="R334">
        <v>49269</v>
      </c>
    </row>
    <row r="335" spans="1:18" x14ac:dyDescent="0.25">
      <c r="A335" s="143">
        <v>42496</v>
      </c>
      <c r="B335" s="106">
        <v>179.8</v>
      </c>
      <c r="C335" s="106">
        <v>178.62</v>
      </c>
      <c r="D335" s="106">
        <v>175.6</v>
      </c>
      <c r="E335" s="106">
        <v>177.8</v>
      </c>
      <c r="F335" s="106">
        <v>893.1</v>
      </c>
      <c r="G335">
        <v>3831</v>
      </c>
      <c r="H335" s="106"/>
      <c r="I335" s="106"/>
      <c r="L335" s="143">
        <v>42496</v>
      </c>
      <c r="M335" s="106">
        <v>179.09</v>
      </c>
      <c r="N335" s="106">
        <v>180</v>
      </c>
      <c r="O335" s="106">
        <v>174</v>
      </c>
      <c r="P335" s="106">
        <v>175.6</v>
      </c>
      <c r="Q335" s="106">
        <v>895.45</v>
      </c>
      <c r="R335">
        <v>67726</v>
      </c>
    </row>
    <row r="336" spans="1:18" x14ac:dyDescent="0.25">
      <c r="A336" s="143">
        <v>42499</v>
      </c>
      <c r="B336" s="106">
        <v>183.91</v>
      </c>
      <c r="C336" s="106">
        <v>180.76</v>
      </c>
      <c r="D336" s="106">
        <v>177.4</v>
      </c>
      <c r="E336" s="106">
        <v>180</v>
      </c>
      <c r="F336" s="106">
        <v>903.8</v>
      </c>
      <c r="G336">
        <v>5354</v>
      </c>
      <c r="H336" s="106"/>
      <c r="I336" s="106"/>
      <c r="L336" s="143">
        <v>42499</v>
      </c>
      <c r="M336" s="106">
        <v>180.94</v>
      </c>
      <c r="N336" s="106">
        <v>184.20999999999998</v>
      </c>
      <c r="O336" s="106">
        <v>176.25</v>
      </c>
      <c r="P336" s="106">
        <v>179.6</v>
      </c>
      <c r="Q336" s="106">
        <v>904.7</v>
      </c>
      <c r="R336">
        <v>61922</v>
      </c>
    </row>
    <row r="337" spans="1:18" x14ac:dyDescent="0.25">
      <c r="A337" s="143">
        <v>42500</v>
      </c>
      <c r="B337" s="106">
        <v>183.2</v>
      </c>
      <c r="C337" s="106">
        <v>180.37</v>
      </c>
      <c r="D337" s="106">
        <v>179.55</v>
      </c>
      <c r="E337" s="106">
        <v>181.99</v>
      </c>
      <c r="F337" s="106">
        <v>901.85</v>
      </c>
      <c r="G337">
        <v>2430</v>
      </c>
      <c r="H337" s="106"/>
      <c r="I337" s="106"/>
      <c r="L337" s="143">
        <v>42500</v>
      </c>
      <c r="M337" s="106">
        <v>180.17000000000002</v>
      </c>
      <c r="N337" s="106">
        <v>183</v>
      </c>
      <c r="O337" s="106">
        <v>179.2</v>
      </c>
      <c r="P337" s="106">
        <v>181.99</v>
      </c>
      <c r="Q337" s="106">
        <v>900.85</v>
      </c>
      <c r="R337">
        <v>73591</v>
      </c>
    </row>
    <row r="338" spans="1:18" x14ac:dyDescent="0.25">
      <c r="A338" s="143">
        <v>42501</v>
      </c>
      <c r="B338" s="106">
        <v>181.7</v>
      </c>
      <c r="C338" s="106">
        <v>180.01</v>
      </c>
      <c r="D338" s="106">
        <v>177.6</v>
      </c>
      <c r="E338" s="106">
        <v>180.2</v>
      </c>
      <c r="F338" s="106">
        <v>900.05</v>
      </c>
      <c r="G338">
        <v>2800</v>
      </c>
      <c r="H338" s="106"/>
      <c r="I338" s="106"/>
      <c r="L338" s="143">
        <v>42501</v>
      </c>
      <c r="M338" s="106">
        <v>180.04000000000002</v>
      </c>
      <c r="N338" s="106">
        <v>181.98</v>
      </c>
      <c r="O338" s="106">
        <v>178.2</v>
      </c>
      <c r="P338" s="106">
        <v>180</v>
      </c>
      <c r="Q338" s="106">
        <v>900.2</v>
      </c>
      <c r="R338">
        <v>165098</v>
      </c>
    </row>
    <row r="339" spans="1:18" x14ac:dyDescent="0.25">
      <c r="A339" s="143">
        <v>42502</v>
      </c>
      <c r="B339" s="106">
        <v>181.7</v>
      </c>
      <c r="C339" s="106">
        <v>178.1</v>
      </c>
      <c r="D339" s="106">
        <v>177</v>
      </c>
      <c r="E339" s="106">
        <v>180.6</v>
      </c>
      <c r="F339" s="106">
        <v>890.5</v>
      </c>
      <c r="G339">
        <v>2583</v>
      </c>
      <c r="H339" s="106"/>
      <c r="I339" s="106"/>
      <c r="L339" s="143">
        <v>42502</v>
      </c>
      <c r="M339" s="106">
        <v>178.76</v>
      </c>
      <c r="N339" s="106">
        <v>181.56</v>
      </c>
      <c r="O339" s="106">
        <v>178</v>
      </c>
      <c r="P339" s="106">
        <v>181.39000000000001</v>
      </c>
      <c r="Q339" s="106">
        <v>893.8</v>
      </c>
      <c r="R339">
        <v>17563</v>
      </c>
    </row>
    <row r="340" spans="1:18" x14ac:dyDescent="0.25">
      <c r="A340" s="143">
        <v>42503</v>
      </c>
      <c r="B340" s="106">
        <v>180.34</v>
      </c>
      <c r="C340" s="106">
        <v>179.05</v>
      </c>
      <c r="D340" s="106">
        <v>177.4</v>
      </c>
      <c r="E340" s="106">
        <v>179.98</v>
      </c>
      <c r="F340" s="106">
        <v>895.25</v>
      </c>
      <c r="G340">
        <v>1877</v>
      </c>
      <c r="H340" s="106"/>
      <c r="I340" s="106"/>
      <c r="L340" s="143">
        <v>42503</v>
      </c>
      <c r="M340" s="106">
        <v>179.77</v>
      </c>
      <c r="N340" s="106">
        <v>180.6</v>
      </c>
      <c r="O340" s="106">
        <v>177</v>
      </c>
      <c r="P340" s="106">
        <v>180.39000000000001</v>
      </c>
      <c r="Q340" s="106">
        <v>898.85</v>
      </c>
      <c r="R340">
        <v>13080</v>
      </c>
    </row>
    <row r="341" spans="1:18" x14ac:dyDescent="0.25">
      <c r="A341" s="143">
        <v>42506</v>
      </c>
      <c r="B341" s="106">
        <v>184.4</v>
      </c>
      <c r="C341" s="106">
        <v>180.43</v>
      </c>
      <c r="D341" s="106">
        <v>178.26</v>
      </c>
      <c r="E341" s="106">
        <v>180.18</v>
      </c>
      <c r="F341" s="106">
        <v>902.15</v>
      </c>
      <c r="G341">
        <v>2747</v>
      </c>
      <c r="H341" s="106"/>
      <c r="I341" s="106"/>
      <c r="L341" s="143">
        <v>42506</v>
      </c>
      <c r="M341" s="106">
        <v>180.18</v>
      </c>
      <c r="N341" s="106">
        <v>182.4</v>
      </c>
      <c r="O341" s="106">
        <v>178.4</v>
      </c>
      <c r="P341" s="106">
        <v>179.99</v>
      </c>
      <c r="Q341" s="106">
        <v>900.9</v>
      </c>
      <c r="R341">
        <v>21924</v>
      </c>
    </row>
    <row r="342" spans="1:18" x14ac:dyDescent="0.25">
      <c r="A342" s="143">
        <v>42507</v>
      </c>
      <c r="B342" s="106">
        <v>182</v>
      </c>
      <c r="C342" s="106">
        <v>178.01</v>
      </c>
      <c r="D342" s="106">
        <v>176.10999999999999</v>
      </c>
      <c r="E342" s="106">
        <v>181.4</v>
      </c>
      <c r="F342" s="106">
        <v>890.05</v>
      </c>
      <c r="G342">
        <v>555</v>
      </c>
      <c r="H342" s="106"/>
      <c r="I342" s="106"/>
      <c r="L342" s="143">
        <v>42507</v>
      </c>
      <c r="M342" s="106">
        <v>177.79000000000002</v>
      </c>
      <c r="N342" s="106">
        <v>182.5</v>
      </c>
      <c r="O342" s="106">
        <v>176.04000000000002</v>
      </c>
      <c r="P342" s="106">
        <v>181.53</v>
      </c>
      <c r="Q342" s="106">
        <v>888.95</v>
      </c>
      <c r="R342">
        <v>196867</v>
      </c>
    </row>
    <row r="343" spans="1:18" x14ac:dyDescent="0.25">
      <c r="A343" s="143">
        <v>42508</v>
      </c>
      <c r="B343" s="106">
        <v>179.81</v>
      </c>
      <c r="C343" s="106">
        <v>177.4</v>
      </c>
      <c r="D343" s="106">
        <v>175.95999999999998</v>
      </c>
      <c r="E343" s="106">
        <v>179.81</v>
      </c>
      <c r="F343" s="106">
        <v>887</v>
      </c>
      <c r="G343">
        <v>1785</v>
      </c>
      <c r="H343" s="106"/>
      <c r="I343" s="106"/>
      <c r="L343" s="143">
        <v>42508</v>
      </c>
      <c r="M343" s="106">
        <v>176.70999999999998</v>
      </c>
      <c r="N343" s="106">
        <v>179.5</v>
      </c>
      <c r="O343" s="106">
        <v>175.22</v>
      </c>
      <c r="P343" s="106">
        <v>179.38</v>
      </c>
      <c r="Q343" s="106">
        <v>883.55</v>
      </c>
      <c r="R343">
        <v>26620</v>
      </c>
    </row>
    <row r="344" spans="1:18" x14ac:dyDescent="0.25">
      <c r="A344" s="143">
        <v>42509</v>
      </c>
      <c r="B344" s="106">
        <v>179.15</v>
      </c>
      <c r="C344" s="106">
        <v>175.4</v>
      </c>
      <c r="D344" s="106">
        <v>174.5</v>
      </c>
      <c r="E344" s="106">
        <v>178.4</v>
      </c>
      <c r="F344" s="106">
        <v>877</v>
      </c>
      <c r="G344">
        <v>108424</v>
      </c>
      <c r="H344" s="106"/>
      <c r="I344" s="106"/>
      <c r="L344" s="143">
        <v>42509</v>
      </c>
      <c r="M344" s="106">
        <v>175.27</v>
      </c>
      <c r="N344" s="106">
        <v>180.99</v>
      </c>
      <c r="O344" s="106">
        <v>174.8</v>
      </c>
      <c r="P344" s="106">
        <v>177.4</v>
      </c>
      <c r="Q344" s="106">
        <v>876.35</v>
      </c>
      <c r="R344">
        <v>13757</v>
      </c>
    </row>
    <row r="345" spans="1:18" x14ac:dyDescent="0.25">
      <c r="A345" s="143">
        <v>42510</v>
      </c>
      <c r="B345" s="106">
        <v>178.26</v>
      </c>
      <c r="C345" s="106">
        <v>175.69</v>
      </c>
      <c r="D345" s="106">
        <v>172.62</v>
      </c>
      <c r="E345" s="106">
        <v>177</v>
      </c>
      <c r="F345" s="106">
        <v>878.45</v>
      </c>
      <c r="G345">
        <v>595</v>
      </c>
      <c r="H345" s="106"/>
      <c r="I345" s="106"/>
      <c r="L345" s="143">
        <v>42510</v>
      </c>
      <c r="M345" s="106">
        <v>176.25</v>
      </c>
      <c r="N345" s="106">
        <v>178.77</v>
      </c>
      <c r="O345" s="106">
        <v>172.22</v>
      </c>
      <c r="P345" s="106">
        <v>178.77</v>
      </c>
      <c r="Q345" s="106">
        <v>881.25</v>
      </c>
      <c r="R345">
        <v>23219</v>
      </c>
    </row>
    <row r="346" spans="1:18" x14ac:dyDescent="0.25">
      <c r="A346" s="143">
        <v>42513</v>
      </c>
      <c r="B346" s="106">
        <v>177.82</v>
      </c>
      <c r="C346" s="106">
        <v>175.49</v>
      </c>
      <c r="D346" s="106">
        <v>174.3</v>
      </c>
      <c r="E346" s="106">
        <v>177</v>
      </c>
      <c r="F346" s="106">
        <v>877.45</v>
      </c>
      <c r="G346">
        <v>301014</v>
      </c>
      <c r="H346" s="106"/>
      <c r="I346" s="106"/>
      <c r="L346" s="143">
        <v>42513</v>
      </c>
      <c r="M346" s="106">
        <v>175.32</v>
      </c>
      <c r="N346" s="106">
        <v>179.65</v>
      </c>
      <c r="O346" s="106">
        <v>174.4</v>
      </c>
      <c r="P346" s="106">
        <v>179.65</v>
      </c>
      <c r="Q346" s="106">
        <v>876.6</v>
      </c>
      <c r="R346">
        <v>25396</v>
      </c>
    </row>
    <row r="347" spans="1:18" x14ac:dyDescent="0.25">
      <c r="A347" s="143">
        <v>42514</v>
      </c>
      <c r="B347" s="106">
        <v>180</v>
      </c>
      <c r="C347" s="106">
        <v>178.37</v>
      </c>
      <c r="D347" s="106">
        <v>175.64000000000001</v>
      </c>
      <c r="E347" s="106">
        <v>177</v>
      </c>
      <c r="F347" s="106">
        <v>891.85</v>
      </c>
      <c r="G347">
        <v>891</v>
      </c>
      <c r="H347" s="106"/>
      <c r="I347" s="106"/>
      <c r="L347" s="143">
        <v>42514</v>
      </c>
      <c r="M347" s="106">
        <v>179.23</v>
      </c>
      <c r="N347" s="106">
        <v>180.6</v>
      </c>
      <c r="O347" s="106">
        <v>175.14000000000001</v>
      </c>
      <c r="P347" s="106">
        <v>177</v>
      </c>
      <c r="Q347" s="106">
        <v>896.15</v>
      </c>
      <c r="R347">
        <v>12288</v>
      </c>
    </row>
    <row r="348" spans="1:18" x14ac:dyDescent="0.25">
      <c r="A348" s="143">
        <v>42515</v>
      </c>
      <c r="B348" s="106">
        <v>181.2</v>
      </c>
      <c r="C348" s="106">
        <v>178.03</v>
      </c>
      <c r="D348" s="106">
        <v>175.3</v>
      </c>
      <c r="E348" s="106">
        <v>181</v>
      </c>
      <c r="F348" s="106">
        <v>890.15</v>
      </c>
      <c r="G348">
        <v>1405</v>
      </c>
      <c r="H348" s="106"/>
      <c r="I348" s="106"/>
      <c r="L348" s="143">
        <v>42515</v>
      </c>
      <c r="M348" s="106">
        <v>178.45999999999998</v>
      </c>
      <c r="N348" s="106">
        <v>182.6</v>
      </c>
      <c r="O348" s="106">
        <v>177.4</v>
      </c>
      <c r="P348" s="106">
        <v>181.99</v>
      </c>
      <c r="Q348" s="106">
        <v>892.3</v>
      </c>
      <c r="R348">
        <v>13872</v>
      </c>
    </row>
    <row r="349" spans="1:18" x14ac:dyDescent="0.25">
      <c r="A349" s="143">
        <v>42516</v>
      </c>
      <c r="B349" s="106">
        <v>180</v>
      </c>
      <c r="C349" s="106">
        <v>174.68</v>
      </c>
      <c r="D349" s="106">
        <v>173.75</v>
      </c>
      <c r="E349" s="106">
        <v>179</v>
      </c>
      <c r="F349" s="106">
        <v>873.4</v>
      </c>
      <c r="G349">
        <v>2118</v>
      </c>
      <c r="H349" s="106"/>
      <c r="I349" s="106"/>
      <c r="L349" s="143">
        <v>42516</v>
      </c>
      <c r="M349" s="106">
        <v>174.81</v>
      </c>
      <c r="N349" s="106">
        <v>180.5</v>
      </c>
      <c r="O349" s="106">
        <v>173.8</v>
      </c>
      <c r="P349" s="106">
        <v>177.4</v>
      </c>
      <c r="Q349" s="106">
        <v>874.05</v>
      </c>
      <c r="R349">
        <v>39382</v>
      </c>
    </row>
    <row r="350" spans="1:18" x14ac:dyDescent="0.25">
      <c r="A350" s="143">
        <v>42517</v>
      </c>
      <c r="B350" s="106">
        <v>179</v>
      </c>
      <c r="C350" s="106">
        <v>177.35</v>
      </c>
      <c r="D350" s="106">
        <v>175</v>
      </c>
      <c r="E350" s="106">
        <v>175</v>
      </c>
      <c r="F350" s="106">
        <v>886.75</v>
      </c>
      <c r="G350">
        <v>1966999</v>
      </c>
      <c r="H350" s="106"/>
      <c r="I350" s="106"/>
      <c r="L350" s="143">
        <v>42517</v>
      </c>
      <c r="M350" s="106">
        <v>177.06</v>
      </c>
      <c r="N350" s="106">
        <v>179</v>
      </c>
      <c r="O350" s="106">
        <v>175.2</v>
      </c>
      <c r="P350" s="106">
        <v>178</v>
      </c>
      <c r="Q350" s="106">
        <v>885.3</v>
      </c>
      <c r="R350">
        <v>56586</v>
      </c>
    </row>
    <row r="351" spans="1:18" x14ac:dyDescent="0.25">
      <c r="A351" s="143">
        <v>42520</v>
      </c>
      <c r="B351" s="106">
        <v>191.12</v>
      </c>
      <c r="C351" s="106">
        <v>190.16</v>
      </c>
      <c r="D351" s="106">
        <v>175.8</v>
      </c>
      <c r="E351" s="106">
        <v>179</v>
      </c>
      <c r="F351" s="106">
        <v>950.8</v>
      </c>
      <c r="G351">
        <v>13551</v>
      </c>
      <c r="H351" s="106"/>
      <c r="I351" s="106"/>
      <c r="L351" s="143">
        <v>42520</v>
      </c>
      <c r="M351" s="106">
        <v>189.87</v>
      </c>
      <c r="N351" s="106">
        <v>191.34</v>
      </c>
      <c r="O351" s="106">
        <v>175.6</v>
      </c>
      <c r="P351" s="106">
        <v>175.6</v>
      </c>
      <c r="Q351" s="106">
        <v>949.35</v>
      </c>
      <c r="R351">
        <v>168946</v>
      </c>
    </row>
    <row r="352" spans="1:18" x14ac:dyDescent="0.25">
      <c r="A352" s="143">
        <v>42521</v>
      </c>
      <c r="B352" s="106">
        <v>198.38</v>
      </c>
      <c r="C352" s="106">
        <v>195.95</v>
      </c>
      <c r="D352" s="106">
        <v>189</v>
      </c>
      <c r="E352" s="106">
        <v>192</v>
      </c>
      <c r="F352" s="106">
        <v>979.75</v>
      </c>
      <c r="G352">
        <v>29249</v>
      </c>
      <c r="H352" s="106"/>
      <c r="I352" s="106"/>
      <c r="L352" s="143">
        <v>42521</v>
      </c>
      <c r="M352" s="106">
        <v>195.10999999999999</v>
      </c>
      <c r="N352" s="106">
        <v>198.57999999999998</v>
      </c>
      <c r="O352" s="106">
        <v>188.4</v>
      </c>
      <c r="P352" s="106">
        <v>191.4</v>
      </c>
      <c r="Q352" s="106">
        <v>975.55</v>
      </c>
      <c r="R352">
        <v>347631</v>
      </c>
    </row>
    <row r="353" spans="1:18" x14ac:dyDescent="0.25">
      <c r="A353" s="143">
        <v>42522</v>
      </c>
      <c r="B353" s="106">
        <v>198.14000000000001</v>
      </c>
      <c r="C353" s="106">
        <v>195.85</v>
      </c>
      <c r="D353" s="106">
        <v>195</v>
      </c>
      <c r="E353" s="106">
        <v>195.8</v>
      </c>
      <c r="F353" s="106">
        <v>979.25</v>
      </c>
      <c r="G353">
        <v>6260</v>
      </c>
      <c r="H353" s="106"/>
      <c r="I353" s="106"/>
      <c r="L353" s="143">
        <v>42522</v>
      </c>
      <c r="M353" s="106">
        <v>196.19</v>
      </c>
      <c r="N353" s="106">
        <v>198.95999999999998</v>
      </c>
      <c r="O353" s="106">
        <v>194.4</v>
      </c>
      <c r="P353" s="106">
        <v>195.8</v>
      </c>
      <c r="Q353" s="106">
        <v>980.95</v>
      </c>
      <c r="R353">
        <v>254936</v>
      </c>
    </row>
    <row r="354" spans="1:18" x14ac:dyDescent="0.25">
      <c r="A354" s="143">
        <v>42523</v>
      </c>
      <c r="B354" s="106">
        <v>209.26999999999998</v>
      </c>
      <c r="C354" s="106">
        <v>205.4</v>
      </c>
      <c r="D354" s="106">
        <v>195.07</v>
      </c>
      <c r="E354" s="106">
        <v>196.48</v>
      </c>
      <c r="F354" s="106">
        <v>1027</v>
      </c>
      <c r="G354">
        <v>17613</v>
      </c>
      <c r="H354" s="106"/>
      <c r="I354" s="106"/>
      <c r="L354" s="143">
        <v>42523</v>
      </c>
      <c r="M354" s="106">
        <v>205.34</v>
      </c>
      <c r="N354" s="106">
        <v>209.4</v>
      </c>
      <c r="O354" s="106">
        <v>194.01</v>
      </c>
      <c r="P354" s="106">
        <v>197.99</v>
      </c>
      <c r="Q354" s="106">
        <v>1026.7</v>
      </c>
      <c r="R354">
        <v>271470</v>
      </c>
    </row>
    <row r="355" spans="1:18" x14ac:dyDescent="0.25">
      <c r="A355" s="143">
        <v>42524</v>
      </c>
      <c r="B355" s="106">
        <v>207.45999999999998</v>
      </c>
      <c r="C355" s="106">
        <v>202.78</v>
      </c>
      <c r="D355" s="106">
        <v>199.6</v>
      </c>
      <c r="E355" s="106">
        <v>205.4</v>
      </c>
      <c r="F355" s="106">
        <v>1013.9</v>
      </c>
      <c r="G355">
        <v>10003</v>
      </c>
      <c r="H355" s="106"/>
      <c r="I355" s="106"/>
      <c r="L355" s="143">
        <v>42524</v>
      </c>
      <c r="M355" s="106">
        <v>202.60999999999999</v>
      </c>
      <c r="N355" s="106">
        <v>206.92</v>
      </c>
      <c r="O355" s="106">
        <v>199.22</v>
      </c>
      <c r="P355" s="106">
        <v>206.18</v>
      </c>
      <c r="Q355" s="106">
        <v>1013.05</v>
      </c>
      <c r="R355">
        <v>224914</v>
      </c>
    </row>
    <row r="356" spans="1:18" x14ac:dyDescent="0.25">
      <c r="A356" s="143">
        <v>42527</v>
      </c>
      <c r="B356" s="106">
        <v>203</v>
      </c>
      <c r="C356" s="106">
        <v>201.12</v>
      </c>
      <c r="D356" s="106">
        <v>199</v>
      </c>
      <c r="E356" s="106">
        <v>203</v>
      </c>
      <c r="F356" s="106">
        <v>1005.6</v>
      </c>
      <c r="G356">
        <v>2923</v>
      </c>
      <c r="H356" s="106"/>
      <c r="I356" s="106"/>
      <c r="L356" s="143">
        <v>42527</v>
      </c>
      <c r="M356" s="106">
        <v>201.17000000000002</v>
      </c>
      <c r="N356" s="106">
        <v>204.53</v>
      </c>
      <c r="O356" s="106">
        <v>198.4</v>
      </c>
      <c r="P356" s="106">
        <v>203</v>
      </c>
      <c r="Q356" s="106">
        <v>1005.85</v>
      </c>
      <c r="R356">
        <v>26805</v>
      </c>
    </row>
    <row r="357" spans="1:18" x14ac:dyDescent="0.25">
      <c r="A357" s="143">
        <v>42528</v>
      </c>
      <c r="B357" s="106">
        <v>203.26</v>
      </c>
      <c r="C357" s="106">
        <v>199.76</v>
      </c>
      <c r="D357" s="106">
        <v>198</v>
      </c>
      <c r="E357" s="106">
        <v>202</v>
      </c>
      <c r="F357" s="106">
        <v>998.8</v>
      </c>
      <c r="G357">
        <v>2276</v>
      </c>
      <c r="H357" s="106"/>
      <c r="I357" s="106"/>
      <c r="L357" s="143">
        <v>42528</v>
      </c>
      <c r="M357" s="106">
        <v>199.38</v>
      </c>
      <c r="N357" s="106">
        <v>203.79000000000002</v>
      </c>
      <c r="O357" s="106">
        <v>198</v>
      </c>
      <c r="P357" s="106">
        <v>203.79000000000002</v>
      </c>
      <c r="Q357" s="106">
        <v>996.9</v>
      </c>
      <c r="R357">
        <v>24757</v>
      </c>
    </row>
    <row r="358" spans="1:18" x14ac:dyDescent="0.25">
      <c r="A358" s="143">
        <v>42529</v>
      </c>
      <c r="B358" s="106">
        <v>205.04000000000002</v>
      </c>
      <c r="C358" s="106">
        <v>201.81</v>
      </c>
      <c r="D358" s="106">
        <v>198.2</v>
      </c>
      <c r="E358" s="106">
        <v>198.85</v>
      </c>
      <c r="F358" s="106">
        <v>1009.05</v>
      </c>
      <c r="G358">
        <v>4821</v>
      </c>
      <c r="H358" s="106"/>
      <c r="I358" s="106"/>
      <c r="L358" s="143">
        <v>42529</v>
      </c>
      <c r="M358" s="106">
        <v>202.26</v>
      </c>
      <c r="N358" s="106">
        <v>205.2</v>
      </c>
      <c r="O358" s="106">
        <v>198</v>
      </c>
      <c r="P358" s="106">
        <v>200</v>
      </c>
      <c r="Q358" s="106">
        <v>1011.3</v>
      </c>
      <c r="R358">
        <v>65683</v>
      </c>
    </row>
    <row r="359" spans="1:18" x14ac:dyDescent="0.25">
      <c r="A359" s="143">
        <v>42530</v>
      </c>
      <c r="B359" s="106">
        <v>203</v>
      </c>
      <c r="C359" s="106">
        <v>199.2</v>
      </c>
      <c r="D359" s="106">
        <v>198.2</v>
      </c>
      <c r="E359" s="106">
        <v>202</v>
      </c>
      <c r="F359" s="106">
        <v>996</v>
      </c>
      <c r="G359">
        <v>1116</v>
      </c>
      <c r="H359" s="106"/>
      <c r="I359" s="106"/>
      <c r="L359" s="143">
        <v>42530</v>
      </c>
      <c r="M359" s="106">
        <v>198.75</v>
      </c>
      <c r="N359" s="106">
        <v>203</v>
      </c>
      <c r="O359" s="106">
        <v>197.60999999999999</v>
      </c>
      <c r="P359" s="106">
        <v>202.79000000000002</v>
      </c>
      <c r="Q359" s="106">
        <v>993.75</v>
      </c>
      <c r="R359">
        <v>12735</v>
      </c>
    </row>
    <row r="360" spans="1:18" x14ac:dyDescent="0.25">
      <c r="A360" s="143">
        <v>42531</v>
      </c>
      <c r="B360" s="106">
        <v>199.44</v>
      </c>
      <c r="C360" s="106">
        <v>195.99</v>
      </c>
      <c r="D360" s="106">
        <v>195</v>
      </c>
      <c r="E360" s="106">
        <v>199</v>
      </c>
      <c r="F360" s="106">
        <v>979.95</v>
      </c>
      <c r="G360">
        <v>1881</v>
      </c>
      <c r="H360" s="106"/>
      <c r="I360" s="106"/>
      <c r="L360" s="143">
        <v>42531</v>
      </c>
      <c r="M360" s="106">
        <v>195.85999999999999</v>
      </c>
      <c r="N360" s="106">
        <v>199.8</v>
      </c>
      <c r="O360" s="106">
        <v>195.20999999999998</v>
      </c>
      <c r="P360" s="106">
        <v>199.56</v>
      </c>
      <c r="Q360" s="106">
        <v>979.3</v>
      </c>
      <c r="R360">
        <v>32929</v>
      </c>
    </row>
    <row r="361" spans="1:18" x14ac:dyDescent="0.25">
      <c r="A361" s="143">
        <v>42534</v>
      </c>
      <c r="B361" s="106">
        <v>195</v>
      </c>
      <c r="C361" s="106">
        <v>192.75</v>
      </c>
      <c r="D361" s="106">
        <v>191</v>
      </c>
      <c r="E361" s="106">
        <v>195</v>
      </c>
      <c r="F361" s="106">
        <v>963.75</v>
      </c>
      <c r="G361">
        <v>59604</v>
      </c>
      <c r="H361" s="106"/>
      <c r="I361" s="106"/>
      <c r="L361" s="143">
        <v>42534</v>
      </c>
      <c r="M361" s="106">
        <v>191.88</v>
      </c>
      <c r="N361" s="106">
        <v>196</v>
      </c>
      <c r="O361" s="106">
        <v>190.9</v>
      </c>
      <c r="P361" s="106">
        <v>196</v>
      </c>
      <c r="Q361" s="106">
        <v>959.4</v>
      </c>
      <c r="R361">
        <v>44664</v>
      </c>
    </row>
    <row r="362" spans="1:18" x14ac:dyDescent="0.25">
      <c r="A362" s="143">
        <v>42535</v>
      </c>
      <c r="B362" s="106">
        <v>194.27</v>
      </c>
      <c r="C362" s="106">
        <v>189.3</v>
      </c>
      <c r="D362" s="106">
        <v>188.2</v>
      </c>
      <c r="E362" s="106">
        <v>194.27</v>
      </c>
      <c r="F362" s="106">
        <v>946.5</v>
      </c>
      <c r="G362">
        <v>2720</v>
      </c>
      <c r="H362" s="106"/>
      <c r="I362" s="106"/>
      <c r="L362" s="143">
        <v>42535</v>
      </c>
      <c r="M362" s="106">
        <v>189.91</v>
      </c>
      <c r="N362" s="106">
        <v>194</v>
      </c>
      <c r="O362" s="106">
        <v>188</v>
      </c>
      <c r="P362" s="106">
        <v>192.6</v>
      </c>
      <c r="Q362" s="106">
        <v>949.55</v>
      </c>
      <c r="R362">
        <v>71199</v>
      </c>
    </row>
    <row r="363" spans="1:18" x14ac:dyDescent="0.25">
      <c r="A363" s="143">
        <v>42536</v>
      </c>
      <c r="B363" s="106">
        <v>191.6</v>
      </c>
      <c r="C363" s="106">
        <v>183.92000000000002</v>
      </c>
      <c r="D363" s="106">
        <v>180.51</v>
      </c>
      <c r="E363" s="106">
        <v>190</v>
      </c>
      <c r="F363" s="106">
        <v>919.6</v>
      </c>
      <c r="G363">
        <v>8223</v>
      </c>
      <c r="H363" s="106"/>
      <c r="I363" s="106"/>
      <c r="L363" s="143">
        <v>42536</v>
      </c>
      <c r="M363" s="106">
        <v>184.64000000000001</v>
      </c>
      <c r="N363" s="106">
        <v>191.91</v>
      </c>
      <c r="O363" s="106">
        <v>182.78</v>
      </c>
      <c r="P363" s="106">
        <v>191.8</v>
      </c>
      <c r="Q363" s="106">
        <v>923.2</v>
      </c>
      <c r="R363">
        <v>153074</v>
      </c>
    </row>
    <row r="364" spans="1:18" x14ac:dyDescent="0.25">
      <c r="A364" s="143">
        <v>42537</v>
      </c>
      <c r="B364" s="106">
        <v>188</v>
      </c>
      <c r="C364" s="106">
        <v>184.27</v>
      </c>
      <c r="D364" s="106">
        <v>181</v>
      </c>
      <c r="E364" s="106">
        <v>185.1</v>
      </c>
      <c r="F364" s="106">
        <v>921.35</v>
      </c>
      <c r="G364">
        <v>9480</v>
      </c>
      <c r="H364" s="106"/>
      <c r="I364" s="106"/>
      <c r="L364" s="143">
        <v>42537</v>
      </c>
      <c r="M364" s="106">
        <v>184.10999999999999</v>
      </c>
      <c r="N364" s="106">
        <v>188.2</v>
      </c>
      <c r="O364" s="106">
        <v>180.20999999999998</v>
      </c>
      <c r="P364" s="106">
        <v>186.4</v>
      </c>
      <c r="Q364" s="106">
        <v>920.55</v>
      </c>
      <c r="R364">
        <v>2894875</v>
      </c>
    </row>
    <row r="365" spans="1:18" x14ac:dyDescent="0.25">
      <c r="A365" s="143">
        <v>42538</v>
      </c>
      <c r="B365" s="106">
        <v>185.4</v>
      </c>
      <c r="C365" s="106">
        <v>183.19</v>
      </c>
      <c r="D365" s="106">
        <v>182.03</v>
      </c>
      <c r="E365" s="106">
        <v>185</v>
      </c>
      <c r="F365" s="106">
        <v>915.95</v>
      </c>
      <c r="G365">
        <v>1977</v>
      </c>
      <c r="H365" s="106"/>
      <c r="I365" s="106"/>
      <c r="L365" s="143">
        <v>42538</v>
      </c>
      <c r="M365" s="106">
        <v>183.52</v>
      </c>
      <c r="N365" s="106">
        <v>185.62</v>
      </c>
      <c r="O365" s="106">
        <v>182.1</v>
      </c>
      <c r="P365" s="106">
        <v>185.4</v>
      </c>
      <c r="Q365" s="106">
        <v>917.6</v>
      </c>
      <c r="R365">
        <v>50515</v>
      </c>
    </row>
    <row r="366" spans="1:18" x14ac:dyDescent="0.25">
      <c r="A366" s="143">
        <v>42541</v>
      </c>
      <c r="B366" s="106">
        <v>188.9</v>
      </c>
      <c r="C366" s="106">
        <v>188.32999999999998</v>
      </c>
      <c r="D366" s="106">
        <v>180.52</v>
      </c>
      <c r="E366" s="106">
        <v>182.12</v>
      </c>
      <c r="F366" s="106">
        <v>941.65</v>
      </c>
      <c r="G366">
        <v>2504</v>
      </c>
      <c r="H366" s="106"/>
      <c r="I366" s="106"/>
      <c r="L366" s="143">
        <v>42541</v>
      </c>
      <c r="M366" s="106">
        <v>188.13</v>
      </c>
      <c r="N366" s="106">
        <v>188.8</v>
      </c>
      <c r="O366" s="106">
        <v>180</v>
      </c>
      <c r="P366" s="106">
        <v>184</v>
      </c>
      <c r="Q366" s="106">
        <v>940.65</v>
      </c>
      <c r="R366">
        <v>59903</v>
      </c>
    </row>
    <row r="367" spans="1:18" x14ac:dyDescent="0.25">
      <c r="A367" s="143">
        <v>42542</v>
      </c>
      <c r="B367" s="106">
        <v>188.4</v>
      </c>
      <c r="C367" s="106">
        <v>187.8</v>
      </c>
      <c r="D367" s="106">
        <v>186</v>
      </c>
      <c r="E367" s="106">
        <v>187.02</v>
      </c>
      <c r="F367" s="106">
        <v>939</v>
      </c>
      <c r="G367">
        <v>1662</v>
      </c>
      <c r="H367" s="106"/>
      <c r="I367" s="106"/>
      <c r="L367" s="143">
        <v>42542</v>
      </c>
      <c r="M367" s="106">
        <v>187.60999999999999</v>
      </c>
      <c r="N367" s="106">
        <v>189.39000000000001</v>
      </c>
      <c r="O367" s="106">
        <v>185.74</v>
      </c>
      <c r="P367" s="106">
        <v>188.4</v>
      </c>
      <c r="Q367" s="106">
        <v>938.05</v>
      </c>
      <c r="R367">
        <v>62156</v>
      </c>
    </row>
    <row r="368" spans="1:18" x14ac:dyDescent="0.25">
      <c r="A368" s="143">
        <v>42543</v>
      </c>
      <c r="B368" s="106">
        <v>188</v>
      </c>
      <c r="C368" s="106">
        <v>185.85999999999999</v>
      </c>
      <c r="D368" s="106">
        <v>183.75</v>
      </c>
      <c r="E368" s="106">
        <v>188</v>
      </c>
      <c r="F368" s="106">
        <v>929.3</v>
      </c>
      <c r="G368">
        <v>1207</v>
      </c>
      <c r="H368" s="106"/>
      <c r="I368" s="106"/>
      <c r="L368" s="143">
        <v>42543</v>
      </c>
      <c r="M368" s="106">
        <v>186.57</v>
      </c>
      <c r="N368" s="106">
        <v>189.4</v>
      </c>
      <c r="O368" s="106">
        <v>183.91</v>
      </c>
      <c r="P368" s="106">
        <v>189.4</v>
      </c>
      <c r="Q368" s="106">
        <v>932.85</v>
      </c>
      <c r="R368">
        <v>51075</v>
      </c>
    </row>
    <row r="369" spans="1:18" x14ac:dyDescent="0.25">
      <c r="A369" s="143">
        <v>42544</v>
      </c>
      <c r="B369" s="106">
        <v>187.20999999999998</v>
      </c>
      <c r="C369" s="106">
        <v>185.89000000000001</v>
      </c>
      <c r="D369" s="106">
        <v>183.74</v>
      </c>
      <c r="E369" s="106">
        <v>186.07999999999998</v>
      </c>
      <c r="F369" s="106">
        <v>929.45</v>
      </c>
      <c r="G369">
        <v>2946</v>
      </c>
      <c r="H369" s="106"/>
      <c r="I369" s="106"/>
      <c r="L369" s="143">
        <v>42544</v>
      </c>
      <c r="M369" s="106">
        <v>186.35999999999999</v>
      </c>
      <c r="N369" s="106">
        <v>188.99</v>
      </c>
      <c r="O369" s="106">
        <v>184.05</v>
      </c>
      <c r="P369" s="106">
        <v>188.99</v>
      </c>
      <c r="Q369" s="106">
        <v>931.8</v>
      </c>
      <c r="R369">
        <v>28752</v>
      </c>
    </row>
    <row r="370" spans="1:18" x14ac:dyDescent="0.25">
      <c r="A370" s="143">
        <v>42545</v>
      </c>
      <c r="B370" s="106">
        <v>187.98</v>
      </c>
      <c r="C370" s="106">
        <v>185.84</v>
      </c>
      <c r="D370" s="106">
        <v>175.06</v>
      </c>
      <c r="E370" s="106">
        <v>183</v>
      </c>
      <c r="F370" s="106">
        <v>929.2</v>
      </c>
      <c r="G370">
        <v>3594</v>
      </c>
      <c r="H370" s="106"/>
      <c r="I370" s="106"/>
      <c r="L370" s="143">
        <v>42545</v>
      </c>
      <c r="M370" s="106">
        <v>185.20999999999998</v>
      </c>
      <c r="N370" s="106">
        <v>187.57999999999998</v>
      </c>
      <c r="O370" s="106">
        <v>174</v>
      </c>
      <c r="P370" s="106">
        <v>183</v>
      </c>
      <c r="Q370" s="106">
        <v>926.05</v>
      </c>
      <c r="R370">
        <v>83179</v>
      </c>
    </row>
    <row r="371" spans="1:18" x14ac:dyDescent="0.25">
      <c r="A371" s="143">
        <v>42548</v>
      </c>
      <c r="B371" s="106">
        <v>193.57</v>
      </c>
      <c r="C371" s="106">
        <v>191.25</v>
      </c>
      <c r="D371" s="106">
        <v>184.4</v>
      </c>
      <c r="E371" s="106">
        <v>185</v>
      </c>
      <c r="F371" s="106">
        <v>956.25</v>
      </c>
      <c r="G371">
        <v>4133</v>
      </c>
      <c r="H371" s="106"/>
      <c r="I371" s="106"/>
      <c r="L371" s="143">
        <v>42548</v>
      </c>
      <c r="M371" s="106">
        <v>191.99</v>
      </c>
      <c r="N371" s="106">
        <v>193.8</v>
      </c>
      <c r="O371" s="106">
        <v>184</v>
      </c>
      <c r="P371" s="106">
        <v>184.2</v>
      </c>
      <c r="Q371" s="106">
        <v>959.95</v>
      </c>
      <c r="R371">
        <v>76026</v>
      </c>
    </row>
    <row r="372" spans="1:18" x14ac:dyDescent="0.25">
      <c r="A372" s="143">
        <v>42549</v>
      </c>
      <c r="B372" s="106">
        <v>194.31</v>
      </c>
      <c r="C372" s="106">
        <v>191.35</v>
      </c>
      <c r="D372" s="106">
        <v>189.60999999999999</v>
      </c>
      <c r="E372" s="106">
        <v>191.13</v>
      </c>
      <c r="F372" s="106">
        <v>956.75</v>
      </c>
      <c r="G372">
        <v>5277</v>
      </c>
      <c r="H372" s="106"/>
      <c r="I372" s="106"/>
      <c r="L372" s="143">
        <v>42549</v>
      </c>
      <c r="M372" s="106">
        <v>191.45999999999998</v>
      </c>
      <c r="N372" s="106">
        <v>194</v>
      </c>
      <c r="O372" s="106">
        <v>189.6</v>
      </c>
      <c r="P372" s="106">
        <v>192.94</v>
      </c>
      <c r="Q372" s="106">
        <v>957.3</v>
      </c>
      <c r="R372">
        <v>176712</v>
      </c>
    </row>
    <row r="373" spans="1:18" x14ac:dyDescent="0.25">
      <c r="A373" s="143">
        <v>42550</v>
      </c>
      <c r="B373" s="106">
        <v>192.6</v>
      </c>
      <c r="C373" s="106">
        <v>189.97</v>
      </c>
      <c r="D373" s="106">
        <v>189.01</v>
      </c>
      <c r="E373" s="106">
        <v>192</v>
      </c>
      <c r="F373" s="106">
        <v>949.85</v>
      </c>
      <c r="G373">
        <v>1984</v>
      </c>
      <c r="H373" s="106"/>
      <c r="I373" s="106"/>
      <c r="L373" s="143">
        <v>42550</v>
      </c>
      <c r="M373" s="106">
        <v>189.75</v>
      </c>
      <c r="N373" s="106">
        <v>193</v>
      </c>
      <c r="O373" s="106">
        <v>188.8</v>
      </c>
      <c r="P373" s="106">
        <v>193</v>
      </c>
      <c r="Q373" s="106">
        <v>948.75</v>
      </c>
      <c r="R373">
        <v>210311</v>
      </c>
    </row>
    <row r="374" spans="1:18" x14ac:dyDescent="0.25">
      <c r="A374" s="143">
        <v>42551</v>
      </c>
      <c r="B374" s="106">
        <v>193.3</v>
      </c>
      <c r="C374" s="106">
        <v>189.24</v>
      </c>
      <c r="D374" s="106">
        <v>186.6</v>
      </c>
      <c r="E374" s="106">
        <v>190</v>
      </c>
      <c r="F374" s="106">
        <v>946.2</v>
      </c>
      <c r="G374">
        <v>5029</v>
      </c>
      <c r="H374" s="106"/>
      <c r="I374" s="106"/>
      <c r="L374" s="143">
        <v>42551</v>
      </c>
      <c r="M374" s="106">
        <v>189.70999999999998</v>
      </c>
      <c r="N374" s="106">
        <v>192.8</v>
      </c>
      <c r="O374" s="106">
        <v>186.54000000000002</v>
      </c>
      <c r="P374" s="106">
        <v>190</v>
      </c>
      <c r="Q374" s="106">
        <v>948.55</v>
      </c>
      <c r="R374">
        <v>153485</v>
      </c>
    </row>
    <row r="375" spans="1:18" x14ac:dyDescent="0.25">
      <c r="A375" s="143">
        <v>42552</v>
      </c>
      <c r="B375" s="106">
        <v>196.75</v>
      </c>
      <c r="C375" s="106">
        <v>195.63</v>
      </c>
      <c r="D375" s="106">
        <v>189.4</v>
      </c>
      <c r="E375" s="106">
        <v>191</v>
      </c>
      <c r="F375" s="106">
        <v>978.15</v>
      </c>
      <c r="G375">
        <v>4448</v>
      </c>
      <c r="H375" s="106"/>
      <c r="I375" s="106"/>
      <c r="L375" s="143">
        <v>42552</v>
      </c>
      <c r="M375" s="106">
        <v>195.67000000000002</v>
      </c>
      <c r="N375" s="106">
        <v>196.8</v>
      </c>
      <c r="O375" s="106">
        <v>189.2</v>
      </c>
      <c r="P375" s="106">
        <v>191.2</v>
      </c>
      <c r="Q375" s="106">
        <v>978.35</v>
      </c>
      <c r="R375">
        <v>115794</v>
      </c>
    </row>
    <row r="376" spans="1:18" x14ac:dyDescent="0.25">
      <c r="A376" s="143">
        <v>42555</v>
      </c>
      <c r="B376" s="106">
        <v>197.07999999999998</v>
      </c>
      <c r="C376" s="106">
        <v>192.8</v>
      </c>
      <c r="D376" s="106">
        <v>191.55</v>
      </c>
      <c r="E376" s="106">
        <v>197</v>
      </c>
      <c r="F376" s="106">
        <v>964</v>
      </c>
      <c r="G376">
        <v>3965</v>
      </c>
      <c r="H376" s="106"/>
      <c r="I376" s="106"/>
      <c r="L376" s="143">
        <v>42555</v>
      </c>
      <c r="M376" s="106">
        <v>192.8</v>
      </c>
      <c r="N376" s="106">
        <v>198</v>
      </c>
      <c r="O376" s="106">
        <v>192.02</v>
      </c>
      <c r="P376" s="106">
        <v>198</v>
      </c>
      <c r="Q376" s="106">
        <v>964</v>
      </c>
      <c r="R376">
        <v>66573</v>
      </c>
    </row>
    <row r="377" spans="1:18" x14ac:dyDescent="0.25">
      <c r="A377" s="143">
        <v>42556</v>
      </c>
      <c r="B377" s="106">
        <v>195</v>
      </c>
      <c r="C377" s="106">
        <v>191.32</v>
      </c>
      <c r="D377" s="106">
        <v>190.2</v>
      </c>
      <c r="E377" s="106">
        <v>194.10999999999999</v>
      </c>
      <c r="F377" s="106">
        <v>956.6</v>
      </c>
      <c r="G377">
        <v>1738</v>
      </c>
      <c r="H377" s="106"/>
      <c r="I377" s="106"/>
      <c r="L377" s="143">
        <v>42556</v>
      </c>
      <c r="M377" s="106">
        <v>192</v>
      </c>
      <c r="N377" s="106">
        <v>195.6</v>
      </c>
      <c r="O377" s="106">
        <v>190.47</v>
      </c>
      <c r="P377" s="106">
        <v>194.48</v>
      </c>
      <c r="Q377" s="106">
        <v>960</v>
      </c>
      <c r="R377">
        <v>62376</v>
      </c>
    </row>
    <row r="378" spans="1:18" x14ac:dyDescent="0.25">
      <c r="A378" s="143">
        <v>42558</v>
      </c>
      <c r="B378" s="106">
        <v>194.28</v>
      </c>
      <c r="C378" s="106">
        <v>192.41</v>
      </c>
      <c r="D378" s="106">
        <v>191.2</v>
      </c>
      <c r="E378" s="106">
        <v>192.24</v>
      </c>
      <c r="F378" s="106">
        <v>962.05</v>
      </c>
      <c r="G378">
        <v>3118</v>
      </c>
      <c r="H378" s="106"/>
      <c r="I378" s="106"/>
      <c r="L378" s="143">
        <v>42558</v>
      </c>
      <c r="M378" s="106">
        <v>192.99</v>
      </c>
      <c r="N378" s="106">
        <v>193.99</v>
      </c>
      <c r="O378" s="106">
        <v>191</v>
      </c>
      <c r="P378" s="106">
        <v>192.76</v>
      </c>
      <c r="Q378" s="106">
        <v>964.95</v>
      </c>
      <c r="R378">
        <v>43133</v>
      </c>
    </row>
    <row r="379" spans="1:18" x14ac:dyDescent="0.25">
      <c r="A379" s="143">
        <v>42559</v>
      </c>
      <c r="B379" s="106">
        <v>194.49</v>
      </c>
      <c r="C379" s="106">
        <v>192.51</v>
      </c>
      <c r="D379" s="106">
        <v>191.6</v>
      </c>
      <c r="E379" s="106">
        <v>193</v>
      </c>
      <c r="F379" s="106">
        <v>962.55</v>
      </c>
      <c r="G379">
        <v>2413</v>
      </c>
      <c r="H379" s="106"/>
      <c r="I379" s="106"/>
      <c r="L379" s="143">
        <v>42559</v>
      </c>
      <c r="M379" s="106">
        <v>193.32999999999998</v>
      </c>
      <c r="N379" s="106">
        <v>194.98</v>
      </c>
      <c r="O379" s="106">
        <v>190</v>
      </c>
      <c r="P379" s="106">
        <v>194.98</v>
      </c>
      <c r="Q379" s="106">
        <v>966.65</v>
      </c>
      <c r="R379">
        <v>141551</v>
      </c>
    </row>
    <row r="380" spans="1:18" x14ac:dyDescent="0.25">
      <c r="A380" s="143">
        <v>42562</v>
      </c>
      <c r="B380" s="106">
        <v>195.66</v>
      </c>
      <c r="C380" s="106">
        <v>190.67000000000002</v>
      </c>
      <c r="D380" s="106">
        <v>189.02</v>
      </c>
      <c r="E380" s="106">
        <v>193</v>
      </c>
      <c r="F380" s="106">
        <v>953.35</v>
      </c>
      <c r="G380">
        <v>5153</v>
      </c>
      <c r="H380" s="106"/>
      <c r="I380" s="106"/>
      <c r="L380" s="143">
        <v>42562</v>
      </c>
      <c r="M380" s="106">
        <v>190.84</v>
      </c>
      <c r="N380" s="106">
        <v>195.69</v>
      </c>
      <c r="O380" s="106">
        <v>189.67000000000002</v>
      </c>
      <c r="P380" s="106">
        <v>192.95999999999998</v>
      </c>
      <c r="Q380" s="106">
        <v>954.2</v>
      </c>
      <c r="R380">
        <v>355231</v>
      </c>
    </row>
    <row r="381" spans="1:18" x14ac:dyDescent="0.25">
      <c r="A381" s="143">
        <v>42563</v>
      </c>
      <c r="B381" s="106">
        <v>193.38</v>
      </c>
      <c r="C381" s="106">
        <v>192.55</v>
      </c>
      <c r="D381" s="106">
        <v>189.6</v>
      </c>
      <c r="E381" s="106">
        <v>191.8</v>
      </c>
      <c r="F381" s="106">
        <v>962.75</v>
      </c>
      <c r="G381">
        <v>780600</v>
      </c>
      <c r="H381" s="106"/>
      <c r="I381" s="106"/>
      <c r="L381" s="143">
        <v>42563</v>
      </c>
      <c r="M381" s="106">
        <v>192.60999999999999</v>
      </c>
      <c r="N381" s="106">
        <v>193.35999999999999</v>
      </c>
      <c r="O381" s="106">
        <v>189.2</v>
      </c>
      <c r="P381" s="106">
        <v>192.6</v>
      </c>
      <c r="Q381" s="106">
        <v>963.05</v>
      </c>
      <c r="R381">
        <v>70820</v>
      </c>
    </row>
    <row r="382" spans="1:18" x14ac:dyDescent="0.25">
      <c r="A382" s="143">
        <v>42564</v>
      </c>
      <c r="B382" s="106">
        <v>194.8</v>
      </c>
      <c r="C382" s="106">
        <v>191.60999999999999</v>
      </c>
      <c r="D382" s="106">
        <v>190.02</v>
      </c>
      <c r="E382" s="106">
        <v>191.53</v>
      </c>
      <c r="F382" s="106">
        <v>958.05</v>
      </c>
      <c r="G382">
        <v>106889</v>
      </c>
      <c r="H382" s="106"/>
      <c r="I382" s="106"/>
      <c r="L382" s="143">
        <v>42564</v>
      </c>
      <c r="M382" s="106">
        <v>192.35</v>
      </c>
      <c r="N382" s="106">
        <v>194.49</v>
      </c>
      <c r="O382" s="106">
        <v>190.6</v>
      </c>
      <c r="P382" s="106">
        <v>191.95999999999998</v>
      </c>
      <c r="Q382" s="106">
        <v>961.75</v>
      </c>
      <c r="R382">
        <v>353489</v>
      </c>
    </row>
    <row r="383" spans="1:18" x14ac:dyDescent="0.25">
      <c r="A383" s="143">
        <v>42565</v>
      </c>
      <c r="B383" s="106">
        <v>193.91</v>
      </c>
      <c r="C383" s="106">
        <v>191.42000000000002</v>
      </c>
      <c r="D383" s="106">
        <v>190</v>
      </c>
      <c r="E383" s="106">
        <v>192.99</v>
      </c>
      <c r="F383" s="106">
        <v>957.1</v>
      </c>
      <c r="G383">
        <v>3803</v>
      </c>
      <c r="H383" s="106"/>
      <c r="I383" s="106"/>
      <c r="L383" s="143">
        <v>42565</v>
      </c>
      <c r="M383" s="106">
        <v>191.27</v>
      </c>
      <c r="N383" s="106">
        <v>194.3</v>
      </c>
      <c r="O383" s="106">
        <v>188.76</v>
      </c>
      <c r="P383" s="106">
        <v>193.59</v>
      </c>
      <c r="Q383" s="106">
        <v>956.35</v>
      </c>
      <c r="R383">
        <v>390050</v>
      </c>
    </row>
    <row r="384" spans="1:18" x14ac:dyDescent="0.25">
      <c r="A384" s="143">
        <v>42566</v>
      </c>
      <c r="B384" s="106">
        <v>192.51</v>
      </c>
      <c r="C384" s="106">
        <v>191.27</v>
      </c>
      <c r="D384" s="106">
        <v>190.2</v>
      </c>
      <c r="E384" s="106">
        <v>191</v>
      </c>
      <c r="F384" s="106">
        <v>956.35</v>
      </c>
      <c r="G384">
        <v>2050</v>
      </c>
      <c r="H384" s="106"/>
      <c r="I384" s="106"/>
      <c r="L384" s="143">
        <v>42566</v>
      </c>
      <c r="M384" s="106">
        <v>191.78</v>
      </c>
      <c r="N384" s="106">
        <v>192.56</v>
      </c>
      <c r="O384" s="106">
        <v>189.6</v>
      </c>
      <c r="P384" s="106">
        <v>191.1</v>
      </c>
      <c r="Q384" s="106">
        <v>958.9</v>
      </c>
      <c r="R384">
        <v>84381</v>
      </c>
    </row>
    <row r="385" spans="1:18" x14ac:dyDescent="0.25">
      <c r="A385" s="143">
        <v>42569</v>
      </c>
      <c r="B385" s="106">
        <v>193.5</v>
      </c>
      <c r="C385" s="106">
        <v>192.02</v>
      </c>
      <c r="D385" s="106">
        <v>190.03</v>
      </c>
      <c r="E385" s="106">
        <v>191.8</v>
      </c>
      <c r="F385" s="106">
        <v>960.1</v>
      </c>
      <c r="G385">
        <v>1419</v>
      </c>
      <c r="H385" s="106"/>
      <c r="I385" s="106"/>
      <c r="L385" s="143">
        <v>42569</v>
      </c>
      <c r="M385" s="106">
        <v>191.42000000000002</v>
      </c>
      <c r="N385" s="106">
        <v>194</v>
      </c>
      <c r="O385" s="106">
        <v>190</v>
      </c>
      <c r="P385" s="106">
        <v>193</v>
      </c>
      <c r="Q385" s="106">
        <v>957.1</v>
      </c>
      <c r="R385">
        <v>46199</v>
      </c>
    </row>
    <row r="386" spans="1:18" x14ac:dyDescent="0.25">
      <c r="A386" s="143">
        <v>42570</v>
      </c>
      <c r="B386" s="106">
        <v>194.8</v>
      </c>
      <c r="C386" s="106">
        <v>193.98</v>
      </c>
      <c r="D386" s="106">
        <v>190.6</v>
      </c>
      <c r="E386" s="106">
        <v>194.25</v>
      </c>
      <c r="F386" s="106">
        <v>969.9</v>
      </c>
      <c r="G386">
        <v>9278</v>
      </c>
      <c r="H386" s="106"/>
      <c r="I386" s="106"/>
      <c r="L386" s="143">
        <v>42570</v>
      </c>
      <c r="M386" s="106">
        <v>193.66</v>
      </c>
      <c r="N386" s="106">
        <v>194</v>
      </c>
      <c r="O386" s="106">
        <v>191</v>
      </c>
      <c r="P386" s="106">
        <v>193.95</v>
      </c>
      <c r="Q386" s="106">
        <v>968.3</v>
      </c>
      <c r="R386">
        <v>33035</v>
      </c>
    </row>
    <row r="387" spans="1:18" x14ac:dyDescent="0.25">
      <c r="A387" s="143">
        <v>42571</v>
      </c>
      <c r="B387" s="106">
        <v>197.89000000000001</v>
      </c>
      <c r="C387" s="106">
        <v>193.77</v>
      </c>
      <c r="D387" s="106">
        <v>192.8</v>
      </c>
      <c r="E387" s="106">
        <v>195.98</v>
      </c>
      <c r="F387" s="106">
        <v>968.85</v>
      </c>
      <c r="G387">
        <v>256416</v>
      </c>
      <c r="H387" s="106"/>
      <c r="I387" s="106"/>
      <c r="L387" s="143">
        <v>42571</v>
      </c>
      <c r="M387" s="106">
        <v>195.18</v>
      </c>
      <c r="N387" s="106">
        <v>198.16</v>
      </c>
      <c r="O387" s="106">
        <v>193.05</v>
      </c>
      <c r="P387" s="106">
        <v>195</v>
      </c>
      <c r="Q387" s="106">
        <v>975.9</v>
      </c>
      <c r="R387">
        <v>255184</v>
      </c>
    </row>
    <row r="388" spans="1:18" x14ac:dyDescent="0.25">
      <c r="A388" s="143">
        <v>42572</v>
      </c>
      <c r="B388" s="106">
        <v>203.8</v>
      </c>
      <c r="C388" s="106">
        <v>200.07</v>
      </c>
      <c r="D388" s="106">
        <v>194.92000000000002</v>
      </c>
      <c r="E388" s="106">
        <v>195</v>
      </c>
      <c r="F388" s="106">
        <v>1000.35</v>
      </c>
      <c r="G388">
        <v>14750</v>
      </c>
      <c r="H388" s="106"/>
      <c r="I388" s="106"/>
      <c r="L388" s="143">
        <v>42572</v>
      </c>
      <c r="M388" s="106">
        <v>200.48</v>
      </c>
      <c r="N388" s="106">
        <v>204</v>
      </c>
      <c r="O388" s="106">
        <v>193.62</v>
      </c>
      <c r="P388" s="106">
        <v>195.35999999999999</v>
      </c>
      <c r="Q388" s="106">
        <v>1002.4</v>
      </c>
      <c r="R388">
        <v>118718</v>
      </c>
    </row>
    <row r="389" spans="1:18" x14ac:dyDescent="0.25">
      <c r="A389" s="143">
        <v>42573</v>
      </c>
      <c r="B389" s="106">
        <v>205.67</v>
      </c>
      <c r="C389" s="106">
        <v>204.07</v>
      </c>
      <c r="D389" s="106">
        <v>197.42000000000002</v>
      </c>
      <c r="E389" s="106">
        <v>200.98</v>
      </c>
      <c r="F389" s="106">
        <v>1020.35</v>
      </c>
      <c r="G389">
        <v>14024</v>
      </c>
      <c r="H389" s="106"/>
      <c r="I389" s="106"/>
      <c r="L389" s="143">
        <v>42573</v>
      </c>
      <c r="M389" s="106">
        <v>204.22</v>
      </c>
      <c r="N389" s="106">
        <v>206</v>
      </c>
      <c r="O389" s="106">
        <v>197.20999999999998</v>
      </c>
      <c r="P389" s="106">
        <v>199.2</v>
      </c>
      <c r="Q389" s="106">
        <v>1021.1</v>
      </c>
      <c r="R389">
        <v>85172</v>
      </c>
    </row>
    <row r="390" spans="1:18" x14ac:dyDescent="0.25">
      <c r="A390" s="143">
        <v>42576</v>
      </c>
      <c r="B390" s="106">
        <v>205.99</v>
      </c>
      <c r="C390" s="106">
        <v>205.18</v>
      </c>
      <c r="D390" s="106">
        <v>202.95</v>
      </c>
      <c r="E390" s="106">
        <v>204.31</v>
      </c>
      <c r="F390" s="106">
        <v>1025.9000000000001</v>
      </c>
      <c r="G390">
        <v>4462</v>
      </c>
      <c r="H390" s="106"/>
      <c r="I390" s="106"/>
      <c r="L390" s="143">
        <v>42576</v>
      </c>
      <c r="M390" s="106">
        <v>204.94</v>
      </c>
      <c r="N390" s="106">
        <v>205.4</v>
      </c>
      <c r="O390" s="106">
        <v>202.73</v>
      </c>
      <c r="P390" s="106">
        <v>205.01999999999998</v>
      </c>
      <c r="Q390" s="106">
        <v>1024.7</v>
      </c>
      <c r="R390">
        <v>121824</v>
      </c>
    </row>
    <row r="391" spans="1:18" x14ac:dyDescent="0.25">
      <c r="A391" s="143">
        <v>42577</v>
      </c>
      <c r="B391" s="106">
        <v>209</v>
      </c>
      <c r="C391" s="106">
        <v>208.06</v>
      </c>
      <c r="D391" s="106">
        <v>204</v>
      </c>
      <c r="E391" s="106">
        <v>204</v>
      </c>
      <c r="F391" s="106">
        <v>1040.3</v>
      </c>
      <c r="G391">
        <v>12759</v>
      </c>
      <c r="H391" s="106"/>
      <c r="I391" s="106"/>
      <c r="L391" s="143">
        <v>42577</v>
      </c>
      <c r="M391" s="106">
        <v>208.01</v>
      </c>
      <c r="N391" s="106">
        <v>209.51999999999998</v>
      </c>
      <c r="O391" s="106">
        <v>203.2</v>
      </c>
      <c r="P391" s="106">
        <v>203.35999999999999</v>
      </c>
      <c r="Q391" s="106">
        <v>1040.05</v>
      </c>
      <c r="R391">
        <v>586815</v>
      </c>
    </row>
    <row r="392" spans="1:18" x14ac:dyDescent="0.25">
      <c r="A392" s="143">
        <v>42578</v>
      </c>
      <c r="B392" s="106">
        <v>221</v>
      </c>
      <c r="C392" s="106">
        <v>217.26</v>
      </c>
      <c r="D392" s="106">
        <v>210</v>
      </c>
      <c r="E392" s="106">
        <v>210</v>
      </c>
      <c r="F392" s="106">
        <v>1086.3</v>
      </c>
      <c r="G392">
        <v>23168</v>
      </c>
      <c r="H392" s="106"/>
      <c r="I392" s="106"/>
      <c r="L392" s="143">
        <v>42578</v>
      </c>
      <c r="M392" s="106">
        <v>218.15</v>
      </c>
      <c r="N392" s="106">
        <v>221.34</v>
      </c>
      <c r="O392" s="106">
        <v>210</v>
      </c>
      <c r="P392" s="106">
        <v>210</v>
      </c>
      <c r="Q392" s="106">
        <v>1090.75</v>
      </c>
      <c r="R392">
        <v>250514</v>
      </c>
    </row>
    <row r="393" spans="1:18" x14ac:dyDescent="0.25">
      <c r="A393" s="143">
        <v>42579</v>
      </c>
      <c r="B393" s="106">
        <v>222</v>
      </c>
      <c r="C393" s="106">
        <v>216.78000000000003</v>
      </c>
      <c r="D393" s="106">
        <v>215.20999999999998</v>
      </c>
      <c r="E393" s="106">
        <v>219.23000000000002</v>
      </c>
      <c r="F393" s="106">
        <v>1083.9000000000001</v>
      </c>
      <c r="G393">
        <v>18002</v>
      </c>
      <c r="H393" s="106"/>
      <c r="I393" s="106"/>
      <c r="L393" s="143">
        <v>42579</v>
      </c>
      <c r="M393" s="106">
        <v>216.23000000000002</v>
      </c>
      <c r="N393" s="106">
        <v>221.93</v>
      </c>
      <c r="O393" s="106">
        <v>215.99</v>
      </c>
      <c r="P393" s="106">
        <v>219</v>
      </c>
      <c r="Q393" s="106">
        <v>1081.1500000000001</v>
      </c>
      <c r="R393">
        <v>277241</v>
      </c>
    </row>
    <row r="394" spans="1:18" x14ac:dyDescent="0.25">
      <c r="A394" s="143">
        <v>42580</v>
      </c>
      <c r="B394" s="106">
        <v>228.25</v>
      </c>
      <c r="C394" s="106">
        <v>218.4</v>
      </c>
      <c r="D394" s="106">
        <v>210.61999999999998</v>
      </c>
      <c r="E394" s="106">
        <v>217.2</v>
      </c>
      <c r="F394" s="106">
        <v>1092</v>
      </c>
      <c r="G394">
        <v>42373</v>
      </c>
      <c r="H394" s="106"/>
      <c r="I394" s="106"/>
      <c r="L394" s="143">
        <v>42580</v>
      </c>
      <c r="M394" s="106">
        <v>218.46999999999997</v>
      </c>
      <c r="N394" s="106">
        <v>228.55</v>
      </c>
      <c r="O394" s="106">
        <v>210.20999999999998</v>
      </c>
      <c r="P394" s="106">
        <v>217.96999999999997</v>
      </c>
      <c r="Q394" s="106">
        <v>1092.3499999999999</v>
      </c>
      <c r="R394">
        <v>406780</v>
      </c>
    </row>
    <row r="395" spans="1:18" x14ac:dyDescent="0.25">
      <c r="A395" s="143">
        <v>42583</v>
      </c>
      <c r="B395" s="106">
        <v>234</v>
      </c>
      <c r="C395" s="106">
        <v>230.94</v>
      </c>
      <c r="D395" s="106">
        <v>216</v>
      </c>
      <c r="E395" s="106">
        <v>220</v>
      </c>
      <c r="F395" s="106">
        <v>1154.7</v>
      </c>
      <c r="G395">
        <v>25884</v>
      </c>
      <c r="H395" s="106"/>
      <c r="I395" s="106"/>
      <c r="L395" s="143">
        <v>42583</v>
      </c>
      <c r="M395" s="106">
        <v>230.43</v>
      </c>
      <c r="N395" s="106">
        <v>234.57</v>
      </c>
      <c r="O395" s="106">
        <v>215.99</v>
      </c>
      <c r="P395" s="106">
        <v>220.8</v>
      </c>
      <c r="Q395" s="106">
        <v>1152.1500000000001</v>
      </c>
      <c r="R395">
        <v>198581</v>
      </c>
    </row>
    <row r="396" spans="1:18" x14ac:dyDescent="0.25">
      <c r="A396" s="143">
        <v>42584</v>
      </c>
      <c r="B396" s="106">
        <v>233.20999999999998</v>
      </c>
      <c r="C396" s="106">
        <v>230.35</v>
      </c>
      <c r="D396" s="106">
        <v>229</v>
      </c>
      <c r="E396" s="106">
        <v>231.82</v>
      </c>
      <c r="F396" s="106">
        <v>1151.75</v>
      </c>
      <c r="G396">
        <v>10476</v>
      </c>
      <c r="H396" s="106"/>
      <c r="I396" s="106"/>
      <c r="L396" s="143">
        <v>42584</v>
      </c>
      <c r="M396" s="106">
        <v>230.57</v>
      </c>
      <c r="N396" s="106">
        <v>233.6</v>
      </c>
      <c r="O396" s="106">
        <v>228</v>
      </c>
      <c r="P396" s="106">
        <v>232.74</v>
      </c>
      <c r="Q396" s="106">
        <v>1152.8499999999999</v>
      </c>
      <c r="R396">
        <v>100738</v>
      </c>
    </row>
    <row r="397" spans="1:18" x14ac:dyDescent="0.25">
      <c r="A397" s="143">
        <v>42585</v>
      </c>
      <c r="B397" s="106">
        <v>229.6</v>
      </c>
      <c r="C397" s="106">
        <v>224.69</v>
      </c>
      <c r="D397" s="106">
        <v>218.25</v>
      </c>
      <c r="E397" s="106">
        <v>229.4</v>
      </c>
      <c r="F397" s="106">
        <v>1123.45</v>
      </c>
      <c r="G397">
        <v>11657</v>
      </c>
      <c r="H397" s="106"/>
      <c r="I397" s="106"/>
      <c r="L397" s="143">
        <v>42585</v>
      </c>
      <c r="M397" s="106">
        <v>224.4</v>
      </c>
      <c r="N397" s="106">
        <v>230.2</v>
      </c>
      <c r="O397" s="106">
        <v>218.64000000000001</v>
      </c>
      <c r="P397" s="106">
        <v>230.04000000000002</v>
      </c>
      <c r="Q397" s="106">
        <v>1122</v>
      </c>
      <c r="R397">
        <v>301781</v>
      </c>
    </row>
    <row r="398" spans="1:18" x14ac:dyDescent="0.25">
      <c r="A398" s="143">
        <v>42586</v>
      </c>
      <c r="B398" s="106">
        <v>229.5</v>
      </c>
      <c r="C398" s="106">
        <v>223.98000000000002</v>
      </c>
      <c r="D398" s="106">
        <v>221.75</v>
      </c>
      <c r="E398" s="106">
        <v>226.85</v>
      </c>
      <c r="F398" s="106">
        <v>1119.9000000000001</v>
      </c>
      <c r="G398">
        <v>5314</v>
      </c>
      <c r="H398" s="106"/>
      <c r="I398" s="106"/>
      <c r="L398" s="143">
        <v>42586</v>
      </c>
      <c r="M398" s="106">
        <v>223.35999999999999</v>
      </c>
      <c r="N398" s="106">
        <v>229.79000000000002</v>
      </c>
      <c r="O398" s="106">
        <v>221</v>
      </c>
      <c r="P398" s="106">
        <v>225.82</v>
      </c>
      <c r="Q398" s="106">
        <v>1116.8</v>
      </c>
      <c r="R398">
        <v>94897</v>
      </c>
    </row>
    <row r="399" spans="1:18" x14ac:dyDescent="0.25">
      <c r="A399" s="143">
        <v>42587</v>
      </c>
      <c r="B399" s="106">
        <v>228.78000000000003</v>
      </c>
      <c r="C399" s="106">
        <v>224.61999999999998</v>
      </c>
      <c r="D399" s="106">
        <v>219.7</v>
      </c>
      <c r="E399" s="106">
        <v>224.45999999999998</v>
      </c>
      <c r="F399" s="106">
        <v>1123.0999999999999</v>
      </c>
      <c r="G399">
        <v>5060</v>
      </c>
      <c r="H399" s="106"/>
      <c r="I399" s="106"/>
      <c r="L399" s="143">
        <v>42587</v>
      </c>
      <c r="M399" s="106">
        <v>224.76</v>
      </c>
      <c r="N399" s="106">
        <v>227.95999999999998</v>
      </c>
      <c r="O399" s="106">
        <v>219.8</v>
      </c>
      <c r="P399" s="106">
        <v>223.6</v>
      </c>
      <c r="Q399" s="106">
        <v>1123.8</v>
      </c>
      <c r="R399">
        <v>45730</v>
      </c>
    </row>
    <row r="400" spans="1:18" x14ac:dyDescent="0.25">
      <c r="A400" s="143">
        <v>42590</v>
      </c>
      <c r="B400" s="106">
        <v>238</v>
      </c>
      <c r="C400" s="106">
        <v>233.36999999999998</v>
      </c>
      <c r="D400" s="106">
        <v>224.8</v>
      </c>
      <c r="E400" s="106">
        <v>224.8</v>
      </c>
      <c r="F400" s="106">
        <v>1166.8499999999999</v>
      </c>
      <c r="G400">
        <v>16164</v>
      </c>
      <c r="H400" s="106"/>
      <c r="I400" s="106"/>
      <c r="L400" s="143">
        <v>42590</v>
      </c>
      <c r="M400" s="106">
        <v>232.91</v>
      </c>
      <c r="N400" s="106">
        <v>237.93</v>
      </c>
      <c r="O400" s="106">
        <v>224.6</v>
      </c>
      <c r="P400" s="106">
        <v>224.6</v>
      </c>
      <c r="Q400" s="106">
        <v>1164.55</v>
      </c>
      <c r="R400">
        <v>302402</v>
      </c>
    </row>
    <row r="401" spans="1:18" x14ac:dyDescent="0.25">
      <c r="A401" s="143">
        <v>42591</v>
      </c>
      <c r="B401" s="106">
        <v>234.18</v>
      </c>
      <c r="C401" s="106">
        <v>228</v>
      </c>
      <c r="D401" s="106">
        <v>227.34</v>
      </c>
      <c r="E401" s="106">
        <v>233.4</v>
      </c>
      <c r="F401" s="106">
        <v>1140</v>
      </c>
      <c r="G401">
        <v>123908</v>
      </c>
      <c r="H401" s="106"/>
      <c r="I401" s="106"/>
      <c r="L401" s="143">
        <v>42591</v>
      </c>
      <c r="M401" s="106">
        <v>228.17</v>
      </c>
      <c r="N401" s="106">
        <v>234.39000000000001</v>
      </c>
      <c r="O401" s="106">
        <v>226.7</v>
      </c>
      <c r="P401" s="106">
        <v>232.8</v>
      </c>
      <c r="Q401" s="106">
        <v>1140.8499999999999</v>
      </c>
      <c r="R401">
        <v>22509</v>
      </c>
    </row>
    <row r="402" spans="1:18" x14ac:dyDescent="0.25">
      <c r="A402" s="143">
        <v>42592</v>
      </c>
      <c r="B402" s="106">
        <v>228.45999999999998</v>
      </c>
      <c r="C402" s="106">
        <v>225.53000000000003</v>
      </c>
      <c r="D402" s="106">
        <v>222.4</v>
      </c>
      <c r="E402" s="106">
        <v>227</v>
      </c>
      <c r="F402" s="106">
        <v>1127.6500000000001</v>
      </c>
      <c r="G402">
        <v>2878</v>
      </c>
      <c r="H402" s="106"/>
      <c r="I402" s="106"/>
      <c r="L402" s="143">
        <v>42592</v>
      </c>
      <c r="M402" s="106">
        <v>225.24</v>
      </c>
      <c r="N402" s="106">
        <v>228.94</v>
      </c>
      <c r="O402" s="106">
        <v>222</v>
      </c>
      <c r="P402" s="106">
        <v>227.59</v>
      </c>
      <c r="Q402" s="106">
        <v>1126.2</v>
      </c>
      <c r="R402">
        <v>17756</v>
      </c>
    </row>
    <row r="403" spans="1:18" x14ac:dyDescent="0.25">
      <c r="A403" s="143">
        <v>42593</v>
      </c>
      <c r="B403" s="106">
        <v>225.86999999999998</v>
      </c>
      <c r="C403" s="106">
        <v>220.71999999999997</v>
      </c>
      <c r="D403" s="106">
        <v>218.41</v>
      </c>
      <c r="E403" s="106">
        <v>225.86999999999998</v>
      </c>
      <c r="F403" s="106">
        <v>1103.5999999999999</v>
      </c>
      <c r="G403">
        <v>4564</v>
      </c>
      <c r="H403" s="106"/>
      <c r="I403" s="106"/>
      <c r="L403" s="143">
        <v>42593</v>
      </c>
      <c r="M403" s="106">
        <v>219.81</v>
      </c>
      <c r="N403" s="106">
        <v>226.95</v>
      </c>
      <c r="O403" s="106">
        <v>218</v>
      </c>
      <c r="P403" s="106">
        <v>225.24</v>
      </c>
      <c r="Q403" s="106">
        <v>1099.05</v>
      </c>
      <c r="R403">
        <v>23745</v>
      </c>
    </row>
    <row r="404" spans="1:18" x14ac:dyDescent="0.25">
      <c r="A404" s="143">
        <v>42594</v>
      </c>
      <c r="B404" s="106">
        <v>221.4</v>
      </c>
      <c r="C404" s="106">
        <v>219.21999999999997</v>
      </c>
      <c r="D404" s="106">
        <v>217.76</v>
      </c>
      <c r="E404" s="106">
        <v>221.4</v>
      </c>
      <c r="F404" s="106">
        <v>1096.0999999999999</v>
      </c>
      <c r="G404">
        <v>6878</v>
      </c>
      <c r="H404" s="106"/>
      <c r="I404" s="106"/>
      <c r="L404" s="143">
        <v>42594</v>
      </c>
      <c r="M404" s="106">
        <v>218.86999999999998</v>
      </c>
      <c r="N404" s="106">
        <v>221.15</v>
      </c>
      <c r="O404" s="106">
        <v>218</v>
      </c>
      <c r="P404" s="106">
        <v>220</v>
      </c>
      <c r="Q404" s="106">
        <v>1094.3499999999999</v>
      </c>
      <c r="R404">
        <v>25458</v>
      </c>
    </row>
    <row r="405" spans="1:18" x14ac:dyDescent="0.25">
      <c r="A405" s="143">
        <v>42598</v>
      </c>
      <c r="B405" s="106">
        <v>223.8</v>
      </c>
      <c r="C405" s="106">
        <v>223.29000000000002</v>
      </c>
      <c r="D405" s="106">
        <v>218.58</v>
      </c>
      <c r="E405" s="106">
        <v>222</v>
      </c>
      <c r="F405" s="106">
        <v>1116.45</v>
      </c>
      <c r="G405">
        <v>7141</v>
      </c>
      <c r="H405" s="106"/>
      <c r="I405" s="106"/>
      <c r="L405" s="143">
        <v>42598</v>
      </c>
      <c r="M405" s="106">
        <v>222.45999999999998</v>
      </c>
      <c r="N405" s="106">
        <v>223</v>
      </c>
      <c r="O405" s="106">
        <v>217.11999999999998</v>
      </c>
      <c r="P405" s="106">
        <v>220.35999999999999</v>
      </c>
      <c r="Q405" s="106">
        <v>1112.3</v>
      </c>
      <c r="R405">
        <v>40810</v>
      </c>
    </row>
    <row r="406" spans="1:18" x14ac:dyDescent="0.25">
      <c r="A406" s="143">
        <v>42599</v>
      </c>
      <c r="B406" s="106">
        <v>226.39000000000001</v>
      </c>
      <c r="C406" s="106">
        <v>224.8</v>
      </c>
      <c r="D406" s="106">
        <v>221.04000000000002</v>
      </c>
      <c r="E406" s="106">
        <v>222.66</v>
      </c>
      <c r="F406" s="106">
        <v>1124</v>
      </c>
      <c r="G406">
        <v>2891</v>
      </c>
      <c r="H406" s="106"/>
      <c r="I406" s="106"/>
      <c r="L406" s="143">
        <v>42599</v>
      </c>
      <c r="M406" s="106">
        <v>225.51</v>
      </c>
      <c r="N406" s="106">
        <v>226.2</v>
      </c>
      <c r="O406" s="106">
        <v>221</v>
      </c>
      <c r="P406" s="106">
        <v>222</v>
      </c>
      <c r="Q406" s="106">
        <v>1127.55</v>
      </c>
      <c r="R406">
        <v>25375</v>
      </c>
    </row>
    <row r="407" spans="1:18" x14ac:dyDescent="0.25">
      <c r="A407" s="143">
        <v>42600</v>
      </c>
      <c r="B407" s="106">
        <v>226.53000000000003</v>
      </c>
      <c r="C407" s="106">
        <v>223.04000000000002</v>
      </c>
      <c r="D407" s="106">
        <v>221.53000000000003</v>
      </c>
      <c r="E407" s="106">
        <v>226</v>
      </c>
      <c r="F407" s="106">
        <v>1115.2</v>
      </c>
      <c r="G407">
        <v>101525</v>
      </c>
      <c r="H407" s="106"/>
      <c r="I407" s="106"/>
      <c r="L407" s="143">
        <v>42600</v>
      </c>
      <c r="M407" s="106">
        <v>222.57</v>
      </c>
      <c r="N407" s="106">
        <v>227</v>
      </c>
      <c r="O407" s="106">
        <v>221</v>
      </c>
      <c r="P407" s="106">
        <v>225.2</v>
      </c>
      <c r="Q407" s="106">
        <v>1112.8499999999999</v>
      </c>
      <c r="R407">
        <v>222106</v>
      </c>
    </row>
    <row r="408" spans="1:18" x14ac:dyDescent="0.25">
      <c r="A408" s="143">
        <v>42601</v>
      </c>
      <c r="B408" s="106">
        <v>227.8</v>
      </c>
      <c r="C408" s="106">
        <v>222.65</v>
      </c>
      <c r="D408" s="106">
        <v>221.01</v>
      </c>
      <c r="E408" s="106">
        <v>224.4</v>
      </c>
      <c r="F408" s="106">
        <v>1113.25</v>
      </c>
      <c r="G408">
        <v>4567</v>
      </c>
      <c r="H408" s="106"/>
      <c r="I408" s="106"/>
      <c r="L408" s="143">
        <v>42601</v>
      </c>
      <c r="M408" s="106">
        <v>223.44</v>
      </c>
      <c r="N408" s="106">
        <v>227.8</v>
      </c>
      <c r="O408" s="106">
        <v>220.60999999999999</v>
      </c>
      <c r="P408" s="106">
        <v>220.60999999999999</v>
      </c>
      <c r="Q408" s="106">
        <v>1117.2</v>
      </c>
      <c r="R408">
        <v>64718</v>
      </c>
    </row>
    <row r="409" spans="1:18" x14ac:dyDescent="0.25">
      <c r="A409" s="143">
        <v>42604</v>
      </c>
      <c r="B409" s="106">
        <v>226.73000000000002</v>
      </c>
      <c r="C409" s="106">
        <v>221.66</v>
      </c>
      <c r="D409" s="106">
        <v>220.01</v>
      </c>
      <c r="E409" s="106">
        <v>223.56</v>
      </c>
      <c r="F409" s="106">
        <v>1108.3</v>
      </c>
      <c r="G409">
        <v>1166</v>
      </c>
      <c r="H409" s="106"/>
      <c r="I409" s="106"/>
      <c r="L409" s="143">
        <v>42604</v>
      </c>
      <c r="M409" s="106">
        <v>221.2</v>
      </c>
      <c r="N409" s="106">
        <v>226.38000000000002</v>
      </c>
      <c r="O409" s="106">
        <v>219.74</v>
      </c>
      <c r="P409" s="106">
        <v>222.8</v>
      </c>
      <c r="Q409" s="106">
        <v>1106</v>
      </c>
      <c r="R409">
        <v>39691</v>
      </c>
    </row>
    <row r="410" spans="1:18" x14ac:dyDescent="0.25">
      <c r="A410" s="143">
        <v>42605</v>
      </c>
      <c r="B410" s="106">
        <v>227.7</v>
      </c>
      <c r="C410" s="106">
        <v>217.69</v>
      </c>
      <c r="D410" s="106">
        <v>214.92</v>
      </c>
      <c r="E410" s="106">
        <v>221.61999999999998</v>
      </c>
      <c r="F410" s="106">
        <v>1088.45</v>
      </c>
      <c r="G410">
        <v>53139</v>
      </c>
      <c r="H410" s="106"/>
      <c r="I410" s="106"/>
      <c r="L410" s="143">
        <v>42605</v>
      </c>
      <c r="M410" s="106">
        <v>217.7</v>
      </c>
      <c r="N410" s="106">
        <v>224.39000000000001</v>
      </c>
      <c r="O410" s="106">
        <v>215</v>
      </c>
      <c r="P410" s="106">
        <v>222</v>
      </c>
      <c r="Q410" s="106">
        <v>1088.5</v>
      </c>
      <c r="R410">
        <v>293138</v>
      </c>
    </row>
    <row r="411" spans="1:18" x14ac:dyDescent="0.25">
      <c r="A411" s="143">
        <v>42606</v>
      </c>
      <c r="B411" s="106">
        <v>223.2</v>
      </c>
      <c r="C411" s="106">
        <v>217.5</v>
      </c>
      <c r="D411" s="106">
        <v>216</v>
      </c>
      <c r="E411" s="106">
        <v>221</v>
      </c>
      <c r="F411" s="106">
        <v>1087.5</v>
      </c>
      <c r="G411">
        <v>336176</v>
      </c>
      <c r="H411" s="106"/>
      <c r="I411" s="106"/>
      <c r="L411" s="143">
        <v>42606</v>
      </c>
      <c r="M411" s="106">
        <v>217.45</v>
      </c>
      <c r="N411" s="106">
        <v>223.21999999999997</v>
      </c>
      <c r="O411" s="106">
        <v>215.8</v>
      </c>
      <c r="P411" s="106">
        <v>222.84</v>
      </c>
      <c r="Q411" s="106">
        <v>1087.25</v>
      </c>
      <c r="R411">
        <v>148183</v>
      </c>
    </row>
    <row r="412" spans="1:18" x14ac:dyDescent="0.25">
      <c r="A412" s="143">
        <v>42607</v>
      </c>
      <c r="B412" s="106">
        <v>223.2</v>
      </c>
      <c r="C412" s="106">
        <v>222</v>
      </c>
      <c r="D412" s="106">
        <v>218.95999999999998</v>
      </c>
      <c r="E412" s="106">
        <v>218.95999999999998</v>
      </c>
      <c r="F412" s="106">
        <v>1110</v>
      </c>
      <c r="G412">
        <v>4747</v>
      </c>
      <c r="H412" s="106"/>
      <c r="I412" s="106"/>
      <c r="L412" s="143">
        <v>42607</v>
      </c>
      <c r="M412" s="106">
        <v>220.85999999999999</v>
      </c>
      <c r="N412" s="106">
        <v>223</v>
      </c>
      <c r="O412" s="106">
        <v>217.55</v>
      </c>
      <c r="P412" s="106">
        <v>218</v>
      </c>
      <c r="Q412" s="106">
        <v>1104.3</v>
      </c>
      <c r="R412">
        <v>191861</v>
      </c>
    </row>
    <row r="413" spans="1:18" x14ac:dyDescent="0.25">
      <c r="A413" s="143">
        <v>42608</v>
      </c>
      <c r="B413" s="106">
        <v>235.51999999999998</v>
      </c>
      <c r="C413" s="106">
        <v>231.85</v>
      </c>
      <c r="D413" s="106">
        <v>220.2</v>
      </c>
      <c r="E413" s="106">
        <v>221.5</v>
      </c>
      <c r="F413" s="106">
        <v>1159.25</v>
      </c>
      <c r="G413">
        <v>26648</v>
      </c>
      <c r="H413" s="106"/>
      <c r="I413" s="106"/>
      <c r="L413" s="143">
        <v>42608</v>
      </c>
      <c r="M413" s="106">
        <v>231.93</v>
      </c>
      <c r="N413" s="106">
        <v>235.6</v>
      </c>
      <c r="O413" s="106">
        <v>219.60999999999999</v>
      </c>
      <c r="P413" s="106">
        <v>221.38000000000002</v>
      </c>
      <c r="Q413" s="106">
        <v>1159.6500000000001</v>
      </c>
      <c r="R413">
        <v>202779</v>
      </c>
    </row>
    <row r="414" spans="1:18" x14ac:dyDescent="0.25">
      <c r="A414" s="143">
        <v>42611</v>
      </c>
      <c r="B414" s="106">
        <v>238.85999999999999</v>
      </c>
      <c r="C414" s="106">
        <v>233.04000000000002</v>
      </c>
      <c r="D414" s="106">
        <v>226.54000000000002</v>
      </c>
      <c r="E414" s="106">
        <v>231</v>
      </c>
      <c r="F414" s="106">
        <v>1165.2</v>
      </c>
      <c r="G414">
        <v>16582</v>
      </c>
      <c r="H414" s="106"/>
      <c r="I414" s="106"/>
      <c r="L414" s="143">
        <v>42611</v>
      </c>
      <c r="M414" s="106">
        <v>233.43</v>
      </c>
      <c r="N414" s="106">
        <v>238.8</v>
      </c>
      <c r="O414" s="106">
        <v>226.33</v>
      </c>
      <c r="P414" s="106">
        <v>233.38000000000002</v>
      </c>
      <c r="Q414" s="106">
        <v>1167.1500000000001</v>
      </c>
      <c r="R414">
        <v>122708</v>
      </c>
    </row>
    <row r="415" spans="1:18" x14ac:dyDescent="0.25">
      <c r="A415" s="143">
        <v>42612</v>
      </c>
      <c r="B415" s="106">
        <v>236.2</v>
      </c>
      <c r="C415" s="106">
        <v>233.39000000000001</v>
      </c>
      <c r="D415" s="106">
        <v>231.70999999999998</v>
      </c>
      <c r="E415" s="106">
        <v>235.4</v>
      </c>
      <c r="F415" s="106">
        <v>1166.95</v>
      </c>
      <c r="G415">
        <v>6744</v>
      </c>
      <c r="H415" s="106"/>
      <c r="I415" s="106"/>
      <c r="L415" s="143">
        <v>42612</v>
      </c>
      <c r="M415" s="106">
        <v>234.05</v>
      </c>
      <c r="N415" s="106">
        <v>236.75</v>
      </c>
      <c r="O415" s="106">
        <v>232</v>
      </c>
      <c r="P415" s="106">
        <v>234</v>
      </c>
      <c r="Q415" s="106">
        <v>1170.25</v>
      </c>
      <c r="R415">
        <v>26609</v>
      </c>
    </row>
    <row r="416" spans="1:18" x14ac:dyDescent="0.25">
      <c r="A416" s="143">
        <v>42613</v>
      </c>
      <c r="B416" s="106">
        <v>234.6</v>
      </c>
      <c r="C416" s="106">
        <v>231.85</v>
      </c>
      <c r="D416" s="106">
        <v>230.85999999999999</v>
      </c>
      <c r="E416" s="106">
        <v>232.83</v>
      </c>
      <c r="F416" s="106">
        <v>1159.25</v>
      </c>
      <c r="G416">
        <v>5287</v>
      </c>
      <c r="H416" s="106"/>
      <c r="I416" s="106"/>
      <c r="L416" s="143">
        <v>42613</v>
      </c>
      <c r="M416" s="106">
        <v>231.9</v>
      </c>
      <c r="N416" s="106">
        <v>234.54000000000002</v>
      </c>
      <c r="O416" s="106">
        <v>231.01999999999998</v>
      </c>
      <c r="P416" s="106">
        <v>233.4</v>
      </c>
      <c r="Q416" s="106">
        <v>1159.5</v>
      </c>
      <c r="R416">
        <v>31921</v>
      </c>
    </row>
    <row r="417" spans="1:18" x14ac:dyDescent="0.25">
      <c r="A417" s="143">
        <v>42614</v>
      </c>
      <c r="B417" s="106">
        <v>235.39000000000001</v>
      </c>
      <c r="C417" s="106">
        <v>233.68</v>
      </c>
      <c r="D417" s="106">
        <v>232.2</v>
      </c>
      <c r="E417" s="106">
        <v>235.39000000000001</v>
      </c>
      <c r="F417" s="106">
        <v>1168.4000000000001</v>
      </c>
      <c r="G417">
        <v>2380</v>
      </c>
      <c r="H417" s="106"/>
      <c r="I417" s="106"/>
      <c r="L417" s="143">
        <v>42614</v>
      </c>
      <c r="M417" s="106">
        <v>233.21999999999997</v>
      </c>
      <c r="N417" s="106">
        <v>234.4</v>
      </c>
      <c r="O417" s="106">
        <v>231.99</v>
      </c>
      <c r="P417" s="106">
        <v>233.95999999999998</v>
      </c>
      <c r="Q417" s="106">
        <v>1166.0999999999999</v>
      </c>
      <c r="R417">
        <v>70576</v>
      </c>
    </row>
    <row r="418" spans="1:18" x14ac:dyDescent="0.25">
      <c r="A418" s="143">
        <v>42615</v>
      </c>
      <c r="B418" s="106">
        <v>243</v>
      </c>
      <c r="C418" s="106">
        <v>219.57</v>
      </c>
      <c r="D418" s="106">
        <v>216.20999999999998</v>
      </c>
      <c r="E418" s="106">
        <v>235</v>
      </c>
      <c r="F418" s="106">
        <v>1097.8499999999999</v>
      </c>
      <c r="G418">
        <v>2893666</v>
      </c>
      <c r="H418" s="106"/>
      <c r="I418" s="106"/>
      <c r="L418" s="143">
        <v>42615</v>
      </c>
      <c r="M418" s="106">
        <v>219.71999999999997</v>
      </c>
      <c r="N418" s="106">
        <v>243</v>
      </c>
      <c r="O418" s="106">
        <v>216.6</v>
      </c>
      <c r="P418" s="106">
        <v>234</v>
      </c>
      <c r="Q418" s="106">
        <v>1098.5999999999999</v>
      </c>
      <c r="R418">
        <v>8193966</v>
      </c>
    </row>
    <row r="419" spans="1:18" x14ac:dyDescent="0.25">
      <c r="A419" s="143">
        <v>42619</v>
      </c>
      <c r="B419" s="106">
        <v>222.94</v>
      </c>
      <c r="C419" s="106">
        <v>221.59</v>
      </c>
      <c r="D419" s="106">
        <v>212.88000000000002</v>
      </c>
      <c r="E419" s="106">
        <v>221</v>
      </c>
      <c r="F419" s="106">
        <v>1107.95</v>
      </c>
      <c r="G419">
        <v>95939</v>
      </c>
      <c r="H419" s="106"/>
      <c r="I419" s="106"/>
      <c r="L419" s="143">
        <v>42619</v>
      </c>
      <c r="M419" s="106">
        <v>221.85999999999999</v>
      </c>
      <c r="N419" s="106">
        <v>223.16</v>
      </c>
      <c r="O419" s="106">
        <v>212.66</v>
      </c>
      <c r="P419" s="106">
        <v>221.45999999999998</v>
      </c>
      <c r="Q419" s="106">
        <v>1109.3</v>
      </c>
      <c r="R419">
        <v>581077</v>
      </c>
    </row>
    <row r="420" spans="1:18" x14ac:dyDescent="0.25">
      <c r="A420" s="143">
        <v>42620</v>
      </c>
      <c r="B420" s="106">
        <v>223.6</v>
      </c>
      <c r="C420" s="106">
        <v>222.42</v>
      </c>
      <c r="D420" s="106">
        <v>218.51999999999998</v>
      </c>
      <c r="E420" s="106">
        <v>221.8</v>
      </c>
      <c r="F420" s="106">
        <v>1112.0999999999999</v>
      </c>
      <c r="G420">
        <v>36790</v>
      </c>
      <c r="H420" s="106"/>
      <c r="I420" s="106"/>
      <c r="L420" s="143">
        <v>42620</v>
      </c>
      <c r="M420" s="106">
        <v>222.66</v>
      </c>
      <c r="N420" s="106">
        <v>223.88000000000002</v>
      </c>
      <c r="O420" s="106">
        <v>218.1</v>
      </c>
      <c r="P420" s="106">
        <v>223.2</v>
      </c>
      <c r="Q420" s="106">
        <v>1113.3</v>
      </c>
      <c r="R420">
        <v>483058</v>
      </c>
    </row>
    <row r="421" spans="1:18" x14ac:dyDescent="0.25">
      <c r="A421" s="143">
        <v>42621</v>
      </c>
      <c r="B421" s="106">
        <v>223.66</v>
      </c>
      <c r="C421" s="106">
        <v>219.76999999999998</v>
      </c>
      <c r="D421" s="106">
        <v>218.44</v>
      </c>
      <c r="E421" s="106">
        <v>222.01</v>
      </c>
      <c r="F421" s="106">
        <v>1098.8499999999999</v>
      </c>
      <c r="G421">
        <v>18446</v>
      </c>
      <c r="H421" s="106"/>
      <c r="I421" s="106"/>
      <c r="L421" s="143">
        <v>42621</v>
      </c>
      <c r="M421" s="106">
        <v>219.9</v>
      </c>
      <c r="N421" s="106">
        <v>223.95</v>
      </c>
      <c r="O421" s="106">
        <v>218.6</v>
      </c>
      <c r="P421" s="106">
        <v>222</v>
      </c>
      <c r="Q421" s="106">
        <v>1099.5</v>
      </c>
      <c r="R421">
        <v>158332</v>
      </c>
    </row>
    <row r="422" spans="1:18" x14ac:dyDescent="0.25">
      <c r="A422" s="143">
        <v>42622</v>
      </c>
      <c r="B422" s="106">
        <v>223.56</v>
      </c>
      <c r="C422" s="106">
        <v>221.54000000000002</v>
      </c>
      <c r="D422" s="106">
        <v>215.61999999999998</v>
      </c>
      <c r="E422" s="106">
        <v>215.61999999999998</v>
      </c>
      <c r="F422" s="106">
        <v>1107.7</v>
      </c>
      <c r="G422">
        <v>43060</v>
      </c>
      <c r="H422" s="106"/>
      <c r="I422" s="106"/>
      <c r="L422" s="143">
        <v>42622</v>
      </c>
      <c r="M422" s="106">
        <v>220.57</v>
      </c>
      <c r="N422" s="106">
        <v>223.4</v>
      </c>
      <c r="O422" s="106">
        <v>216.2</v>
      </c>
      <c r="P422" s="106">
        <v>216.2</v>
      </c>
      <c r="Q422" s="106">
        <v>1102.8499999999999</v>
      </c>
      <c r="R422">
        <v>535847</v>
      </c>
    </row>
    <row r="423" spans="1:18" x14ac:dyDescent="0.25">
      <c r="A423" s="143">
        <v>42625</v>
      </c>
      <c r="B423" s="106">
        <v>219.31</v>
      </c>
      <c r="C423" s="106">
        <v>212.53000000000003</v>
      </c>
      <c r="D423" s="106">
        <v>211.4</v>
      </c>
      <c r="E423" s="106">
        <v>217.54000000000002</v>
      </c>
      <c r="F423" s="106">
        <v>1062.6500000000001</v>
      </c>
      <c r="G423">
        <v>10432</v>
      </c>
      <c r="H423" s="106"/>
      <c r="I423" s="106"/>
      <c r="L423" s="143">
        <v>42625</v>
      </c>
      <c r="M423" s="106">
        <v>212.43</v>
      </c>
      <c r="N423" s="106">
        <v>219.4</v>
      </c>
      <c r="O423" s="106">
        <v>211.33</v>
      </c>
      <c r="P423" s="106">
        <v>214.58</v>
      </c>
      <c r="Q423" s="106">
        <v>1062.1500000000001</v>
      </c>
      <c r="R423">
        <v>201313</v>
      </c>
    </row>
    <row r="424" spans="1:18" x14ac:dyDescent="0.25">
      <c r="A424" s="143">
        <v>42627</v>
      </c>
      <c r="B424" s="106">
        <v>216.4</v>
      </c>
      <c r="C424" s="106">
        <v>214.75</v>
      </c>
      <c r="D424" s="106">
        <v>212.32</v>
      </c>
      <c r="E424" s="106">
        <v>213.59</v>
      </c>
      <c r="F424" s="106">
        <v>1073.75</v>
      </c>
      <c r="G424">
        <v>9379</v>
      </c>
      <c r="H424" s="106"/>
      <c r="I424" s="106"/>
      <c r="L424" s="143">
        <v>42627</v>
      </c>
      <c r="M424" s="106">
        <v>214.85999999999999</v>
      </c>
      <c r="N424" s="106">
        <v>216.73000000000002</v>
      </c>
      <c r="O424" s="106">
        <v>211.43</v>
      </c>
      <c r="P424" s="106">
        <v>211.43</v>
      </c>
      <c r="Q424" s="106">
        <v>1074.3</v>
      </c>
      <c r="R424">
        <v>154946</v>
      </c>
    </row>
    <row r="425" spans="1:18" x14ac:dyDescent="0.25">
      <c r="A425" s="143">
        <v>42628</v>
      </c>
      <c r="B425" s="106">
        <v>220.8</v>
      </c>
      <c r="C425" s="106">
        <v>218.82</v>
      </c>
      <c r="D425" s="106">
        <v>216.24</v>
      </c>
      <c r="E425" s="106">
        <v>219.98000000000002</v>
      </c>
      <c r="F425" s="106">
        <v>1094.0999999999999</v>
      </c>
      <c r="G425">
        <v>16818</v>
      </c>
      <c r="H425" s="106"/>
      <c r="I425" s="106"/>
      <c r="L425" s="143">
        <v>42628</v>
      </c>
      <c r="M425" s="106">
        <v>219.82</v>
      </c>
      <c r="N425" s="106">
        <v>220.8</v>
      </c>
      <c r="O425" s="106">
        <v>216.20999999999998</v>
      </c>
      <c r="P425" s="106">
        <v>219.4</v>
      </c>
      <c r="Q425" s="106">
        <v>1099.0999999999999</v>
      </c>
      <c r="R425">
        <v>155588</v>
      </c>
    </row>
    <row r="426" spans="1:18" x14ac:dyDescent="0.25">
      <c r="A426" s="143">
        <v>42629</v>
      </c>
      <c r="B426" s="106">
        <v>222.45999999999998</v>
      </c>
      <c r="C426" s="106">
        <v>218.58</v>
      </c>
      <c r="D426" s="106">
        <v>211</v>
      </c>
      <c r="E426" s="106">
        <v>220</v>
      </c>
      <c r="F426" s="106">
        <v>1092.9000000000001</v>
      </c>
      <c r="G426">
        <v>18810</v>
      </c>
      <c r="H426" s="106"/>
      <c r="I426" s="106"/>
      <c r="L426" s="143">
        <v>42629</v>
      </c>
      <c r="M426" s="106">
        <v>219.65</v>
      </c>
      <c r="N426" s="106">
        <v>222.84</v>
      </c>
      <c r="O426" s="106">
        <v>211</v>
      </c>
      <c r="P426" s="106">
        <v>221.98000000000002</v>
      </c>
      <c r="Q426" s="106">
        <v>1098.25</v>
      </c>
      <c r="R426">
        <v>1209087</v>
      </c>
    </row>
    <row r="427" spans="1:18" x14ac:dyDescent="0.25">
      <c r="A427" s="143">
        <v>42632</v>
      </c>
      <c r="B427" s="106">
        <v>219.78000000000003</v>
      </c>
      <c r="C427" s="106">
        <v>216.57</v>
      </c>
      <c r="D427" s="106">
        <v>215.01</v>
      </c>
      <c r="E427" s="106">
        <v>219.21999999999997</v>
      </c>
      <c r="F427" s="106">
        <v>1082.8499999999999</v>
      </c>
      <c r="G427">
        <v>6007</v>
      </c>
      <c r="H427" s="106"/>
      <c r="I427" s="106"/>
      <c r="L427" s="143">
        <v>42632</v>
      </c>
      <c r="M427" s="106">
        <v>216.95999999999998</v>
      </c>
      <c r="N427" s="106">
        <v>220.95</v>
      </c>
      <c r="O427" s="106">
        <v>215</v>
      </c>
      <c r="P427" s="106">
        <v>219.6</v>
      </c>
      <c r="Q427" s="106">
        <v>1084.8</v>
      </c>
      <c r="R427">
        <v>110306</v>
      </c>
    </row>
    <row r="428" spans="1:18" x14ac:dyDescent="0.25">
      <c r="A428" s="143">
        <v>42633</v>
      </c>
      <c r="B428" s="106">
        <v>220.8</v>
      </c>
      <c r="C428" s="106">
        <v>216.29000000000002</v>
      </c>
      <c r="D428" s="106">
        <v>216.01</v>
      </c>
      <c r="E428" s="106">
        <v>217.21999999999997</v>
      </c>
      <c r="F428" s="106">
        <v>1081.45</v>
      </c>
      <c r="G428">
        <v>7570</v>
      </c>
      <c r="H428" s="106"/>
      <c r="I428" s="106"/>
      <c r="L428" s="143">
        <v>42633</v>
      </c>
      <c r="M428" s="106">
        <v>216.66</v>
      </c>
      <c r="N428" s="106">
        <v>220.95999999999998</v>
      </c>
      <c r="O428" s="106">
        <v>216.01</v>
      </c>
      <c r="P428" s="106">
        <v>216.8</v>
      </c>
      <c r="Q428" s="106">
        <v>1083.3</v>
      </c>
      <c r="R428">
        <v>109673</v>
      </c>
    </row>
    <row r="429" spans="1:18" x14ac:dyDescent="0.25">
      <c r="A429" s="143">
        <v>42634</v>
      </c>
      <c r="B429" s="106">
        <v>218.99</v>
      </c>
      <c r="C429" s="106">
        <v>214.79000000000002</v>
      </c>
      <c r="D429" s="106">
        <v>214</v>
      </c>
      <c r="E429" s="106">
        <v>216.8</v>
      </c>
      <c r="F429" s="106">
        <v>1073.95</v>
      </c>
      <c r="G429">
        <v>10859</v>
      </c>
      <c r="H429" s="106"/>
      <c r="I429" s="106"/>
      <c r="L429" s="143">
        <v>42634</v>
      </c>
      <c r="M429" s="106">
        <v>215.4</v>
      </c>
      <c r="N429" s="106">
        <v>218.85999999999999</v>
      </c>
      <c r="O429" s="106">
        <v>214.2</v>
      </c>
      <c r="P429" s="106">
        <v>217.8</v>
      </c>
      <c r="Q429" s="106">
        <v>1077</v>
      </c>
      <c r="R429">
        <v>119775</v>
      </c>
    </row>
    <row r="430" spans="1:18" x14ac:dyDescent="0.25">
      <c r="A430" s="143">
        <v>42635</v>
      </c>
      <c r="B430" s="106">
        <v>225.33</v>
      </c>
      <c r="C430" s="106">
        <v>222.66</v>
      </c>
      <c r="D430" s="106">
        <v>217.2</v>
      </c>
      <c r="E430" s="106">
        <v>218.2</v>
      </c>
      <c r="F430" s="106">
        <v>1113.3</v>
      </c>
      <c r="G430">
        <v>14828</v>
      </c>
      <c r="H430" s="106"/>
      <c r="I430" s="106"/>
      <c r="L430" s="143">
        <v>42635</v>
      </c>
      <c r="M430" s="106">
        <v>223.01</v>
      </c>
      <c r="N430" s="106">
        <v>225.54000000000002</v>
      </c>
      <c r="O430" s="106">
        <v>216.61999999999998</v>
      </c>
      <c r="P430" s="106">
        <v>218.14000000000001</v>
      </c>
      <c r="Q430" s="106">
        <v>1115.05</v>
      </c>
      <c r="R430">
        <v>481947</v>
      </c>
    </row>
    <row r="431" spans="1:18" x14ac:dyDescent="0.25">
      <c r="A431" s="143">
        <v>42636</v>
      </c>
      <c r="B431" s="106">
        <v>226.58</v>
      </c>
      <c r="C431" s="106">
        <v>222.38000000000002</v>
      </c>
      <c r="D431" s="106">
        <v>220.85999999999999</v>
      </c>
      <c r="E431" s="106">
        <v>225.76999999999998</v>
      </c>
      <c r="F431" s="106">
        <v>1111.9000000000001</v>
      </c>
      <c r="G431">
        <v>29327</v>
      </c>
      <c r="H431" s="106"/>
      <c r="I431" s="106"/>
      <c r="L431" s="143">
        <v>42636</v>
      </c>
      <c r="M431" s="106">
        <v>223.43</v>
      </c>
      <c r="N431" s="106">
        <v>226.95999999999998</v>
      </c>
      <c r="O431" s="106">
        <v>220.4</v>
      </c>
      <c r="P431" s="106">
        <v>223.2</v>
      </c>
      <c r="Q431" s="106">
        <v>1117.1500000000001</v>
      </c>
      <c r="R431">
        <v>128523</v>
      </c>
    </row>
    <row r="432" spans="1:18" x14ac:dyDescent="0.25">
      <c r="A432" s="143">
        <v>42639</v>
      </c>
      <c r="B432" s="106">
        <v>228.8</v>
      </c>
      <c r="C432" s="106">
        <v>226.59</v>
      </c>
      <c r="D432" s="106">
        <v>221.58</v>
      </c>
      <c r="E432" s="106">
        <v>223.26</v>
      </c>
      <c r="F432" s="106">
        <v>1132.95</v>
      </c>
      <c r="G432">
        <v>11786</v>
      </c>
      <c r="H432" s="106"/>
      <c r="I432" s="106"/>
      <c r="L432" s="143">
        <v>42639</v>
      </c>
      <c r="M432" s="106">
        <v>226.33</v>
      </c>
      <c r="N432" s="106">
        <v>229.14000000000001</v>
      </c>
      <c r="O432" s="106">
        <v>220.8</v>
      </c>
      <c r="P432" s="106">
        <v>223.94</v>
      </c>
      <c r="Q432" s="106">
        <v>1131.6500000000001</v>
      </c>
      <c r="R432">
        <v>139045</v>
      </c>
    </row>
    <row r="433" spans="1:18" x14ac:dyDescent="0.25">
      <c r="A433" s="143">
        <v>42640</v>
      </c>
      <c r="B433" s="106">
        <v>234</v>
      </c>
      <c r="C433" s="106">
        <v>226.64000000000001</v>
      </c>
      <c r="D433" s="106">
        <v>224.48000000000002</v>
      </c>
      <c r="E433" s="106">
        <v>228.39000000000001</v>
      </c>
      <c r="F433" s="106">
        <v>1133.2</v>
      </c>
      <c r="G433">
        <v>23182</v>
      </c>
      <c r="H433" s="106"/>
      <c r="I433" s="106"/>
      <c r="L433" s="143">
        <v>42640</v>
      </c>
      <c r="M433" s="106">
        <v>227.17</v>
      </c>
      <c r="N433" s="106">
        <v>234.2</v>
      </c>
      <c r="O433" s="106">
        <v>224.45</v>
      </c>
      <c r="P433" s="106">
        <v>226.8</v>
      </c>
      <c r="Q433" s="106">
        <v>1135.8499999999999</v>
      </c>
      <c r="R433">
        <v>164153</v>
      </c>
    </row>
    <row r="434" spans="1:18" x14ac:dyDescent="0.25">
      <c r="A434" s="143">
        <v>42641</v>
      </c>
      <c r="B434" s="106">
        <v>229.68</v>
      </c>
      <c r="C434" s="106">
        <v>227.29000000000002</v>
      </c>
      <c r="D434" s="106">
        <v>222.83</v>
      </c>
      <c r="E434" s="106">
        <v>228</v>
      </c>
      <c r="F434" s="106">
        <v>1136.45</v>
      </c>
      <c r="G434">
        <v>5782</v>
      </c>
      <c r="H434" s="106"/>
      <c r="I434" s="106"/>
      <c r="L434" s="143">
        <v>42641</v>
      </c>
      <c r="M434" s="106">
        <v>227.71999999999997</v>
      </c>
      <c r="N434" s="106">
        <v>229.53000000000003</v>
      </c>
      <c r="O434" s="106">
        <v>224.76999999999998</v>
      </c>
      <c r="P434" s="106">
        <v>227.99</v>
      </c>
      <c r="Q434" s="106">
        <v>1138.5999999999999</v>
      </c>
      <c r="R434">
        <v>135821</v>
      </c>
    </row>
    <row r="435" spans="1:18" x14ac:dyDescent="0.25">
      <c r="A435" s="143">
        <v>42642</v>
      </c>
      <c r="B435" s="106">
        <v>231.88000000000002</v>
      </c>
      <c r="C435" s="106">
        <v>223.35</v>
      </c>
      <c r="D435" s="106">
        <v>206.85</v>
      </c>
      <c r="E435" s="106">
        <v>230</v>
      </c>
      <c r="F435" s="106">
        <v>1116.75</v>
      </c>
      <c r="G435">
        <v>27121</v>
      </c>
      <c r="H435" s="106"/>
      <c r="I435" s="106"/>
      <c r="L435" s="143">
        <v>42642</v>
      </c>
      <c r="M435" s="106">
        <v>224.68</v>
      </c>
      <c r="N435" s="106">
        <v>232.15</v>
      </c>
      <c r="O435" s="106">
        <v>207.99</v>
      </c>
      <c r="P435" s="106">
        <v>229.45999999999998</v>
      </c>
      <c r="Q435" s="106">
        <v>1123.4000000000001</v>
      </c>
      <c r="R435">
        <v>314191</v>
      </c>
    </row>
    <row r="436" spans="1:18" x14ac:dyDescent="0.25">
      <c r="A436" s="143">
        <v>42643</v>
      </c>
      <c r="B436" s="106">
        <v>239.8</v>
      </c>
      <c r="C436" s="106">
        <v>235.14000000000001</v>
      </c>
      <c r="D436" s="106">
        <v>219.55</v>
      </c>
      <c r="E436" s="106">
        <v>234</v>
      </c>
      <c r="F436" s="106">
        <v>1175.7</v>
      </c>
      <c r="G436">
        <v>23941</v>
      </c>
      <c r="H436" s="106"/>
      <c r="I436" s="106"/>
      <c r="L436" s="143">
        <v>42643</v>
      </c>
      <c r="M436" s="106">
        <v>231.46999999999997</v>
      </c>
      <c r="N436" s="106">
        <v>237.99</v>
      </c>
      <c r="O436" s="106">
        <v>219.38000000000002</v>
      </c>
      <c r="P436" s="106">
        <v>227.38000000000002</v>
      </c>
      <c r="Q436" s="106">
        <v>1157.3499999999999</v>
      </c>
      <c r="R436">
        <v>181338</v>
      </c>
    </row>
    <row r="437" spans="1:18" x14ac:dyDescent="0.25">
      <c r="A437" s="143">
        <v>42646</v>
      </c>
      <c r="B437" s="106">
        <v>241.2</v>
      </c>
      <c r="C437" s="106">
        <v>235.70999999999998</v>
      </c>
      <c r="D437" s="106">
        <v>230.07</v>
      </c>
      <c r="E437" s="106">
        <v>235.63000000000002</v>
      </c>
      <c r="F437" s="106">
        <v>1178.55</v>
      </c>
      <c r="G437">
        <v>24297</v>
      </c>
      <c r="H437" s="106"/>
      <c r="I437" s="106"/>
      <c r="L437" s="143">
        <v>42646</v>
      </c>
      <c r="M437" s="106">
        <v>236.20999999999998</v>
      </c>
      <c r="N437" s="106">
        <v>241.4</v>
      </c>
      <c r="O437" s="106">
        <v>230.29000000000002</v>
      </c>
      <c r="P437" s="106">
        <v>235</v>
      </c>
      <c r="Q437" s="106">
        <v>1181.05</v>
      </c>
      <c r="R437">
        <v>117197</v>
      </c>
    </row>
    <row r="438" spans="1:18" x14ac:dyDescent="0.25">
      <c r="A438" s="143">
        <v>42647</v>
      </c>
      <c r="B438" s="106">
        <v>245</v>
      </c>
      <c r="C438" s="106">
        <v>242.28000000000003</v>
      </c>
      <c r="D438" s="106">
        <v>229.66</v>
      </c>
      <c r="E438" s="106">
        <v>229.66</v>
      </c>
      <c r="F438" s="106">
        <v>1211.4000000000001</v>
      </c>
      <c r="G438">
        <v>29527</v>
      </c>
      <c r="H438" s="106"/>
      <c r="I438" s="106"/>
      <c r="L438" s="143">
        <v>42647</v>
      </c>
      <c r="M438" s="106">
        <v>242.17</v>
      </c>
      <c r="N438" s="106">
        <v>245.1</v>
      </c>
      <c r="O438" s="106">
        <v>235.81</v>
      </c>
      <c r="P438" s="106">
        <v>236.6</v>
      </c>
      <c r="Q438" s="106">
        <v>1210.8499999999999</v>
      </c>
      <c r="R438">
        <v>273455</v>
      </c>
    </row>
    <row r="439" spans="1:18" x14ac:dyDescent="0.25">
      <c r="A439" s="143">
        <v>42648</v>
      </c>
      <c r="B439" s="106">
        <v>246.78000000000003</v>
      </c>
      <c r="C439" s="106">
        <v>245.5</v>
      </c>
      <c r="D439" s="106">
        <v>240.4</v>
      </c>
      <c r="E439" s="106">
        <v>243</v>
      </c>
      <c r="F439" s="106">
        <v>1227.5</v>
      </c>
      <c r="G439">
        <v>8959</v>
      </c>
      <c r="H439" s="106"/>
      <c r="I439" s="106"/>
      <c r="L439" s="143">
        <v>42648</v>
      </c>
      <c r="M439" s="106">
        <v>245.63000000000002</v>
      </c>
      <c r="N439" s="106">
        <v>246.98000000000002</v>
      </c>
      <c r="O439" s="106">
        <v>240.01999999999998</v>
      </c>
      <c r="P439" s="106">
        <v>243</v>
      </c>
      <c r="Q439" s="106">
        <v>1228.1500000000001</v>
      </c>
      <c r="R439">
        <v>84263</v>
      </c>
    </row>
    <row r="440" spans="1:18" x14ac:dyDescent="0.25">
      <c r="A440" s="143">
        <v>42649</v>
      </c>
      <c r="B440" s="106">
        <v>248.78000000000003</v>
      </c>
      <c r="C440" s="106">
        <v>242.32</v>
      </c>
      <c r="D440" s="106">
        <v>239.82</v>
      </c>
      <c r="E440" s="106">
        <v>248.78000000000003</v>
      </c>
      <c r="F440" s="106">
        <v>1211.5999999999999</v>
      </c>
      <c r="G440">
        <v>8993</v>
      </c>
      <c r="H440" s="106"/>
      <c r="I440" s="106"/>
      <c r="L440" s="143">
        <v>42649</v>
      </c>
      <c r="M440" s="106">
        <v>242.11999999999998</v>
      </c>
      <c r="N440" s="106">
        <v>248.6</v>
      </c>
      <c r="O440" s="106">
        <v>240</v>
      </c>
      <c r="P440" s="106">
        <v>247</v>
      </c>
      <c r="Q440" s="106">
        <v>1210.5999999999999</v>
      </c>
      <c r="R440">
        <v>55638</v>
      </c>
    </row>
    <row r="441" spans="1:18" x14ac:dyDescent="0.25">
      <c r="A441" s="143">
        <v>42650</v>
      </c>
      <c r="B441" s="106">
        <v>245.88000000000002</v>
      </c>
      <c r="C441" s="106">
        <v>240.28000000000003</v>
      </c>
      <c r="D441" s="106">
        <v>237.69</v>
      </c>
      <c r="E441" s="106">
        <v>243.10999999999999</v>
      </c>
      <c r="F441" s="106">
        <v>1201.4000000000001</v>
      </c>
      <c r="G441">
        <v>5898</v>
      </c>
      <c r="H441" s="106"/>
      <c r="I441" s="106"/>
      <c r="L441" s="143">
        <v>42650</v>
      </c>
      <c r="M441" s="106">
        <v>239.78000000000003</v>
      </c>
      <c r="N441" s="106">
        <v>246</v>
      </c>
      <c r="O441" s="106">
        <v>238</v>
      </c>
      <c r="P441" s="106">
        <v>242</v>
      </c>
      <c r="Q441" s="106">
        <v>1198.9000000000001</v>
      </c>
      <c r="R441">
        <v>44077</v>
      </c>
    </row>
    <row r="442" spans="1:18" x14ac:dyDescent="0.25">
      <c r="A442" s="143">
        <v>42653</v>
      </c>
      <c r="B442" s="106">
        <v>241.6</v>
      </c>
      <c r="C442" s="106">
        <v>235.93</v>
      </c>
      <c r="D442" s="106">
        <v>234.6</v>
      </c>
      <c r="E442" s="106">
        <v>240.4</v>
      </c>
      <c r="F442" s="106">
        <v>1179.6500000000001</v>
      </c>
      <c r="G442">
        <v>4318</v>
      </c>
      <c r="H442" s="106"/>
      <c r="I442" s="106"/>
      <c r="L442" s="143">
        <v>42653</v>
      </c>
      <c r="M442" s="106">
        <v>236.75</v>
      </c>
      <c r="N442" s="106">
        <v>242.03000000000003</v>
      </c>
      <c r="O442" s="106">
        <v>236.21999999999997</v>
      </c>
      <c r="P442" s="106">
        <v>239.78000000000003</v>
      </c>
      <c r="Q442" s="106">
        <v>1183.75</v>
      </c>
      <c r="R442">
        <v>133221</v>
      </c>
    </row>
    <row r="443" spans="1:18" x14ac:dyDescent="0.25">
      <c r="A443" s="143">
        <v>42656</v>
      </c>
      <c r="B443" s="106">
        <v>239.38000000000002</v>
      </c>
      <c r="C443" s="106">
        <v>237.94</v>
      </c>
      <c r="D443" s="106">
        <v>228</v>
      </c>
      <c r="E443" s="106">
        <v>238.34</v>
      </c>
      <c r="F443" s="106">
        <v>1189.7</v>
      </c>
      <c r="G443">
        <v>11690</v>
      </c>
      <c r="H443" s="106"/>
      <c r="I443" s="106"/>
      <c r="L443" s="143">
        <v>42656</v>
      </c>
      <c r="M443" s="106">
        <v>237.2</v>
      </c>
      <c r="N443" s="106">
        <v>239</v>
      </c>
      <c r="O443" s="106">
        <v>230.84</v>
      </c>
      <c r="P443" s="106">
        <v>238.85999999999999</v>
      </c>
      <c r="Q443" s="106">
        <v>1186</v>
      </c>
      <c r="R443">
        <v>150210</v>
      </c>
    </row>
    <row r="444" spans="1:18" x14ac:dyDescent="0.25">
      <c r="A444" s="143">
        <v>42657</v>
      </c>
      <c r="B444" s="106">
        <v>241.24</v>
      </c>
      <c r="C444" s="106">
        <v>240.17</v>
      </c>
      <c r="D444" s="106">
        <v>234.5</v>
      </c>
      <c r="E444" s="106">
        <v>238.93</v>
      </c>
      <c r="F444" s="106">
        <v>1200.8499999999999</v>
      </c>
      <c r="G444">
        <v>2551</v>
      </c>
      <c r="H444" s="106"/>
      <c r="I444" s="106"/>
      <c r="L444" s="143">
        <v>42657</v>
      </c>
      <c r="M444" s="106">
        <v>240.95</v>
      </c>
      <c r="N444" s="106">
        <v>241.8</v>
      </c>
      <c r="O444" s="106">
        <v>236.53000000000003</v>
      </c>
      <c r="P444" s="106">
        <v>239.25</v>
      </c>
      <c r="Q444" s="106">
        <v>1204.75</v>
      </c>
      <c r="R444">
        <v>48048</v>
      </c>
    </row>
    <row r="445" spans="1:18" x14ac:dyDescent="0.25">
      <c r="A445" s="143">
        <v>42660</v>
      </c>
      <c r="B445" s="106">
        <v>246</v>
      </c>
      <c r="C445" s="106">
        <v>237.56</v>
      </c>
      <c r="D445" s="106">
        <v>236</v>
      </c>
      <c r="E445" s="106">
        <v>240.21999999999997</v>
      </c>
      <c r="F445" s="106">
        <v>1187.8</v>
      </c>
      <c r="G445">
        <v>36106</v>
      </c>
      <c r="H445" s="106"/>
      <c r="I445" s="106"/>
      <c r="L445" s="143">
        <v>42660</v>
      </c>
      <c r="M445" s="106">
        <v>240.32</v>
      </c>
      <c r="N445" s="106">
        <v>245.8</v>
      </c>
      <c r="O445" s="106">
        <v>237.8</v>
      </c>
      <c r="P445" s="106">
        <v>242.8</v>
      </c>
      <c r="Q445" s="106">
        <v>1201.5999999999999</v>
      </c>
      <c r="R445">
        <v>199057</v>
      </c>
    </row>
    <row r="446" spans="1:18" x14ac:dyDescent="0.25">
      <c r="A446" s="143">
        <v>42661</v>
      </c>
      <c r="B446" s="106">
        <v>242.18</v>
      </c>
      <c r="C446" s="106">
        <v>237.88000000000002</v>
      </c>
      <c r="D446" s="106">
        <v>235.31</v>
      </c>
      <c r="E446" s="106">
        <v>240</v>
      </c>
      <c r="F446" s="106">
        <v>1189.4000000000001</v>
      </c>
      <c r="G446">
        <v>5536</v>
      </c>
      <c r="H446" s="106"/>
      <c r="I446" s="106"/>
      <c r="L446" s="143">
        <v>42661</v>
      </c>
      <c r="M446" s="106">
        <v>239.13000000000002</v>
      </c>
      <c r="N446" s="106">
        <v>242.2</v>
      </c>
      <c r="O446" s="106">
        <v>235.6</v>
      </c>
      <c r="P446" s="106">
        <v>240.2</v>
      </c>
      <c r="Q446" s="106">
        <v>1195.6500000000001</v>
      </c>
      <c r="R446">
        <v>53917</v>
      </c>
    </row>
    <row r="447" spans="1:18" x14ac:dyDescent="0.25">
      <c r="A447" s="143">
        <v>42662</v>
      </c>
      <c r="B447" s="106">
        <v>242.4</v>
      </c>
      <c r="C447" s="106">
        <v>237.33</v>
      </c>
      <c r="D447" s="106">
        <v>236.21999999999997</v>
      </c>
      <c r="E447" s="106">
        <v>239.2</v>
      </c>
      <c r="F447" s="106">
        <v>1186.6500000000001</v>
      </c>
      <c r="G447">
        <v>5286</v>
      </c>
      <c r="H447" s="106"/>
      <c r="I447" s="106"/>
      <c r="L447" s="143">
        <v>42662</v>
      </c>
      <c r="M447" s="106">
        <v>237.55</v>
      </c>
      <c r="N447" s="106">
        <v>242.4</v>
      </c>
      <c r="O447" s="106">
        <v>236.3</v>
      </c>
      <c r="P447" s="106">
        <v>240.84</v>
      </c>
      <c r="Q447" s="106">
        <v>1187.75</v>
      </c>
      <c r="R447">
        <v>46592</v>
      </c>
    </row>
    <row r="448" spans="1:18" x14ac:dyDescent="0.25">
      <c r="A448" s="143">
        <v>42663</v>
      </c>
      <c r="B448" s="106">
        <v>240</v>
      </c>
      <c r="C448" s="106">
        <v>236.96999999999997</v>
      </c>
      <c r="D448" s="106">
        <v>236.41</v>
      </c>
      <c r="E448" s="106">
        <v>239</v>
      </c>
      <c r="F448" s="106">
        <v>1184.8499999999999</v>
      </c>
      <c r="G448">
        <v>1853</v>
      </c>
      <c r="H448" s="106"/>
      <c r="I448" s="106"/>
      <c r="L448" s="143">
        <v>42663</v>
      </c>
      <c r="M448" s="106">
        <v>237.09</v>
      </c>
      <c r="N448" s="106">
        <v>240.6</v>
      </c>
      <c r="O448" s="106">
        <v>236.1</v>
      </c>
      <c r="P448" s="106">
        <v>236.1</v>
      </c>
      <c r="Q448" s="106">
        <v>1185.45</v>
      </c>
      <c r="R448">
        <v>38367</v>
      </c>
    </row>
    <row r="449" spans="1:18" x14ac:dyDescent="0.25">
      <c r="A449" s="143">
        <v>42664</v>
      </c>
      <c r="B449" s="106">
        <v>242.4</v>
      </c>
      <c r="C449" s="106">
        <v>239.86999999999998</v>
      </c>
      <c r="D449" s="106">
        <v>238</v>
      </c>
      <c r="E449" s="106">
        <v>238</v>
      </c>
      <c r="F449" s="106">
        <v>1199.3499999999999</v>
      </c>
      <c r="G449">
        <v>208971</v>
      </c>
      <c r="H449" s="106"/>
      <c r="I449" s="106"/>
      <c r="L449" s="143">
        <v>42664</v>
      </c>
      <c r="M449" s="106">
        <v>241.73000000000002</v>
      </c>
      <c r="N449" s="106">
        <v>243.59</v>
      </c>
      <c r="O449" s="106">
        <v>238.4</v>
      </c>
      <c r="P449" s="106">
        <v>238.98000000000002</v>
      </c>
      <c r="Q449" s="106">
        <v>1208.6500000000001</v>
      </c>
      <c r="R449">
        <v>50508</v>
      </c>
    </row>
    <row r="450" spans="1:18" x14ac:dyDescent="0.25">
      <c r="A450" s="143">
        <v>42667</v>
      </c>
      <c r="B450" s="106">
        <v>243.95</v>
      </c>
      <c r="C450" s="106">
        <v>237.98000000000002</v>
      </c>
      <c r="D450" s="106">
        <v>237.07</v>
      </c>
      <c r="E450" s="106">
        <v>243</v>
      </c>
      <c r="F450" s="106">
        <v>1189.9000000000001</v>
      </c>
      <c r="G450">
        <v>5027</v>
      </c>
      <c r="H450" s="106"/>
      <c r="I450" s="106"/>
      <c r="L450" s="143">
        <v>42667</v>
      </c>
      <c r="M450" s="106">
        <v>237.95</v>
      </c>
      <c r="N450" s="106">
        <v>243.8</v>
      </c>
      <c r="O450" s="106">
        <v>236.42</v>
      </c>
      <c r="P450" s="106">
        <v>241.6</v>
      </c>
      <c r="Q450" s="106">
        <v>1189.75</v>
      </c>
      <c r="R450">
        <v>31109</v>
      </c>
    </row>
    <row r="451" spans="1:18" x14ac:dyDescent="0.25">
      <c r="A451" s="143">
        <v>42668</v>
      </c>
      <c r="B451" s="106">
        <v>238.16</v>
      </c>
      <c r="C451" s="106">
        <v>235.82</v>
      </c>
      <c r="D451" s="106">
        <v>234.09</v>
      </c>
      <c r="E451" s="106">
        <v>237.67</v>
      </c>
      <c r="F451" s="106">
        <v>1179.0999999999999</v>
      </c>
      <c r="G451">
        <v>1902</v>
      </c>
      <c r="H451" s="106"/>
      <c r="I451" s="106"/>
      <c r="L451" s="143">
        <v>42668</v>
      </c>
      <c r="M451" s="106">
        <v>235.14000000000001</v>
      </c>
      <c r="N451" s="106">
        <v>239.78000000000003</v>
      </c>
      <c r="O451" s="106">
        <v>233.68</v>
      </c>
      <c r="P451" s="106">
        <v>237.8</v>
      </c>
      <c r="Q451" s="106">
        <v>1175.7</v>
      </c>
      <c r="R451">
        <v>88409</v>
      </c>
    </row>
    <row r="452" spans="1:18" x14ac:dyDescent="0.25">
      <c r="A452" s="143">
        <v>42669</v>
      </c>
      <c r="B452" s="106">
        <v>235.6</v>
      </c>
      <c r="C452" s="106">
        <v>230.39000000000001</v>
      </c>
      <c r="D452" s="106">
        <v>225</v>
      </c>
      <c r="E452" s="106">
        <v>234.8</v>
      </c>
      <c r="F452" s="106">
        <v>1151.95</v>
      </c>
      <c r="G452">
        <v>44087</v>
      </c>
      <c r="H452" s="106"/>
      <c r="I452" s="106"/>
      <c r="L452" s="143">
        <v>42669</v>
      </c>
      <c r="M452" s="106">
        <v>230.70999999999998</v>
      </c>
      <c r="N452" s="106">
        <v>238.88000000000002</v>
      </c>
      <c r="O452" s="106">
        <v>224</v>
      </c>
      <c r="P452" s="106">
        <v>235.01</v>
      </c>
      <c r="Q452" s="106">
        <v>1153.55</v>
      </c>
      <c r="R452">
        <v>95630</v>
      </c>
    </row>
    <row r="453" spans="1:18" x14ac:dyDescent="0.25">
      <c r="A453" s="143">
        <v>42670</v>
      </c>
      <c r="B453" s="106">
        <v>233.1</v>
      </c>
      <c r="C453" s="106">
        <v>227.10999999999999</v>
      </c>
      <c r="D453" s="106">
        <v>226.4</v>
      </c>
      <c r="E453" s="106">
        <v>233.1</v>
      </c>
      <c r="F453" s="106">
        <v>1135.55</v>
      </c>
      <c r="G453">
        <v>3058</v>
      </c>
      <c r="H453" s="106"/>
      <c r="I453" s="106"/>
      <c r="L453" s="143">
        <v>42670</v>
      </c>
      <c r="M453" s="106">
        <v>227.83</v>
      </c>
      <c r="N453" s="106">
        <v>233.6</v>
      </c>
      <c r="O453" s="106">
        <v>226.71999999999997</v>
      </c>
      <c r="P453" s="106">
        <v>233.56</v>
      </c>
      <c r="Q453" s="106">
        <v>1139.1500000000001</v>
      </c>
      <c r="R453">
        <v>53196</v>
      </c>
    </row>
    <row r="454" spans="1:18" x14ac:dyDescent="0.25">
      <c r="A454" s="143">
        <v>42671</v>
      </c>
      <c r="B454" s="106">
        <v>239.28000000000003</v>
      </c>
      <c r="C454" s="106">
        <v>236.07</v>
      </c>
      <c r="D454" s="106">
        <v>227.61999999999998</v>
      </c>
      <c r="E454" s="106">
        <v>229.96999999999997</v>
      </c>
      <c r="F454" s="106">
        <v>1180.3499999999999</v>
      </c>
      <c r="G454">
        <v>11908</v>
      </c>
      <c r="H454" s="106"/>
      <c r="I454" s="106"/>
      <c r="L454" s="143">
        <v>42671</v>
      </c>
      <c r="M454" s="106">
        <v>237.08</v>
      </c>
      <c r="N454" s="106">
        <v>239.6</v>
      </c>
      <c r="O454" s="106">
        <v>229</v>
      </c>
      <c r="P454" s="106">
        <v>229.4</v>
      </c>
      <c r="Q454" s="106">
        <v>1185.4000000000001</v>
      </c>
      <c r="R454">
        <v>139101</v>
      </c>
    </row>
    <row r="455" spans="1:18" x14ac:dyDescent="0.25">
      <c r="A455" s="143">
        <v>42673</v>
      </c>
      <c r="B455" s="106">
        <v>239</v>
      </c>
      <c r="C455" s="106">
        <v>236.84</v>
      </c>
      <c r="D455" s="106">
        <v>235</v>
      </c>
      <c r="E455" s="106">
        <v>238.6</v>
      </c>
      <c r="F455" s="106">
        <v>1184.2</v>
      </c>
      <c r="G455">
        <v>742</v>
      </c>
      <c r="H455" s="106"/>
      <c r="I455" s="106"/>
      <c r="L455" s="143">
        <v>42673</v>
      </c>
      <c r="M455" s="106">
        <v>237.16</v>
      </c>
      <c r="N455" s="106">
        <v>240</v>
      </c>
      <c r="O455" s="106">
        <v>234.26</v>
      </c>
      <c r="P455" s="106">
        <v>237.2</v>
      </c>
      <c r="Q455" s="106">
        <v>1185.8</v>
      </c>
      <c r="R455">
        <v>24431</v>
      </c>
    </row>
    <row r="456" spans="1:18" x14ac:dyDescent="0.25">
      <c r="A456" s="143">
        <v>42675</v>
      </c>
      <c r="B456" s="106">
        <v>236.91</v>
      </c>
      <c r="C456" s="106">
        <v>234.01</v>
      </c>
      <c r="D456" s="106">
        <v>231.03000000000003</v>
      </c>
      <c r="E456" s="106">
        <v>234.46999999999997</v>
      </c>
      <c r="F456" s="106">
        <v>1170.05</v>
      </c>
      <c r="G456">
        <v>24794</v>
      </c>
      <c r="H456" s="106"/>
      <c r="I456" s="106"/>
      <c r="L456" s="143">
        <v>42675</v>
      </c>
      <c r="M456" s="106">
        <v>233.29000000000002</v>
      </c>
      <c r="N456" s="106">
        <v>237.26999999999998</v>
      </c>
      <c r="O456" s="106">
        <v>231.05</v>
      </c>
      <c r="P456" s="106">
        <v>237.16</v>
      </c>
      <c r="Q456" s="106">
        <v>1166.45</v>
      </c>
      <c r="R456">
        <v>32695</v>
      </c>
    </row>
    <row r="457" spans="1:18" x14ac:dyDescent="0.25">
      <c r="A457" s="143">
        <v>42676</v>
      </c>
      <c r="B457" s="106">
        <v>233.79000000000002</v>
      </c>
      <c r="C457" s="106">
        <v>231.58</v>
      </c>
      <c r="D457" s="106">
        <v>227.01999999999998</v>
      </c>
      <c r="E457" s="106">
        <v>231</v>
      </c>
      <c r="F457" s="106">
        <v>1157.9000000000001</v>
      </c>
      <c r="G457">
        <v>2397</v>
      </c>
      <c r="H457" s="106"/>
      <c r="I457" s="106"/>
      <c r="L457" s="143">
        <v>42676</v>
      </c>
      <c r="M457" s="106">
        <v>232.51</v>
      </c>
      <c r="N457" s="106">
        <v>235.08</v>
      </c>
      <c r="O457" s="106">
        <v>227.2</v>
      </c>
      <c r="P457" s="106">
        <v>235.08</v>
      </c>
      <c r="Q457" s="106">
        <v>1162.55</v>
      </c>
      <c r="R457">
        <v>114335</v>
      </c>
    </row>
    <row r="458" spans="1:18" x14ac:dyDescent="0.25">
      <c r="A458" s="143">
        <v>42677</v>
      </c>
      <c r="B458" s="106">
        <v>232.38000000000002</v>
      </c>
      <c r="C458" s="106">
        <v>226.61999999999998</v>
      </c>
      <c r="D458" s="106">
        <v>225.06</v>
      </c>
      <c r="E458" s="106">
        <v>231.21999999999997</v>
      </c>
      <c r="F458" s="106">
        <v>1133.0999999999999</v>
      </c>
      <c r="G458">
        <v>10777</v>
      </c>
      <c r="H458" s="106"/>
      <c r="I458" s="106"/>
      <c r="L458" s="143">
        <v>42677</v>
      </c>
      <c r="M458" s="106">
        <v>227.26999999999998</v>
      </c>
      <c r="N458" s="106">
        <v>233.6</v>
      </c>
      <c r="O458" s="106">
        <v>224.21999999999997</v>
      </c>
      <c r="P458" s="106">
        <v>233.58</v>
      </c>
      <c r="Q458" s="106">
        <v>1136.3499999999999</v>
      </c>
      <c r="R458">
        <v>178408</v>
      </c>
    </row>
    <row r="459" spans="1:18" x14ac:dyDescent="0.25">
      <c r="A459" s="143">
        <v>42678</v>
      </c>
      <c r="B459" s="106">
        <v>231</v>
      </c>
      <c r="C459" s="106">
        <v>223.03000000000003</v>
      </c>
      <c r="D459" s="106">
        <v>218.4</v>
      </c>
      <c r="E459" s="106">
        <v>231</v>
      </c>
      <c r="F459" s="106">
        <v>1115.1500000000001</v>
      </c>
      <c r="G459">
        <v>4505</v>
      </c>
      <c r="H459" s="106"/>
      <c r="I459" s="106"/>
      <c r="L459" s="143">
        <v>42678</v>
      </c>
      <c r="M459" s="106">
        <v>223.66</v>
      </c>
      <c r="N459" s="106">
        <v>231.96999999999997</v>
      </c>
      <c r="O459" s="106">
        <v>218</v>
      </c>
      <c r="P459" s="106">
        <v>227.6</v>
      </c>
      <c r="Q459" s="106">
        <v>1118.3</v>
      </c>
      <c r="R459">
        <v>143576</v>
      </c>
    </row>
    <row r="460" spans="1:18" x14ac:dyDescent="0.25">
      <c r="A460" s="143">
        <v>42681</v>
      </c>
      <c r="B460" s="106">
        <v>226.98000000000002</v>
      </c>
      <c r="C460" s="106">
        <v>224.76999999999998</v>
      </c>
      <c r="D460" s="106">
        <v>223</v>
      </c>
      <c r="E460" s="106">
        <v>223.04000000000002</v>
      </c>
      <c r="F460" s="106">
        <v>1123.8499999999999</v>
      </c>
      <c r="G460">
        <v>2429</v>
      </c>
      <c r="H460" s="106"/>
      <c r="I460" s="106"/>
      <c r="L460" s="143">
        <v>42681</v>
      </c>
      <c r="M460" s="106">
        <v>223.34</v>
      </c>
      <c r="N460" s="106">
        <v>232</v>
      </c>
      <c r="O460" s="106">
        <v>221.24</v>
      </c>
      <c r="P460" s="106">
        <v>232</v>
      </c>
      <c r="Q460" s="106">
        <v>1116.7</v>
      </c>
      <c r="R460">
        <v>233881</v>
      </c>
    </row>
    <row r="461" spans="1:18" x14ac:dyDescent="0.25">
      <c r="A461" s="143">
        <v>42682</v>
      </c>
      <c r="B461" s="106">
        <v>225.34</v>
      </c>
      <c r="C461" s="106">
        <v>221.68</v>
      </c>
      <c r="D461" s="106">
        <v>220.31</v>
      </c>
      <c r="E461" s="106">
        <v>225.18</v>
      </c>
      <c r="F461" s="106">
        <v>1108.4000000000001</v>
      </c>
      <c r="G461">
        <v>3246</v>
      </c>
      <c r="H461" s="106"/>
      <c r="I461" s="106"/>
      <c r="L461" s="143">
        <v>42682</v>
      </c>
      <c r="M461" s="106">
        <v>221.64000000000001</v>
      </c>
      <c r="N461" s="106">
        <v>226.99</v>
      </c>
      <c r="O461" s="106">
        <v>219.68</v>
      </c>
      <c r="P461" s="106">
        <v>226.98000000000002</v>
      </c>
      <c r="Q461" s="106">
        <v>1108.2</v>
      </c>
      <c r="R461">
        <v>37901</v>
      </c>
    </row>
    <row r="462" spans="1:18" x14ac:dyDescent="0.25">
      <c r="A462" s="143">
        <v>42683</v>
      </c>
      <c r="B462" s="106">
        <v>220</v>
      </c>
      <c r="C462" s="106">
        <v>213.71999999999997</v>
      </c>
      <c r="D462" s="106">
        <v>195.04000000000002</v>
      </c>
      <c r="E462" s="106">
        <v>200</v>
      </c>
      <c r="F462" s="106">
        <v>1068.5999999999999</v>
      </c>
      <c r="G462">
        <v>16079</v>
      </c>
      <c r="H462" s="106"/>
      <c r="I462" s="106"/>
      <c r="L462" s="143">
        <v>42683</v>
      </c>
      <c r="M462" s="106">
        <v>210.04000000000002</v>
      </c>
      <c r="N462" s="106">
        <v>215.75</v>
      </c>
      <c r="O462" s="106">
        <v>186.65</v>
      </c>
      <c r="P462" s="106">
        <v>209.99</v>
      </c>
      <c r="Q462" s="106">
        <v>1050.2</v>
      </c>
      <c r="R462">
        <v>175921</v>
      </c>
    </row>
    <row r="463" spans="1:18" x14ac:dyDescent="0.25">
      <c r="A463" s="143">
        <v>42684</v>
      </c>
      <c r="B463" s="106">
        <v>215.64000000000001</v>
      </c>
      <c r="C463" s="106">
        <v>197.64000000000001</v>
      </c>
      <c r="D463" s="106">
        <v>195.57</v>
      </c>
      <c r="E463" s="106">
        <v>215.64000000000001</v>
      </c>
      <c r="F463" s="106">
        <v>988.2</v>
      </c>
      <c r="G463">
        <v>13678</v>
      </c>
      <c r="H463" s="106"/>
      <c r="I463" s="106"/>
      <c r="L463" s="143">
        <v>42684</v>
      </c>
      <c r="M463" s="106">
        <v>197.5</v>
      </c>
      <c r="N463" s="106">
        <v>215.2</v>
      </c>
      <c r="O463" s="106">
        <v>195.27</v>
      </c>
      <c r="P463" s="106">
        <v>214.28000000000003</v>
      </c>
      <c r="Q463" s="106">
        <v>987.5</v>
      </c>
      <c r="R463">
        <v>401631</v>
      </c>
    </row>
    <row r="464" spans="1:18" x14ac:dyDescent="0.25">
      <c r="A464" s="143">
        <v>42685</v>
      </c>
      <c r="B464" s="106">
        <v>199</v>
      </c>
      <c r="C464" s="106">
        <v>186.75</v>
      </c>
      <c r="D464" s="106">
        <v>173.66</v>
      </c>
      <c r="E464" s="106">
        <v>198</v>
      </c>
      <c r="F464" s="106">
        <v>933.75</v>
      </c>
      <c r="G464">
        <v>38113</v>
      </c>
      <c r="H464" s="106"/>
      <c r="I464" s="106"/>
      <c r="L464" s="143">
        <v>42685</v>
      </c>
      <c r="M464" s="106">
        <v>187.14000000000001</v>
      </c>
      <c r="N464" s="106">
        <v>199.6</v>
      </c>
      <c r="O464" s="106">
        <v>174</v>
      </c>
      <c r="P464" s="106">
        <v>197.5</v>
      </c>
      <c r="Q464" s="106">
        <v>935.7</v>
      </c>
      <c r="R464">
        <v>534637</v>
      </c>
    </row>
    <row r="465" spans="1:18" x14ac:dyDescent="0.25">
      <c r="A465" s="143">
        <v>42689</v>
      </c>
      <c r="B465" s="106">
        <v>188</v>
      </c>
      <c r="C465" s="106">
        <v>179.98</v>
      </c>
      <c r="D465" s="106">
        <v>163</v>
      </c>
      <c r="E465" s="106">
        <v>186.74</v>
      </c>
      <c r="F465" s="106">
        <v>899.9</v>
      </c>
      <c r="G465">
        <v>22713</v>
      </c>
      <c r="H465" s="106"/>
      <c r="I465" s="106"/>
      <c r="L465" s="143">
        <v>42689</v>
      </c>
      <c r="M465" s="106">
        <v>181.47</v>
      </c>
      <c r="N465" s="106">
        <v>188</v>
      </c>
      <c r="O465" s="106">
        <v>163.19999999999999</v>
      </c>
      <c r="P465" s="106">
        <v>187.6</v>
      </c>
      <c r="Q465" s="106">
        <v>907.35</v>
      </c>
      <c r="R465">
        <v>321040</v>
      </c>
    </row>
    <row r="466" spans="1:18" x14ac:dyDescent="0.25">
      <c r="A466" s="143">
        <v>42690</v>
      </c>
      <c r="B466" s="106">
        <v>199.8</v>
      </c>
      <c r="C466" s="106">
        <v>195.44</v>
      </c>
      <c r="D466" s="106">
        <v>180.94</v>
      </c>
      <c r="E466" s="106">
        <v>183.35999999999999</v>
      </c>
      <c r="F466" s="106">
        <v>977.2</v>
      </c>
      <c r="G466">
        <v>74180</v>
      </c>
      <c r="H466" s="106"/>
      <c r="I466" s="106"/>
      <c r="L466" s="143">
        <v>42690</v>
      </c>
      <c r="M466" s="106">
        <v>195.31</v>
      </c>
      <c r="N466" s="106">
        <v>200</v>
      </c>
      <c r="O466" s="106">
        <v>180.82</v>
      </c>
      <c r="P466" s="106">
        <v>184</v>
      </c>
      <c r="Q466" s="106">
        <v>976.55</v>
      </c>
      <c r="R466">
        <v>414163</v>
      </c>
    </row>
    <row r="467" spans="1:18" x14ac:dyDescent="0.25">
      <c r="A467" s="143">
        <v>42691</v>
      </c>
      <c r="B467" s="106">
        <v>212</v>
      </c>
      <c r="C467" s="106">
        <v>199.82999999999998</v>
      </c>
      <c r="D467" s="106">
        <v>181.73</v>
      </c>
      <c r="E467" s="106">
        <v>194.04000000000002</v>
      </c>
      <c r="F467" s="106">
        <v>999.15</v>
      </c>
      <c r="G467">
        <v>18099</v>
      </c>
      <c r="H467" s="106"/>
      <c r="I467" s="106"/>
      <c r="L467" s="143">
        <v>42691</v>
      </c>
      <c r="M467" s="106">
        <v>202.91</v>
      </c>
      <c r="N467" s="106">
        <v>216</v>
      </c>
      <c r="O467" s="106">
        <v>181.13</v>
      </c>
      <c r="P467" s="106">
        <v>194</v>
      </c>
      <c r="Q467" s="106">
        <v>1014.55</v>
      </c>
      <c r="R467">
        <v>333644</v>
      </c>
    </row>
    <row r="468" spans="1:18" x14ac:dyDescent="0.25">
      <c r="A468" s="143">
        <v>42692</v>
      </c>
      <c r="B468" s="106">
        <v>206.96999999999997</v>
      </c>
      <c r="C468" s="106">
        <v>195.95</v>
      </c>
      <c r="D468" s="106">
        <v>191.4</v>
      </c>
      <c r="E468" s="106">
        <v>205.8</v>
      </c>
      <c r="F468" s="106">
        <v>979.75</v>
      </c>
      <c r="G468">
        <v>33254</v>
      </c>
      <c r="H468" s="106"/>
      <c r="I468" s="106"/>
      <c r="L468" s="143">
        <v>42692</v>
      </c>
      <c r="M468" s="106">
        <v>196.88</v>
      </c>
      <c r="N468" s="106">
        <v>208.8</v>
      </c>
      <c r="O468" s="106">
        <v>191</v>
      </c>
      <c r="P468" s="106">
        <v>207.2</v>
      </c>
      <c r="Q468" s="106">
        <v>984.4</v>
      </c>
      <c r="R468">
        <v>287222</v>
      </c>
    </row>
    <row r="469" spans="1:18" x14ac:dyDescent="0.25">
      <c r="A469" s="143">
        <v>42695</v>
      </c>
      <c r="B469" s="106">
        <v>202.48</v>
      </c>
      <c r="C469" s="106">
        <v>196.07</v>
      </c>
      <c r="D469" s="106">
        <v>189.88</v>
      </c>
      <c r="E469" s="106">
        <v>195</v>
      </c>
      <c r="F469" s="106">
        <v>980.35</v>
      </c>
      <c r="G469">
        <v>36534</v>
      </c>
      <c r="H469" s="106"/>
      <c r="I469" s="106"/>
      <c r="L469" s="143">
        <v>42695</v>
      </c>
      <c r="M469" s="106">
        <v>196.81</v>
      </c>
      <c r="N469" s="106">
        <v>202.2</v>
      </c>
      <c r="O469" s="106">
        <v>190</v>
      </c>
      <c r="P469" s="106">
        <v>197</v>
      </c>
      <c r="Q469" s="106">
        <v>984.05</v>
      </c>
      <c r="R469">
        <v>422122</v>
      </c>
    </row>
    <row r="470" spans="1:18" x14ac:dyDescent="0.25">
      <c r="A470" s="143">
        <v>42696</v>
      </c>
      <c r="B470" s="106">
        <v>204.8</v>
      </c>
      <c r="C470" s="106">
        <v>199.70999999999998</v>
      </c>
      <c r="D470" s="106">
        <v>196</v>
      </c>
      <c r="E470" s="106">
        <v>197.12</v>
      </c>
      <c r="F470" s="106">
        <v>998.55</v>
      </c>
      <c r="G470">
        <v>14633</v>
      </c>
      <c r="H470" s="106"/>
      <c r="I470" s="106"/>
      <c r="L470" s="143">
        <v>42696</v>
      </c>
      <c r="M470" s="106">
        <v>199.44</v>
      </c>
      <c r="N470" s="106">
        <v>205</v>
      </c>
      <c r="O470" s="106">
        <v>196.78</v>
      </c>
      <c r="P470" s="106">
        <v>196.8</v>
      </c>
      <c r="Q470" s="106">
        <v>997.2</v>
      </c>
      <c r="R470">
        <v>479125</v>
      </c>
    </row>
    <row r="471" spans="1:18" x14ac:dyDescent="0.25">
      <c r="A471" s="143">
        <v>42697</v>
      </c>
      <c r="B471" s="106">
        <v>199.67000000000002</v>
      </c>
      <c r="C471" s="106">
        <v>197.98</v>
      </c>
      <c r="D471" s="106">
        <v>195.6</v>
      </c>
      <c r="E471" s="106">
        <v>199.67000000000002</v>
      </c>
      <c r="F471" s="106">
        <v>989.9</v>
      </c>
      <c r="G471">
        <v>4250</v>
      </c>
      <c r="H471" s="106"/>
      <c r="I471" s="106"/>
      <c r="L471" s="143">
        <v>42697</v>
      </c>
      <c r="M471" s="106">
        <v>198.06</v>
      </c>
      <c r="N471" s="106">
        <v>201.56</v>
      </c>
      <c r="O471" s="106">
        <v>195.44</v>
      </c>
      <c r="P471" s="106">
        <v>199.8</v>
      </c>
      <c r="Q471" s="106">
        <v>990.3</v>
      </c>
      <c r="R471">
        <v>1033352</v>
      </c>
    </row>
    <row r="472" spans="1:18" x14ac:dyDescent="0.25">
      <c r="A472" s="143">
        <v>42698</v>
      </c>
      <c r="B472" s="106">
        <v>197.98</v>
      </c>
      <c r="C472" s="106">
        <v>192.26</v>
      </c>
      <c r="D472" s="106">
        <v>191</v>
      </c>
      <c r="E472" s="106">
        <v>197.98</v>
      </c>
      <c r="F472" s="106">
        <v>961.3</v>
      </c>
      <c r="G472">
        <v>5459</v>
      </c>
      <c r="H472" s="106"/>
      <c r="I472" s="106"/>
      <c r="L472" s="143">
        <v>42698</v>
      </c>
      <c r="M472" s="106">
        <v>193.2</v>
      </c>
      <c r="N472" s="106">
        <v>198</v>
      </c>
      <c r="O472" s="106">
        <v>190.51</v>
      </c>
      <c r="P472" s="106">
        <v>198</v>
      </c>
      <c r="Q472" s="106">
        <v>966</v>
      </c>
      <c r="R472">
        <v>109829</v>
      </c>
    </row>
    <row r="473" spans="1:18" x14ac:dyDescent="0.25">
      <c r="A473" s="143">
        <v>42699</v>
      </c>
      <c r="B473" s="106">
        <v>200.9</v>
      </c>
      <c r="C473" s="106">
        <v>196.82999999999998</v>
      </c>
      <c r="D473" s="106">
        <v>191.6</v>
      </c>
      <c r="E473" s="106">
        <v>193.06</v>
      </c>
      <c r="F473" s="106">
        <v>984.15</v>
      </c>
      <c r="G473">
        <v>8468</v>
      </c>
      <c r="H473" s="106"/>
      <c r="I473" s="106"/>
      <c r="L473" s="143">
        <v>42699</v>
      </c>
      <c r="M473" s="106">
        <v>199.04000000000002</v>
      </c>
      <c r="N473" s="106">
        <v>200.66</v>
      </c>
      <c r="O473" s="106">
        <v>191.24</v>
      </c>
      <c r="P473" s="106">
        <v>193.24</v>
      </c>
      <c r="Q473" s="106">
        <v>995.2</v>
      </c>
      <c r="R473">
        <v>222491</v>
      </c>
    </row>
    <row r="474" spans="1:18" x14ac:dyDescent="0.25">
      <c r="A474" s="143">
        <v>42702</v>
      </c>
      <c r="B474" s="106">
        <v>196.26</v>
      </c>
      <c r="C474" s="106">
        <v>192.12</v>
      </c>
      <c r="D474" s="106">
        <v>190.4</v>
      </c>
      <c r="E474" s="106">
        <v>195</v>
      </c>
      <c r="F474" s="106">
        <v>960.6</v>
      </c>
      <c r="G474">
        <v>8192</v>
      </c>
      <c r="H474" s="106"/>
      <c r="I474" s="106"/>
      <c r="L474" s="143">
        <v>42702</v>
      </c>
      <c r="M474" s="106">
        <v>192.15</v>
      </c>
      <c r="N474" s="106">
        <v>197.19</v>
      </c>
      <c r="O474" s="106">
        <v>191</v>
      </c>
      <c r="P474" s="106">
        <v>195.99</v>
      </c>
      <c r="Q474" s="106">
        <v>960.75</v>
      </c>
      <c r="R474">
        <v>77082</v>
      </c>
    </row>
    <row r="475" spans="1:18" x14ac:dyDescent="0.25">
      <c r="A475" s="143">
        <v>42703</v>
      </c>
      <c r="B475" s="106">
        <v>199.2</v>
      </c>
      <c r="C475" s="106">
        <v>196.01</v>
      </c>
      <c r="D475" s="106">
        <v>193.32999999999998</v>
      </c>
      <c r="E475" s="106">
        <v>193.97</v>
      </c>
      <c r="F475" s="106">
        <v>980.05</v>
      </c>
      <c r="G475">
        <v>970194</v>
      </c>
      <c r="H475" s="106"/>
      <c r="I475" s="106"/>
      <c r="L475" s="143">
        <v>42703</v>
      </c>
      <c r="M475" s="106">
        <v>195.7</v>
      </c>
      <c r="N475" s="106">
        <v>198.6</v>
      </c>
      <c r="O475" s="106">
        <v>192.20999999999998</v>
      </c>
      <c r="P475" s="106">
        <v>192.20999999999998</v>
      </c>
      <c r="Q475" s="106">
        <v>978.5</v>
      </c>
      <c r="R475">
        <v>1058211</v>
      </c>
    </row>
    <row r="476" spans="1:18" x14ac:dyDescent="0.25">
      <c r="A476" s="143">
        <v>42704</v>
      </c>
      <c r="B476" s="106">
        <v>202</v>
      </c>
      <c r="C476" s="106">
        <v>194.01</v>
      </c>
      <c r="D476" s="106">
        <v>192</v>
      </c>
      <c r="E476" s="106">
        <v>196.01</v>
      </c>
      <c r="F476" s="106">
        <v>970.05</v>
      </c>
      <c r="G476">
        <v>14337</v>
      </c>
      <c r="H476" s="106"/>
      <c r="I476" s="106"/>
      <c r="L476" s="143">
        <v>42704</v>
      </c>
      <c r="M476" s="106">
        <v>194.09</v>
      </c>
      <c r="N476" s="106">
        <v>201.99</v>
      </c>
      <c r="O476" s="106">
        <v>193.25</v>
      </c>
      <c r="P476" s="106">
        <v>196</v>
      </c>
      <c r="Q476" s="106">
        <v>970.45</v>
      </c>
      <c r="R476">
        <v>121390</v>
      </c>
    </row>
    <row r="477" spans="1:18" x14ac:dyDescent="0.25">
      <c r="A477" s="143">
        <v>42705</v>
      </c>
      <c r="B477" s="106">
        <v>197.6</v>
      </c>
      <c r="C477" s="106">
        <v>191.95</v>
      </c>
      <c r="D477" s="106">
        <v>189.65</v>
      </c>
      <c r="E477" s="106">
        <v>195.43</v>
      </c>
      <c r="F477" s="106">
        <v>959.75</v>
      </c>
      <c r="G477">
        <v>5084</v>
      </c>
      <c r="H477" s="106"/>
      <c r="I477" s="106"/>
      <c r="L477" s="143">
        <v>42705</v>
      </c>
      <c r="M477" s="106">
        <v>192.39000000000001</v>
      </c>
      <c r="N477" s="106">
        <v>197.99</v>
      </c>
      <c r="O477" s="106">
        <v>190</v>
      </c>
      <c r="P477" s="106">
        <v>195.75</v>
      </c>
      <c r="Q477" s="106">
        <v>961.95</v>
      </c>
      <c r="R477">
        <v>60231</v>
      </c>
    </row>
    <row r="478" spans="1:18" x14ac:dyDescent="0.25">
      <c r="A478" s="143">
        <v>42706</v>
      </c>
      <c r="B478" s="106">
        <v>194</v>
      </c>
      <c r="C478" s="106">
        <v>189.23</v>
      </c>
      <c r="D478" s="106">
        <v>186.2</v>
      </c>
      <c r="E478" s="106">
        <v>191.26</v>
      </c>
      <c r="F478" s="106">
        <v>946.15</v>
      </c>
      <c r="G478">
        <v>5043</v>
      </c>
      <c r="H478" s="106"/>
      <c r="I478" s="106"/>
      <c r="L478" s="143">
        <v>42706</v>
      </c>
      <c r="M478" s="106">
        <v>188.43</v>
      </c>
      <c r="N478" s="106">
        <v>194</v>
      </c>
      <c r="O478" s="106">
        <v>186.6</v>
      </c>
      <c r="P478" s="106">
        <v>192.3</v>
      </c>
      <c r="Q478" s="106">
        <v>942.15</v>
      </c>
      <c r="R478">
        <v>38831</v>
      </c>
    </row>
    <row r="479" spans="1:18" x14ac:dyDescent="0.25">
      <c r="A479" s="143">
        <v>42709</v>
      </c>
      <c r="B479" s="106">
        <v>190.84</v>
      </c>
      <c r="C479" s="106">
        <v>184.65</v>
      </c>
      <c r="D479" s="106">
        <v>182.4</v>
      </c>
      <c r="E479" s="106">
        <v>190.07999999999998</v>
      </c>
      <c r="F479" s="106">
        <v>923.25</v>
      </c>
      <c r="G479">
        <v>7525</v>
      </c>
      <c r="H479" s="106"/>
      <c r="I479" s="106"/>
      <c r="L479" s="143">
        <v>42709</v>
      </c>
      <c r="M479" s="106">
        <v>183.62</v>
      </c>
      <c r="N479" s="106">
        <v>191.98</v>
      </c>
      <c r="O479" s="106">
        <v>182.10999999999999</v>
      </c>
      <c r="P479" s="106">
        <v>190</v>
      </c>
      <c r="Q479" s="106">
        <v>918.1</v>
      </c>
      <c r="R479">
        <v>79684</v>
      </c>
    </row>
    <row r="480" spans="1:18" x14ac:dyDescent="0.25">
      <c r="A480" s="143">
        <v>42710</v>
      </c>
      <c r="B480" s="106">
        <v>187.2</v>
      </c>
      <c r="C480" s="106">
        <v>182.95999999999998</v>
      </c>
      <c r="D480" s="106">
        <v>182.07</v>
      </c>
      <c r="E480" s="106">
        <v>186.02</v>
      </c>
      <c r="F480" s="106">
        <v>914.8</v>
      </c>
      <c r="G480">
        <v>8391</v>
      </c>
      <c r="H480" s="106"/>
      <c r="I480" s="106"/>
      <c r="L480" s="143">
        <v>42710</v>
      </c>
      <c r="M480" s="106">
        <v>182.07</v>
      </c>
      <c r="N480" s="106">
        <v>186.98</v>
      </c>
      <c r="O480" s="106">
        <v>181.6</v>
      </c>
      <c r="P480" s="106">
        <v>183.8</v>
      </c>
      <c r="Q480" s="106">
        <v>910.35</v>
      </c>
      <c r="R480">
        <v>54069</v>
      </c>
    </row>
    <row r="481" spans="1:18" x14ac:dyDescent="0.25">
      <c r="A481" s="143">
        <v>42711</v>
      </c>
      <c r="B481" s="106">
        <v>183.41</v>
      </c>
      <c r="C481" s="106">
        <v>175.07999999999998</v>
      </c>
      <c r="D481" s="106">
        <v>173.35</v>
      </c>
      <c r="E481" s="106">
        <v>183.41</v>
      </c>
      <c r="F481" s="106">
        <v>875.4</v>
      </c>
      <c r="G481">
        <v>27107</v>
      </c>
      <c r="H481" s="106"/>
      <c r="I481" s="106"/>
      <c r="L481" s="143">
        <v>42711</v>
      </c>
      <c r="M481" s="106">
        <v>174.98</v>
      </c>
      <c r="N481" s="106">
        <v>184.6</v>
      </c>
      <c r="O481" s="106">
        <v>173.03</v>
      </c>
      <c r="P481" s="106">
        <v>184.6</v>
      </c>
      <c r="Q481" s="106">
        <v>874.9</v>
      </c>
      <c r="R481">
        <v>97301</v>
      </c>
    </row>
    <row r="482" spans="1:18" x14ac:dyDescent="0.25">
      <c r="A482" s="143">
        <v>42712</v>
      </c>
      <c r="B482" s="106">
        <v>179.89000000000001</v>
      </c>
      <c r="C482" s="106">
        <v>178.02</v>
      </c>
      <c r="D482" s="106">
        <v>176</v>
      </c>
      <c r="E482" s="106">
        <v>179.59</v>
      </c>
      <c r="F482" s="106">
        <v>890.1</v>
      </c>
      <c r="G482">
        <v>8625</v>
      </c>
      <c r="H482" s="106"/>
      <c r="I482" s="106"/>
      <c r="L482" s="143">
        <v>42712</v>
      </c>
      <c r="M482" s="106">
        <v>177.92000000000002</v>
      </c>
      <c r="N482" s="106">
        <v>180</v>
      </c>
      <c r="O482" s="106">
        <v>175.60999999999999</v>
      </c>
      <c r="P482" s="106">
        <v>177.05</v>
      </c>
      <c r="Q482" s="106">
        <v>889.6</v>
      </c>
      <c r="R482">
        <v>74175</v>
      </c>
    </row>
    <row r="483" spans="1:18" x14ac:dyDescent="0.25">
      <c r="A483" s="143">
        <v>42713</v>
      </c>
      <c r="B483" s="106">
        <v>179.4</v>
      </c>
      <c r="C483" s="106">
        <v>177.48</v>
      </c>
      <c r="D483" s="106">
        <v>176.2</v>
      </c>
      <c r="E483" s="106">
        <v>177.3</v>
      </c>
      <c r="F483" s="106">
        <v>887.4</v>
      </c>
      <c r="G483">
        <v>4423</v>
      </c>
      <c r="H483" s="106"/>
      <c r="I483" s="106"/>
      <c r="L483" s="143">
        <v>42713</v>
      </c>
      <c r="M483" s="106">
        <v>177.29000000000002</v>
      </c>
      <c r="N483" s="106">
        <v>179.95</v>
      </c>
      <c r="O483" s="106">
        <v>176.42000000000002</v>
      </c>
      <c r="P483" s="106">
        <v>177.2</v>
      </c>
      <c r="Q483" s="106">
        <v>886.45</v>
      </c>
      <c r="R483">
        <v>46838</v>
      </c>
    </row>
    <row r="484" spans="1:18" x14ac:dyDescent="0.25">
      <c r="A484" s="143">
        <v>42716</v>
      </c>
      <c r="B484" s="106">
        <v>179.99</v>
      </c>
      <c r="C484" s="106">
        <v>173.45999999999998</v>
      </c>
      <c r="D484" s="106">
        <v>172.98</v>
      </c>
      <c r="E484" s="106">
        <v>177.99</v>
      </c>
      <c r="F484" s="106">
        <v>867.3</v>
      </c>
      <c r="G484">
        <v>8155</v>
      </c>
      <c r="H484" s="106"/>
      <c r="I484" s="106"/>
      <c r="L484" s="143">
        <v>42716</v>
      </c>
      <c r="M484" s="106">
        <v>173.98</v>
      </c>
      <c r="N484" s="106">
        <v>179.98</v>
      </c>
      <c r="O484" s="106">
        <v>173.01</v>
      </c>
      <c r="P484" s="106">
        <v>178.99</v>
      </c>
      <c r="Q484" s="106">
        <v>869.9</v>
      </c>
      <c r="R484">
        <v>667421</v>
      </c>
    </row>
    <row r="485" spans="1:18" x14ac:dyDescent="0.25">
      <c r="A485" s="143">
        <v>42717</v>
      </c>
      <c r="B485" s="106">
        <v>175.53</v>
      </c>
      <c r="C485" s="106">
        <v>167.93</v>
      </c>
      <c r="D485" s="106">
        <v>166</v>
      </c>
      <c r="E485" s="106">
        <v>175.53</v>
      </c>
      <c r="F485" s="106">
        <v>839.65</v>
      </c>
      <c r="G485">
        <v>15707</v>
      </c>
      <c r="H485" s="106"/>
      <c r="I485" s="106"/>
      <c r="L485" s="143">
        <v>42717</v>
      </c>
      <c r="M485" s="106">
        <v>167.67000000000002</v>
      </c>
      <c r="N485" s="106">
        <v>174.60999999999999</v>
      </c>
      <c r="O485" s="106">
        <v>165.8</v>
      </c>
      <c r="P485" s="106">
        <v>173.98</v>
      </c>
      <c r="Q485" s="106">
        <v>838.35</v>
      </c>
      <c r="R485">
        <v>83737</v>
      </c>
    </row>
    <row r="486" spans="1:18" x14ac:dyDescent="0.25">
      <c r="A486" s="143">
        <v>42718</v>
      </c>
      <c r="B486" s="106">
        <v>169.16</v>
      </c>
      <c r="C486" s="106">
        <v>163.30000000000001</v>
      </c>
      <c r="D486" s="106">
        <v>162.06</v>
      </c>
      <c r="E486" s="106">
        <v>167.8</v>
      </c>
      <c r="F486" s="106">
        <v>816.5</v>
      </c>
      <c r="G486">
        <v>22440</v>
      </c>
      <c r="H486" s="106"/>
      <c r="I486" s="106"/>
      <c r="L486" s="143">
        <v>42718</v>
      </c>
      <c r="M486" s="106">
        <v>162.15</v>
      </c>
      <c r="N486" s="106">
        <v>169.39000000000001</v>
      </c>
      <c r="O486" s="106">
        <v>160.81</v>
      </c>
      <c r="P486" s="106">
        <v>168</v>
      </c>
      <c r="Q486" s="106">
        <v>810.75</v>
      </c>
      <c r="R486">
        <v>280734</v>
      </c>
    </row>
    <row r="487" spans="1:18" x14ac:dyDescent="0.25">
      <c r="A487" s="143">
        <v>42719</v>
      </c>
      <c r="B487" s="106">
        <v>174.99</v>
      </c>
      <c r="C487" s="106">
        <v>168.6</v>
      </c>
      <c r="D487" s="106">
        <v>161.02000000000001</v>
      </c>
      <c r="E487" s="106">
        <v>162</v>
      </c>
      <c r="F487" s="106">
        <v>843</v>
      </c>
      <c r="G487">
        <v>41817</v>
      </c>
      <c r="H487" s="106"/>
      <c r="I487" s="106"/>
      <c r="L487" s="143">
        <v>42719</v>
      </c>
      <c r="M487" s="106">
        <v>168.89000000000001</v>
      </c>
      <c r="N487" s="106">
        <v>175.4</v>
      </c>
      <c r="O487" s="106">
        <v>161.19999999999999</v>
      </c>
      <c r="P487" s="106">
        <v>161.57999999999998</v>
      </c>
      <c r="Q487" s="106">
        <v>844.45</v>
      </c>
      <c r="R487">
        <v>455964</v>
      </c>
    </row>
    <row r="488" spans="1:18" x14ac:dyDescent="0.25">
      <c r="A488" s="143">
        <v>42720</v>
      </c>
      <c r="B488" s="106">
        <v>170</v>
      </c>
      <c r="C488" s="106">
        <v>165.39000000000001</v>
      </c>
      <c r="D488" s="106">
        <v>164.65</v>
      </c>
      <c r="E488" s="106">
        <v>170</v>
      </c>
      <c r="F488" s="106">
        <v>826.95</v>
      </c>
      <c r="G488">
        <v>4688</v>
      </c>
      <c r="H488" s="106"/>
      <c r="I488" s="106"/>
      <c r="L488" s="143">
        <v>42720</v>
      </c>
      <c r="M488" s="106">
        <v>165.4</v>
      </c>
      <c r="N488" s="106">
        <v>170.4</v>
      </c>
      <c r="O488" s="106">
        <v>164.6</v>
      </c>
      <c r="P488" s="106">
        <v>170.4</v>
      </c>
      <c r="Q488" s="106">
        <v>827</v>
      </c>
      <c r="R488">
        <v>80603</v>
      </c>
    </row>
    <row r="489" spans="1:18" x14ac:dyDescent="0.25">
      <c r="A489" s="143">
        <v>42723</v>
      </c>
      <c r="B489" s="106">
        <v>174.23</v>
      </c>
      <c r="C489" s="106">
        <v>170.53</v>
      </c>
      <c r="D489" s="106">
        <v>165.81</v>
      </c>
      <c r="E489" s="106">
        <v>165.88</v>
      </c>
      <c r="F489" s="106">
        <v>852.65</v>
      </c>
      <c r="G489">
        <v>14351</v>
      </c>
      <c r="H489" s="106"/>
      <c r="I489" s="106"/>
      <c r="L489" s="143">
        <v>42723</v>
      </c>
      <c r="M489" s="106">
        <v>171.38</v>
      </c>
      <c r="N489" s="106">
        <v>174</v>
      </c>
      <c r="O489" s="106">
        <v>165.39000000000001</v>
      </c>
      <c r="P489" s="106">
        <v>166.5</v>
      </c>
      <c r="Q489" s="106">
        <v>856.9</v>
      </c>
      <c r="R489">
        <v>148605</v>
      </c>
    </row>
    <row r="490" spans="1:18" x14ac:dyDescent="0.25">
      <c r="A490" s="143">
        <v>42724</v>
      </c>
      <c r="B490" s="106">
        <v>181</v>
      </c>
      <c r="C490" s="106">
        <v>174.43</v>
      </c>
      <c r="D490" s="106">
        <v>171.92000000000002</v>
      </c>
      <c r="E490" s="106">
        <v>172.31</v>
      </c>
      <c r="F490" s="106">
        <v>872.15</v>
      </c>
      <c r="G490">
        <v>60584</v>
      </c>
      <c r="H490" s="106"/>
      <c r="I490" s="106"/>
      <c r="L490" s="143">
        <v>42724</v>
      </c>
      <c r="M490" s="106">
        <v>174.09</v>
      </c>
      <c r="N490" s="106">
        <v>178.77</v>
      </c>
      <c r="O490" s="106">
        <v>171.2</v>
      </c>
      <c r="P490" s="106">
        <v>172.98</v>
      </c>
      <c r="Q490" s="106">
        <v>870.45</v>
      </c>
      <c r="R490">
        <v>630507</v>
      </c>
    </row>
    <row r="491" spans="1:18" x14ac:dyDescent="0.25">
      <c r="A491" s="143">
        <v>42725</v>
      </c>
      <c r="B491" s="106">
        <v>181.66</v>
      </c>
      <c r="C491" s="106">
        <v>180.41</v>
      </c>
      <c r="D491" s="106">
        <v>175</v>
      </c>
      <c r="E491" s="106">
        <v>175</v>
      </c>
      <c r="F491" s="106">
        <v>902.05</v>
      </c>
      <c r="G491">
        <v>48830</v>
      </c>
      <c r="H491" s="106"/>
      <c r="I491" s="106"/>
      <c r="L491" s="143">
        <v>42725</v>
      </c>
      <c r="M491" s="106">
        <v>180.66</v>
      </c>
      <c r="N491" s="106">
        <v>181.6</v>
      </c>
      <c r="O491" s="106">
        <v>174.31</v>
      </c>
      <c r="P491" s="106">
        <v>174.31</v>
      </c>
      <c r="Q491" s="106">
        <v>903.3</v>
      </c>
      <c r="R491">
        <v>282146</v>
      </c>
    </row>
    <row r="492" spans="1:18" x14ac:dyDescent="0.25">
      <c r="A492" s="143">
        <v>42726</v>
      </c>
      <c r="B492" s="106">
        <v>182.93</v>
      </c>
      <c r="C492" s="106">
        <v>179.72</v>
      </c>
      <c r="D492" s="106">
        <v>176.32999999999998</v>
      </c>
      <c r="E492" s="106">
        <v>179.77</v>
      </c>
      <c r="F492" s="106">
        <v>898.6</v>
      </c>
      <c r="G492">
        <v>16391</v>
      </c>
      <c r="H492" s="106"/>
      <c r="I492" s="106"/>
      <c r="L492" s="143">
        <v>42726</v>
      </c>
      <c r="M492" s="106">
        <v>180.44</v>
      </c>
      <c r="N492" s="106">
        <v>184</v>
      </c>
      <c r="O492" s="106">
        <v>176.6</v>
      </c>
      <c r="P492" s="106">
        <v>180</v>
      </c>
      <c r="Q492" s="106">
        <v>902.2</v>
      </c>
      <c r="R492">
        <v>290880</v>
      </c>
    </row>
    <row r="493" spans="1:18" x14ac:dyDescent="0.25">
      <c r="A493" s="143">
        <v>42727</v>
      </c>
      <c r="B493" s="106">
        <v>191.32</v>
      </c>
      <c r="C493" s="106">
        <v>186.65</v>
      </c>
      <c r="D493" s="106">
        <v>177.4</v>
      </c>
      <c r="E493" s="106">
        <v>179.62</v>
      </c>
      <c r="F493" s="106">
        <v>933.25</v>
      </c>
      <c r="G493">
        <v>22541</v>
      </c>
      <c r="H493" s="106"/>
      <c r="I493" s="106"/>
      <c r="L493" s="143">
        <v>42727</v>
      </c>
      <c r="M493" s="106">
        <v>186.95999999999998</v>
      </c>
      <c r="N493" s="106">
        <v>191.18</v>
      </c>
      <c r="O493" s="106">
        <v>177.2</v>
      </c>
      <c r="P493" s="106">
        <v>179.99</v>
      </c>
      <c r="Q493" s="106">
        <v>934.8</v>
      </c>
      <c r="R493">
        <v>246872</v>
      </c>
    </row>
    <row r="494" spans="1:18" x14ac:dyDescent="0.25">
      <c r="A494" s="143">
        <v>42730</v>
      </c>
      <c r="B494" s="106">
        <v>188</v>
      </c>
      <c r="C494" s="106">
        <v>182.73</v>
      </c>
      <c r="D494" s="106">
        <v>177.4</v>
      </c>
      <c r="E494" s="106">
        <v>185</v>
      </c>
      <c r="F494" s="106">
        <v>913.65</v>
      </c>
      <c r="G494">
        <v>14536</v>
      </c>
      <c r="H494" s="106"/>
      <c r="I494" s="106"/>
      <c r="L494" s="143">
        <v>42730</v>
      </c>
      <c r="M494" s="106">
        <v>186.12</v>
      </c>
      <c r="N494" s="106">
        <v>195.6</v>
      </c>
      <c r="O494" s="106">
        <v>177.20999999999998</v>
      </c>
      <c r="P494" s="106">
        <v>186.6</v>
      </c>
      <c r="Q494" s="106">
        <v>930.6</v>
      </c>
      <c r="R494">
        <v>168230</v>
      </c>
    </row>
    <row r="495" spans="1:18" x14ac:dyDescent="0.25">
      <c r="A495" s="143">
        <v>42731</v>
      </c>
      <c r="B495" s="106">
        <v>191.6</v>
      </c>
      <c r="C495" s="106">
        <v>188.3</v>
      </c>
      <c r="D495" s="106">
        <v>182.8</v>
      </c>
      <c r="E495" s="106">
        <v>185.22</v>
      </c>
      <c r="F495" s="106">
        <v>941.5</v>
      </c>
      <c r="G495">
        <v>18162</v>
      </c>
      <c r="H495" s="106"/>
      <c r="I495" s="106"/>
      <c r="L495" s="143">
        <v>42731</v>
      </c>
      <c r="M495" s="106">
        <v>189.44</v>
      </c>
      <c r="N495" s="106">
        <v>192</v>
      </c>
      <c r="O495" s="106">
        <v>182.53</v>
      </c>
      <c r="P495" s="106">
        <v>186.18</v>
      </c>
      <c r="Q495" s="106">
        <v>947.2</v>
      </c>
      <c r="R495">
        <v>111404</v>
      </c>
    </row>
    <row r="496" spans="1:18" x14ac:dyDescent="0.25">
      <c r="A496" s="143">
        <v>42732</v>
      </c>
      <c r="B496" s="106">
        <v>194.4</v>
      </c>
      <c r="C496" s="106">
        <v>187.47</v>
      </c>
      <c r="D496" s="106">
        <v>186.2</v>
      </c>
      <c r="E496" s="106">
        <v>188.4</v>
      </c>
      <c r="F496" s="106">
        <v>937.35</v>
      </c>
      <c r="G496">
        <v>13914</v>
      </c>
      <c r="H496" s="106"/>
      <c r="I496" s="106"/>
      <c r="L496" s="143">
        <v>42732</v>
      </c>
      <c r="M496" s="106">
        <v>187.87</v>
      </c>
      <c r="N496" s="106">
        <v>194.35999999999999</v>
      </c>
      <c r="O496" s="106">
        <v>186.24</v>
      </c>
      <c r="P496" s="106">
        <v>188</v>
      </c>
      <c r="Q496" s="106">
        <v>939.35</v>
      </c>
      <c r="R496">
        <v>102470</v>
      </c>
    </row>
    <row r="497" spans="1:18" x14ac:dyDescent="0.25">
      <c r="A497" s="143">
        <v>42733</v>
      </c>
      <c r="B497" s="106">
        <v>197.38</v>
      </c>
      <c r="C497" s="106">
        <v>196.43</v>
      </c>
      <c r="D497" s="106">
        <v>188</v>
      </c>
      <c r="E497" s="106">
        <v>188</v>
      </c>
      <c r="F497" s="106">
        <v>982.15</v>
      </c>
      <c r="G497">
        <v>13468</v>
      </c>
      <c r="H497" s="106"/>
      <c r="I497" s="106"/>
      <c r="L497" s="143">
        <v>42733</v>
      </c>
      <c r="M497" s="106">
        <v>197.64000000000001</v>
      </c>
      <c r="N497" s="106">
        <v>198.94</v>
      </c>
      <c r="O497" s="106">
        <v>187.99</v>
      </c>
      <c r="P497" s="106">
        <v>188.2</v>
      </c>
      <c r="Q497" s="106">
        <v>988.2</v>
      </c>
      <c r="R497">
        <v>157847</v>
      </c>
    </row>
    <row r="498" spans="1:18" x14ac:dyDescent="0.25">
      <c r="A498" s="143">
        <v>42734</v>
      </c>
      <c r="B498" s="106">
        <v>199.2</v>
      </c>
      <c r="C498" s="106">
        <v>189.07</v>
      </c>
      <c r="D498" s="106">
        <v>188.12</v>
      </c>
      <c r="E498" s="106">
        <v>198</v>
      </c>
      <c r="F498" s="106">
        <v>945.35</v>
      </c>
      <c r="G498">
        <v>33300</v>
      </c>
      <c r="H498" s="106"/>
      <c r="I498" s="106"/>
      <c r="L498" s="143">
        <v>42734</v>
      </c>
      <c r="M498" s="106">
        <v>189.32</v>
      </c>
      <c r="N498" s="106">
        <v>199</v>
      </c>
      <c r="O498" s="106">
        <v>188.02</v>
      </c>
      <c r="P498" s="106">
        <v>197</v>
      </c>
      <c r="Q498" s="106">
        <v>946.6</v>
      </c>
      <c r="R498">
        <v>4386921</v>
      </c>
    </row>
    <row r="499" spans="1:18" x14ac:dyDescent="0.25">
      <c r="A499" s="143">
        <v>42737</v>
      </c>
      <c r="B499" s="106">
        <v>194.57</v>
      </c>
      <c r="C499" s="106">
        <v>189.73</v>
      </c>
      <c r="D499" s="106">
        <v>187.67000000000002</v>
      </c>
      <c r="E499" s="106">
        <v>190.2</v>
      </c>
      <c r="F499" s="106">
        <v>948.65</v>
      </c>
      <c r="G499">
        <v>10657</v>
      </c>
      <c r="H499" s="106"/>
      <c r="I499" s="106"/>
      <c r="L499" s="143">
        <v>42737</v>
      </c>
      <c r="M499" s="106">
        <v>189.99</v>
      </c>
      <c r="N499" s="106">
        <v>192</v>
      </c>
      <c r="O499" s="106">
        <v>187.4</v>
      </c>
      <c r="P499" s="106">
        <v>189</v>
      </c>
      <c r="Q499" s="106">
        <v>949.95</v>
      </c>
      <c r="R499">
        <v>70198</v>
      </c>
    </row>
    <row r="500" spans="1:18" x14ac:dyDescent="0.25">
      <c r="A500" s="143">
        <v>42738</v>
      </c>
      <c r="B500" s="106">
        <v>195.73</v>
      </c>
      <c r="C500" s="106">
        <v>192.18</v>
      </c>
      <c r="D500" s="106">
        <v>182.23</v>
      </c>
      <c r="E500" s="106">
        <v>191</v>
      </c>
      <c r="F500" s="106">
        <v>960.9</v>
      </c>
      <c r="G500">
        <v>17137</v>
      </c>
      <c r="H500" s="106"/>
      <c r="I500" s="106"/>
      <c r="L500" s="143">
        <v>42738</v>
      </c>
      <c r="M500" s="106">
        <v>191.81</v>
      </c>
      <c r="N500" s="106">
        <v>193.19</v>
      </c>
      <c r="O500" s="106">
        <v>185</v>
      </c>
      <c r="P500" s="106">
        <v>191.94</v>
      </c>
      <c r="Q500" s="106">
        <v>959.05</v>
      </c>
      <c r="R500">
        <v>111458</v>
      </c>
    </row>
    <row r="501" spans="1:18" x14ac:dyDescent="0.25">
      <c r="A501" s="143">
        <v>42739</v>
      </c>
      <c r="B501" s="106">
        <v>194.8</v>
      </c>
      <c r="C501" s="106">
        <v>192.35999999999999</v>
      </c>
      <c r="D501" s="106">
        <v>186.44</v>
      </c>
      <c r="E501" s="106">
        <v>192.4</v>
      </c>
      <c r="F501" s="106">
        <v>961.8</v>
      </c>
      <c r="G501">
        <v>14315</v>
      </c>
      <c r="H501" s="106"/>
      <c r="I501" s="106"/>
      <c r="L501" s="143">
        <v>42739</v>
      </c>
      <c r="M501" s="106">
        <v>190.66</v>
      </c>
      <c r="N501" s="106">
        <v>193.55</v>
      </c>
      <c r="O501" s="106">
        <v>189.4</v>
      </c>
      <c r="P501" s="106">
        <v>193.55</v>
      </c>
      <c r="Q501" s="106">
        <v>953.3</v>
      </c>
      <c r="R501">
        <v>51612</v>
      </c>
    </row>
    <row r="502" spans="1:18" x14ac:dyDescent="0.25">
      <c r="A502" s="143">
        <v>42740</v>
      </c>
      <c r="B502" s="106">
        <v>191.91</v>
      </c>
      <c r="C502" s="106">
        <v>186</v>
      </c>
      <c r="D502" s="106">
        <v>184.6</v>
      </c>
      <c r="E502" s="106">
        <v>190.60999999999999</v>
      </c>
      <c r="F502" s="106">
        <v>930</v>
      </c>
      <c r="G502">
        <v>12521</v>
      </c>
      <c r="H502" s="106"/>
      <c r="I502" s="106"/>
      <c r="L502" s="143">
        <v>42740</v>
      </c>
      <c r="M502" s="106">
        <v>186.35999999999999</v>
      </c>
      <c r="N502" s="106">
        <v>191.95</v>
      </c>
      <c r="O502" s="106">
        <v>184.52</v>
      </c>
      <c r="P502" s="106">
        <v>191.95</v>
      </c>
      <c r="Q502" s="106">
        <v>931.8</v>
      </c>
      <c r="R502">
        <v>137723</v>
      </c>
    </row>
    <row r="503" spans="1:18" x14ac:dyDescent="0.25">
      <c r="A503" s="143">
        <v>42741</v>
      </c>
      <c r="B503" s="106">
        <v>191.8</v>
      </c>
      <c r="C503" s="106">
        <v>189.85</v>
      </c>
      <c r="D503" s="106">
        <v>184.4</v>
      </c>
      <c r="E503" s="106">
        <v>187</v>
      </c>
      <c r="F503" s="106">
        <v>949.25</v>
      </c>
      <c r="G503">
        <v>15405</v>
      </c>
      <c r="H503" s="106"/>
      <c r="I503" s="106"/>
      <c r="L503" s="143">
        <v>42741</v>
      </c>
      <c r="M503" s="106">
        <v>188.57</v>
      </c>
      <c r="N503" s="106">
        <v>190.07999999999998</v>
      </c>
      <c r="O503" s="106">
        <v>186.3</v>
      </c>
      <c r="P503" s="106">
        <v>186.3</v>
      </c>
      <c r="Q503" s="106">
        <v>942.85</v>
      </c>
      <c r="R503">
        <v>79319</v>
      </c>
    </row>
    <row r="504" spans="1:18" x14ac:dyDescent="0.25">
      <c r="A504" s="143">
        <v>42744</v>
      </c>
      <c r="B504" s="106">
        <v>192.76</v>
      </c>
      <c r="C504" s="106">
        <v>188.76</v>
      </c>
      <c r="D504" s="106">
        <v>187.6</v>
      </c>
      <c r="E504" s="106">
        <v>190.2</v>
      </c>
      <c r="F504" s="106">
        <v>943.8</v>
      </c>
      <c r="G504">
        <v>5362</v>
      </c>
      <c r="H504" s="106"/>
      <c r="I504" s="106"/>
      <c r="L504" s="143">
        <v>42744</v>
      </c>
      <c r="M504" s="106">
        <v>189.78</v>
      </c>
      <c r="N504" s="106">
        <v>192.88</v>
      </c>
      <c r="O504" s="106">
        <v>188.92000000000002</v>
      </c>
      <c r="P504" s="106">
        <v>189</v>
      </c>
      <c r="Q504" s="106">
        <v>948.9</v>
      </c>
      <c r="R504">
        <v>37620</v>
      </c>
    </row>
    <row r="505" spans="1:18" x14ac:dyDescent="0.25">
      <c r="A505" s="143">
        <v>42745</v>
      </c>
      <c r="B505" s="106">
        <v>192.66</v>
      </c>
      <c r="C505" s="106">
        <v>190.9</v>
      </c>
      <c r="D505" s="106">
        <v>189.76</v>
      </c>
      <c r="E505" s="106">
        <v>190.4</v>
      </c>
      <c r="F505" s="106">
        <v>954.5</v>
      </c>
      <c r="G505">
        <v>5831</v>
      </c>
      <c r="H505" s="106"/>
      <c r="I505" s="106"/>
      <c r="L505" s="143">
        <v>42745</v>
      </c>
      <c r="M505" s="106">
        <v>191.47</v>
      </c>
      <c r="N505" s="106">
        <v>192.79000000000002</v>
      </c>
      <c r="O505" s="106">
        <v>190.4</v>
      </c>
      <c r="P505" s="106">
        <v>191.4</v>
      </c>
      <c r="Q505" s="106">
        <v>957.35</v>
      </c>
      <c r="R505">
        <v>38447</v>
      </c>
    </row>
    <row r="506" spans="1:18" x14ac:dyDescent="0.25">
      <c r="A506" s="143">
        <v>42746</v>
      </c>
      <c r="B506" s="106">
        <v>192.59</v>
      </c>
      <c r="C506" s="106">
        <v>190.64000000000001</v>
      </c>
      <c r="D506" s="106">
        <v>190.03</v>
      </c>
      <c r="E506" s="106">
        <v>191.6</v>
      </c>
      <c r="F506" s="106">
        <v>953.2</v>
      </c>
      <c r="G506">
        <v>6243</v>
      </c>
      <c r="H506" s="106"/>
      <c r="I506" s="106"/>
      <c r="L506" s="143">
        <v>42746</v>
      </c>
      <c r="M506" s="106">
        <v>191.22</v>
      </c>
      <c r="N506" s="106">
        <v>192.93</v>
      </c>
      <c r="O506" s="106">
        <v>190.34</v>
      </c>
      <c r="P506" s="106">
        <v>192.93</v>
      </c>
      <c r="Q506" s="106">
        <v>956.1</v>
      </c>
      <c r="R506">
        <v>101619</v>
      </c>
    </row>
    <row r="507" spans="1:18" x14ac:dyDescent="0.25">
      <c r="A507" s="143">
        <v>42747</v>
      </c>
      <c r="B507" s="106">
        <v>192.64000000000001</v>
      </c>
      <c r="C507" s="106">
        <v>189.26</v>
      </c>
      <c r="D507" s="106">
        <v>188.59</v>
      </c>
      <c r="E507" s="106">
        <v>191.22</v>
      </c>
      <c r="F507" s="106">
        <v>946.3</v>
      </c>
      <c r="G507">
        <v>3291</v>
      </c>
      <c r="H507" s="106"/>
      <c r="I507" s="106"/>
      <c r="L507" s="143">
        <v>42747</v>
      </c>
      <c r="M507" s="106">
        <v>189.79000000000002</v>
      </c>
      <c r="N507" s="106">
        <v>193</v>
      </c>
      <c r="O507" s="106">
        <v>189</v>
      </c>
      <c r="P507" s="106">
        <v>192.2</v>
      </c>
      <c r="Q507" s="106">
        <v>948.95</v>
      </c>
      <c r="R507">
        <v>78454</v>
      </c>
    </row>
    <row r="508" spans="1:18" x14ac:dyDescent="0.25">
      <c r="A508" s="143">
        <v>42748</v>
      </c>
      <c r="B508" s="106">
        <v>191</v>
      </c>
      <c r="C508" s="106">
        <v>188.04000000000002</v>
      </c>
      <c r="D508" s="106">
        <v>186.23</v>
      </c>
      <c r="E508" s="106">
        <v>190.05</v>
      </c>
      <c r="F508" s="106">
        <v>940.2</v>
      </c>
      <c r="G508">
        <v>4307</v>
      </c>
      <c r="H508" s="106"/>
      <c r="I508" s="106"/>
      <c r="L508" s="143">
        <v>42748</v>
      </c>
      <c r="M508" s="106">
        <v>188.02</v>
      </c>
      <c r="N508" s="106">
        <v>191.51</v>
      </c>
      <c r="O508" s="106">
        <v>186.64000000000001</v>
      </c>
      <c r="P508" s="106">
        <v>190.95999999999998</v>
      </c>
      <c r="Q508" s="106">
        <v>940.1</v>
      </c>
      <c r="R508">
        <v>24234</v>
      </c>
    </row>
    <row r="509" spans="1:18" x14ac:dyDescent="0.25">
      <c r="A509" s="143">
        <v>42751</v>
      </c>
      <c r="B509" s="106">
        <v>190.6</v>
      </c>
      <c r="C509" s="106">
        <v>189.29000000000002</v>
      </c>
      <c r="D509" s="106">
        <v>186.48</v>
      </c>
      <c r="E509" s="106">
        <v>189</v>
      </c>
      <c r="F509" s="106">
        <v>946.45</v>
      </c>
      <c r="G509">
        <v>5505</v>
      </c>
      <c r="H509" s="106"/>
      <c r="I509" s="106"/>
      <c r="L509" s="143">
        <v>42751</v>
      </c>
      <c r="M509" s="106">
        <v>189.88</v>
      </c>
      <c r="N509" s="106">
        <v>190</v>
      </c>
      <c r="O509" s="106">
        <v>186.02</v>
      </c>
      <c r="P509" s="106">
        <v>188.95999999999998</v>
      </c>
      <c r="Q509" s="106">
        <v>949.4</v>
      </c>
      <c r="R509">
        <v>138838</v>
      </c>
    </row>
    <row r="510" spans="1:18" x14ac:dyDescent="0.25">
      <c r="A510" s="143">
        <v>42752</v>
      </c>
      <c r="B510" s="106">
        <v>192.59</v>
      </c>
      <c r="C510" s="106">
        <v>190.82999999999998</v>
      </c>
      <c r="D510" s="106">
        <v>188</v>
      </c>
      <c r="E510" s="106">
        <v>188.8</v>
      </c>
      <c r="F510" s="106">
        <v>954.15</v>
      </c>
      <c r="G510">
        <v>13741</v>
      </c>
      <c r="H510" s="106"/>
      <c r="I510" s="106"/>
      <c r="L510" s="143">
        <v>42752</v>
      </c>
      <c r="M510" s="106">
        <v>191.60999999999999</v>
      </c>
      <c r="N510" s="106">
        <v>192.75</v>
      </c>
      <c r="O510" s="106">
        <v>187.82</v>
      </c>
      <c r="P510" s="106">
        <v>188.99</v>
      </c>
      <c r="Q510" s="106">
        <v>958.05</v>
      </c>
      <c r="R510">
        <v>64919</v>
      </c>
    </row>
    <row r="511" spans="1:18" x14ac:dyDescent="0.25">
      <c r="A511" s="143">
        <v>42753</v>
      </c>
      <c r="B511" s="106">
        <v>202.81</v>
      </c>
      <c r="C511" s="106">
        <v>200.24</v>
      </c>
      <c r="D511" s="106">
        <v>192</v>
      </c>
      <c r="E511" s="106">
        <v>192</v>
      </c>
      <c r="F511" s="106">
        <v>1001.2</v>
      </c>
      <c r="G511">
        <v>30105</v>
      </c>
      <c r="H511" s="106"/>
      <c r="I511" s="106"/>
      <c r="L511" s="143">
        <v>42753</v>
      </c>
      <c r="M511" s="106">
        <v>199.97</v>
      </c>
      <c r="N511" s="106">
        <v>202.8</v>
      </c>
      <c r="O511" s="106">
        <v>194</v>
      </c>
      <c r="P511" s="106">
        <v>194.8</v>
      </c>
      <c r="Q511" s="106">
        <v>999.85</v>
      </c>
      <c r="R511">
        <v>213429</v>
      </c>
    </row>
    <row r="512" spans="1:18" x14ac:dyDescent="0.25">
      <c r="A512" s="143">
        <v>42754</v>
      </c>
      <c r="B512" s="106">
        <v>209</v>
      </c>
      <c r="C512" s="106">
        <v>196.39000000000001</v>
      </c>
      <c r="D512" s="106">
        <v>195</v>
      </c>
      <c r="E512" s="106">
        <v>200.24</v>
      </c>
      <c r="F512" s="106">
        <v>981.95</v>
      </c>
      <c r="G512">
        <v>6809351</v>
      </c>
      <c r="H512" s="106"/>
      <c r="I512" s="106"/>
      <c r="L512" s="143">
        <v>42754</v>
      </c>
      <c r="M512" s="106">
        <v>198.3</v>
      </c>
      <c r="N512" s="106">
        <v>208.8</v>
      </c>
      <c r="O512" s="106">
        <v>196.31</v>
      </c>
      <c r="P512" s="106">
        <v>200</v>
      </c>
      <c r="Q512" s="106">
        <v>991.5</v>
      </c>
      <c r="R512">
        <v>517152</v>
      </c>
    </row>
    <row r="513" spans="1:18" x14ac:dyDescent="0.25">
      <c r="A513" s="143">
        <v>42755</v>
      </c>
      <c r="B513" s="106">
        <v>200.07999999999998</v>
      </c>
      <c r="C513" s="106">
        <v>197.45999999999998</v>
      </c>
      <c r="D513" s="106">
        <v>196</v>
      </c>
      <c r="E513" s="106">
        <v>197.76</v>
      </c>
      <c r="F513" s="106">
        <v>987.3</v>
      </c>
      <c r="G513">
        <v>54925</v>
      </c>
      <c r="H513" s="106"/>
      <c r="I513" s="106"/>
      <c r="L513" s="143">
        <v>42755</v>
      </c>
      <c r="M513" s="106">
        <v>197.35999999999999</v>
      </c>
      <c r="N513" s="106">
        <v>200.35999999999999</v>
      </c>
      <c r="O513" s="106">
        <v>195.59</v>
      </c>
      <c r="P513" s="106">
        <v>197.76</v>
      </c>
      <c r="Q513" s="106">
        <v>986.8</v>
      </c>
      <c r="R513">
        <v>164362</v>
      </c>
    </row>
    <row r="514" spans="1:18" x14ac:dyDescent="0.25">
      <c r="A514" s="143">
        <v>42758</v>
      </c>
      <c r="B514" s="106">
        <v>200.8</v>
      </c>
      <c r="C514" s="106">
        <v>197.29000000000002</v>
      </c>
      <c r="D514" s="106">
        <v>195.24</v>
      </c>
      <c r="E514" s="106">
        <v>197.6</v>
      </c>
      <c r="F514" s="106">
        <v>986.45</v>
      </c>
      <c r="G514">
        <v>13087</v>
      </c>
      <c r="H514" s="106"/>
      <c r="I514" s="106"/>
      <c r="L514" s="143">
        <v>42758</v>
      </c>
      <c r="M514" s="106">
        <v>197.87</v>
      </c>
      <c r="N514" s="106">
        <v>200.8</v>
      </c>
      <c r="O514" s="106">
        <v>196.45999999999998</v>
      </c>
      <c r="P514" s="106">
        <v>198.2</v>
      </c>
      <c r="Q514" s="106">
        <v>989.35</v>
      </c>
      <c r="R514">
        <v>103236</v>
      </c>
    </row>
    <row r="515" spans="1:18" x14ac:dyDescent="0.25">
      <c r="A515" s="143">
        <v>42759</v>
      </c>
      <c r="B515" s="106">
        <v>204</v>
      </c>
      <c r="C515" s="106">
        <v>201.99</v>
      </c>
      <c r="D515" s="106">
        <v>197.88</v>
      </c>
      <c r="E515" s="106">
        <v>197.88</v>
      </c>
      <c r="F515" s="106">
        <v>1009.95</v>
      </c>
      <c r="G515">
        <v>17694</v>
      </c>
      <c r="H515" s="106"/>
      <c r="I515" s="106"/>
      <c r="L515" s="143">
        <v>42759</v>
      </c>
      <c r="M515" s="106">
        <v>202</v>
      </c>
      <c r="N515" s="106">
        <v>204</v>
      </c>
      <c r="O515" s="106">
        <v>197.69</v>
      </c>
      <c r="P515" s="106">
        <v>197.97</v>
      </c>
      <c r="Q515" s="106">
        <v>1010</v>
      </c>
      <c r="R515">
        <v>179032</v>
      </c>
    </row>
    <row r="516" spans="1:18" x14ac:dyDescent="0.25">
      <c r="A516" s="143">
        <v>42760</v>
      </c>
      <c r="B516" s="106">
        <v>211.53000000000003</v>
      </c>
      <c r="C516" s="106">
        <v>209.16</v>
      </c>
      <c r="D516" s="106">
        <v>197.43</v>
      </c>
      <c r="E516" s="106">
        <v>201.8</v>
      </c>
      <c r="F516" s="106">
        <v>1045.8</v>
      </c>
      <c r="G516">
        <v>40041</v>
      </c>
      <c r="H516" s="106"/>
      <c r="I516" s="106"/>
      <c r="L516" s="143">
        <v>42760</v>
      </c>
      <c r="M516" s="106">
        <v>208</v>
      </c>
      <c r="N516" s="106">
        <v>211.79000000000002</v>
      </c>
      <c r="O516" s="106">
        <v>196.1</v>
      </c>
      <c r="P516" s="106">
        <v>199.8</v>
      </c>
      <c r="Q516" s="106">
        <v>1040</v>
      </c>
      <c r="R516">
        <v>357092</v>
      </c>
    </row>
    <row r="517" spans="1:18" x14ac:dyDescent="0.25">
      <c r="A517" s="143">
        <v>42762</v>
      </c>
      <c r="B517" s="106">
        <v>213.57</v>
      </c>
      <c r="C517" s="106">
        <v>209.07</v>
      </c>
      <c r="D517" s="106">
        <v>206.95999999999998</v>
      </c>
      <c r="E517" s="106">
        <v>207</v>
      </c>
      <c r="F517" s="106">
        <v>1045.3499999999999</v>
      </c>
      <c r="G517">
        <v>13667</v>
      </c>
      <c r="H517" s="106"/>
      <c r="I517" s="106"/>
      <c r="L517" s="143">
        <v>42762</v>
      </c>
      <c r="M517" s="106">
        <v>209.61999999999998</v>
      </c>
      <c r="N517" s="106">
        <v>213.53000000000003</v>
      </c>
      <c r="O517" s="106">
        <v>207.04000000000002</v>
      </c>
      <c r="P517" s="106">
        <v>207.8</v>
      </c>
      <c r="Q517" s="106">
        <v>1048.0999999999999</v>
      </c>
      <c r="R517">
        <v>209289</v>
      </c>
    </row>
    <row r="518" spans="1:18" x14ac:dyDescent="0.25">
      <c r="A518" s="143">
        <v>42765</v>
      </c>
      <c r="B518" s="106">
        <v>210.2</v>
      </c>
      <c r="C518" s="106">
        <v>204.66</v>
      </c>
      <c r="D518" s="106">
        <v>203.07</v>
      </c>
      <c r="E518" s="106">
        <v>209.65</v>
      </c>
      <c r="F518" s="106">
        <v>1023.3</v>
      </c>
      <c r="G518">
        <v>4646</v>
      </c>
      <c r="H518" s="106"/>
      <c r="I518" s="106"/>
      <c r="L518" s="143">
        <v>42765</v>
      </c>
      <c r="M518" s="106">
        <v>204.44</v>
      </c>
      <c r="N518" s="106">
        <v>210.28000000000003</v>
      </c>
      <c r="O518" s="106">
        <v>202.64000000000001</v>
      </c>
      <c r="P518" s="106">
        <v>209.25</v>
      </c>
      <c r="Q518" s="106">
        <v>1022.2</v>
      </c>
      <c r="R518">
        <v>39634</v>
      </c>
    </row>
    <row r="519" spans="1:18" x14ac:dyDescent="0.25">
      <c r="A519" s="143">
        <v>42766</v>
      </c>
      <c r="B519" s="106">
        <v>211.13000000000002</v>
      </c>
      <c r="C519" s="106">
        <v>205.06</v>
      </c>
      <c r="D519" s="106">
        <v>204.2</v>
      </c>
      <c r="E519" s="106">
        <v>205.19</v>
      </c>
      <c r="F519" s="106">
        <v>1025.3</v>
      </c>
      <c r="G519">
        <v>9034</v>
      </c>
      <c r="H519" s="106"/>
      <c r="I519" s="106"/>
      <c r="L519" s="143">
        <v>42766</v>
      </c>
      <c r="M519" s="106">
        <v>205.76999999999998</v>
      </c>
      <c r="N519" s="106">
        <v>211.2</v>
      </c>
      <c r="O519" s="106">
        <v>204.2</v>
      </c>
      <c r="P519" s="106">
        <v>206.2</v>
      </c>
      <c r="Q519" s="106">
        <v>1028.8499999999999</v>
      </c>
      <c r="R519">
        <v>102939</v>
      </c>
    </row>
    <row r="520" spans="1:18" x14ac:dyDescent="0.25">
      <c r="A520" s="143">
        <v>42767</v>
      </c>
      <c r="B520" s="106">
        <v>208.21999999999997</v>
      </c>
      <c r="C520" s="106">
        <v>205.67</v>
      </c>
      <c r="D520" s="106">
        <v>201.8</v>
      </c>
      <c r="E520" s="106">
        <v>205.49</v>
      </c>
      <c r="F520" s="106">
        <v>1028.3499999999999</v>
      </c>
      <c r="G520">
        <v>13579</v>
      </c>
      <c r="H520" s="106"/>
      <c r="I520" s="106"/>
      <c r="L520" s="143">
        <v>42767</v>
      </c>
      <c r="M520" s="106">
        <v>205.56</v>
      </c>
      <c r="N520" s="106">
        <v>208.4</v>
      </c>
      <c r="O520" s="106">
        <v>201.60999999999999</v>
      </c>
      <c r="P520" s="106">
        <v>206</v>
      </c>
      <c r="Q520" s="106">
        <v>1027.8</v>
      </c>
      <c r="R520">
        <v>82046</v>
      </c>
    </row>
    <row r="521" spans="1:18" x14ac:dyDescent="0.25">
      <c r="A521" s="143">
        <v>42768</v>
      </c>
      <c r="B521" s="106">
        <v>214.84</v>
      </c>
      <c r="C521" s="106">
        <v>209.20999999999998</v>
      </c>
      <c r="D521" s="106">
        <v>206</v>
      </c>
      <c r="E521" s="106">
        <v>206</v>
      </c>
      <c r="F521" s="106">
        <v>1046.05</v>
      </c>
      <c r="G521">
        <v>28916</v>
      </c>
      <c r="H521" s="106"/>
      <c r="I521" s="106"/>
      <c r="L521" s="143">
        <v>42768</v>
      </c>
      <c r="M521" s="106">
        <v>208.81</v>
      </c>
      <c r="N521" s="106">
        <v>215.18</v>
      </c>
      <c r="O521" s="106">
        <v>206.6</v>
      </c>
      <c r="P521" s="106">
        <v>209</v>
      </c>
      <c r="Q521" s="106">
        <v>1044.05</v>
      </c>
      <c r="R521">
        <v>261649</v>
      </c>
    </row>
    <row r="522" spans="1:18" x14ac:dyDescent="0.25">
      <c r="A522" s="143">
        <v>42769</v>
      </c>
      <c r="B522" s="106">
        <v>211.4</v>
      </c>
      <c r="C522" s="106">
        <v>208.54000000000002</v>
      </c>
      <c r="D522" s="106">
        <v>207.35999999999999</v>
      </c>
      <c r="E522" s="106">
        <v>210.79000000000002</v>
      </c>
      <c r="F522" s="106">
        <v>1042.7</v>
      </c>
      <c r="G522">
        <v>5046</v>
      </c>
      <c r="H522" s="106"/>
      <c r="I522" s="106"/>
      <c r="L522" s="143">
        <v>42769</v>
      </c>
      <c r="M522" s="106">
        <v>208.79000000000002</v>
      </c>
      <c r="N522" s="106">
        <v>211.95999999999998</v>
      </c>
      <c r="O522" s="106">
        <v>207.59</v>
      </c>
      <c r="P522" s="106">
        <v>208.81</v>
      </c>
      <c r="Q522" s="106">
        <v>1043.95</v>
      </c>
      <c r="R522">
        <v>26944</v>
      </c>
    </row>
    <row r="523" spans="1:18" x14ac:dyDescent="0.25">
      <c r="A523" s="143">
        <v>42772</v>
      </c>
      <c r="B523" s="106">
        <v>210.71999999999997</v>
      </c>
      <c r="C523" s="106">
        <v>208.11999999999998</v>
      </c>
      <c r="D523" s="106">
        <v>205.35999999999999</v>
      </c>
      <c r="E523" s="106">
        <v>210</v>
      </c>
      <c r="F523" s="106">
        <v>1040.5999999999999</v>
      </c>
      <c r="G523">
        <v>5420</v>
      </c>
      <c r="H523" s="106"/>
      <c r="I523" s="106"/>
      <c r="L523" s="143">
        <v>42772</v>
      </c>
      <c r="M523" s="106">
        <v>208.6</v>
      </c>
      <c r="N523" s="106">
        <v>210.6</v>
      </c>
      <c r="O523" s="106">
        <v>205.23000000000002</v>
      </c>
      <c r="P523" s="106">
        <v>209.83</v>
      </c>
      <c r="Q523" s="106">
        <v>1043</v>
      </c>
      <c r="R523">
        <v>29345</v>
      </c>
    </row>
    <row r="524" spans="1:18" x14ac:dyDescent="0.25">
      <c r="A524" s="143">
        <v>42773</v>
      </c>
      <c r="B524" s="106">
        <v>211.35999999999999</v>
      </c>
      <c r="C524" s="106">
        <v>209.85999999999999</v>
      </c>
      <c r="D524" s="106">
        <v>207.76</v>
      </c>
      <c r="E524" s="106">
        <v>208.33</v>
      </c>
      <c r="F524" s="106">
        <v>1049.3</v>
      </c>
      <c r="G524">
        <v>3225</v>
      </c>
      <c r="H524" s="106"/>
      <c r="I524" s="106"/>
      <c r="L524" s="143">
        <v>42773</v>
      </c>
      <c r="M524" s="106">
        <v>210.55</v>
      </c>
      <c r="N524" s="106">
        <v>211.1</v>
      </c>
      <c r="O524" s="106">
        <v>207.20999999999998</v>
      </c>
      <c r="P524" s="106">
        <v>208.99</v>
      </c>
      <c r="Q524" s="106">
        <v>1052.75</v>
      </c>
      <c r="R524">
        <v>38493</v>
      </c>
    </row>
    <row r="525" spans="1:18" x14ac:dyDescent="0.25">
      <c r="A525" s="143">
        <v>42774</v>
      </c>
      <c r="B525" s="106">
        <v>210.67</v>
      </c>
      <c r="C525" s="106">
        <v>204.56</v>
      </c>
      <c r="D525" s="106">
        <v>203.06</v>
      </c>
      <c r="E525" s="106">
        <v>210.67</v>
      </c>
      <c r="F525" s="106">
        <v>1022.8</v>
      </c>
      <c r="G525">
        <v>7909</v>
      </c>
      <c r="H525" s="106"/>
      <c r="I525" s="106"/>
      <c r="L525" s="143">
        <v>42774</v>
      </c>
      <c r="M525" s="106">
        <v>204.44</v>
      </c>
      <c r="N525" s="106">
        <v>210.07</v>
      </c>
      <c r="O525" s="106">
        <v>202.05</v>
      </c>
      <c r="P525" s="106">
        <v>208.26</v>
      </c>
      <c r="Q525" s="106">
        <v>1022.2</v>
      </c>
      <c r="R525">
        <v>78826</v>
      </c>
    </row>
    <row r="526" spans="1:18" x14ac:dyDescent="0.25">
      <c r="A526" s="143">
        <v>42775</v>
      </c>
      <c r="B526" s="106">
        <v>210.35999999999999</v>
      </c>
      <c r="C526" s="106">
        <v>204.07</v>
      </c>
      <c r="D526" s="106">
        <v>201.05</v>
      </c>
      <c r="E526" s="106">
        <v>208.6</v>
      </c>
      <c r="F526" s="106">
        <v>1020.35</v>
      </c>
      <c r="G526">
        <v>8391</v>
      </c>
      <c r="H526" s="106"/>
      <c r="I526" s="106"/>
      <c r="L526" s="143">
        <v>42775</v>
      </c>
      <c r="M526" s="106">
        <v>203.34</v>
      </c>
      <c r="N526" s="106">
        <v>210</v>
      </c>
      <c r="O526" s="106">
        <v>200.5</v>
      </c>
      <c r="P526" s="106">
        <v>205.83</v>
      </c>
      <c r="Q526" s="106">
        <v>1016.7</v>
      </c>
      <c r="R526">
        <v>81620</v>
      </c>
    </row>
    <row r="527" spans="1:18" x14ac:dyDescent="0.25">
      <c r="A527" s="143">
        <v>42776</v>
      </c>
      <c r="B527" s="106">
        <v>206.99</v>
      </c>
      <c r="C527" s="106">
        <v>203.59</v>
      </c>
      <c r="D527" s="106">
        <v>202.68</v>
      </c>
      <c r="E527" s="106">
        <v>204</v>
      </c>
      <c r="F527" s="106">
        <v>1017.95</v>
      </c>
      <c r="G527">
        <v>4239</v>
      </c>
      <c r="H527" s="106"/>
      <c r="I527" s="106"/>
      <c r="L527" s="143">
        <v>42776</v>
      </c>
      <c r="M527" s="106">
        <v>203.89000000000001</v>
      </c>
      <c r="N527" s="106">
        <v>207.10999999999999</v>
      </c>
      <c r="O527" s="106">
        <v>203</v>
      </c>
      <c r="P527" s="106">
        <v>206</v>
      </c>
      <c r="Q527" s="106">
        <v>1019.45</v>
      </c>
      <c r="R527">
        <v>112198</v>
      </c>
    </row>
    <row r="528" spans="1:18" x14ac:dyDescent="0.25">
      <c r="A528" s="143">
        <v>42779</v>
      </c>
      <c r="B528" s="106">
        <v>206</v>
      </c>
      <c r="C528" s="106">
        <v>202.55</v>
      </c>
      <c r="D528" s="106">
        <v>201.2</v>
      </c>
      <c r="E528" s="106">
        <v>205</v>
      </c>
      <c r="F528" s="106">
        <v>1012.75</v>
      </c>
      <c r="G528">
        <v>5096</v>
      </c>
      <c r="H528" s="106"/>
      <c r="I528" s="106"/>
      <c r="L528" s="143">
        <v>42779</v>
      </c>
      <c r="M528" s="106">
        <v>203.32</v>
      </c>
      <c r="N528" s="106">
        <v>206.96999999999997</v>
      </c>
      <c r="O528" s="106">
        <v>201.2</v>
      </c>
      <c r="P528" s="106">
        <v>206.96999999999997</v>
      </c>
      <c r="Q528" s="106">
        <v>1016.6</v>
      </c>
      <c r="R528">
        <v>22927</v>
      </c>
    </row>
    <row r="529" spans="1:18" x14ac:dyDescent="0.25">
      <c r="A529" s="143">
        <v>42780</v>
      </c>
      <c r="B529" s="106">
        <v>205</v>
      </c>
      <c r="C529" s="106">
        <v>201.23</v>
      </c>
      <c r="D529" s="106">
        <v>200.56</v>
      </c>
      <c r="E529" s="106">
        <v>202.55</v>
      </c>
      <c r="F529" s="106">
        <v>1006.15</v>
      </c>
      <c r="G529">
        <v>1752</v>
      </c>
      <c r="H529" s="106"/>
      <c r="I529" s="106"/>
      <c r="L529" s="143">
        <v>42780</v>
      </c>
      <c r="M529" s="106">
        <v>201.9</v>
      </c>
      <c r="N529" s="106">
        <v>206.74</v>
      </c>
      <c r="O529" s="106">
        <v>200.81</v>
      </c>
      <c r="P529" s="106">
        <v>206.74</v>
      </c>
      <c r="Q529" s="106">
        <v>1009.5</v>
      </c>
      <c r="R529">
        <v>30704</v>
      </c>
    </row>
    <row r="530" spans="1:18" x14ac:dyDescent="0.25">
      <c r="A530" s="143">
        <v>42781</v>
      </c>
      <c r="B530" s="106">
        <v>203.79000000000002</v>
      </c>
      <c r="C530" s="106">
        <v>198.35</v>
      </c>
      <c r="D530" s="106">
        <v>197</v>
      </c>
      <c r="E530" s="106">
        <v>202.20999999999998</v>
      </c>
      <c r="F530" s="106">
        <v>991.75</v>
      </c>
      <c r="G530">
        <v>4237</v>
      </c>
      <c r="H530" s="106"/>
      <c r="I530" s="106"/>
      <c r="L530" s="143">
        <v>42781</v>
      </c>
      <c r="M530" s="106">
        <v>199</v>
      </c>
      <c r="N530" s="106">
        <v>203.99</v>
      </c>
      <c r="O530" s="106">
        <v>197.07</v>
      </c>
      <c r="P530" s="106">
        <v>201.05</v>
      </c>
      <c r="Q530" s="106">
        <v>995</v>
      </c>
      <c r="R530">
        <v>182053</v>
      </c>
    </row>
    <row r="531" spans="1:18" x14ac:dyDescent="0.25">
      <c r="A531" s="143">
        <v>42782</v>
      </c>
      <c r="B531" s="106">
        <v>206.2</v>
      </c>
      <c r="C531" s="106">
        <v>203.2</v>
      </c>
      <c r="D531" s="106">
        <v>200.22</v>
      </c>
      <c r="E531" s="106">
        <v>200.22</v>
      </c>
      <c r="F531" s="106">
        <v>1016</v>
      </c>
      <c r="G531">
        <v>4706</v>
      </c>
      <c r="H531" s="106"/>
      <c r="I531" s="106"/>
      <c r="L531" s="143">
        <v>42782</v>
      </c>
      <c r="M531" s="106">
        <v>204.1</v>
      </c>
      <c r="N531" s="106">
        <v>206</v>
      </c>
      <c r="O531" s="106">
        <v>198.4</v>
      </c>
      <c r="P531" s="106">
        <v>198.4</v>
      </c>
      <c r="Q531" s="106">
        <v>1020.5</v>
      </c>
      <c r="R531">
        <v>41011</v>
      </c>
    </row>
    <row r="532" spans="1:18" x14ac:dyDescent="0.25">
      <c r="A532" s="143">
        <v>42783</v>
      </c>
      <c r="B532" s="106">
        <v>206.51</v>
      </c>
      <c r="C532" s="106">
        <v>203.22</v>
      </c>
      <c r="D532" s="106">
        <v>202.64000000000001</v>
      </c>
      <c r="E532" s="106">
        <v>204.64000000000001</v>
      </c>
      <c r="F532" s="106">
        <v>1016.1</v>
      </c>
      <c r="G532">
        <v>5173</v>
      </c>
      <c r="H532" s="106"/>
      <c r="I532" s="106"/>
      <c r="L532" s="143">
        <v>42783</v>
      </c>
      <c r="M532" s="106">
        <v>204.2</v>
      </c>
      <c r="N532" s="106">
        <v>206.8</v>
      </c>
      <c r="O532" s="106">
        <v>203.20999999999998</v>
      </c>
      <c r="P532" s="106">
        <v>204</v>
      </c>
      <c r="Q532" s="106">
        <v>1021</v>
      </c>
      <c r="R532">
        <v>31692</v>
      </c>
    </row>
    <row r="533" spans="1:18" x14ac:dyDescent="0.25">
      <c r="A533" s="143">
        <v>42786</v>
      </c>
      <c r="B533" s="106">
        <v>206.68</v>
      </c>
      <c r="C533" s="106">
        <v>203.97</v>
      </c>
      <c r="D533" s="106">
        <v>203.23</v>
      </c>
      <c r="E533" s="106">
        <v>205</v>
      </c>
      <c r="F533" s="106">
        <v>1019.85</v>
      </c>
      <c r="G533">
        <v>4888</v>
      </c>
      <c r="H533" s="106"/>
      <c r="I533" s="106"/>
      <c r="L533" s="143">
        <v>42786</v>
      </c>
      <c r="M533" s="106">
        <v>204.24</v>
      </c>
      <c r="N533" s="106">
        <v>206.99</v>
      </c>
      <c r="O533" s="106">
        <v>203.2</v>
      </c>
      <c r="P533" s="106">
        <v>205</v>
      </c>
      <c r="Q533" s="106">
        <v>1021.2</v>
      </c>
      <c r="R533">
        <v>60044</v>
      </c>
    </row>
    <row r="534" spans="1:18" x14ac:dyDescent="0.25">
      <c r="A534" s="143">
        <v>42787</v>
      </c>
      <c r="B534" s="106">
        <v>205.55</v>
      </c>
      <c r="C534" s="106">
        <v>204.16</v>
      </c>
      <c r="D534" s="106">
        <v>202.2</v>
      </c>
      <c r="E534" s="106">
        <v>202.2</v>
      </c>
      <c r="F534" s="106">
        <v>1020.8</v>
      </c>
      <c r="G534">
        <v>1651</v>
      </c>
      <c r="H534" s="106"/>
      <c r="I534" s="106"/>
      <c r="L534" s="143">
        <v>42787</v>
      </c>
      <c r="M534" s="106">
        <v>204.54000000000002</v>
      </c>
      <c r="N534" s="106">
        <v>206.2</v>
      </c>
      <c r="O534" s="106">
        <v>203.62</v>
      </c>
      <c r="P534" s="106">
        <v>205</v>
      </c>
      <c r="Q534" s="106">
        <v>1022.7</v>
      </c>
      <c r="R534">
        <v>21119</v>
      </c>
    </row>
    <row r="535" spans="1:18" x14ac:dyDescent="0.25">
      <c r="A535" s="143">
        <v>42788</v>
      </c>
      <c r="B535" s="106">
        <v>204.8</v>
      </c>
      <c r="C535" s="106">
        <v>203.42000000000002</v>
      </c>
      <c r="D535" s="106">
        <v>202.42000000000002</v>
      </c>
      <c r="E535" s="106">
        <v>203</v>
      </c>
      <c r="F535" s="106">
        <v>1017.1</v>
      </c>
      <c r="G535">
        <v>1038</v>
      </c>
      <c r="H535" s="106"/>
      <c r="I535" s="106"/>
      <c r="L535" s="143">
        <v>42788</v>
      </c>
      <c r="M535" s="106">
        <v>203.52</v>
      </c>
      <c r="N535" s="106">
        <v>205.2</v>
      </c>
      <c r="O535" s="106">
        <v>202.26</v>
      </c>
      <c r="P535" s="106">
        <v>203.8</v>
      </c>
      <c r="Q535" s="106">
        <v>1017.6</v>
      </c>
      <c r="R535">
        <v>34749</v>
      </c>
    </row>
    <row r="536" spans="1:18" x14ac:dyDescent="0.25">
      <c r="A536" s="143">
        <v>42789</v>
      </c>
      <c r="B536" s="106">
        <v>204.49</v>
      </c>
      <c r="C536" s="106">
        <v>202.69</v>
      </c>
      <c r="D536" s="106">
        <v>202.4</v>
      </c>
      <c r="E536" s="106">
        <v>203.4</v>
      </c>
      <c r="F536" s="106">
        <v>1013.45</v>
      </c>
      <c r="G536">
        <v>3004</v>
      </c>
      <c r="H536" s="106"/>
      <c r="I536" s="106"/>
      <c r="L536" s="143">
        <v>42789</v>
      </c>
      <c r="M536" s="106">
        <v>203.48</v>
      </c>
      <c r="N536" s="106">
        <v>204.89000000000001</v>
      </c>
      <c r="O536" s="106">
        <v>202.4</v>
      </c>
      <c r="P536" s="106">
        <v>203</v>
      </c>
      <c r="Q536" s="106">
        <v>1017.4</v>
      </c>
      <c r="R536">
        <v>30450</v>
      </c>
    </row>
    <row r="537" spans="1:18" x14ac:dyDescent="0.25">
      <c r="A537" s="143">
        <v>42793</v>
      </c>
      <c r="B537" s="106">
        <v>205</v>
      </c>
      <c r="C537" s="106">
        <v>194.67000000000002</v>
      </c>
      <c r="D537" s="106">
        <v>193.59</v>
      </c>
      <c r="E537" s="106">
        <v>202.02</v>
      </c>
      <c r="F537" s="106">
        <v>973.35</v>
      </c>
      <c r="G537">
        <v>37136</v>
      </c>
      <c r="H537" s="106"/>
      <c r="I537" s="106"/>
      <c r="L537" s="143">
        <v>42793</v>
      </c>
      <c r="M537" s="106">
        <v>194.07</v>
      </c>
      <c r="N537" s="106">
        <v>204.31</v>
      </c>
      <c r="O537" s="106">
        <v>192.26</v>
      </c>
      <c r="P537" s="106">
        <v>203.4</v>
      </c>
      <c r="Q537" s="106">
        <v>970.35</v>
      </c>
      <c r="R537">
        <v>5136097</v>
      </c>
    </row>
    <row r="538" spans="1:18" x14ac:dyDescent="0.25">
      <c r="A538" s="143">
        <v>42794</v>
      </c>
      <c r="B538" s="106">
        <v>195.35999999999999</v>
      </c>
      <c r="C538" s="106">
        <v>194.49</v>
      </c>
      <c r="D538" s="106">
        <v>191.85999999999999</v>
      </c>
      <c r="E538" s="106">
        <v>195.2</v>
      </c>
      <c r="F538" s="106">
        <v>972.45</v>
      </c>
      <c r="G538">
        <v>22104</v>
      </c>
      <c r="H538" s="106"/>
      <c r="I538" s="106"/>
      <c r="L538" s="143">
        <v>42794</v>
      </c>
      <c r="M538" s="106">
        <v>194.74</v>
      </c>
      <c r="N538" s="106">
        <v>195.37</v>
      </c>
      <c r="O538" s="106">
        <v>192.34</v>
      </c>
      <c r="P538" s="106">
        <v>194.88</v>
      </c>
      <c r="Q538" s="106">
        <v>973.7</v>
      </c>
      <c r="R538">
        <v>184757</v>
      </c>
    </row>
    <row r="539" spans="1:18" x14ac:dyDescent="0.25">
      <c r="A539" s="143">
        <v>42795</v>
      </c>
      <c r="B539" s="106">
        <v>195.52</v>
      </c>
      <c r="C539" s="106">
        <v>194.48</v>
      </c>
      <c r="D539" s="106">
        <v>192.31</v>
      </c>
      <c r="E539" s="106">
        <v>194.6</v>
      </c>
      <c r="F539" s="106">
        <v>972.4</v>
      </c>
      <c r="G539">
        <v>8172</v>
      </c>
      <c r="H539" s="106"/>
      <c r="I539" s="106"/>
      <c r="L539" s="143">
        <v>42795</v>
      </c>
      <c r="M539" s="106">
        <v>194.78</v>
      </c>
      <c r="N539" s="106">
        <v>195.2</v>
      </c>
      <c r="O539" s="106">
        <v>192.4</v>
      </c>
      <c r="P539" s="106">
        <v>195.2</v>
      </c>
      <c r="Q539" s="106">
        <v>973.9</v>
      </c>
      <c r="R539">
        <v>126560</v>
      </c>
    </row>
    <row r="540" spans="1:18" x14ac:dyDescent="0.25">
      <c r="A540" s="143">
        <v>42796</v>
      </c>
      <c r="B540" s="106">
        <v>195.19</v>
      </c>
      <c r="C540" s="106">
        <v>190.65</v>
      </c>
      <c r="D540" s="106">
        <v>189.81</v>
      </c>
      <c r="E540" s="106">
        <v>194</v>
      </c>
      <c r="F540" s="106">
        <v>953.25</v>
      </c>
      <c r="G540">
        <v>7975</v>
      </c>
      <c r="H540" s="106"/>
      <c r="I540" s="106"/>
      <c r="L540" s="143">
        <v>42796</v>
      </c>
      <c r="M540" s="106">
        <v>190.32</v>
      </c>
      <c r="N540" s="106">
        <v>195</v>
      </c>
      <c r="O540" s="106">
        <v>189.4</v>
      </c>
      <c r="P540" s="106">
        <v>195</v>
      </c>
      <c r="Q540" s="106">
        <v>951.6</v>
      </c>
      <c r="R540">
        <v>127994</v>
      </c>
    </row>
    <row r="541" spans="1:18" x14ac:dyDescent="0.25">
      <c r="A541" s="143">
        <v>42797</v>
      </c>
      <c r="B541" s="106">
        <v>194.56</v>
      </c>
      <c r="C541" s="106">
        <v>192.42000000000002</v>
      </c>
      <c r="D541" s="106">
        <v>190</v>
      </c>
      <c r="E541" s="106">
        <v>190</v>
      </c>
      <c r="F541" s="106">
        <v>962.1</v>
      </c>
      <c r="G541">
        <v>10236</v>
      </c>
      <c r="H541" s="106"/>
      <c r="I541" s="106"/>
      <c r="L541" s="143">
        <v>42797</v>
      </c>
      <c r="M541" s="106">
        <v>192.69</v>
      </c>
      <c r="N541" s="106">
        <v>194.6</v>
      </c>
      <c r="O541" s="106">
        <v>189.64000000000001</v>
      </c>
      <c r="P541" s="106">
        <v>190.32</v>
      </c>
      <c r="Q541" s="106">
        <v>963.45</v>
      </c>
      <c r="R541">
        <v>234418</v>
      </c>
    </row>
    <row r="542" spans="1:18" x14ac:dyDescent="0.25">
      <c r="A542" s="143">
        <v>42800</v>
      </c>
      <c r="B542" s="106">
        <v>193.99</v>
      </c>
      <c r="C542" s="106">
        <v>190.79000000000002</v>
      </c>
      <c r="D542" s="106">
        <v>190.09</v>
      </c>
      <c r="E542" s="106">
        <v>193.99</v>
      </c>
      <c r="F542" s="106">
        <v>953.95</v>
      </c>
      <c r="G542">
        <v>5384</v>
      </c>
      <c r="H542" s="106"/>
      <c r="I542" s="106"/>
      <c r="L542" s="143">
        <v>42800</v>
      </c>
      <c r="M542" s="106">
        <v>190.85</v>
      </c>
      <c r="N542" s="106">
        <v>193.4</v>
      </c>
      <c r="O542" s="106">
        <v>190.10999999999999</v>
      </c>
      <c r="P542" s="106">
        <v>193.39000000000001</v>
      </c>
      <c r="Q542" s="106">
        <v>954.25</v>
      </c>
      <c r="R542">
        <v>182892</v>
      </c>
    </row>
    <row r="543" spans="1:18" x14ac:dyDescent="0.25">
      <c r="A543" s="143">
        <v>42801</v>
      </c>
      <c r="B543" s="106">
        <v>192</v>
      </c>
      <c r="C543" s="106">
        <v>186.82</v>
      </c>
      <c r="D543" s="106">
        <v>186.37</v>
      </c>
      <c r="E543" s="106">
        <v>192</v>
      </c>
      <c r="F543" s="106">
        <v>934.1</v>
      </c>
      <c r="G543">
        <v>26864</v>
      </c>
      <c r="H543" s="106"/>
      <c r="I543" s="106"/>
      <c r="L543" s="143">
        <v>42801</v>
      </c>
      <c r="M543" s="106">
        <v>186.81</v>
      </c>
      <c r="N543" s="106">
        <v>190.82</v>
      </c>
      <c r="O543" s="106">
        <v>186.1</v>
      </c>
      <c r="P543" s="106">
        <v>190.8</v>
      </c>
      <c r="Q543" s="106">
        <v>934.05</v>
      </c>
      <c r="R543">
        <v>216199</v>
      </c>
    </row>
    <row r="544" spans="1:18" x14ac:dyDescent="0.25">
      <c r="A544" s="143">
        <v>42802</v>
      </c>
      <c r="B544" s="106">
        <v>190.39000000000001</v>
      </c>
      <c r="C544" s="106">
        <v>187.43</v>
      </c>
      <c r="D544" s="106">
        <v>186.2</v>
      </c>
      <c r="E544" s="106">
        <v>186.81</v>
      </c>
      <c r="F544" s="106">
        <v>937.15</v>
      </c>
      <c r="G544">
        <v>5052</v>
      </c>
      <c r="H544" s="106"/>
      <c r="I544" s="106"/>
      <c r="L544" s="143">
        <v>42802</v>
      </c>
      <c r="M544" s="106">
        <v>188.92000000000002</v>
      </c>
      <c r="N544" s="106">
        <v>190.4</v>
      </c>
      <c r="O544" s="106">
        <v>186.05</v>
      </c>
      <c r="P544" s="106">
        <v>187.99</v>
      </c>
      <c r="Q544" s="106">
        <v>944.6</v>
      </c>
      <c r="R544">
        <v>55060</v>
      </c>
    </row>
    <row r="545" spans="1:18" x14ac:dyDescent="0.25">
      <c r="A545" s="143">
        <v>42803</v>
      </c>
      <c r="B545" s="106">
        <v>189.95999999999998</v>
      </c>
      <c r="C545" s="106">
        <v>187.37</v>
      </c>
      <c r="D545" s="106">
        <v>186.60999999999999</v>
      </c>
      <c r="E545" s="106">
        <v>187.3</v>
      </c>
      <c r="F545" s="106">
        <v>936.85</v>
      </c>
      <c r="G545">
        <v>7267</v>
      </c>
      <c r="H545" s="106"/>
      <c r="I545" s="106"/>
      <c r="L545" s="143">
        <v>42803</v>
      </c>
      <c r="M545" s="106">
        <v>187.32</v>
      </c>
      <c r="N545" s="106">
        <v>190.20999999999998</v>
      </c>
      <c r="O545" s="106">
        <v>186.4</v>
      </c>
      <c r="P545" s="106">
        <v>188.4</v>
      </c>
      <c r="Q545" s="106">
        <v>936.6</v>
      </c>
      <c r="R545">
        <v>226502</v>
      </c>
    </row>
    <row r="546" spans="1:18" x14ac:dyDescent="0.25">
      <c r="A546" s="143">
        <v>42804</v>
      </c>
      <c r="B546" s="106">
        <v>189</v>
      </c>
      <c r="C546" s="106">
        <v>183.53</v>
      </c>
      <c r="D546" s="106">
        <v>182.6</v>
      </c>
      <c r="E546" s="106">
        <v>187.3</v>
      </c>
      <c r="F546" s="106">
        <v>917.65</v>
      </c>
      <c r="G546">
        <v>7293</v>
      </c>
      <c r="H546" s="106"/>
      <c r="I546" s="106"/>
      <c r="L546" s="143">
        <v>42804</v>
      </c>
      <c r="M546" s="106">
        <v>183.07</v>
      </c>
      <c r="N546" s="106">
        <v>189.57999999999998</v>
      </c>
      <c r="O546" s="106">
        <v>182.4</v>
      </c>
      <c r="P546" s="106">
        <v>187.32</v>
      </c>
      <c r="Q546" s="106">
        <v>915.35</v>
      </c>
      <c r="R546">
        <v>248220</v>
      </c>
    </row>
    <row r="547" spans="1:18" x14ac:dyDescent="0.25">
      <c r="A547" s="143">
        <v>42808</v>
      </c>
      <c r="B547" s="106">
        <v>192.4</v>
      </c>
      <c r="C547" s="106">
        <v>190.67000000000002</v>
      </c>
      <c r="D547" s="106">
        <v>184</v>
      </c>
      <c r="E547" s="106">
        <v>189.06</v>
      </c>
      <c r="F547" s="106">
        <v>953.35</v>
      </c>
      <c r="G547">
        <v>159820</v>
      </c>
      <c r="H547" s="106"/>
      <c r="I547" s="106"/>
      <c r="L547" s="143">
        <v>42808</v>
      </c>
      <c r="M547" s="106">
        <v>190.75</v>
      </c>
      <c r="N547" s="106">
        <v>192.49</v>
      </c>
      <c r="O547" s="106">
        <v>184.06</v>
      </c>
      <c r="P547" s="106">
        <v>187.2</v>
      </c>
      <c r="Q547" s="106">
        <v>953.75</v>
      </c>
      <c r="R547">
        <v>291770</v>
      </c>
    </row>
    <row r="548" spans="1:18" x14ac:dyDescent="0.25">
      <c r="A548" s="143">
        <v>42809</v>
      </c>
      <c r="B548" s="106">
        <v>197.8</v>
      </c>
      <c r="C548" s="106">
        <v>196.7</v>
      </c>
      <c r="D548" s="106">
        <v>190</v>
      </c>
      <c r="E548" s="106">
        <v>190.22</v>
      </c>
      <c r="F548" s="106">
        <v>983.5</v>
      </c>
      <c r="G548">
        <v>13214</v>
      </c>
      <c r="H548" s="106"/>
      <c r="I548" s="106"/>
      <c r="L548" s="143">
        <v>42809</v>
      </c>
      <c r="M548" s="106">
        <v>197.60999999999999</v>
      </c>
      <c r="N548" s="106">
        <v>198.78</v>
      </c>
      <c r="O548" s="106">
        <v>189.6</v>
      </c>
      <c r="P548" s="106">
        <v>191.8</v>
      </c>
      <c r="Q548" s="106">
        <v>988.05</v>
      </c>
      <c r="R548">
        <v>258638</v>
      </c>
    </row>
    <row r="549" spans="1:18" x14ac:dyDescent="0.25">
      <c r="A549" s="143">
        <v>42810</v>
      </c>
      <c r="B549" s="106">
        <v>201.97</v>
      </c>
      <c r="C549" s="106">
        <v>198.64000000000001</v>
      </c>
      <c r="D549" s="106">
        <v>197</v>
      </c>
      <c r="E549" s="106">
        <v>197.67000000000002</v>
      </c>
      <c r="F549" s="106">
        <v>993.2</v>
      </c>
      <c r="G549">
        <v>35475</v>
      </c>
      <c r="H549" s="106"/>
      <c r="I549" s="106"/>
      <c r="L549" s="143">
        <v>42810</v>
      </c>
      <c r="M549" s="106">
        <v>198.02</v>
      </c>
      <c r="N549" s="106">
        <v>202</v>
      </c>
      <c r="O549" s="106">
        <v>196.98</v>
      </c>
      <c r="P549" s="106">
        <v>198.02</v>
      </c>
      <c r="Q549" s="106">
        <v>990.1</v>
      </c>
      <c r="R549">
        <v>916239</v>
      </c>
    </row>
    <row r="550" spans="1:18" x14ac:dyDescent="0.25">
      <c r="A550" s="143">
        <v>42811</v>
      </c>
      <c r="B550" s="106">
        <v>197.4</v>
      </c>
      <c r="C550" s="106">
        <v>192.35999999999999</v>
      </c>
      <c r="D550" s="106">
        <v>189.6</v>
      </c>
      <c r="E550" s="106">
        <v>197.15</v>
      </c>
      <c r="F550" s="106">
        <v>961.8</v>
      </c>
      <c r="G550">
        <v>320526</v>
      </c>
      <c r="H550" s="106"/>
      <c r="I550" s="106"/>
      <c r="L550" s="143">
        <v>42811</v>
      </c>
      <c r="M550" s="106">
        <v>192.57999999999998</v>
      </c>
      <c r="N550" s="106">
        <v>198.8</v>
      </c>
      <c r="O550" s="106">
        <v>189.42000000000002</v>
      </c>
      <c r="P550" s="106">
        <v>198.8</v>
      </c>
      <c r="Q550" s="106">
        <v>962.9</v>
      </c>
      <c r="R550">
        <v>905775</v>
      </c>
    </row>
    <row r="551" spans="1:18" x14ac:dyDescent="0.25">
      <c r="A551" s="143">
        <v>42814</v>
      </c>
      <c r="B551" s="106">
        <v>196</v>
      </c>
      <c r="C551" s="106">
        <v>195.07</v>
      </c>
      <c r="D551" s="106">
        <v>191</v>
      </c>
      <c r="E551" s="106">
        <v>192.99</v>
      </c>
      <c r="F551" s="106">
        <v>975.35</v>
      </c>
      <c r="G551">
        <v>12871</v>
      </c>
      <c r="H551" s="106"/>
      <c r="I551" s="106"/>
      <c r="L551" s="143">
        <v>42814</v>
      </c>
      <c r="M551" s="106">
        <v>194.93</v>
      </c>
      <c r="N551" s="106">
        <v>196.26</v>
      </c>
      <c r="O551" s="106">
        <v>190.25</v>
      </c>
      <c r="P551" s="106">
        <v>193.99</v>
      </c>
      <c r="Q551" s="106">
        <v>974.65</v>
      </c>
      <c r="R551">
        <v>224552</v>
      </c>
    </row>
    <row r="552" spans="1:18" x14ac:dyDescent="0.25">
      <c r="A552" s="143">
        <v>42815</v>
      </c>
      <c r="B552" s="106">
        <v>196.99</v>
      </c>
      <c r="C552" s="106">
        <v>195.48</v>
      </c>
      <c r="D552" s="106">
        <v>192.6</v>
      </c>
      <c r="E552" s="106">
        <v>194</v>
      </c>
      <c r="F552" s="106">
        <v>977.4</v>
      </c>
      <c r="G552">
        <v>17599</v>
      </c>
      <c r="H552" s="106"/>
      <c r="I552" s="106"/>
      <c r="L552" s="143">
        <v>42815</v>
      </c>
      <c r="M552" s="106">
        <v>196.02</v>
      </c>
      <c r="N552" s="106">
        <v>197.4</v>
      </c>
      <c r="O552" s="106">
        <v>192.01</v>
      </c>
      <c r="P552" s="106">
        <v>195.4</v>
      </c>
      <c r="Q552" s="106">
        <v>980.1</v>
      </c>
      <c r="R552">
        <v>285948</v>
      </c>
    </row>
    <row r="553" spans="1:18" x14ac:dyDescent="0.25">
      <c r="A553" s="143">
        <v>42816</v>
      </c>
      <c r="B553" s="106">
        <v>197.44</v>
      </c>
      <c r="C553" s="106">
        <v>194.60999999999999</v>
      </c>
      <c r="D553" s="106">
        <v>191.60999999999999</v>
      </c>
      <c r="E553" s="106">
        <v>195.6</v>
      </c>
      <c r="F553" s="106">
        <v>973.05</v>
      </c>
      <c r="G553">
        <v>3909</v>
      </c>
      <c r="H553" s="106"/>
      <c r="I553" s="106"/>
      <c r="L553" s="143">
        <v>42816</v>
      </c>
      <c r="M553" s="106">
        <v>194.15</v>
      </c>
      <c r="N553" s="106">
        <v>197.6</v>
      </c>
      <c r="O553" s="106">
        <v>191.41</v>
      </c>
      <c r="P553" s="106">
        <v>195.29000000000002</v>
      </c>
      <c r="Q553" s="106">
        <v>970.75</v>
      </c>
      <c r="R553">
        <v>412430</v>
      </c>
    </row>
    <row r="554" spans="1:18" x14ac:dyDescent="0.25">
      <c r="A554" s="143">
        <v>42817</v>
      </c>
      <c r="B554" s="106">
        <v>202.57999999999998</v>
      </c>
      <c r="C554" s="106">
        <v>199.45999999999998</v>
      </c>
      <c r="D554" s="106">
        <v>196</v>
      </c>
      <c r="E554" s="106">
        <v>196</v>
      </c>
      <c r="F554" s="106">
        <v>997.3</v>
      </c>
      <c r="G554">
        <v>33141</v>
      </c>
      <c r="H554" s="106"/>
      <c r="I554" s="106"/>
      <c r="L554" s="143">
        <v>42817</v>
      </c>
      <c r="M554" s="106">
        <v>199.97</v>
      </c>
      <c r="N554" s="106">
        <v>202.45999999999998</v>
      </c>
      <c r="O554" s="106">
        <v>194.2</v>
      </c>
      <c r="P554" s="106">
        <v>194.2</v>
      </c>
      <c r="Q554" s="106">
        <v>999.85</v>
      </c>
      <c r="R554">
        <v>391450</v>
      </c>
    </row>
    <row r="555" spans="1:18" x14ac:dyDescent="0.25">
      <c r="A555" s="143">
        <v>42818</v>
      </c>
      <c r="B555" s="106">
        <v>201.22</v>
      </c>
      <c r="C555" s="106">
        <v>198.81</v>
      </c>
      <c r="D555" s="106">
        <v>196</v>
      </c>
      <c r="E555" s="106">
        <v>200.04000000000002</v>
      </c>
      <c r="F555" s="106">
        <v>994.05</v>
      </c>
      <c r="G555">
        <v>9270</v>
      </c>
      <c r="H555" s="106"/>
      <c r="I555" s="106"/>
      <c r="L555" s="143">
        <v>42818</v>
      </c>
      <c r="M555" s="106">
        <v>198.77</v>
      </c>
      <c r="N555" s="106">
        <v>202</v>
      </c>
      <c r="O555" s="106">
        <v>196.63</v>
      </c>
      <c r="P555" s="106">
        <v>199.6</v>
      </c>
      <c r="Q555" s="106">
        <v>993.85</v>
      </c>
      <c r="R555">
        <v>83995</v>
      </c>
    </row>
    <row r="556" spans="1:18" x14ac:dyDescent="0.25">
      <c r="A556" s="143">
        <v>42821</v>
      </c>
      <c r="B556" s="106">
        <v>203.16</v>
      </c>
      <c r="C556" s="106">
        <v>198.88</v>
      </c>
      <c r="D556" s="106">
        <v>196.88</v>
      </c>
      <c r="E556" s="106">
        <v>200</v>
      </c>
      <c r="F556" s="106">
        <v>994.4</v>
      </c>
      <c r="G556">
        <v>11027</v>
      </c>
      <c r="H556" s="106"/>
      <c r="I556" s="106"/>
      <c r="L556" s="143">
        <v>42821</v>
      </c>
      <c r="M556" s="106">
        <v>201.35999999999999</v>
      </c>
      <c r="N556" s="106">
        <v>204.2</v>
      </c>
      <c r="O556" s="106">
        <v>196.6</v>
      </c>
      <c r="P556" s="106">
        <v>199</v>
      </c>
      <c r="Q556" s="106">
        <v>1006.8</v>
      </c>
      <c r="R556">
        <v>82524</v>
      </c>
    </row>
    <row r="557" spans="1:18" x14ac:dyDescent="0.25">
      <c r="A557" s="143">
        <v>42822</v>
      </c>
      <c r="B557" s="106">
        <v>202.74</v>
      </c>
      <c r="C557" s="106">
        <v>196.77</v>
      </c>
      <c r="D557" s="106">
        <v>194.98</v>
      </c>
      <c r="E557" s="106">
        <v>202.2</v>
      </c>
      <c r="F557" s="106">
        <v>983.85</v>
      </c>
      <c r="G557">
        <v>10421</v>
      </c>
      <c r="H557" s="106"/>
      <c r="I557" s="106"/>
      <c r="L557" s="143">
        <v>42822</v>
      </c>
      <c r="M557" s="106">
        <v>196.34</v>
      </c>
      <c r="N557" s="106">
        <v>203.4</v>
      </c>
      <c r="O557" s="106">
        <v>194.73</v>
      </c>
      <c r="P557" s="106">
        <v>203.4</v>
      </c>
      <c r="Q557" s="106">
        <v>981.7</v>
      </c>
      <c r="R557">
        <v>102362</v>
      </c>
    </row>
    <row r="558" spans="1:18" x14ac:dyDescent="0.25">
      <c r="A558" s="143">
        <v>42823</v>
      </c>
      <c r="B558" s="106">
        <v>200.72</v>
      </c>
      <c r="C558" s="106">
        <v>193.95999999999998</v>
      </c>
      <c r="D558" s="106">
        <v>190.4</v>
      </c>
      <c r="E558" s="106">
        <v>199.99</v>
      </c>
      <c r="F558" s="106">
        <v>969.8</v>
      </c>
      <c r="G558">
        <v>24988</v>
      </c>
      <c r="H558" s="106"/>
      <c r="I558" s="106"/>
      <c r="L558" s="143">
        <v>42823</v>
      </c>
      <c r="M558" s="106">
        <v>194.70999999999998</v>
      </c>
      <c r="N558" s="106">
        <v>199.99</v>
      </c>
      <c r="O558" s="106">
        <v>190.1</v>
      </c>
      <c r="P558" s="106">
        <v>198.8</v>
      </c>
      <c r="Q558" s="106">
        <v>973.55</v>
      </c>
      <c r="R558">
        <v>679707</v>
      </c>
    </row>
    <row r="559" spans="1:18" x14ac:dyDescent="0.25">
      <c r="A559" s="143">
        <v>42824</v>
      </c>
      <c r="B559" s="106">
        <v>196.51</v>
      </c>
      <c r="C559" s="106">
        <v>190.9</v>
      </c>
      <c r="D559" s="106">
        <v>189.6</v>
      </c>
      <c r="E559" s="106">
        <v>196.51</v>
      </c>
      <c r="F559" s="106">
        <v>954.5</v>
      </c>
      <c r="G559">
        <v>40322</v>
      </c>
      <c r="H559" s="106"/>
      <c r="I559" s="106"/>
      <c r="L559" s="143">
        <v>42824</v>
      </c>
      <c r="M559" s="106">
        <v>192.12</v>
      </c>
      <c r="N559" s="106">
        <v>196.77</v>
      </c>
      <c r="O559" s="106">
        <v>189</v>
      </c>
      <c r="P559" s="106">
        <v>195.8</v>
      </c>
      <c r="Q559" s="106">
        <v>960.6</v>
      </c>
      <c r="R559">
        <v>407176</v>
      </c>
    </row>
    <row r="560" spans="1:18" x14ac:dyDescent="0.25">
      <c r="A560" s="143">
        <v>42825</v>
      </c>
      <c r="B560" s="106">
        <v>194.56</v>
      </c>
      <c r="C560" s="106">
        <v>192.89000000000001</v>
      </c>
      <c r="D560" s="106">
        <v>191.91</v>
      </c>
      <c r="E560" s="106">
        <v>193.02</v>
      </c>
      <c r="F560" s="106">
        <v>964.45</v>
      </c>
      <c r="G560">
        <v>94848</v>
      </c>
      <c r="H560" s="106"/>
      <c r="I560" s="106"/>
      <c r="L560" s="143">
        <v>42825</v>
      </c>
      <c r="M560" s="106">
        <v>193.01</v>
      </c>
      <c r="N560" s="106">
        <v>195</v>
      </c>
      <c r="O560" s="106">
        <v>192.25</v>
      </c>
      <c r="P560" s="106">
        <v>193.4</v>
      </c>
      <c r="Q560" s="106">
        <v>965.05</v>
      </c>
      <c r="R560">
        <v>569980</v>
      </c>
    </row>
    <row r="561" spans="1:18" x14ac:dyDescent="0.25">
      <c r="A561" s="143">
        <v>42828</v>
      </c>
      <c r="B561" s="106">
        <v>195.03</v>
      </c>
      <c r="C561" s="106">
        <v>194.18</v>
      </c>
      <c r="D561" s="106">
        <v>192.8</v>
      </c>
      <c r="E561" s="106">
        <v>193</v>
      </c>
      <c r="F561" s="106">
        <v>970.9</v>
      </c>
      <c r="G561">
        <v>7720</v>
      </c>
      <c r="H561" s="106"/>
      <c r="I561" s="106"/>
      <c r="L561" s="143">
        <v>42828</v>
      </c>
      <c r="M561" s="106">
        <v>194.62</v>
      </c>
      <c r="N561" s="106">
        <v>195.4</v>
      </c>
      <c r="O561" s="106">
        <v>192</v>
      </c>
      <c r="P561" s="106">
        <v>192</v>
      </c>
      <c r="Q561" s="106">
        <v>973.1</v>
      </c>
      <c r="R561">
        <v>241635</v>
      </c>
    </row>
    <row r="562" spans="1:18" x14ac:dyDescent="0.25">
      <c r="A562" s="143">
        <v>42830</v>
      </c>
      <c r="B562" s="106">
        <v>197.98</v>
      </c>
      <c r="C562" s="106">
        <v>195.17000000000002</v>
      </c>
      <c r="D562" s="106">
        <v>194.14000000000001</v>
      </c>
      <c r="E562" s="106">
        <v>195.4</v>
      </c>
      <c r="F562" s="106">
        <v>975.85</v>
      </c>
      <c r="G562">
        <v>799910</v>
      </c>
      <c r="H562" s="106"/>
      <c r="I562" s="106"/>
      <c r="L562" s="143">
        <v>42830</v>
      </c>
      <c r="M562" s="106">
        <v>195.78</v>
      </c>
      <c r="N562" s="106">
        <v>198.3</v>
      </c>
      <c r="O562" s="106">
        <v>193.8</v>
      </c>
      <c r="P562" s="106">
        <v>195.6</v>
      </c>
      <c r="Q562" s="106">
        <v>978.9</v>
      </c>
      <c r="R562">
        <v>809764</v>
      </c>
    </row>
    <row r="563" spans="1:18" x14ac:dyDescent="0.25">
      <c r="A563" s="143">
        <v>42831</v>
      </c>
      <c r="B563" s="106">
        <v>199.6</v>
      </c>
      <c r="C563" s="106">
        <v>197.12</v>
      </c>
      <c r="D563" s="106">
        <v>196.3</v>
      </c>
      <c r="E563" s="106">
        <v>198.2</v>
      </c>
      <c r="F563" s="106">
        <v>985.6</v>
      </c>
      <c r="G563">
        <v>22284</v>
      </c>
      <c r="H563" s="106"/>
      <c r="I563" s="106"/>
      <c r="L563" s="143">
        <v>42831</v>
      </c>
      <c r="M563" s="106">
        <v>197.34</v>
      </c>
      <c r="N563" s="106">
        <v>199.82</v>
      </c>
      <c r="O563" s="106">
        <v>196.8</v>
      </c>
      <c r="P563" s="106">
        <v>198.2</v>
      </c>
      <c r="Q563" s="106">
        <v>986.7</v>
      </c>
      <c r="R563">
        <v>416976</v>
      </c>
    </row>
    <row r="564" spans="1:18" x14ac:dyDescent="0.25">
      <c r="A564" s="143">
        <v>42832</v>
      </c>
      <c r="B564" s="106">
        <v>203</v>
      </c>
      <c r="C564" s="106">
        <v>200.18</v>
      </c>
      <c r="D564" s="106">
        <v>196.8</v>
      </c>
      <c r="E564" s="106">
        <v>197.4</v>
      </c>
      <c r="F564" s="106">
        <v>1000.9</v>
      </c>
      <c r="G564">
        <v>14621</v>
      </c>
      <c r="H564" s="106"/>
      <c r="I564" s="106"/>
      <c r="L564" s="143">
        <v>42832</v>
      </c>
      <c r="M564" s="106">
        <v>200.9</v>
      </c>
      <c r="N564" s="106">
        <v>203.35999999999999</v>
      </c>
      <c r="O564" s="106">
        <v>196</v>
      </c>
      <c r="P564" s="106">
        <v>197</v>
      </c>
      <c r="Q564" s="106">
        <v>1004.5</v>
      </c>
      <c r="R564">
        <v>185194</v>
      </c>
    </row>
    <row r="565" spans="1:18" x14ac:dyDescent="0.25">
      <c r="A565" s="143">
        <v>42835</v>
      </c>
      <c r="B565" s="106">
        <v>213.95</v>
      </c>
      <c r="C565" s="106">
        <v>210.17</v>
      </c>
      <c r="D565" s="106">
        <v>201.01</v>
      </c>
      <c r="E565" s="106">
        <v>201.01</v>
      </c>
      <c r="F565" s="106">
        <v>1050.8499999999999</v>
      </c>
      <c r="G565">
        <v>37442</v>
      </c>
      <c r="H565" s="106"/>
      <c r="I565" s="106"/>
      <c r="L565" s="143">
        <v>42835</v>
      </c>
      <c r="M565" s="106">
        <v>210.61999999999998</v>
      </c>
      <c r="N565" s="106">
        <v>214.8</v>
      </c>
      <c r="O565" s="106">
        <v>200.98</v>
      </c>
      <c r="P565" s="106">
        <v>200.98</v>
      </c>
      <c r="Q565" s="106">
        <v>1053.0999999999999</v>
      </c>
      <c r="R565">
        <v>426245</v>
      </c>
    </row>
    <row r="566" spans="1:18" x14ac:dyDescent="0.25">
      <c r="A566" s="143">
        <v>42836</v>
      </c>
      <c r="B566" s="106">
        <v>216.74</v>
      </c>
      <c r="C566" s="106">
        <v>215.71999999999997</v>
      </c>
      <c r="D566" s="106">
        <v>207.81</v>
      </c>
      <c r="E566" s="106">
        <v>208.4</v>
      </c>
      <c r="F566" s="106">
        <v>1078.5999999999999</v>
      </c>
      <c r="G566">
        <v>30936</v>
      </c>
      <c r="H566" s="106"/>
      <c r="I566" s="106"/>
      <c r="L566" s="143">
        <v>42836</v>
      </c>
      <c r="M566" s="106">
        <v>215.67</v>
      </c>
      <c r="N566" s="106">
        <v>218</v>
      </c>
      <c r="O566" s="106">
        <v>207.99</v>
      </c>
      <c r="P566" s="106">
        <v>208</v>
      </c>
      <c r="Q566" s="106">
        <v>1078.3499999999999</v>
      </c>
      <c r="R566">
        <v>455131</v>
      </c>
    </row>
    <row r="567" spans="1:18" x14ac:dyDescent="0.25">
      <c r="A567" s="143">
        <v>42837</v>
      </c>
      <c r="B567" s="106">
        <v>215.2</v>
      </c>
      <c r="C567" s="106">
        <v>213.63000000000002</v>
      </c>
      <c r="D567" s="106">
        <v>210.5</v>
      </c>
      <c r="E567" s="106">
        <v>215.2</v>
      </c>
      <c r="F567" s="106">
        <v>1068.1500000000001</v>
      </c>
      <c r="G567">
        <v>10806</v>
      </c>
      <c r="H567" s="106"/>
      <c r="I567" s="106"/>
      <c r="L567" s="143">
        <v>42837</v>
      </c>
      <c r="M567" s="106">
        <v>213.93</v>
      </c>
      <c r="N567" s="106">
        <v>216.76999999999998</v>
      </c>
      <c r="O567" s="106">
        <v>210.2</v>
      </c>
      <c r="P567" s="106">
        <v>214.05</v>
      </c>
      <c r="Q567" s="106">
        <v>1069.6500000000001</v>
      </c>
      <c r="R567">
        <v>228225</v>
      </c>
    </row>
    <row r="568" spans="1:18" x14ac:dyDescent="0.25">
      <c r="A568" s="143">
        <v>42838</v>
      </c>
      <c r="B568" s="106">
        <v>215.95</v>
      </c>
      <c r="C568" s="106">
        <v>211.9</v>
      </c>
      <c r="D568" s="106">
        <v>209.42</v>
      </c>
      <c r="E568" s="106">
        <v>213</v>
      </c>
      <c r="F568" s="106">
        <v>1059.5</v>
      </c>
      <c r="G568">
        <v>5371</v>
      </c>
      <c r="H568" s="106"/>
      <c r="I568" s="106"/>
      <c r="L568" s="143">
        <v>42838</v>
      </c>
      <c r="M568" s="106">
        <v>212.86999999999998</v>
      </c>
      <c r="N568" s="106">
        <v>216.01</v>
      </c>
      <c r="O568" s="106">
        <v>210</v>
      </c>
      <c r="P568" s="106">
        <v>212.44</v>
      </c>
      <c r="Q568" s="106">
        <v>1064.3499999999999</v>
      </c>
      <c r="R568">
        <v>248383</v>
      </c>
    </row>
    <row r="569" spans="1:18" x14ac:dyDescent="0.25">
      <c r="A569" s="143">
        <v>42842</v>
      </c>
      <c r="B569" s="106">
        <v>211.84</v>
      </c>
      <c r="C569" s="106">
        <v>209.58</v>
      </c>
      <c r="D569" s="106">
        <v>208</v>
      </c>
      <c r="E569" s="106">
        <v>211.67</v>
      </c>
      <c r="F569" s="106">
        <v>1047.9000000000001</v>
      </c>
      <c r="G569">
        <v>5585</v>
      </c>
      <c r="H569" s="106"/>
      <c r="I569" s="106"/>
      <c r="L569" s="143">
        <v>42842</v>
      </c>
      <c r="M569" s="106">
        <v>209.85999999999999</v>
      </c>
      <c r="N569" s="106">
        <v>212.86999999999998</v>
      </c>
      <c r="O569" s="106">
        <v>207.5</v>
      </c>
      <c r="P569" s="106">
        <v>212.86999999999998</v>
      </c>
      <c r="Q569" s="106">
        <v>1049.3</v>
      </c>
      <c r="R569">
        <v>247775</v>
      </c>
    </row>
    <row r="570" spans="1:18" x14ac:dyDescent="0.25">
      <c r="A570" s="143">
        <v>42843</v>
      </c>
      <c r="B570" s="106">
        <v>210.92</v>
      </c>
      <c r="C570" s="106">
        <v>208.10999999999999</v>
      </c>
      <c r="D570" s="106">
        <v>206.21999999999997</v>
      </c>
      <c r="E570" s="106">
        <v>210.92</v>
      </c>
      <c r="F570" s="106">
        <v>1040.55</v>
      </c>
      <c r="G570">
        <v>10169</v>
      </c>
      <c r="H570" s="106"/>
      <c r="I570" s="106"/>
      <c r="L570" s="143">
        <v>42843</v>
      </c>
      <c r="M570" s="106">
        <v>209.74</v>
      </c>
      <c r="N570" s="106">
        <v>211.69</v>
      </c>
      <c r="O570" s="106">
        <v>208.49</v>
      </c>
      <c r="P570" s="106">
        <v>211.28000000000003</v>
      </c>
      <c r="Q570" s="106">
        <v>1048.7</v>
      </c>
      <c r="R570">
        <v>239035</v>
      </c>
    </row>
    <row r="571" spans="1:18" x14ac:dyDescent="0.25">
      <c r="A571" s="143">
        <v>42844</v>
      </c>
      <c r="B571" s="106">
        <v>209.9</v>
      </c>
      <c r="C571" s="106">
        <v>202.10999999999999</v>
      </c>
      <c r="D571" s="106">
        <v>199.57</v>
      </c>
      <c r="E571" s="106">
        <v>209.1</v>
      </c>
      <c r="F571" s="106">
        <v>1010.55</v>
      </c>
      <c r="G571">
        <v>45421</v>
      </c>
      <c r="H571" s="106"/>
      <c r="I571" s="106"/>
      <c r="L571" s="143">
        <v>42844</v>
      </c>
      <c r="M571" s="106">
        <v>201.89000000000001</v>
      </c>
      <c r="N571" s="106">
        <v>210</v>
      </c>
      <c r="O571" s="106">
        <v>199.75</v>
      </c>
      <c r="P571" s="106">
        <v>209.65</v>
      </c>
      <c r="Q571" s="106">
        <v>1009.45</v>
      </c>
      <c r="R571">
        <v>909418</v>
      </c>
    </row>
    <row r="572" spans="1:18" x14ac:dyDescent="0.25">
      <c r="A572" s="143">
        <v>42845</v>
      </c>
      <c r="B572" s="106">
        <v>215.76</v>
      </c>
      <c r="C572" s="106">
        <v>206.23000000000002</v>
      </c>
      <c r="D572" s="106">
        <v>205.41</v>
      </c>
      <c r="E572" s="106">
        <v>210</v>
      </c>
      <c r="F572" s="106">
        <v>1031.1500000000001</v>
      </c>
      <c r="G572">
        <v>13862</v>
      </c>
      <c r="H572" s="106"/>
      <c r="I572" s="106"/>
      <c r="L572" s="143">
        <v>42845</v>
      </c>
      <c r="M572" s="106">
        <v>206.8</v>
      </c>
      <c r="N572" s="106">
        <v>210</v>
      </c>
      <c r="O572" s="106">
        <v>204.41</v>
      </c>
      <c r="P572" s="106">
        <v>206</v>
      </c>
      <c r="Q572" s="106">
        <v>1034</v>
      </c>
      <c r="R572">
        <v>547403</v>
      </c>
    </row>
    <row r="573" spans="1:18" x14ac:dyDescent="0.25">
      <c r="A573" s="143">
        <v>42846</v>
      </c>
      <c r="B573" s="106">
        <v>211.9</v>
      </c>
      <c r="C573" s="106">
        <v>210.01999999999998</v>
      </c>
      <c r="D573" s="106">
        <v>208.74</v>
      </c>
      <c r="E573" s="106">
        <v>209.79000000000002</v>
      </c>
      <c r="F573" s="106">
        <v>1050.0999999999999</v>
      </c>
      <c r="G573">
        <v>14191</v>
      </c>
      <c r="H573" s="106"/>
      <c r="I573" s="106"/>
      <c r="L573" s="143">
        <v>42846</v>
      </c>
      <c r="M573" s="106">
        <v>210.85</v>
      </c>
      <c r="N573" s="106">
        <v>212.04000000000002</v>
      </c>
      <c r="O573" s="106">
        <v>207.20999999999998</v>
      </c>
      <c r="P573" s="106">
        <v>207.20999999999998</v>
      </c>
      <c r="Q573" s="106">
        <v>1054.25</v>
      </c>
      <c r="R573">
        <v>139787</v>
      </c>
    </row>
    <row r="574" spans="1:18" x14ac:dyDescent="0.25">
      <c r="A574" s="143">
        <v>42849</v>
      </c>
      <c r="B574" s="106">
        <v>222.8</v>
      </c>
      <c r="C574" s="106">
        <v>219.26999999999998</v>
      </c>
      <c r="D574" s="106">
        <v>210.20999999999998</v>
      </c>
      <c r="E574" s="106">
        <v>211.2</v>
      </c>
      <c r="F574" s="106">
        <v>1096.3499999999999</v>
      </c>
      <c r="G574">
        <v>23784</v>
      </c>
      <c r="H574" s="106"/>
      <c r="I574" s="106"/>
      <c r="L574" s="143">
        <v>42849</v>
      </c>
      <c r="M574" s="106">
        <v>219.24</v>
      </c>
      <c r="N574" s="106">
        <v>222.94</v>
      </c>
      <c r="O574" s="106">
        <v>210.8</v>
      </c>
      <c r="P574" s="106">
        <v>212.85999999999999</v>
      </c>
      <c r="Q574" s="106">
        <v>1096.2</v>
      </c>
      <c r="R574">
        <v>187936</v>
      </c>
    </row>
    <row r="575" spans="1:18" x14ac:dyDescent="0.25">
      <c r="A575" s="143">
        <v>42850</v>
      </c>
      <c r="B575" s="106">
        <v>223.56</v>
      </c>
      <c r="C575" s="106">
        <v>221.10999999999999</v>
      </c>
      <c r="D575" s="106">
        <v>217</v>
      </c>
      <c r="E575" s="106">
        <v>220.20999999999998</v>
      </c>
      <c r="F575" s="106">
        <v>1105.55</v>
      </c>
      <c r="G575">
        <v>11519</v>
      </c>
      <c r="H575" s="106"/>
      <c r="I575" s="106"/>
      <c r="L575" s="143">
        <v>42850</v>
      </c>
      <c r="M575" s="106">
        <v>221.41</v>
      </c>
      <c r="N575" s="106">
        <v>223.94</v>
      </c>
      <c r="O575" s="106">
        <v>217</v>
      </c>
      <c r="P575" s="106">
        <v>219.99</v>
      </c>
      <c r="Q575" s="106">
        <v>1107.05</v>
      </c>
      <c r="R575">
        <v>109413</v>
      </c>
    </row>
    <row r="576" spans="1:18" x14ac:dyDescent="0.25">
      <c r="A576" s="143">
        <v>42851</v>
      </c>
      <c r="B576" s="106">
        <v>229.70999999999998</v>
      </c>
      <c r="C576" s="106">
        <v>227.20999999999998</v>
      </c>
      <c r="D576" s="106">
        <v>220.5</v>
      </c>
      <c r="E576" s="106">
        <v>220.5</v>
      </c>
      <c r="F576" s="106">
        <v>1136.05</v>
      </c>
      <c r="G576">
        <v>24881</v>
      </c>
      <c r="H576" s="106"/>
      <c r="I576" s="106"/>
      <c r="L576" s="143">
        <v>42851</v>
      </c>
      <c r="M576" s="106">
        <v>227.54000000000002</v>
      </c>
      <c r="N576" s="106">
        <v>229.99</v>
      </c>
      <c r="O576" s="106">
        <v>218.61999999999998</v>
      </c>
      <c r="P576" s="106">
        <v>222</v>
      </c>
      <c r="Q576" s="106">
        <v>1137.7</v>
      </c>
      <c r="R576">
        <v>186236</v>
      </c>
    </row>
    <row r="577" spans="1:18" x14ac:dyDescent="0.25">
      <c r="A577" s="143">
        <v>42852</v>
      </c>
      <c r="B577" s="106">
        <v>233</v>
      </c>
      <c r="C577" s="106">
        <v>225.46999999999997</v>
      </c>
      <c r="D577" s="106">
        <v>211.98000000000002</v>
      </c>
      <c r="E577" s="106">
        <v>230</v>
      </c>
      <c r="F577" s="106">
        <v>1127.3499999999999</v>
      </c>
      <c r="G577">
        <v>8734</v>
      </c>
      <c r="H577" s="106"/>
      <c r="I577" s="106"/>
      <c r="L577" s="143">
        <v>42852</v>
      </c>
      <c r="M577" s="106">
        <v>221.08</v>
      </c>
      <c r="N577" s="106">
        <v>229.95999999999998</v>
      </c>
      <c r="O577" s="106">
        <v>218.42</v>
      </c>
      <c r="P577" s="106">
        <v>229.95999999999998</v>
      </c>
      <c r="Q577" s="106">
        <v>1105.4000000000001</v>
      </c>
      <c r="R577">
        <v>120617</v>
      </c>
    </row>
    <row r="578" spans="1:18" x14ac:dyDescent="0.25">
      <c r="A578" s="143">
        <v>42853</v>
      </c>
      <c r="B578" s="106">
        <v>227.95999999999998</v>
      </c>
      <c r="C578" s="106">
        <v>222.23000000000002</v>
      </c>
      <c r="D578" s="106">
        <v>221.4</v>
      </c>
      <c r="E578" s="106">
        <v>223.60999999999999</v>
      </c>
      <c r="F578" s="106">
        <v>1111.1500000000001</v>
      </c>
      <c r="G578">
        <v>13428</v>
      </c>
      <c r="H578" s="106"/>
      <c r="I578" s="106"/>
      <c r="L578" s="143">
        <v>42853</v>
      </c>
      <c r="M578" s="106">
        <v>222.35999999999999</v>
      </c>
      <c r="N578" s="106">
        <v>227.76</v>
      </c>
      <c r="O578" s="106">
        <v>221.36999999999998</v>
      </c>
      <c r="P578" s="106">
        <v>224</v>
      </c>
      <c r="Q578" s="106">
        <v>1111.8</v>
      </c>
      <c r="R578">
        <v>243721</v>
      </c>
    </row>
    <row r="579" spans="1:18" x14ac:dyDescent="0.25">
      <c r="A579" s="143">
        <v>42857</v>
      </c>
      <c r="B579" s="106">
        <v>224.7</v>
      </c>
      <c r="C579" s="106">
        <v>217.69</v>
      </c>
      <c r="D579" s="106">
        <v>216.61999999999998</v>
      </c>
      <c r="E579" s="106">
        <v>222.4</v>
      </c>
      <c r="F579" s="106">
        <v>1088.45</v>
      </c>
      <c r="G579">
        <v>20650</v>
      </c>
      <c r="H579" s="106"/>
      <c r="I579" s="106"/>
      <c r="L579" s="143">
        <v>42857</v>
      </c>
      <c r="M579" s="106">
        <v>218.4</v>
      </c>
      <c r="N579" s="106">
        <v>227</v>
      </c>
      <c r="O579" s="106">
        <v>217.10999999999999</v>
      </c>
      <c r="P579" s="106">
        <v>222.60999999999999</v>
      </c>
      <c r="Q579" s="106">
        <v>1092</v>
      </c>
      <c r="R579">
        <v>239078</v>
      </c>
    </row>
    <row r="580" spans="1:18" x14ac:dyDescent="0.25">
      <c r="A580" s="143">
        <v>42858</v>
      </c>
      <c r="B580" s="106">
        <v>220.6</v>
      </c>
      <c r="C580" s="106">
        <v>218.07</v>
      </c>
      <c r="D580" s="106">
        <v>217.05</v>
      </c>
      <c r="E580" s="106">
        <v>220.4</v>
      </c>
      <c r="F580" s="106">
        <v>1090.3499999999999</v>
      </c>
      <c r="G580">
        <v>6735</v>
      </c>
      <c r="H580" s="106"/>
      <c r="I580" s="106"/>
      <c r="L580" s="143">
        <v>42858</v>
      </c>
      <c r="M580" s="106">
        <v>218.65</v>
      </c>
      <c r="N580" s="106">
        <v>221.19</v>
      </c>
      <c r="O580" s="106">
        <v>217.48000000000002</v>
      </c>
      <c r="P580" s="106">
        <v>220</v>
      </c>
      <c r="Q580" s="106">
        <v>1093.25</v>
      </c>
      <c r="R580">
        <v>247775</v>
      </c>
    </row>
    <row r="581" spans="1:18" x14ac:dyDescent="0.25">
      <c r="A581" s="143">
        <v>42859</v>
      </c>
      <c r="B581" s="106">
        <v>220.6</v>
      </c>
      <c r="C581" s="106">
        <v>216.01</v>
      </c>
      <c r="D581" s="106">
        <v>214.25</v>
      </c>
      <c r="E581" s="106">
        <v>219.11999999999998</v>
      </c>
      <c r="F581" s="106">
        <v>1080.05</v>
      </c>
      <c r="G581">
        <v>12925</v>
      </c>
      <c r="H581" s="106"/>
      <c r="I581" s="106"/>
      <c r="L581" s="143">
        <v>42859</v>
      </c>
      <c r="M581" s="106">
        <v>217.01</v>
      </c>
      <c r="N581" s="106">
        <v>221</v>
      </c>
      <c r="O581" s="106">
        <v>214.05</v>
      </c>
      <c r="P581" s="106">
        <v>218.4</v>
      </c>
      <c r="Q581" s="106">
        <v>1085.05</v>
      </c>
      <c r="R581">
        <v>212043</v>
      </c>
    </row>
    <row r="582" spans="1:18" x14ac:dyDescent="0.25">
      <c r="A582" s="143">
        <v>42860</v>
      </c>
      <c r="B582" s="106">
        <v>220.7</v>
      </c>
      <c r="C582" s="106">
        <v>217.64000000000001</v>
      </c>
      <c r="D582" s="106">
        <v>215.95</v>
      </c>
      <c r="E582" s="106">
        <v>215.95</v>
      </c>
      <c r="F582" s="106">
        <v>1088.2</v>
      </c>
      <c r="G582">
        <v>11378</v>
      </c>
      <c r="H582" s="106"/>
      <c r="I582" s="106"/>
      <c r="L582" s="143">
        <v>42860</v>
      </c>
      <c r="M582" s="106">
        <v>218.21999999999997</v>
      </c>
      <c r="N582" s="106">
        <v>221.2</v>
      </c>
      <c r="O582" s="106">
        <v>214.82</v>
      </c>
      <c r="P582" s="106">
        <v>214.82</v>
      </c>
      <c r="Q582" s="106">
        <v>1091.0999999999999</v>
      </c>
      <c r="R582">
        <v>191772</v>
      </c>
    </row>
    <row r="583" spans="1:18" x14ac:dyDescent="0.25">
      <c r="A583" s="143">
        <v>42863</v>
      </c>
      <c r="B583" s="106">
        <v>222</v>
      </c>
      <c r="C583" s="106">
        <v>217.55</v>
      </c>
      <c r="D583" s="106">
        <v>217</v>
      </c>
      <c r="E583" s="106">
        <v>219</v>
      </c>
      <c r="F583" s="106">
        <v>1087.75</v>
      </c>
      <c r="G583">
        <v>4299</v>
      </c>
      <c r="H583" s="106"/>
      <c r="I583" s="106"/>
      <c r="L583" s="143">
        <v>42863</v>
      </c>
      <c r="M583" s="106">
        <v>218.04000000000002</v>
      </c>
      <c r="N583" s="106">
        <v>223</v>
      </c>
      <c r="O583" s="106">
        <v>217</v>
      </c>
      <c r="P583" s="106">
        <v>221</v>
      </c>
      <c r="Q583" s="106">
        <v>1090.2</v>
      </c>
      <c r="R583">
        <v>64473</v>
      </c>
    </row>
    <row r="584" spans="1:18" x14ac:dyDescent="0.25">
      <c r="A584" s="143">
        <v>42864</v>
      </c>
      <c r="B584" s="106">
        <v>220.25</v>
      </c>
      <c r="C584" s="106">
        <v>214.73000000000002</v>
      </c>
      <c r="D584" s="106">
        <v>214</v>
      </c>
      <c r="E584" s="106">
        <v>217.4</v>
      </c>
      <c r="F584" s="106">
        <v>1073.6500000000001</v>
      </c>
      <c r="G584">
        <v>10853</v>
      </c>
      <c r="H584" s="106"/>
      <c r="I584" s="106"/>
      <c r="L584" s="143">
        <v>42864</v>
      </c>
      <c r="M584" s="106">
        <v>215.70999999999998</v>
      </c>
      <c r="N584" s="106">
        <v>220.8</v>
      </c>
      <c r="O584" s="106">
        <v>214.63000000000002</v>
      </c>
      <c r="P584" s="106">
        <v>218.2</v>
      </c>
      <c r="Q584" s="106">
        <v>1078.55</v>
      </c>
      <c r="R584">
        <v>102182</v>
      </c>
    </row>
    <row r="585" spans="1:18" x14ac:dyDescent="0.25">
      <c r="A585" s="143">
        <v>42865</v>
      </c>
      <c r="B585" s="106">
        <v>219.2</v>
      </c>
      <c r="C585" s="106">
        <v>217.18</v>
      </c>
      <c r="D585" s="106">
        <v>216.20999999999998</v>
      </c>
      <c r="E585" s="106">
        <v>217</v>
      </c>
      <c r="F585" s="106">
        <v>1085.9000000000001</v>
      </c>
      <c r="G585">
        <v>10770</v>
      </c>
      <c r="H585" s="106"/>
      <c r="I585" s="106"/>
      <c r="L585" s="143">
        <v>42865</v>
      </c>
      <c r="M585" s="106">
        <v>217.57</v>
      </c>
      <c r="N585" s="106">
        <v>219.54000000000002</v>
      </c>
      <c r="O585" s="106">
        <v>216</v>
      </c>
      <c r="P585" s="106">
        <v>216</v>
      </c>
      <c r="Q585" s="106">
        <v>1087.8499999999999</v>
      </c>
      <c r="R585">
        <v>178150</v>
      </c>
    </row>
    <row r="586" spans="1:18" x14ac:dyDescent="0.25">
      <c r="A586" s="143">
        <v>42866</v>
      </c>
      <c r="B586" s="106">
        <v>221.59</v>
      </c>
      <c r="C586" s="106">
        <v>219.2</v>
      </c>
      <c r="D586" s="106">
        <v>218.3</v>
      </c>
      <c r="E586" s="106">
        <v>219.2</v>
      </c>
      <c r="F586" s="106">
        <v>1096</v>
      </c>
      <c r="G586">
        <v>3533</v>
      </c>
      <c r="H586" s="106"/>
      <c r="I586" s="106"/>
      <c r="L586" s="143">
        <v>42866</v>
      </c>
      <c r="M586" s="106">
        <v>218.88000000000002</v>
      </c>
      <c r="N586" s="106">
        <v>221.6</v>
      </c>
      <c r="O586" s="106">
        <v>218.26</v>
      </c>
      <c r="P586" s="106">
        <v>218.95999999999998</v>
      </c>
      <c r="Q586" s="106">
        <v>1094.4000000000001</v>
      </c>
      <c r="R586">
        <v>232310</v>
      </c>
    </row>
    <row r="587" spans="1:18" x14ac:dyDescent="0.25">
      <c r="A587" s="143">
        <v>42867</v>
      </c>
      <c r="B587" s="106">
        <v>219.2</v>
      </c>
      <c r="C587" s="106">
        <v>213.20999999999998</v>
      </c>
      <c r="D587" s="106">
        <v>212</v>
      </c>
      <c r="E587" s="106">
        <v>219.2</v>
      </c>
      <c r="F587" s="106">
        <v>1066.05</v>
      </c>
      <c r="G587">
        <v>8291</v>
      </c>
      <c r="H587" s="106"/>
      <c r="I587" s="106"/>
      <c r="L587" s="143">
        <v>42867</v>
      </c>
      <c r="M587" s="106">
        <v>213.86999999999998</v>
      </c>
      <c r="N587" s="106">
        <v>221.38000000000002</v>
      </c>
      <c r="O587" s="106">
        <v>211.7</v>
      </c>
      <c r="P587" s="106">
        <v>221.38000000000002</v>
      </c>
      <c r="Q587" s="106">
        <v>1069.3499999999999</v>
      </c>
      <c r="R587">
        <v>252721</v>
      </c>
    </row>
    <row r="588" spans="1:18" x14ac:dyDescent="0.25">
      <c r="A588" s="143">
        <v>42870</v>
      </c>
      <c r="B588" s="106">
        <v>214.7</v>
      </c>
      <c r="C588" s="106">
        <v>209.9</v>
      </c>
      <c r="D588" s="106">
        <v>208.28000000000003</v>
      </c>
      <c r="E588" s="106">
        <v>213.3</v>
      </c>
      <c r="F588" s="106">
        <v>1049.5</v>
      </c>
      <c r="G588">
        <v>6221</v>
      </c>
      <c r="H588" s="106"/>
      <c r="I588" s="106"/>
      <c r="L588" s="143">
        <v>42870</v>
      </c>
      <c r="M588" s="106">
        <v>209.92</v>
      </c>
      <c r="N588" s="106">
        <v>214.95</v>
      </c>
      <c r="O588" s="106">
        <v>208.58</v>
      </c>
      <c r="P588" s="106">
        <v>212.8</v>
      </c>
      <c r="Q588" s="106">
        <v>1049.5999999999999</v>
      </c>
      <c r="R588">
        <v>288122</v>
      </c>
    </row>
    <row r="589" spans="1:18" x14ac:dyDescent="0.25">
      <c r="A589" s="143">
        <v>42871</v>
      </c>
      <c r="B589" s="106">
        <v>211.4</v>
      </c>
      <c r="C589" s="106">
        <v>203.39000000000001</v>
      </c>
      <c r="D589" s="106">
        <v>199.6</v>
      </c>
      <c r="E589" s="106">
        <v>209.35999999999999</v>
      </c>
      <c r="F589" s="106">
        <v>1016.95</v>
      </c>
      <c r="G589">
        <v>226077</v>
      </c>
      <c r="H589" s="106"/>
      <c r="I589" s="106"/>
      <c r="L589" s="143">
        <v>42871</v>
      </c>
      <c r="M589" s="106">
        <v>204.96999999999997</v>
      </c>
      <c r="N589" s="106">
        <v>211.8</v>
      </c>
      <c r="O589" s="106">
        <v>200.32999999999998</v>
      </c>
      <c r="P589" s="106">
        <v>209.45999999999998</v>
      </c>
      <c r="Q589" s="106">
        <v>1024.8499999999999</v>
      </c>
      <c r="R589">
        <v>457237</v>
      </c>
    </row>
    <row r="590" spans="1:18" x14ac:dyDescent="0.25">
      <c r="A590" s="143">
        <v>42872</v>
      </c>
      <c r="B590" s="106">
        <v>210.51999999999998</v>
      </c>
      <c r="C590" s="106">
        <v>208.41</v>
      </c>
      <c r="D590" s="106">
        <v>204.84</v>
      </c>
      <c r="E590" s="106">
        <v>205.7</v>
      </c>
      <c r="F590" s="106">
        <v>1042.05</v>
      </c>
      <c r="G590">
        <v>8979</v>
      </c>
      <c r="H590" s="106"/>
      <c r="I590" s="106"/>
      <c r="L590" s="143">
        <v>42872</v>
      </c>
      <c r="M590" s="106">
        <v>208.85999999999999</v>
      </c>
      <c r="N590" s="106">
        <v>210.51999999999998</v>
      </c>
      <c r="O590" s="106">
        <v>205.01</v>
      </c>
      <c r="P590" s="106">
        <v>205.01</v>
      </c>
      <c r="Q590" s="106">
        <v>1044.3</v>
      </c>
      <c r="R590">
        <v>425152</v>
      </c>
    </row>
    <row r="591" spans="1:18" x14ac:dyDescent="0.25">
      <c r="A591" s="143">
        <v>42873</v>
      </c>
      <c r="B591" s="106">
        <v>210</v>
      </c>
      <c r="C591" s="106">
        <v>206.08</v>
      </c>
      <c r="D591" s="106">
        <v>205.20999999999998</v>
      </c>
      <c r="E591" s="106">
        <v>206.94</v>
      </c>
      <c r="F591" s="106">
        <v>1030.4000000000001</v>
      </c>
      <c r="G591">
        <v>3901</v>
      </c>
      <c r="H591" s="106"/>
      <c r="I591" s="106"/>
      <c r="L591" s="143">
        <v>42873</v>
      </c>
      <c r="M591" s="106">
        <v>207</v>
      </c>
      <c r="N591" s="106">
        <v>210.13000000000002</v>
      </c>
      <c r="O591" s="106">
        <v>205.35999999999999</v>
      </c>
      <c r="P591" s="106">
        <v>207</v>
      </c>
      <c r="Q591" s="106">
        <v>1035</v>
      </c>
      <c r="R591">
        <v>306088</v>
      </c>
    </row>
    <row r="592" spans="1:18" x14ac:dyDescent="0.25">
      <c r="A592" s="143">
        <v>42874</v>
      </c>
      <c r="B592" s="106">
        <v>211.74</v>
      </c>
      <c r="C592" s="106">
        <v>207.17</v>
      </c>
      <c r="D592" s="106">
        <v>205.24</v>
      </c>
      <c r="E592" s="106">
        <v>211.74</v>
      </c>
      <c r="F592" s="106">
        <v>1035.8499999999999</v>
      </c>
      <c r="G592">
        <v>4879</v>
      </c>
      <c r="H592" s="106"/>
      <c r="I592" s="106"/>
      <c r="L592" s="143">
        <v>42874</v>
      </c>
      <c r="M592" s="106">
        <v>207.99</v>
      </c>
      <c r="N592" s="106">
        <v>211.09</v>
      </c>
      <c r="O592" s="106">
        <v>205.2</v>
      </c>
      <c r="P592" s="106">
        <v>210.8</v>
      </c>
      <c r="Q592" s="106">
        <v>1039.95</v>
      </c>
      <c r="R592">
        <v>158481</v>
      </c>
    </row>
    <row r="593" spans="1:18" x14ac:dyDescent="0.25">
      <c r="A593" s="143">
        <v>42877</v>
      </c>
      <c r="B593" s="106">
        <v>209.99</v>
      </c>
      <c r="C593" s="106">
        <v>208.65</v>
      </c>
      <c r="D593" s="106">
        <v>203.95999999999998</v>
      </c>
      <c r="E593" s="106">
        <v>209.04000000000002</v>
      </c>
      <c r="F593" s="106">
        <v>1043.25</v>
      </c>
      <c r="G593">
        <v>8277</v>
      </c>
      <c r="H593" s="106"/>
      <c r="I593" s="106"/>
      <c r="L593" s="143">
        <v>42877</v>
      </c>
      <c r="M593" s="106">
        <v>208.42</v>
      </c>
      <c r="N593" s="106">
        <v>210.31</v>
      </c>
      <c r="O593" s="106">
        <v>203.02</v>
      </c>
      <c r="P593" s="106">
        <v>208</v>
      </c>
      <c r="Q593" s="106">
        <v>1042.0999999999999</v>
      </c>
      <c r="R593">
        <v>225557</v>
      </c>
    </row>
    <row r="594" spans="1:18" x14ac:dyDescent="0.25">
      <c r="A594" s="143">
        <v>42878</v>
      </c>
      <c r="B594" s="106">
        <v>207.66</v>
      </c>
      <c r="C594" s="106">
        <v>203.73</v>
      </c>
      <c r="D594" s="106">
        <v>200.55</v>
      </c>
      <c r="E594" s="106">
        <v>207.66</v>
      </c>
      <c r="F594" s="106">
        <v>1018.65</v>
      </c>
      <c r="G594">
        <v>9658</v>
      </c>
      <c r="H594" s="106"/>
      <c r="I594" s="106"/>
      <c r="L594" s="143">
        <v>42878</v>
      </c>
      <c r="M594" s="106">
        <v>204.13</v>
      </c>
      <c r="N594" s="106">
        <v>209.98000000000002</v>
      </c>
      <c r="O594" s="106">
        <v>200.44</v>
      </c>
      <c r="P594" s="106">
        <v>209.45999999999998</v>
      </c>
      <c r="Q594" s="106">
        <v>1020.65</v>
      </c>
      <c r="R594">
        <v>451460</v>
      </c>
    </row>
    <row r="595" spans="1:18" x14ac:dyDescent="0.25">
      <c r="A595" s="143">
        <v>42879</v>
      </c>
      <c r="B595" s="106">
        <v>205.51999999999998</v>
      </c>
      <c r="C595" s="106">
        <v>200.79000000000002</v>
      </c>
      <c r="D595" s="106">
        <v>199.8</v>
      </c>
      <c r="E595" s="106">
        <v>204.24</v>
      </c>
      <c r="F595" s="106">
        <v>1003.95</v>
      </c>
      <c r="G595">
        <v>7669</v>
      </c>
      <c r="H595" s="106"/>
      <c r="I595" s="106"/>
      <c r="L595" s="143">
        <v>42879</v>
      </c>
      <c r="M595" s="106">
        <v>201.75</v>
      </c>
      <c r="N595" s="106">
        <v>205.61999999999998</v>
      </c>
      <c r="O595" s="106">
        <v>200</v>
      </c>
      <c r="P595" s="106">
        <v>204.32</v>
      </c>
      <c r="Q595" s="106">
        <v>1008.75</v>
      </c>
      <c r="R595">
        <v>168125</v>
      </c>
    </row>
    <row r="596" spans="1:18" x14ac:dyDescent="0.25">
      <c r="A596" s="143">
        <v>42880</v>
      </c>
      <c r="B596" s="106">
        <v>203.2</v>
      </c>
      <c r="C596" s="106">
        <v>198.92000000000002</v>
      </c>
      <c r="D596" s="106">
        <v>197.2</v>
      </c>
      <c r="E596" s="106">
        <v>202.48</v>
      </c>
      <c r="F596" s="106">
        <v>994.6</v>
      </c>
      <c r="G596">
        <v>13947</v>
      </c>
      <c r="H596" s="106"/>
      <c r="I596" s="106"/>
      <c r="L596" s="143">
        <v>42880</v>
      </c>
      <c r="M596" s="106">
        <v>198.48</v>
      </c>
      <c r="N596" s="106">
        <v>202.99</v>
      </c>
      <c r="O596" s="106">
        <v>197.05</v>
      </c>
      <c r="P596" s="106">
        <v>202.99</v>
      </c>
      <c r="Q596" s="106">
        <v>992.4</v>
      </c>
      <c r="R596">
        <v>264268</v>
      </c>
    </row>
    <row r="597" spans="1:18" x14ac:dyDescent="0.25">
      <c r="A597" s="143">
        <v>42881</v>
      </c>
      <c r="B597" s="106">
        <v>209</v>
      </c>
      <c r="C597" s="106">
        <v>202.49</v>
      </c>
      <c r="D597" s="106">
        <v>199.81</v>
      </c>
      <c r="E597" s="106">
        <v>209</v>
      </c>
      <c r="F597" s="106">
        <v>1012.45</v>
      </c>
      <c r="G597">
        <v>2584</v>
      </c>
      <c r="H597" s="106"/>
      <c r="I597" s="106"/>
      <c r="L597" s="143">
        <v>42881</v>
      </c>
      <c r="M597" s="106">
        <v>201.99</v>
      </c>
      <c r="N597" s="106">
        <v>203.98</v>
      </c>
      <c r="O597" s="106">
        <v>200.3</v>
      </c>
      <c r="P597" s="106">
        <v>200.3</v>
      </c>
      <c r="Q597" s="106">
        <v>1009.95</v>
      </c>
      <c r="R597">
        <v>299791</v>
      </c>
    </row>
    <row r="598" spans="1:18" x14ac:dyDescent="0.25">
      <c r="A598" s="143">
        <v>42884</v>
      </c>
      <c r="B598" s="106">
        <v>208.42</v>
      </c>
      <c r="C598" s="106">
        <v>206.41</v>
      </c>
      <c r="D598" s="106">
        <v>204.4</v>
      </c>
      <c r="E598" s="106">
        <v>204.6</v>
      </c>
      <c r="F598" s="106">
        <v>1032.05</v>
      </c>
      <c r="G598">
        <v>162099</v>
      </c>
      <c r="H598" s="106"/>
      <c r="I598" s="106"/>
      <c r="L598" s="143">
        <v>42884</v>
      </c>
      <c r="M598" s="106">
        <v>206.4</v>
      </c>
      <c r="N598" s="106">
        <v>209</v>
      </c>
      <c r="O598" s="106">
        <v>203.06</v>
      </c>
      <c r="P598" s="106">
        <v>204</v>
      </c>
      <c r="Q598" s="106">
        <v>1032</v>
      </c>
      <c r="R598">
        <v>602512</v>
      </c>
    </row>
    <row r="599" spans="1:18" x14ac:dyDescent="0.25">
      <c r="A599" s="143">
        <v>42885</v>
      </c>
      <c r="B599" s="106">
        <v>206.46999999999997</v>
      </c>
      <c r="C599" s="106">
        <v>200.05</v>
      </c>
      <c r="D599" s="106">
        <v>198.3</v>
      </c>
      <c r="E599" s="106">
        <v>204.74</v>
      </c>
      <c r="F599" s="106">
        <v>1000.25</v>
      </c>
      <c r="G599">
        <v>780429</v>
      </c>
      <c r="H599" s="106"/>
      <c r="I599" s="106"/>
      <c r="L599" s="143">
        <v>42885</v>
      </c>
      <c r="M599" s="106">
        <v>199.87</v>
      </c>
      <c r="N599" s="106">
        <v>208.08</v>
      </c>
      <c r="O599" s="106">
        <v>198.27</v>
      </c>
      <c r="P599" s="106">
        <v>208.08</v>
      </c>
      <c r="Q599" s="106">
        <v>999.35</v>
      </c>
      <c r="R599">
        <v>347107</v>
      </c>
    </row>
    <row r="600" spans="1:18" x14ac:dyDescent="0.25">
      <c r="A600" s="143">
        <v>42886</v>
      </c>
      <c r="B600" s="106">
        <v>206.66</v>
      </c>
      <c r="C600" s="106">
        <v>205.4</v>
      </c>
      <c r="D600" s="106">
        <v>200</v>
      </c>
      <c r="E600" s="106">
        <v>202.4</v>
      </c>
      <c r="F600" s="106">
        <v>1027</v>
      </c>
      <c r="G600">
        <v>8973</v>
      </c>
      <c r="H600" s="106"/>
      <c r="I600" s="106"/>
      <c r="L600" s="143">
        <v>42886</v>
      </c>
      <c r="M600" s="106">
        <v>205.57</v>
      </c>
      <c r="N600" s="106">
        <v>206.75</v>
      </c>
      <c r="O600" s="106">
        <v>199.37</v>
      </c>
      <c r="P600" s="106">
        <v>201.8</v>
      </c>
      <c r="Q600" s="106">
        <v>1027.8499999999999</v>
      </c>
      <c r="R600">
        <v>253204</v>
      </c>
    </row>
    <row r="601" spans="1:18" x14ac:dyDescent="0.25">
      <c r="A601" s="143">
        <v>42887</v>
      </c>
      <c r="B601" s="106">
        <v>211.2</v>
      </c>
      <c r="C601" s="106">
        <v>207.61999999999998</v>
      </c>
      <c r="D601" s="106">
        <v>204.13</v>
      </c>
      <c r="E601" s="106">
        <v>205.4</v>
      </c>
      <c r="F601" s="106">
        <v>1038.0999999999999</v>
      </c>
      <c r="G601">
        <v>20838</v>
      </c>
      <c r="H601" s="106"/>
      <c r="I601" s="106"/>
      <c r="L601" s="143">
        <v>42887</v>
      </c>
      <c r="M601" s="106">
        <v>208.26</v>
      </c>
      <c r="N601" s="106">
        <v>211.49</v>
      </c>
      <c r="O601" s="106">
        <v>203.79000000000002</v>
      </c>
      <c r="P601" s="106">
        <v>205.4</v>
      </c>
      <c r="Q601" s="106">
        <v>1041.3</v>
      </c>
      <c r="R601">
        <v>206726</v>
      </c>
    </row>
    <row r="602" spans="1:18" x14ac:dyDescent="0.25">
      <c r="A602" s="143">
        <v>42888</v>
      </c>
      <c r="B602" s="106">
        <v>209.96999999999997</v>
      </c>
      <c r="C602" s="106">
        <v>206.75</v>
      </c>
      <c r="D602" s="106">
        <v>205.76</v>
      </c>
      <c r="E602" s="106">
        <v>209</v>
      </c>
      <c r="F602" s="106">
        <v>1033.75</v>
      </c>
      <c r="G602">
        <v>5548</v>
      </c>
      <c r="H602" s="106"/>
      <c r="I602" s="106"/>
      <c r="L602" s="143">
        <v>42888</v>
      </c>
      <c r="M602" s="106">
        <v>207.01999999999998</v>
      </c>
      <c r="N602" s="106">
        <v>210.3</v>
      </c>
      <c r="O602" s="106">
        <v>205.59</v>
      </c>
      <c r="P602" s="106">
        <v>208.6</v>
      </c>
      <c r="Q602" s="106">
        <v>1035.0999999999999</v>
      </c>
      <c r="R602">
        <v>121869</v>
      </c>
    </row>
    <row r="603" spans="1:18" x14ac:dyDescent="0.25">
      <c r="A603" s="143">
        <v>42891</v>
      </c>
      <c r="B603" s="106">
        <v>211.58</v>
      </c>
      <c r="C603" s="106">
        <v>209.9</v>
      </c>
      <c r="D603" s="106">
        <v>206</v>
      </c>
      <c r="E603" s="106">
        <v>208.17</v>
      </c>
      <c r="F603" s="106">
        <v>1049.5</v>
      </c>
      <c r="G603">
        <v>10488</v>
      </c>
      <c r="H603" s="106"/>
      <c r="I603" s="106"/>
      <c r="L603" s="143">
        <v>42891</v>
      </c>
      <c r="M603" s="106">
        <v>209.26999999999998</v>
      </c>
      <c r="N603" s="106">
        <v>211</v>
      </c>
      <c r="O603" s="106">
        <v>205.69</v>
      </c>
      <c r="P603" s="106">
        <v>208.92</v>
      </c>
      <c r="Q603" s="106">
        <v>1046.3499999999999</v>
      </c>
      <c r="R603">
        <v>141001</v>
      </c>
    </row>
    <row r="604" spans="1:18" x14ac:dyDescent="0.25">
      <c r="A604" s="143">
        <v>42892</v>
      </c>
      <c r="B604" s="106">
        <v>215.55</v>
      </c>
      <c r="C604" s="106">
        <v>205.79000000000002</v>
      </c>
      <c r="D604" s="106">
        <v>205</v>
      </c>
      <c r="E604" s="106">
        <v>210.99</v>
      </c>
      <c r="F604" s="106">
        <v>1028.95</v>
      </c>
      <c r="G604">
        <v>28507</v>
      </c>
      <c r="H604" s="106"/>
      <c r="I604" s="106"/>
      <c r="L604" s="143">
        <v>42892</v>
      </c>
      <c r="M604" s="106">
        <v>205.88000000000002</v>
      </c>
      <c r="N604" s="106">
        <v>215.81</v>
      </c>
      <c r="O604" s="106">
        <v>204.60999999999999</v>
      </c>
      <c r="P604" s="106">
        <v>209.81</v>
      </c>
      <c r="Q604" s="106">
        <v>1029.4000000000001</v>
      </c>
      <c r="R604">
        <v>211426</v>
      </c>
    </row>
    <row r="605" spans="1:18" x14ac:dyDescent="0.25">
      <c r="A605" s="143">
        <v>42893</v>
      </c>
      <c r="B605" s="106">
        <v>209.35</v>
      </c>
      <c r="C605" s="106">
        <v>207.99</v>
      </c>
      <c r="D605" s="106">
        <v>204.24</v>
      </c>
      <c r="E605" s="106">
        <v>204.24</v>
      </c>
      <c r="F605" s="106">
        <v>1039.95</v>
      </c>
      <c r="G605">
        <v>91631</v>
      </c>
      <c r="H605" s="106"/>
      <c r="I605" s="106"/>
      <c r="L605" s="143">
        <v>42893</v>
      </c>
      <c r="M605" s="106">
        <v>208.57</v>
      </c>
      <c r="N605" s="106">
        <v>209.96999999999997</v>
      </c>
      <c r="O605" s="106">
        <v>203.16</v>
      </c>
      <c r="P605" s="106">
        <v>207</v>
      </c>
      <c r="Q605" s="106">
        <v>1042.8499999999999</v>
      </c>
      <c r="R605">
        <v>144514</v>
      </c>
    </row>
    <row r="606" spans="1:18" x14ac:dyDescent="0.25">
      <c r="A606" s="143">
        <v>42894</v>
      </c>
      <c r="B606" s="106">
        <v>211</v>
      </c>
      <c r="C606" s="106">
        <v>207.01999999999998</v>
      </c>
      <c r="D606" s="106">
        <v>206.6</v>
      </c>
      <c r="E606" s="106">
        <v>209</v>
      </c>
      <c r="F606" s="106">
        <v>1035.0999999999999</v>
      </c>
      <c r="G606">
        <v>9808</v>
      </c>
      <c r="H606" s="106"/>
      <c r="I606" s="106"/>
      <c r="L606" s="143">
        <v>42894</v>
      </c>
      <c r="M606" s="106">
        <v>207.04000000000002</v>
      </c>
      <c r="N606" s="106">
        <v>211.01999999999998</v>
      </c>
      <c r="O606" s="106">
        <v>206.65</v>
      </c>
      <c r="P606" s="106">
        <v>210.54000000000002</v>
      </c>
      <c r="Q606" s="106">
        <v>1035.2</v>
      </c>
      <c r="R606">
        <v>122485</v>
      </c>
    </row>
    <row r="607" spans="1:18" x14ac:dyDescent="0.25">
      <c r="A607" s="143">
        <v>42895</v>
      </c>
      <c r="B607" s="106">
        <v>210.44</v>
      </c>
      <c r="C607" s="106">
        <v>208.68</v>
      </c>
      <c r="D607" s="106">
        <v>206.6</v>
      </c>
      <c r="E607" s="106">
        <v>209.31</v>
      </c>
      <c r="F607" s="106">
        <v>1043.4000000000001</v>
      </c>
      <c r="G607">
        <v>7474</v>
      </c>
      <c r="H607" s="106"/>
      <c r="I607" s="106"/>
      <c r="L607" s="143">
        <v>42895</v>
      </c>
      <c r="M607" s="106">
        <v>208.44</v>
      </c>
      <c r="N607" s="106">
        <v>210.4</v>
      </c>
      <c r="O607" s="106">
        <v>206.14000000000001</v>
      </c>
      <c r="P607" s="106">
        <v>208</v>
      </c>
      <c r="Q607" s="106">
        <v>1042.2</v>
      </c>
      <c r="R607">
        <v>523357</v>
      </c>
    </row>
    <row r="608" spans="1:18" x14ac:dyDescent="0.25">
      <c r="A608" s="143">
        <v>42898</v>
      </c>
      <c r="B608" s="106">
        <v>209.46999999999997</v>
      </c>
      <c r="C608" s="106">
        <v>207.95</v>
      </c>
      <c r="D608" s="106">
        <v>207.2</v>
      </c>
      <c r="E608" s="106">
        <v>209.32</v>
      </c>
      <c r="F608" s="106">
        <v>1039.75</v>
      </c>
      <c r="G608">
        <v>4448</v>
      </c>
      <c r="H608" s="106"/>
      <c r="I608" s="106"/>
      <c r="L608" s="143">
        <v>42898</v>
      </c>
      <c r="M608" s="106">
        <v>208.45</v>
      </c>
      <c r="N608" s="106">
        <v>210</v>
      </c>
      <c r="O608" s="106">
        <v>207.15</v>
      </c>
      <c r="P608" s="106">
        <v>210</v>
      </c>
      <c r="Q608" s="106">
        <v>1042.25</v>
      </c>
      <c r="R608">
        <v>234418</v>
      </c>
    </row>
    <row r="609" spans="1:18" x14ac:dyDescent="0.25">
      <c r="A609" s="143">
        <v>42899</v>
      </c>
      <c r="B609" s="106">
        <v>219.58</v>
      </c>
      <c r="C609" s="106">
        <v>218.56</v>
      </c>
      <c r="D609" s="106">
        <v>207.05</v>
      </c>
      <c r="E609" s="106">
        <v>208.4</v>
      </c>
      <c r="F609" s="106">
        <v>1092.8</v>
      </c>
      <c r="G609">
        <v>36782</v>
      </c>
      <c r="H609" s="106"/>
      <c r="I609" s="106"/>
      <c r="L609" s="143">
        <v>42899</v>
      </c>
      <c r="M609" s="106">
        <v>218.81</v>
      </c>
      <c r="N609" s="106">
        <v>220</v>
      </c>
      <c r="O609" s="106">
        <v>208.19</v>
      </c>
      <c r="P609" s="106">
        <v>210</v>
      </c>
      <c r="Q609" s="106">
        <v>1094.05</v>
      </c>
      <c r="R609">
        <v>351593</v>
      </c>
    </row>
    <row r="610" spans="1:18" x14ac:dyDescent="0.25">
      <c r="A610" s="143">
        <v>42900</v>
      </c>
      <c r="B610" s="106">
        <v>222.01</v>
      </c>
      <c r="C610" s="106">
        <v>218.79000000000002</v>
      </c>
      <c r="D610" s="106">
        <v>217.6</v>
      </c>
      <c r="E610" s="106">
        <v>220</v>
      </c>
      <c r="F610" s="106">
        <v>1093.95</v>
      </c>
      <c r="G610">
        <v>36443</v>
      </c>
      <c r="H610" s="106"/>
      <c r="I610" s="106"/>
      <c r="L610" s="143">
        <v>42900</v>
      </c>
      <c r="M610" s="106">
        <v>218.81</v>
      </c>
      <c r="N610" s="106">
        <v>222.2</v>
      </c>
      <c r="O610" s="106">
        <v>217.26</v>
      </c>
      <c r="P610" s="106">
        <v>221.8</v>
      </c>
      <c r="Q610" s="106">
        <v>1094.05</v>
      </c>
      <c r="R610">
        <v>507268</v>
      </c>
    </row>
    <row r="611" spans="1:18" x14ac:dyDescent="0.25">
      <c r="A611" s="143">
        <v>42901</v>
      </c>
      <c r="B611" s="106">
        <v>226.16</v>
      </c>
      <c r="C611" s="106">
        <v>222.8</v>
      </c>
      <c r="D611" s="106">
        <v>219</v>
      </c>
      <c r="E611" s="106">
        <v>219.01</v>
      </c>
      <c r="F611" s="106">
        <v>1114</v>
      </c>
      <c r="G611">
        <v>116096</v>
      </c>
      <c r="H611" s="106"/>
      <c r="I611" s="106"/>
      <c r="L611" s="143">
        <v>42901</v>
      </c>
      <c r="M611" s="106">
        <v>222.85</v>
      </c>
      <c r="N611" s="106">
        <v>226</v>
      </c>
      <c r="O611" s="106">
        <v>218.7</v>
      </c>
      <c r="P611" s="106">
        <v>219.8</v>
      </c>
      <c r="Q611" s="106">
        <v>1114.25</v>
      </c>
      <c r="R611">
        <v>351285</v>
      </c>
    </row>
    <row r="612" spans="1:18" x14ac:dyDescent="0.25">
      <c r="A612" s="143">
        <v>42902</v>
      </c>
      <c r="B612" s="106">
        <v>225.19</v>
      </c>
      <c r="C612" s="106">
        <v>218.01999999999998</v>
      </c>
      <c r="D612" s="106">
        <v>217.31</v>
      </c>
      <c r="E612" s="106">
        <v>225.19</v>
      </c>
      <c r="F612" s="106">
        <v>1090.0999999999999</v>
      </c>
      <c r="G612">
        <v>16084</v>
      </c>
      <c r="H612" s="106"/>
      <c r="I612" s="106"/>
      <c r="L612" s="143">
        <v>42902</v>
      </c>
      <c r="M612" s="106">
        <v>218.26999999999998</v>
      </c>
      <c r="N612" s="106">
        <v>225</v>
      </c>
      <c r="O612" s="106">
        <v>217.78000000000003</v>
      </c>
      <c r="P612" s="106">
        <v>223.86999999999998</v>
      </c>
      <c r="Q612" s="106">
        <v>1091.3499999999999</v>
      </c>
      <c r="R612">
        <v>162392</v>
      </c>
    </row>
    <row r="613" spans="1:18" x14ac:dyDescent="0.25">
      <c r="A613" s="143">
        <v>42905</v>
      </c>
      <c r="B613" s="106">
        <v>221.2</v>
      </c>
      <c r="C613" s="106">
        <v>217.86999999999998</v>
      </c>
      <c r="D613" s="106">
        <v>216.24</v>
      </c>
      <c r="E613" s="106">
        <v>220.48000000000002</v>
      </c>
      <c r="F613" s="106">
        <v>1089.3499999999999</v>
      </c>
      <c r="G613">
        <v>10019</v>
      </c>
      <c r="H613" s="106"/>
      <c r="I613" s="106"/>
      <c r="L613" s="143">
        <v>42905</v>
      </c>
      <c r="M613" s="106">
        <v>217.75</v>
      </c>
      <c r="N613" s="106">
        <v>221.4</v>
      </c>
      <c r="O613" s="106">
        <v>216.1</v>
      </c>
      <c r="P613" s="106">
        <v>220</v>
      </c>
      <c r="Q613" s="106">
        <v>1088.75</v>
      </c>
      <c r="R613">
        <v>279671</v>
      </c>
    </row>
    <row r="614" spans="1:18" x14ac:dyDescent="0.25">
      <c r="A614" s="143">
        <v>42906</v>
      </c>
      <c r="B614" s="106">
        <v>227.6</v>
      </c>
      <c r="C614" s="106">
        <v>226.33</v>
      </c>
      <c r="D614" s="106">
        <v>216.01</v>
      </c>
      <c r="E614" s="106">
        <v>216.01</v>
      </c>
      <c r="F614" s="106">
        <v>1131.6500000000001</v>
      </c>
      <c r="G614">
        <v>21365</v>
      </c>
      <c r="H614" s="106"/>
      <c r="I614" s="106"/>
      <c r="L614" s="143">
        <v>42906</v>
      </c>
      <c r="M614" s="106">
        <v>226.32</v>
      </c>
      <c r="N614" s="106">
        <v>227.6</v>
      </c>
      <c r="O614" s="106">
        <v>216.03000000000003</v>
      </c>
      <c r="P614" s="106">
        <v>216.4</v>
      </c>
      <c r="Q614" s="106">
        <v>1131.5999999999999</v>
      </c>
      <c r="R614">
        <v>402625</v>
      </c>
    </row>
    <row r="615" spans="1:18" x14ac:dyDescent="0.25">
      <c r="A615" s="143">
        <v>42907</v>
      </c>
      <c r="B615" s="106">
        <v>227.43</v>
      </c>
      <c r="C615" s="106">
        <v>223.38000000000002</v>
      </c>
      <c r="D615" s="106">
        <v>222</v>
      </c>
      <c r="E615" s="106">
        <v>226.2</v>
      </c>
      <c r="F615" s="106">
        <v>1116.9000000000001</v>
      </c>
      <c r="G615">
        <v>13710</v>
      </c>
      <c r="H615" s="106"/>
      <c r="I615" s="106"/>
      <c r="L615" s="143">
        <v>42907</v>
      </c>
      <c r="M615" s="106">
        <v>223.35999999999999</v>
      </c>
      <c r="N615" s="106">
        <v>227.76999999999998</v>
      </c>
      <c r="O615" s="106">
        <v>221.54000000000002</v>
      </c>
      <c r="P615" s="106">
        <v>227</v>
      </c>
      <c r="Q615" s="106">
        <v>1116.8</v>
      </c>
      <c r="R615">
        <v>164484</v>
      </c>
    </row>
    <row r="616" spans="1:18" x14ac:dyDescent="0.25">
      <c r="A616" s="143">
        <v>42908</v>
      </c>
      <c r="B616" s="106">
        <v>226.4</v>
      </c>
      <c r="C616" s="106">
        <v>217.11999999999998</v>
      </c>
      <c r="D616" s="106">
        <v>215.57</v>
      </c>
      <c r="E616" s="106">
        <v>226.08</v>
      </c>
      <c r="F616" s="106">
        <v>1085.5999999999999</v>
      </c>
      <c r="G616">
        <v>15602</v>
      </c>
      <c r="H616" s="106"/>
      <c r="I616" s="106"/>
      <c r="L616" s="143">
        <v>42908</v>
      </c>
      <c r="M616" s="106">
        <v>216.79000000000002</v>
      </c>
      <c r="N616" s="106">
        <v>226.67</v>
      </c>
      <c r="O616" s="106">
        <v>216.03000000000003</v>
      </c>
      <c r="P616" s="106">
        <v>224</v>
      </c>
      <c r="Q616" s="106">
        <v>1083.95</v>
      </c>
      <c r="R616">
        <v>377354</v>
      </c>
    </row>
    <row r="617" spans="1:18" x14ac:dyDescent="0.25">
      <c r="A617" s="143">
        <v>42909</v>
      </c>
      <c r="B617" s="106">
        <v>217.49</v>
      </c>
      <c r="C617" s="106">
        <v>212.63000000000002</v>
      </c>
      <c r="D617" s="106">
        <v>210.20999999999998</v>
      </c>
      <c r="E617" s="106">
        <v>217</v>
      </c>
      <c r="F617" s="106">
        <v>1063.1500000000001</v>
      </c>
      <c r="G617">
        <v>12452</v>
      </c>
      <c r="H617" s="106"/>
      <c r="I617" s="106"/>
      <c r="L617" s="143">
        <v>42909</v>
      </c>
      <c r="M617" s="106">
        <v>212.59</v>
      </c>
      <c r="N617" s="106">
        <v>217.8</v>
      </c>
      <c r="O617" s="106">
        <v>210.04000000000002</v>
      </c>
      <c r="P617" s="106">
        <v>216.51</v>
      </c>
      <c r="Q617" s="106">
        <v>1062.95</v>
      </c>
      <c r="R617">
        <v>280727</v>
      </c>
    </row>
    <row r="618" spans="1:18" x14ac:dyDescent="0.25">
      <c r="A618" s="143">
        <v>42913</v>
      </c>
      <c r="B618" s="106">
        <v>217.08</v>
      </c>
      <c r="C618" s="106">
        <v>215.96999999999997</v>
      </c>
      <c r="D618" s="106">
        <v>212.25</v>
      </c>
      <c r="E618" s="106">
        <v>214.19</v>
      </c>
      <c r="F618" s="106">
        <v>1079.8499999999999</v>
      </c>
      <c r="G618">
        <v>11504</v>
      </c>
      <c r="H618" s="106"/>
      <c r="I618" s="106"/>
      <c r="L618" s="143">
        <v>42913</v>
      </c>
      <c r="M618" s="106">
        <v>215.86999999999998</v>
      </c>
      <c r="N618" s="106">
        <v>217.38000000000002</v>
      </c>
      <c r="O618" s="106">
        <v>211.95999999999998</v>
      </c>
      <c r="P618" s="106">
        <v>214.4</v>
      </c>
      <c r="Q618" s="106">
        <v>1079.3499999999999</v>
      </c>
      <c r="R618">
        <v>329066</v>
      </c>
    </row>
    <row r="619" spans="1:18" x14ac:dyDescent="0.25">
      <c r="A619" s="143">
        <v>42914</v>
      </c>
      <c r="B619" s="106">
        <v>221.59</v>
      </c>
      <c r="C619" s="106">
        <v>216.26</v>
      </c>
      <c r="D619" s="106">
        <v>213.67</v>
      </c>
      <c r="E619" s="106">
        <v>221.59</v>
      </c>
      <c r="F619" s="106">
        <v>1081.3</v>
      </c>
      <c r="G619">
        <v>12683</v>
      </c>
      <c r="H619" s="106"/>
      <c r="I619" s="106"/>
      <c r="L619" s="143">
        <v>42914</v>
      </c>
      <c r="M619" s="106">
        <v>216.68</v>
      </c>
      <c r="N619" s="106">
        <v>218.73000000000002</v>
      </c>
      <c r="O619" s="106">
        <v>213.4</v>
      </c>
      <c r="P619" s="106">
        <v>217.6</v>
      </c>
      <c r="Q619" s="106">
        <v>1083.4000000000001</v>
      </c>
      <c r="R619">
        <v>89371</v>
      </c>
    </row>
    <row r="620" spans="1:18" x14ac:dyDescent="0.25">
      <c r="A620" s="143">
        <v>42915</v>
      </c>
      <c r="B620" s="106">
        <v>219.92</v>
      </c>
      <c r="C620" s="106">
        <v>218.70999999999998</v>
      </c>
      <c r="D620" s="106">
        <v>216.2</v>
      </c>
      <c r="E620" s="106">
        <v>217.53000000000003</v>
      </c>
      <c r="F620" s="106">
        <v>1093.55</v>
      </c>
      <c r="G620">
        <v>10655</v>
      </c>
      <c r="H620" s="106"/>
      <c r="I620" s="106"/>
      <c r="L620" s="143">
        <v>42915</v>
      </c>
      <c r="M620" s="106">
        <v>219.24</v>
      </c>
      <c r="N620" s="106">
        <v>220.20999999999998</v>
      </c>
      <c r="O620" s="106">
        <v>216.26999999999998</v>
      </c>
      <c r="P620" s="106">
        <v>218</v>
      </c>
      <c r="Q620" s="106">
        <v>1096.2</v>
      </c>
      <c r="R620">
        <v>120800</v>
      </c>
    </row>
    <row r="621" spans="1:18" x14ac:dyDescent="0.25">
      <c r="A621" s="143">
        <v>42916</v>
      </c>
      <c r="B621" s="106">
        <v>224.98000000000002</v>
      </c>
      <c r="C621" s="106">
        <v>223.79000000000002</v>
      </c>
      <c r="D621" s="106">
        <v>217.18</v>
      </c>
      <c r="E621" s="106">
        <v>218.99</v>
      </c>
      <c r="F621" s="106">
        <v>1118.95</v>
      </c>
      <c r="G621">
        <v>13629</v>
      </c>
      <c r="H621" s="106"/>
      <c r="I621" s="106"/>
      <c r="L621" s="143">
        <v>42916</v>
      </c>
      <c r="M621" s="106">
        <v>224.84</v>
      </c>
      <c r="N621" s="106">
        <v>225.60999999999999</v>
      </c>
      <c r="O621" s="106">
        <v>217.2</v>
      </c>
      <c r="P621" s="106">
        <v>218.01999999999998</v>
      </c>
      <c r="Q621" s="106">
        <v>1124.2</v>
      </c>
      <c r="R621">
        <v>233752</v>
      </c>
    </row>
    <row r="622" spans="1:18" x14ac:dyDescent="0.25">
      <c r="A622" s="143">
        <v>42919</v>
      </c>
      <c r="B622" s="106">
        <v>226.32</v>
      </c>
      <c r="C622" s="106">
        <v>221.49</v>
      </c>
      <c r="D622" s="106">
        <v>220.41</v>
      </c>
      <c r="E622" s="106">
        <v>224.7</v>
      </c>
      <c r="F622" s="106">
        <v>1107.45</v>
      </c>
      <c r="G622">
        <v>8422</v>
      </c>
      <c r="H622" s="106"/>
      <c r="I622" s="106"/>
      <c r="L622" s="143">
        <v>42919</v>
      </c>
      <c r="M622" s="106">
        <v>221.51999999999998</v>
      </c>
      <c r="N622" s="106">
        <v>226.54000000000002</v>
      </c>
      <c r="O622" s="106">
        <v>220</v>
      </c>
      <c r="P622" s="106">
        <v>224</v>
      </c>
      <c r="Q622" s="106">
        <v>1107.5999999999999</v>
      </c>
      <c r="R622">
        <v>145168</v>
      </c>
    </row>
    <row r="623" spans="1:18" x14ac:dyDescent="0.25">
      <c r="A623" s="143">
        <v>42920</v>
      </c>
      <c r="B623" s="106">
        <v>224.7</v>
      </c>
      <c r="C623" s="106">
        <v>218.35</v>
      </c>
      <c r="D623" s="106">
        <v>217.1</v>
      </c>
      <c r="E623" s="106">
        <v>221.49</v>
      </c>
      <c r="F623" s="106">
        <v>1091.75</v>
      </c>
      <c r="G623">
        <v>7577</v>
      </c>
      <c r="H623" s="106"/>
      <c r="I623" s="106"/>
      <c r="L623" s="143">
        <v>42920</v>
      </c>
      <c r="M623" s="106">
        <v>218.44</v>
      </c>
      <c r="N623" s="106">
        <v>224.8</v>
      </c>
      <c r="O623" s="106">
        <v>217.61999999999998</v>
      </c>
      <c r="P623" s="106">
        <v>221.51999999999998</v>
      </c>
      <c r="Q623" s="106">
        <v>1092.2</v>
      </c>
      <c r="R623">
        <v>128164</v>
      </c>
    </row>
    <row r="624" spans="1:18" x14ac:dyDescent="0.25">
      <c r="A624" s="143">
        <v>42921</v>
      </c>
      <c r="B624" s="106">
        <v>223.8</v>
      </c>
      <c r="C624" s="106">
        <v>222.76</v>
      </c>
      <c r="D624" s="106">
        <v>217.04000000000002</v>
      </c>
      <c r="E624" s="106">
        <v>218.70999999999998</v>
      </c>
      <c r="F624" s="106">
        <v>1113.8</v>
      </c>
      <c r="G624">
        <v>15219</v>
      </c>
      <c r="H624" s="106"/>
      <c r="I624" s="106"/>
      <c r="L624" s="143">
        <v>42921</v>
      </c>
      <c r="M624" s="106">
        <v>223.42</v>
      </c>
      <c r="N624" s="106">
        <v>224.19</v>
      </c>
      <c r="O624" s="106">
        <v>216.6</v>
      </c>
      <c r="P624" s="106">
        <v>219.74</v>
      </c>
      <c r="Q624" s="106">
        <v>1117.0999999999999</v>
      </c>
      <c r="R624">
        <v>237275</v>
      </c>
    </row>
    <row r="625" spans="1:18" x14ac:dyDescent="0.25">
      <c r="A625" s="143">
        <v>42922</v>
      </c>
      <c r="B625" s="106">
        <v>230.54000000000002</v>
      </c>
      <c r="C625" s="106">
        <v>226.76999999999998</v>
      </c>
      <c r="D625" s="106">
        <v>222.51999999999998</v>
      </c>
      <c r="E625" s="106">
        <v>222.51999999999998</v>
      </c>
      <c r="F625" s="106">
        <v>1133.8499999999999</v>
      </c>
      <c r="G625">
        <v>30557</v>
      </c>
      <c r="H625" s="106"/>
      <c r="I625" s="106"/>
      <c r="L625" s="143">
        <v>42922</v>
      </c>
      <c r="M625" s="106">
        <v>226.76999999999998</v>
      </c>
      <c r="N625" s="106">
        <v>230.58</v>
      </c>
      <c r="O625" s="106">
        <v>222.25</v>
      </c>
      <c r="P625" s="106">
        <v>222.25</v>
      </c>
      <c r="Q625" s="106">
        <v>1133.8499999999999</v>
      </c>
      <c r="R625">
        <v>359166</v>
      </c>
    </row>
    <row r="626" spans="1:18" x14ac:dyDescent="0.25">
      <c r="A626" s="143">
        <v>42923</v>
      </c>
      <c r="B626" s="106">
        <v>228.2</v>
      </c>
      <c r="C626" s="106">
        <v>227.25</v>
      </c>
      <c r="D626" s="106">
        <v>222.76999999999998</v>
      </c>
      <c r="E626" s="106">
        <v>226</v>
      </c>
      <c r="F626" s="106">
        <v>1136.25</v>
      </c>
      <c r="G626">
        <v>12408</v>
      </c>
      <c r="H626" s="106"/>
      <c r="I626" s="106"/>
      <c r="L626" s="143">
        <v>42923</v>
      </c>
      <c r="M626" s="106">
        <v>227.7</v>
      </c>
      <c r="N626" s="106">
        <v>228.36999999999998</v>
      </c>
      <c r="O626" s="106">
        <v>223</v>
      </c>
      <c r="P626" s="106">
        <v>226</v>
      </c>
      <c r="Q626" s="106">
        <v>1138.5</v>
      </c>
      <c r="R626">
        <v>241249</v>
      </c>
    </row>
    <row r="627" spans="1:18" x14ac:dyDescent="0.25">
      <c r="A627" s="143">
        <v>42926</v>
      </c>
      <c r="B627" s="106">
        <v>229.91</v>
      </c>
      <c r="C627" s="106">
        <v>226.01</v>
      </c>
      <c r="D627" s="106">
        <v>225.03000000000003</v>
      </c>
      <c r="E627" s="106">
        <v>228.7</v>
      </c>
      <c r="F627" s="106">
        <v>1130.05</v>
      </c>
      <c r="G627">
        <v>11695</v>
      </c>
      <c r="H627" s="106"/>
      <c r="I627" s="106"/>
      <c r="L627" s="143">
        <v>42926</v>
      </c>
      <c r="M627" s="106">
        <v>226.10999999999999</v>
      </c>
      <c r="N627" s="106">
        <v>230</v>
      </c>
      <c r="O627" s="106">
        <v>224.2</v>
      </c>
      <c r="P627" s="106">
        <v>227.5</v>
      </c>
      <c r="Q627" s="106">
        <v>1130.55</v>
      </c>
      <c r="R627">
        <v>34152</v>
      </c>
    </row>
    <row r="628" spans="1:18" x14ac:dyDescent="0.25">
      <c r="A628" s="143">
        <v>42927</v>
      </c>
      <c r="B628" s="106">
        <v>227.44</v>
      </c>
      <c r="C628" s="106">
        <v>225.36999999999998</v>
      </c>
      <c r="D628" s="106">
        <v>222.2</v>
      </c>
      <c r="E628" s="106">
        <v>226.41</v>
      </c>
      <c r="F628" s="106">
        <v>1126.8499999999999</v>
      </c>
      <c r="G628">
        <v>12365</v>
      </c>
      <c r="H628" s="106"/>
      <c r="I628" s="106"/>
      <c r="L628" s="143">
        <v>42927</v>
      </c>
      <c r="M628" s="106">
        <v>225.51</v>
      </c>
      <c r="N628" s="106">
        <v>227.5</v>
      </c>
      <c r="O628" s="106">
        <v>221.59</v>
      </c>
      <c r="P628" s="106">
        <v>227</v>
      </c>
      <c r="Q628" s="106">
        <v>1127.55</v>
      </c>
      <c r="R628">
        <v>296075</v>
      </c>
    </row>
    <row r="629" spans="1:18" x14ac:dyDescent="0.25">
      <c r="A629" s="143">
        <v>42928</v>
      </c>
      <c r="B629" s="106">
        <v>225.4</v>
      </c>
      <c r="C629" s="106">
        <v>222.01999999999998</v>
      </c>
      <c r="D629" s="106">
        <v>221.25</v>
      </c>
      <c r="E629" s="106">
        <v>225.4</v>
      </c>
      <c r="F629" s="106">
        <v>1110.0999999999999</v>
      </c>
      <c r="G629">
        <v>11510</v>
      </c>
      <c r="H629" s="106"/>
      <c r="I629" s="106"/>
      <c r="L629" s="143">
        <v>42928</v>
      </c>
      <c r="M629" s="106">
        <v>222.23000000000002</v>
      </c>
      <c r="N629" s="106">
        <v>226.08</v>
      </c>
      <c r="O629" s="106">
        <v>221.4</v>
      </c>
      <c r="P629" s="106">
        <v>225.84</v>
      </c>
      <c r="Q629" s="106">
        <v>1111.1500000000001</v>
      </c>
      <c r="R629">
        <v>137985</v>
      </c>
    </row>
    <row r="630" spans="1:18" x14ac:dyDescent="0.25">
      <c r="A630" s="143">
        <v>42929</v>
      </c>
      <c r="B630" s="106">
        <v>234.2</v>
      </c>
      <c r="C630" s="106">
        <v>233.45999999999998</v>
      </c>
      <c r="D630" s="106">
        <v>221</v>
      </c>
      <c r="E630" s="106">
        <v>223.10999999999999</v>
      </c>
      <c r="F630" s="106">
        <v>1167.3</v>
      </c>
      <c r="G630">
        <v>50108</v>
      </c>
      <c r="H630" s="106"/>
      <c r="I630" s="106"/>
      <c r="L630" s="143">
        <v>42929</v>
      </c>
      <c r="M630" s="106">
        <v>233.32</v>
      </c>
      <c r="N630" s="106">
        <v>234.3</v>
      </c>
      <c r="O630" s="106">
        <v>220.6</v>
      </c>
      <c r="P630" s="106">
        <v>222.23000000000002</v>
      </c>
      <c r="Q630" s="106">
        <v>1166.5999999999999</v>
      </c>
      <c r="R630">
        <v>510660</v>
      </c>
    </row>
    <row r="631" spans="1:18" x14ac:dyDescent="0.25">
      <c r="A631" s="143">
        <v>42930</v>
      </c>
      <c r="B631" s="106">
        <v>234.96999999999997</v>
      </c>
      <c r="C631" s="106">
        <v>230.49</v>
      </c>
      <c r="D631" s="106">
        <v>228</v>
      </c>
      <c r="E631" s="106">
        <v>234.39000000000001</v>
      </c>
      <c r="F631" s="106">
        <v>1152.45</v>
      </c>
      <c r="G631">
        <v>22942</v>
      </c>
      <c r="H631" s="106"/>
      <c r="I631" s="106"/>
      <c r="L631" s="143">
        <v>42930</v>
      </c>
      <c r="M631" s="106">
        <v>230.82</v>
      </c>
      <c r="N631" s="106">
        <v>234.98000000000002</v>
      </c>
      <c r="O631" s="106">
        <v>227.76999999999998</v>
      </c>
      <c r="P631" s="106">
        <v>234.98000000000002</v>
      </c>
      <c r="Q631" s="106">
        <v>1154.0999999999999</v>
      </c>
      <c r="R631">
        <v>302440</v>
      </c>
    </row>
    <row r="632" spans="1:18" x14ac:dyDescent="0.25">
      <c r="A632" s="143">
        <v>42933</v>
      </c>
      <c r="B632" s="106">
        <v>232.6</v>
      </c>
      <c r="C632" s="106">
        <v>228.94</v>
      </c>
      <c r="D632" s="106">
        <v>227.6</v>
      </c>
      <c r="E632" s="106">
        <v>232.45</v>
      </c>
      <c r="F632" s="106">
        <v>1144.7</v>
      </c>
      <c r="G632">
        <v>12160</v>
      </c>
      <c r="H632" s="106"/>
      <c r="I632" s="106"/>
      <c r="L632" s="143">
        <v>42933</v>
      </c>
      <c r="M632" s="106">
        <v>229.01</v>
      </c>
      <c r="N632" s="106">
        <v>232.99</v>
      </c>
      <c r="O632" s="106">
        <v>228</v>
      </c>
      <c r="P632" s="106">
        <v>232.8</v>
      </c>
      <c r="Q632" s="106">
        <v>1145.05</v>
      </c>
      <c r="R632">
        <v>199299</v>
      </c>
    </row>
    <row r="633" spans="1:18" x14ac:dyDescent="0.25">
      <c r="A633" s="143">
        <v>42934</v>
      </c>
      <c r="B633" s="106">
        <v>229.96999999999997</v>
      </c>
      <c r="C633" s="106">
        <v>223.81</v>
      </c>
      <c r="D633" s="106">
        <v>222.24</v>
      </c>
      <c r="E633" s="106">
        <v>229</v>
      </c>
      <c r="F633" s="106">
        <v>1119.05</v>
      </c>
      <c r="G633">
        <v>13049</v>
      </c>
      <c r="H633" s="106"/>
      <c r="I633" s="106"/>
      <c r="L633" s="143">
        <v>42934</v>
      </c>
      <c r="M633" s="106">
        <v>224.36999999999998</v>
      </c>
      <c r="N633" s="106">
        <v>230</v>
      </c>
      <c r="O633" s="106">
        <v>223</v>
      </c>
      <c r="P633" s="106">
        <v>228</v>
      </c>
      <c r="Q633" s="106">
        <v>1121.8499999999999</v>
      </c>
      <c r="R633">
        <v>157858</v>
      </c>
    </row>
    <row r="634" spans="1:18" x14ac:dyDescent="0.25">
      <c r="A634" s="143">
        <v>42935</v>
      </c>
      <c r="B634" s="106">
        <v>230.6</v>
      </c>
      <c r="C634" s="106">
        <v>229.79000000000002</v>
      </c>
      <c r="D634" s="106">
        <v>224.6</v>
      </c>
      <c r="E634" s="106">
        <v>224.6</v>
      </c>
      <c r="F634" s="106">
        <v>1148.95</v>
      </c>
      <c r="G634">
        <v>20125</v>
      </c>
      <c r="H634" s="106"/>
      <c r="I634" s="106"/>
      <c r="L634" s="143">
        <v>42935</v>
      </c>
      <c r="M634" s="106">
        <v>229.76</v>
      </c>
      <c r="N634" s="106">
        <v>230.45999999999998</v>
      </c>
      <c r="O634" s="106">
        <v>224.61999999999998</v>
      </c>
      <c r="P634" s="106">
        <v>225.93</v>
      </c>
      <c r="Q634" s="106">
        <v>1148.8</v>
      </c>
      <c r="R634">
        <v>317269</v>
      </c>
    </row>
    <row r="635" spans="1:18" x14ac:dyDescent="0.25">
      <c r="A635" s="143">
        <v>42936</v>
      </c>
      <c r="B635" s="106">
        <v>230.49</v>
      </c>
      <c r="C635" s="106">
        <v>228.29000000000002</v>
      </c>
      <c r="D635" s="106">
        <v>226.81</v>
      </c>
      <c r="E635" s="106">
        <v>229.94</v>
      </c>
      <c r="F635" s="106">
        <v>1141.45</v>
      </c>
      <c r="G635">
        <v>5546</v>
      </c>
      <c r="H635" s="106"/>
      <c r="I635" s="106"/>
      <c r="L635" s="143">
        <v>42936</v>
      </c>
      <c r="M635" s="106">
        <v>228.82</v>
      </c>
      <c r="N635" s="106">
        <v>230.94</v>
      </c>
      <c r="O635" s="106">
        <v>226.46999999999997</v>
      </c>
      <c r="P635" s="106">
        <v>230.94</v>
      </c>
      <c r="Q635" s="106">
        <v>1144.0999999999999</v>
      </c>
      <c r="R635">
        <v>110936</v>
      </c>
    </row>
    <row r="636" spans="1:18" x14ac:dyDescent="0.25">
      <c r="A636" s="143">
        <v>42937</v>
      </c>
      <c r="B636" s="106">
        <v>230.6</v>
      </c>
      <c r="C636" s="106">
        <v>227.49</v>
      </c>
      <c r="D636" s="106">
        <v>225.46999999999997</v>
      </c>
      <c r="E636" s="106">
        <v>228.79000000000002</v>
      </c>
      <c r="F636" s="106">
        <v>1137.45</v>
      </c>
      <c r="G636">
        <v>8551</v>
      </c>
      <c r="H636" s="106"/>
      <c r="I636" s="106"/>
      <c r="L636" s="143">
        <v>42937</v>
      </c>
      <c r="M636" s="106">
        <v>227.08</v>
      </c>
      <c r="N636" s="106">
        <v>230.70999999999998</v>
      </c>
      <c r="O636" s="106">
        <v>225.2</v>
      </c>
      <c r="P636" s="106">
        <v>228.05</v>
      </c>
      <c r="Q636" s="106">
        <v>1135.4000000000001</v>
      </c>
      <c r="R636">
        <v>129250</v>
      </c>
    </row>
    <row r="637" spans="1:18" x14ac:dyDescent="0.25">
      <c r="A637" s="143">
        <v>42940</v>
      </c>
      <c r="B637" s="106">
        <v>228.4</v>
      </c>
      <c r="C637" s="106">
        <v>225.81</v>
      </c>
      <c r="D637" s="106">
        <v>224.1</v>
      </c>
      <c r="E637" s="106">
        <v>224.1</v>
      </c>
      <c r="F637" s="106">
        <v>1129.05</v>
      </c>
      <c r="G637">
        <v>6449</v>
      </c>
      <c r="H637" s="106"/>
      <c r="I637" s="106"/>
      <c r="L637" s="143">
        <v>42940</v>
      </c>
      <c r="M637" s="106">
        <v>225.9</v>
      </c>
      <c r="N637" s="106">
        <v>229.15</v>
      </c>
      <c r="O637" s="106">
        <v>224.41</v>
      </c>
      <c r="P637" s="106">
        <v>227.9</v>
      </c>
      <c r="Q637" s="106">
        <v>1129.5</v>
      </c>
      <c r="R637">
        <v>95262</v>
      </c>
    </row>
    <row r="638" spans="1:18" x14ac:dyDescent="0.25">
      <c r="A638" s="143">
        <v>42941</v>
      </c>
      <c r="B638" s="106">
        <v>232.2</v>
      </c>
      <c r="C638" s="106">
        <v>230.66</v>
      </c>
      <c r="D638" s="106">
        <v>224.7</v>
      </c>
      <c r="E638" s="106">
        <v>226</v>
      </c>
      <c r="F638" s="106">
        <v>1153.3</v>
      </c>
      <c r="G638">
        <v>12078</v>
      </c>
      <c r="H638" s="106"/>
      <c r="I638" s="106"/>
      <c r="L638" s="143">
        <v>42941</v>
      </c>
      <c r="M638" s="106">
        <v>231.49</v>
      </c>
      <c r="N638" s="106">
        <v>233.1</v>
      </c>
      <c r="O638" s="106">
        <v>224.65</v>
      </c>
      <c r="P638" s="106">
        <v>227</v>
      </c>
      <c r="Q638" s="106">
        <v>1157.45</v>
      </c>
      <c r="R638">
        <v>228616</v>
      </c>
    </row>
    <row r="639" spans="1:18" x14ac:dyDescent="0.25">
      <c r="A639" s="143">
        <v>42942</v>
      </c>
      <c r="B639" s="106">
        <v>232.95999999999998</v>
      </c>
      <c r="C639" s="106">
        <v>228.93</v>
      </c>
      <c r="D639" s="106">
        <v>227.23000000000002</v>
      </c>
      <c r="E639" s="106">
        <v>232.93</v>
      </c>
      <c r="F639" s="106">
        <v>1144.6500000000001</v>
      </c>
      <c r="G639">
        <v>10640</v>
      </c>
      <c r="H639" s="106"/>
      <c r="I639" s="106"/>
      <c r="L639" s="143">
        <v>42942</v>
      </c>
      <c r="M639" s="106">
        <v>229.32</v>
      </c>
      <c r="N639" s="106">
        <v>233.78000000000003</v>
      </c>
      <c r="O639" s="106">
        <v>227.04000000000002</v>
      </c>
      <c r="P639" s="106">
        <v>233.01</v>
      </c>
      <c r="Q639" s="106">
        <v>1146.5999999999999</v>
      </c>
      <c r="R639">
        <v>100390</v>
      </c>
    </row>
    <row r="640" spans="1:18" x14ac:dyDescent="0.25">
      <c r="A640" s="143">
        <v>42943</v>
      </c>
      <c r="B640" s="106">
        <v>242.59</v>
      </c>
      <c r="C640" s="106">
        <v>235.09</v>
      </c>
      <c r="D640" s="106">
        <v>230.85999999999999</v>
      </c>
      <c r="E640" s="106">
        <v>231.57</v>
      </c>
      <c r="F640" s="106">
        <v>1175.45</v>
      </c>
      <c r="G640">
        <v>65641</v>
      </c>
      <c r="H640" s="106"/>
      <c r="I640" s="106"/>
      <c r="L640" s="143">
        <v>42943</v>
      </c>
      <c r="M640" s="106">
        <v>235.68</v>
      </c>
      <c r="N640" s="106">
        <v>242.98000000000002</v>
      </c>
      <c r="O640" s="106">
        <v>230.41</v>
      </c>
      <c r="P640" s="106">
        <v>230.41</v>
      </c>
      <c r="Q640" s="106">
        <v>1178.4000000000001</v>
      </c>
      <c r="R640">
        <v>826650</v>
      </c>
    </row>
    <row r="641" spans="1:18" x14ac:dyDescent="0.25">
      <c r="A641" s="143">
        <v>42944</v>
      </c>
      <c r="B641" s="106">
        <v>241.8</v>
      </c>
      <c r="C641" s="106">
        <v>235.79000000000002</v>
      </c>
      <c r="D641" s="106">
        <v>234.36999999999998</v>
      </c>
      <c r="E641" s="106">
        <v>235</v>
      </c>
      <c r="F641" s="106">
        <v>1178.95</v>
      </c>
      <c r="G641">
        <v>39716</v>
      </c>
      <c r="H641" s="106"/>
      <c r="I641" s="106"/>
      <c r="L641" s="143">
        <v>42944</v>
      </c>
      <c r="M641" s="106">
        <v>235.96999999999997</v>
      </c>
      <c r="N641" s="106">
        <v>242.04000000000002</v>
      </c>
      <c r="O641" s="106">
        <v>234.51999999999998</v>
      </c>
      <c r="P641" s="106">
        <v>234.63000000000002</v>
      </c>
      <c r="Q641" s="106">
        <v>1179.8499999999999</v>
      </c>
      <c r="R641">
        <v>1094870</v>
      </c>
    </row>
    <row r="642" spans="1:18" x14ac:dyDescent="0.25">
      <c r="A642" s="143">
        <v>42947</v>
      </c>
      <c r="B642" s="106">
        <v>240.91</v>
      </c>
      <c r="C642" s="106">
        <v>239.63000000000002</v>
      </c>
      <c r="D642" s="106">
        <v>237.4</v>
      </c>
      <c r="E642" s="106">
        <v>237.98000000000002</v>
      </c>
      <c r="F642" s="106">
        <v>1198.1500000000001</v>
      </c>
      <c r="G642">
        <v>11670</v>
      </c>
      <c r="H642" s="106"/>
      <c r="I642" s="106"/>
      <c r="L642" s="143">
        <v>42947</v>
      </c>
      <c r="M642" s="106">
        <v>239.64000000000001</v>
      </c>
      <c r="N642" s="106">
        <v>240.6</v>
      </c>
      <c r="O642" s="106">
        <v>237.57</v>
      </c>
      <c r="P642" s="106">
        <v>237.75</v>
      </c>
      <c r="Q642" s="106">
        <v>1198.2</v>
      </c>
      <c r="R642">
        <v>631015</v>
      </c>
    </row>
    <row r="643" spans="1:18" x14ac:dyDescent="0.25">
      <c r="A643" s="143">
        <v>42948</v>
      </c>
      <c r="B643" s="106">
        <v>240.63000000000002</v>
      </c>
      <c r="C643" s="106">
        <v>235.71999999999997</v>
      </c>
      <c r="D643" s="106">
        <v>234.20999999999998</v>
      </c>
      <c r="E643" s="106">
        <v>240.61999999999998</v>
      </c>
      <c r="F643" s="106">
        <v>1178.5999999999999</v>
      </c>
      <c r="G643">
        <v>9887</v>
      </c>
      <c r="H643" s="106"/>
      <c r="I643" s="106"/>
      <c r="L643" s="143">
        <v>42948</v>
      </c>
      <c r="M643" s="106">
        <v>235.06</v>
      </c>
      <c r="N643" s="106">
        <v>241.98000000000002</v>
      </c>
      <c r="O643" s="106">
        <v>233.82</v>
      </c>
      <c r="P643" s="106">
        <v>240.4</v>
      </c>
      <c r="Q643" s="106">
        <v>1175.3</v>
      </c>
      <c r="R643">
        <v>318081</v>
      </c>
    </row>
    <row r="644" spans="1:18" x14ac:dyDescent="0.25">
      <c r="A644" s="143">
        <v>42949</v>
      </c>
      <c r="B644" s="106">
        <v>236.6</v>
      </c>
      <c r="C644" s="106">
        <v>234.7</v>
      </c>
      <c r="D644" s="106">
        <v>233</v>
      </c>
      <c r="E644" s="106">
        <v>235.71999999999997</v>
      </c>
      <c r="F644" s="106">
        <v>1173.5</v>
      </c>
      <c r="G644">
        <v>3526</v>
      </c>
      <c r="H644" s="106"/>
      <c r="I644" s="106"/>
      <c r="L644" s="143">
        <v>42949</v>
      </c>
      <c r="M644" s="106">
        <v>234.85999999999999</v>
      </c>
      <c r="N644" s="106">
        <v>237.8</v>
      </c>
      <c r="O644" s="106">
        <v>232.65</v>
      </c>
      <c r="P644" s="106">
        <v>235.05</v>
      </c>
      <c r="Q644" s="106">
        <v>1174.3</v>
      </c>
      <c r="R644">
        <v>109870</v>
      </c>
    </row>
    <row r="645" spans="1:18" x14ac:dyDescent="0.25">
      <c r="A645" s="143">
        <v>42950</v>
      </c>
      <c r="B645" s="106">
        <v>236.8</v>
      </c>
      <c r="C645" s="106">
        <v>232.21999999999997</v>
      </c>
      <c r="D645" s="106">
        <v>231.29000000000002</v>
      </c>
      <c r="E645" s="106">
        <v>235.63000000000002</v>
      </c>
      <c r="F645" s="106">
        <v>1161.0999999999999</v>
      </c>
      <c r="G645">
        <v>7751</v>
      </c>
      <c r="H645" s="106"/>
      <c r="I645" s="106"/>
      <c r="L645" s="143">
        <v>42950</v>
      </c>
      <c r="M645" s="106">
        <v>232.31</v>
      </c>
      <c r="N645" s="106">
        <v>236.92</v>
      </c>
      <c r="O645" s="106">
        <v>231.67</v>
      </c>
      <c r="P645" s="106">
        <v>235.6</v>
      </c>
      <c r="Q645" s="106">
        <v>1161.55</v>
      </c>
      <c r="R645">
        <v>105929</v>
      </c>
    </row>
    <row r="646" spans="1:18" x14ac:dyDescent="0.25">
      <c r="A646" s="143">
        <v>42951</v>
      </c>
      <c r="B646" s="106">
        <v>236.67</v>
      </c>
      <c r="C646" s="106">
        <v>235.73000000000002</v>
      </c>
      <c r="D646" s="106">
        <v>232.45999999999998</v>
      </c>
      <c r="E646" s="106">
        <v>233.69</v>
      </c>
      <c r="F646" s="106">
        <v>1178.6500000000001</v>
      </c>
      <c r="G646">
        <v>7354</v>
      </c>
      <c r="H646" s="106"/>
      <c r="I646" s="106"/>
      <c r="L646" s="143">
        <v>42951</v>
      </c>
      <c r="M646" s="106">
        <v>236.08</v>
      </c>
      <c r="N646" s="106">
        <v>237</v>
      </c>
      <c r="O646" s="106">
        <v>232</v>
      </c>
      <c r="P646" s="106">
        <v>232</v>
      </c>
      <c r="Q646" s="106">
        <v>1180.4000000000001</v>
      </c>
      <c r="R646">
        <v>171395</v>
      </c>
    </row>
    <row r="647" spans="1:18" x14ac:dyDescent="0.25">
      <c r="A647" s="143">
        <v>42954</v>
      </c>
      <c r="B647" s="106">
        <v>243</v>
      </c>
      <c r="C647" s="106">
        <v>241.01</v>
      </c>
      <c r="D647" s="106">
        <v>236.29000000000002</v>
      </c>
      <c r="E647" s="106">
        <v>236.8</v>
      </c>
      <c r="F647" s="106">
        <v>1205.05</v>
      </c>
      <c r="G647">
        <v>6620</v>
      </c>
      <c r="H647" s="106"/>
      <c r="I647" s="106"/>
      <c r="L647" s="143">
        <v>42954</v>
      </c>
      <c r="M647" s="106">
        <v>241.24</v>
      </c>
      <c r="N647" s="106">
        <v>243.74</v>
      </c>
      <c r="O647" s="106">
        <v>235.60999999999999</v>
      </c>
      <c r="P647" s="106">
        <v>236.8</v>
      </c>
      <c r="Q647" s="106">
        <v>1206.2</v>
      </c>
      <c r="R647">
        <v>386967</v>
      </c>
    </row>
    <row r="648" spans="1:18" x14ac:dyDescent="0.25">
      <c r="A648" s="143">
        <v>42955</v>
      </c>
      <c r="B648" s="106">
        <v>243.59</v>
      </c>
      <c r="C648" s="106">
        <v>239.76999999999998</v>
      </c>
      <c r="D648" s="106">
        <v>236.8</v>
      </c>
      <c r="E648" s="106">
        <v>241.81</v>
      </c>
      <c r="F648" s="106">
        <v>1198.8499999999999</v>
      </c>
      <c r="G648">
        <v>12939</v>
      </c>
      <c r="H648" s="106"/>
      <c r="I648" s="106"/>
      <c r="L648" s="143">
        <v>42955</v>
      </c>
      <c r="M648" s="106">
        <v>240.46999999999997</v>
      </c>
      <c r="N648" s="106">
        <v>243.91</v>
      </c>
      <c r="O648" s="106">
        <v>236.36999999999998</v>
      </c>
      <c r="P648" s="106">
        <v>241.24</v>
      </c>
      <c r="Q648" s="106">
        <v>1202.3499999999999</v>
      </c>
      <c r="R648">
        <v>206467</v>
      </c>
    </row>
    <row r="649" spans="1:18" x14ac:dyDescent="0.25">
      <c r="A649" s="143">
        <v>42956</v>
      </c>
      <c r="B649" s="106">
        <v>240.86999999999998</v>
      </c>
      <c r="C649" s="106">
        <v>232.45999999999998</v>
      </c>
      <c r="D649" s="106">
        <v>230.21999999999997</v>
      </c>
      <c r="E649" s="106">
        <v>240.86999999999998</v>
      </c>
      <c r="F649" s="106">
        <v>1162.3</v>
      </c>
      <c r="G649">
        <v>8666</v>
      </c>
      <c r="H649" s="106"/>
      <c r="I649" s="106"/>
      <c r="L649" s="143">
        <v>42956</v>
      </c>
      <c r="M649" s="106">
        <v>234.2</v>
      </c>
      <c r="N649" s="106">
        <v>241.74</v>
      </c>
      <c r="O649" s="106">
        <v>231.2</v>
      </c>
      <c r="P649" s="106">
        <v>240.4</v>
      </c>
      <c r="Q649" s="106">
        <v>1171</v>
      </c>
      <c r="R649">
        <v>215847</v>
      </c>
    </row>
    <row r="650" spans="1:18" x14ac:dyDescent="0.25">
      <c r="A650" s="143">
        <v>42957</v>
      </c>
      <c r="B650" s="106">
        <v>235.42</v>
      </c>
      <c r="C650" s="106">
        <v>231.38000000000002</v>
      </c>
      <c r="D650" s="106">
        <v>230</v>
      </c>
      <c r="E650" s="106">
        <v>233</v>
      </c>
      <c r="F650" s="106">
        <v>1156.9000000000001</v>
      </c>
      <c r="G650">
        <v>7157</v>
      </c>
      <c r="H650" s="106"/>
      <c r="I650" s="106"/>
      <c r="L650" s="143">
        <v>42957</v>
      </c>
      <c r="M650" s="106">
        <v>231.8</v>
      </c>
      <c r="N650" s="106">
        <v>235.92</v>
      </c>
      <c r="O650" s="106">
        <v>230.57</v>
      </c>
      <c r="P650" s="106">
        <v>232</v>
      </c>
      <c r="Q650" s="106">
        <v>1159</v>
      </c>
      <c r="R650">
        <v>214029</v>
      </c>
    </row>
    <row r="651" spans="1:18" x14ac:dyDescent="0.25">
      <c r="A651" s="143">
        <v>42958</v>
      </c>
      <c r="B651" s="106">
        <v>231.75</v>
      </c>
      <c r="C651" s="106">
        <v>229.25</v>
      </c>
      <c r="D651" s="106">
        <v>221.42</v>
      </c>
      <c r="E651" s="106">
        <v>228.85999999999999</v>
      </c>
      <c r="F651" s="106">
        <v>1146.25</v>
      </c>
      <c r="G651">
        <v>6813</v>
      </c>
      <c r="H651" s="106"/>
      <c r="I651" s="106"/>
      <c r="L651" s="143">
        <v>42958</v>
      </c>
      <c r="M651" s="106">
        <v>228.69</v>
      </c>
      <c r="N651" s="106">
        <v>232.1</v>
      </c>
      <c r="O651" s="106">
        <v>221.73000000000002</v>
      </c>
      <c r="P651" s="106">
        <v>225</v>
      </c>
      <c r="Q651" s="106">
        <v>1143.45</v>
      </c>
      <c r="R651">
        <v>209600</v>
      </c>
    </row>
    <row r="652" spans="1:18" x14ac:dyDescent="0.25">
      <c r="A652" s="143">
        <v>42961</v>
      </c>
      <c r="B652" s="106">
        <v>235.04000000000002</v>
      </c>
      <c r="C652" s="106">
        <v>230.06</v>
      </c>
      <c r="D652" s="106">
        <v>229.61999999999998</v>
      </c>
      <c r="E652" s="106">
        <v>231.2</v>
      </c>
      <c r="F652" s="106">
        <v>1150.3</v>
      </c>
      <c r="G652">
        <v>3890</v>
      </c>
      <c r="H652" s="106"/>
      <c r="I652" s="106"/>
      <c r="L652" s="143">
        <v>42961</v>
      </c>
      <c r="M652" s="106">
        <v>230.18</v>
      </c>
      <c r="N652" s="106">
        <v>235.63000000000002</v>
      </c>
      <c r="O652" s="106">
        <v>229</v>
      </c>
      <c r="P652" s="106">
        <v>229</v>
      </c>
      <c r="Q652" s="106">
        <v>1150.9000000000001</v>
      </c>
      <c r="R652">
        <v>59009</v>
      </c>
    </row>
    <row r="653" spans="1:18" x14ac:dyDescent="0.25">
      <c r="A653" s="143">
        <v>42963</v>
      </c>
      <c r="B653" s="106">
        <v>233.43</v>
      </c>
      <c r="C653" s="106">
        <v>232.73000000000002</v>
      </c>
      <c r="D653" s="106">
        <v>229.81</v>
      </c>
      <c r="E653" s="106">
        <v>233.25</v>
      </c>
      <c r="F653" s="106">
        <v>1163.6500000000001</v>
      </c>
      <c r="G653">
        <v>2619</v>
      </c>
      <c r="H653" s="106"/>
      <c r="I653" s="106"/>
      <c r="L653" s="143">
        <v>42963</v>
      </c>
      <c r="M653" s="106">
        <v>232.05</v>
      </c>
      <c r="N653" s="106">
        <v>233.53000000000003</v>
      </c>
      <c r="O653" s="106">
        <v>229.35999999999999</v>
      </c>
      <c r="P653" s="106">
        <v>232.21999999999997</v>
      </c>
      <c r="Q653" s="106">
        <v>1160.25</v>
      </c>
      <c r="R653">
        <v>108506</v>
      </c>
    </row>
    <row r="654" spans="1:18" x14ac:dyDescent="0.25">
      <c r="A654" s="143">
        <v>42964</v>
      </c>
      <c r="B654" s="106">
        <v>236.61999999999998</v>
      </c>
      <c r="C654" s="106">
        <v>230.66</v>
      </c>
      <c r="D654" s="106">
        <v>228.79000000000002</v>
      </c>
      <c r="E654" s="106">
        <v>233.4</v>
      </c>
      <c r="F654" s="106">
        <v>1153.3</v>
      </c>
      <c r="G654">
        <v>5497</v>
      </c>
      <c r="H654" s="106"/>
      <c r="I654" s="106"/>
      <c r="L654" s="143">
        <v>42964</v>
      </c>
      <c r="M654" s="106">
        <v>231.08</v>
      </c>
      <c r="N654" s="106">
        <v>236.58</v>
      </c>
      <c r="O654" s="106">
        <v>228.21999999999997</v>
      </c>
      <c r="P654" s="106">
        <v>234.8</v>
      </c>
      <c r="Q654" s="106">
        <v>1155.4000000000001</v>
      </c>
      <c r="R654">
        <v>105634</v>
      </c>
    </row>
    <row r="655" spans="1:18" x14ac:dyDescent="0.25">
      <c r="A655" s="143">
        <v>42965</v>
      </c>
      <c r="B655" s="106">
        <v>233.01</v>
      </c>
      <c r="C655" s="106">
        <v>231.11999999999998</v>
      </c>
      <c r="D655" s="106">
        <v>227.6</v>
      </c>
      <c r="E655" s="106">
        <v>230.76</v>
      </c>
      <c r="F655" s="106">
        <v>1155.5999999999999</v>
      </c>
      <c r="G655">
        <v>5086</v>
      </c>
      <c r="H655" s="106"/>
      <c r="I655" s="106"/>
      <c r="L655" s="143">
        <v>42965</v>
      </c>
      <c r="M655" s="106">
        <v>231.48000000000002</v>
      </c>
      <c r="N655" s="106">
        <v>233.35999999999999</v>
      </c>
      <c r="O655" s="106">
        <v>227.20999999999998</v>
      </c>
      <c r="P655" s="106">
        <v>231.09</v>
      </c>
      <c r="Q655" s="106">
        <v>1157.4000000000001</v>
      </c>
      <c r="R655">
        <v>68496</v>
      </c>
    </row>
    <row r="656" spans="1:18" x14ac:dyDescent="0.25">
      <c r="A656" s="143">
        <v>42968</v>
      </c>
      <c r="B656" s="106">
        <v>233.63000000000002</v>
      </c>
      <c r="C656" s="106">
        <v>229.98000000000002</v>
      </c>
      <c r="D656" s="106">
        <v>229.2</v>
      </c>
      <c r="E656" s="106">
        <v>232.41</v>
      </c>
      <c r="F656" s="106">
        <v>1149.9000000000001</v>
      </c>
      <c r="G656">
        <v>3619</v>
      </c>
      <c r="H656" s="106"/>
      <c r="I656" s="106"/>
      <c r="L656" s="143">
        <v>42968</v>
      </c>
      <c r="M656" s="106">
        <v>230.10999999999999</v>
      </c>
      <c r="N656" s="106">
        <v>234</v>
      </c>
      <c r="O656" s="106">
        <v>229.61999999999998</v>
      </c>
      <c r="P656" s="106">
        <v>233</v>
      </c>
      <c r="Q656" s="106">
        <v>1150.55</v>
      </c>
      <c r="R656">
        <v>162833</v>
      </c>
    </row>
    <row r="657" spans="1:18" x14ac:dyDescent="0.25">
      <c r="A657" s="143">
        <v>42969</v>
      </c>
      <c r="B657" s="106">
        <v>233.8</v>
      </c>
      <c r="C657" s="106">
        <v>228.42</v>
      </c>
      <c r="D657" s="106">
        <v>227.98000000000002</v>
      </c>
      <c r="E657" s="106">
        <v>233.31</v>
      </c>
      <c r="F657" s="106">
        <v>1142.0999999999999</v>
      </c>
      <c r="G657">
        <v>2571</v>
      </c>
      <c r="H657" s="106"/>
      <c r="I657" s="106"/>
      <c r="L657" s="143">
        <v>42969</v>
      </c>
      <c r="M657" s="106">
        <v>228.39000000000001</v>
      </c>
      <c r="N657" s="106">
        <v>233.43</v>
      </c>
      <c r="O657" s="106">
        <v>227.8</v>
      </c>
      <c r="P657" s="106">
        <v>233</v>
      </c>
      <c r="Q657" s="106">
        <v>1141.95</v>
      </c>
      <c r="R657">
        <v>64610</v>
      </c>
    </row>
    <row r="658" spans="1:18" x14ac:dyDescent="0.25">
      <c r="A658" s="143">
        <v>42970</v>
      </c>
      <c r="B658" s="106">
        <v>230.01</v>
      </c>
      <c r="C658" s="106">
        <v>229.41</v>
      </c>
      <c r="D658" s="106">
        <v>225.13000000000002</v>
      </c>
      <c r="E658" s="106">
        <v>228.99</v>
      </c>
      <c r="F658" s="106">
        <v>1147.05</v>
      </c>
      <c r="G658">
        <v>53985</v>
      </c>
      <c r="H658" s="106"/>
      <c r="I658" s="106"/>
      <c r="L658" s="143">
        <v>42970</v>
      </c>
      <c r="M658" s="106">
        <v>229.42</v>
      </c>
      <c r="N658" s="106">
        <v>230.48000000000002</v>
      </c>
      <c r="O658" s="106">
        <v>225.4</v>
      </c>
      <c r="P658" s="106">
        <v>229.8</v>
      </c>
      <c r="Q658" s="106">
        <v>1147.0999999999999</v>
      </c>
      <c r="R658">
        <v>76656</v>
      </c>
    </row>
    <row r="659" spans="1:18" x14ac:dyDescent="0.25">
      <c r="A659" s="143">
        <v>42971</v>
      </c>
      <c r="B659" s="106">
        <v>232.2</v>
      </c>
      <c r="C659" s="106">
        <v>229.10999999999999</v>
      </c>
      <c r="D659" s="106">
        <v>228.43</v>
      </c>
      <c r="E659" s="106">
        <v>232.2</v>
      </c>
      <c r="F659" s="106">
        <v>1145.55</v>
      </c>
      <c r="G659">
        <v>3239</v>
      </c>
      <c r="H659" s="106"/>
      <c r="I659" s="106"/>
      <c r="L659" s="143">
        <v>42971</v>
      </c>
      <c r="M659" s="106">
        <v>229.18</v>
      </c>
      <c r="N659" s="106">
        <v>231.2</v>
      </c>
      <c r="O659" s="106">
        <v>228.05</v>
      </c>
      <c r="P659" s="106">
        <v>231.2</v>
      </c>
      <c r="Q659" s="106">
        <v>1145.9000000000001</v>
      </c>
      <c r="R659">
        <v>100036</v>
      </c>
    </row>
    <row r="660" spans="1:18" x14ac:dyDescent="0.25">
      <c r="A660" s="143">
        <v>42975</v>
      </c>
      <c r="B660" s="106">
        <v>232.26999999999998</v>
      </c>
      <c r="C660" s="106">
        <v>231.61999999999998</v>
      </c>
      <c r="D660" s="106">
        <v>228.18</v>
      </c>
      <c r="E660" s="106">
        <v>230.09</v>
      </c>
      <c r="F660" s="106">
        <v>1158.0999999999999</v>
      </c>
      <c r="G660">
        <v>3588</v>
      </c>
      <c r="H660" s="106"/>
      <c r="I660" s="106"/>
      <c r="L660" s="143">
        <v>42975</v>
      </c>
      <c r="M660" s="106">
        <v>231.91</v>
      </c>
      <c r="N660" s="106">
        <v>232.75</v>
      </c>
      <c r="O660" s="106">
        <v>228</v>
      </c>
      <c r="P660" s="106">
        <v>231.28000000000003</v>
      </c>
      <c r="Q660" s="106">
        <v>1159.55</v>
      </c>
      <c r="R660">
        <v>114748</v>
      </c>
    </row>
    <row r="661" spans="1:18" x14ac:dyDescent="0.25">
      <c r="A661" s="143">
        <v>42976</v>
      </c>
      <c r="B661" s="106">
        <v>231.95999999999998</v>
      </c>
      <c r="C661" s="106">
        <v>229.41</v>
      </c>
      <c r="D661" s="106">
        <v>228.99</v>
      </c>
      <c r="E661" s="106">
        <v>231.61999999999998</v>
      </c>
      <c r="F661" s="106">
        <v>1147.05</v>
      </c>
      <c r="G661">
        <v>1385</v>
      </c>
      <c r="H661" s="106"/>
      <c r="I661" s="106"/>
      <c r="L661" s="143">
        <v>42976</v>
      </c>
      <c r="M661" s="106">
        <v>229.45</v>
      </c>
      <c r="N661" s="106">
        <v>232.79000000000002</v>
      </c>
      <c r="O661" s="106">
        <v>228.95</v>
      </c>
      <c r="P661" s="106">
        <v>231.61999999999998</v>
      </c>
      <c r="Q661" s="106">
        <v>1147.25</v>
      </c>
      <c r="R661">
        <v>92146</v>
      </c>
    </row>
    <row r="662" spans="1:18" x14ac:dyDescent="0.25">
      <c r="A662" s="143">
        <v>42977</v>
      </c>
      <c r="B662" s="106">
        <v>237.8</v>
      </c>
      <c r="C662" s="106">
        <v>236.20999999999998</v>
      </c>
      <c r="D662" s="106">
        <v>230.65</v>
      </c>
      <c r="E662" s="106">
        <v>230.99</v>
      </c>
      <c r="F662" s="106">
        <v>1181.05</v>
      </c>
      <c r="G662">
        <v>7795</v>
      </c>
      <c r="H662" s="106"/>
      <c r="I662" s="106"/>
      <c r="L662" s="143">
        <v>42977</v>
      </c>
      <c r="M662" s="106">
        <v>236.45</v>
      </c>
      <c r="N662" s="106">
        <v>237.76999999999998</v>
      </c>
      <c r="O662" s="106">
        <v>230.01</v>
      </c>
      <c r="P662" s="106">
        <v>230.99</v>
      </c>
      <c r="Q662" s="106">
        <v>1182.25</v>
      </c>
      <c r="R662">
        <v>170505</v>
      </c>
    </row>
    <row r="663" spans="1:18" x14ac:dyDescent="0.25">
      <c r="A663" s="143">
        <v>42978</v>
      </c>
      <c r="B663" s="106">
        <v>237</v>
      </c>
      <c r="C663" s="106">
        <v>232.26</v>
      </c>
      <c r="D663" s="106">
        <v>230.73000000000002</v>
      </c>
      <c r="E663" s="106">
        <v>237</v>
      </c>
      <c r="F663" s="106">
        <v>1161.3</v>
      </c>
      <c r="G663">
        <v>10114</v>
      </c>
      <c r="H663" s="106"/>
      <c r="I663" s="106"/>
      <c r="L663" s="143">
        <v>42978</v>
      </c>
      <c r="M663" s="106">
        <v>232.57</v>
      </c>
      <c r="N663" s="106">
        <v>238.8</v>
      </c>
      <c r="O663" s="106">
        <v>230.45999999999998</v>
      </c>
      <c r="P663" s="106">
        <v>237.94</v>
      </c>
      <c r="Q663" s="106">
        <v>1162.8499999999999</v>
      </c>
      <c r="R663">
        <v>300818</v>
      </c>
    </row>
    <row r="664" spans="1:18" x14ac:dyDescent="0.25">
      <c r="A664" s="143">
        <v>42979</v>
      </c>
      <c r="B664" s="106">
        <v>233.25</v>
      </c>
      <c r="C664" s="106">
        <v>229.98000000000002</v>
      </c>
      <c r="D664" s="106">
        <v>229.4</v>
      </c>
      <c r="E664" s="106">
        <v>232.95</v>
      </c>
      <c r="F664" s="106">
        <v>1149.9000000000001</v>
      </c>
      <c r="G664">
        <v>4691</v>
      </c>
      <c r="H664" s="106"/>
      <c r="I664" s="106"/>
      <c r="L664" s="143">
        <v>42979</v>
      </c>
      <c r="M664" s="106">
        <v>230.01</v>
      </c>
      <c r="N664" s="106">
        <v>233.01</v>
      </c>
      <c r="O664" s="106">
        <v>229.24</v>
      </c>
      <c r="P664" s="106">
        <v>232.43</v>
      </c>
      <c r="Q664" s="106">
        <v>1150.05</v>
      </c>
      <c r="R664">
        <v>324302</v>
      </c>
    </row>
    <row r="665" spans="1:18" x14ac:dyDescent="0.25">
      <c r="A665" s="143">
        <v>42982</v>
      </c>
      <c r="B665" s="106">
        <v>231.49</v>
      </c>
      <c r="C665" s="106">
        <v>226.6</v>
      </c>
      <c r="D665" s="106">
        <v>225.13000000000002</v>
      </c>
      <c r="E665" s="106">
        <v>229</v>
      </c>
      <c r="F665" s="106">
        <v>1133</v>
      </c>
      <c r="G665">
        <v>14582</v>
      </c>
      <c r="H665" s="106"/>
      <c r="I665" s="106"/>
      <c r="L665" s="143">
        <v>42982</v>
      </c>
      <c r="M665" s="106">
        <v>227.03000000000003</v>
      </c>
      <c r="N665" s="106">
        <v>231.8</v>
      </c>
      <c r="O665" s="106">
        <v>224.81</v>
      </c>
      <c r="P665" s="106">
        <v>230.01</v>
      </c>
      <c r="Q665" s="106">
        <v>1135.1500000000001</v>
      </c>
      <c r="R665">
        <v>103413</v>
      </c>
    </row>
    <row r="666" spans="1:18" x14ac:dyDescent="0.25">
      <c r="A666" s="143">
        <v>42983</v>
      </c>
      <c r="B666" s="106">
        <v>231.6</v>
      </c>
      <c r="C666" s="106">
        <v>229.26999999999998</v>
      </c>
      <c r="D666" s="106">
        <v>226.4</v>
      </c>
      <c r="E666" s="106">
        <v>227.96999999999997</v>
      </c>
      <c r="F666" s="106">
        <v>1146.3499999999999</v>
      </c>
      <c r="G666">
        <v>4061</v>
      </c>
      <c r="H666" s="106"/>
      <c r="I666" s="106"/>
      <c r="L666" s="143">
        <v>42983</v>
      </c>
      <c r="M666" s="106">
        <v>228.73000000000002</v>
      </c>
      <c r="N666" s="106">
        <v>231.58</v>
      </c>
      <c r="O666" s="106">
        <v>226.4</v>
      </c>
      <c r="P666" s="106">
        <v>229.68</v>
      </c>
      <c r="Q666" s="106">
        <v>1143.6500000000001</v>
      </c>
      <c r="R666">
        <v>153261</v>
      </c>
    </row>
    <row r="667" spans="1:18" x14ac:dyDescent="0.25">
      <c r="A667" s="143">
        <v>42984</v>
      </c>
      <c r="B667" s="106">
        <v>234.96999999999997</v>
      </c>
      <c r="C667" s="106">
        <v>233.56</v>
      </c>
      <c r="D667" s="106">
        <v>226.91</v>
      </c>
      <c r="E667" s="106">
        <v>226.94</v>
      </c>
      <c r="F667" s="106">
        <v>1167.8</v>
      </c>
      <c r="G667">
        <v>11253</v>
      </c>
      <c r="H667" s="106"/>
      <c r="I667" s="106"/>
      <c r="L667" s="143">
        <v>42984</v>
      </c>
      <c r="M667" s="106">
        <v>233.91</v>
      </c>
      <c r="N667" s="106">
        <v>235</v>
      </c>
      <c r="O667" s="106">
        <v>225.95999999999998</v>
      </c>
      <c r="P667" s="106">
        <v>228.8</v>
      </c>
      <c r="Q667" s="106">
        <v>1169.55</v>
      </c>
      <c r="R667">
        <v>259078</v>
      </c>
    </row>
    <row r="668" spans="1:18" x14ac:dyDescent="0.25">
      <c r="A668" s="143">
        <v>42985</v>
      </c>
      <c r="B668" s="106">
        <v>236</v>
      </c>
      <c r="C668" s="106">
        <v>232.34</v>
      </c>
      <c r="D668" s="106">
        <v>230.41</v>
      </c>
      <c r="E668" s="106">
        <v>234.75</v>
      </c>
      <c r="F668" s="106">
        <v>1161.7</v>
      </c>
      <c r="G668">
        <v>15051</v>
      </c>
      <c r="H668" s="106"/>
      <c r="I668" s="106"/>
      <c r="L668" s="143">
        <v>42985</v>
      </c>
      <c r="M668" s="106">
        <v>232.67</v>
      </c>
      <c r="N668" s="106">
        <v>235.8</v>
      </c>
      <c r="O668" s="106">
        <v>230.4</v>
      </c>
      <c r="P668" s="106">
        <v>234.78000000000003</v>
      </c>
      <c r="Q668" s="106">
        <v>1163.3499999999999</v>
      </c>
      <c r="R668">
        <v>179902</v>
      </c>
    </row>
    <row r="669" spans="1:18" x14ac:dyDescent="0.25">
      <c r="A669" s="143">
        <v>42986</v>
      </c>
      <c r="B669" s="106">
        <v>233.1</v>
      </c>
      <c r="C669" s="106">
        <v>231.34</v>
      </c>
      <c r="D669" s="106">
        <v>230</v>
      </c>
      <c r="E669" s="106">
        <v>232.6</v>
      </c>
      <c r="F669" s="106">
        <v>1156.7</v>
      </c>
      <c r="G669">
        <v>3821</v>
      </c>
      <c r="H669" s="106"/>
      <c r="I669" s="106"/>
      <c r="L669" s="143">
        <v>42986</v>
      </c>
      <c r="M669" s="106">
        <v>232.16</v>
      </c>
      <c r="N669" s="106">
        <v>234.19</v>
      </c>
      <c r="O669" s="106">
        <v>230.05</v>
      </c>
      <c r="P669" s="106">
        <v>233.4</v>
      </c>
      <c r="Q669" s="106">
        <v>1160.8</v>
      </c>
      <c r="R669">
        <v>68150</v>
      </c>
    </row>
    <row r="670" spans="1:18" x14ac:dyDescent="0.25">
      <c r="A670" s="143">
        <v>42989</v>
      </c>
      <c r="B670" s="106">
        <v>236.15</v>
      </c>
      <c r="C670" s="106">
        <v>235.51999999999998</v>
      </c>
      <c r="D670" s="106">
        <v>232.01</v>
      </c>
      <c r="E670" s="106">
        <v>233.01</v>
      </c>
      <c r="F670" s="106">
        <v>1177.5999999999999</v>
      </c>
      <c r="G670">
        <v>12584</v>
      </c>
      <c r="H670" s="106"/>
      <c r="I670" s="106"/>
      <c r="L670" s="143">
        <v>42989</v>
      </c>
      <c r="M670" s="106">
        <v>234.83</v>
      </c>
      <c r="N670" s="106">
        <v>235.4</v>
      </c>
      <c r="O670" s="106">
        <v>231.79000000000002</v>
      </c>
      <c r="P670" s="106">
        <v>233.94</v>
      </c>
      <c r="Q670" s="106">
        <v>1174.1500000000001</v>
      </c>
      <c r="R670">
        <v>131239</v>
      </c>
    </row>
    <row r="671" spans="1:18" x14ac:dyDescent="0.25">
      <c r="A671" s="143">
        <v>42990</v>
      </c>
      <c r="B671" s="106">
        <v>239.99</v>
      </c>
      <c r="C671" s="106">
        <v>237.68</v>
      </c>
      <c r="D671" s="106">
        <v>232.81</v>
      </c>
      <c r="E671" s="106">
        <v>234</v>
      </c>
      <c r="F671" s="106">
        <v>1188.4000000000001</v>
      </c>
      <c r="G671">
        <v>17676</v>
      </c>
      <c r="H671" s="106"/>
      <c r="I671" s="106"/>
      <c r="L671" s="143">
        <v>42990</v>
      </c>
      <c r="M671" s="106">
        <v>237.76</v>
      </c>
      <c r="N671" s="106">
        <v>240</v>
      </c>
      <c r="O671" s="106">
        <v>233</v>
      </c>
      <c r="P671" s="106">
        <v>235.78000000000003</v>
      </c>
      <c r="Q671" s="106">
        <v>1188.8</v>
      </c>
      <c r="R671">
        <v>325069</v>
      </c>
    </row>
    <row r="672" spans="1:18" x14ac:dyDescent="0.25">
      <c r="A672" s="143">
        <v>42991</v>
      </c>
      <c r="B672" s="106">
        <v>240</v>
      </c>
      <c r="C672" s="106">
        <v>234.35999999999999</v>
      </c>
      <c r="D672" s="106">
        <v>233.45</v>
      </c>
      <c r="E672" s="106">
        <v>238</v>
      </c>
      <c r="F672" s="106">
        <v>1171.8</v>
      </c>
      <c r="G672">
        <v>93724</v>
      </c>
      <c r="H672" s="106"/>
      <c r="I672" s="106"/>
      <c r="L672" s="143">
        <v>42991</v>
      </c>
      <c r="M672" s="106">
        <v>234.19</v>
      </c>
      <c r="N672" s="106">
        <v>240.09</v>
      </c>
      <c r="O672" s="106">
        <v>233</v>
      </c>
      <c r="P672" s="106">
        <v>237.4</v>
      </c>
      <c r="Q672" s="106">
        <v>1170.95</v>
      </c>
      <c r="R672">
        <v>244057</v>
      </c>
    </row>
    <row r="673" spans="1:18" x14ac:dyDescent="0.25">
      <c r="A673" s="143">
        <v>42992</v>
      </c>
      <c r="B673" s="106">
        <v>238.89000000000001</v>
      </c>
      <c r="C673" s="106">
        <v>235.60999999999999</v>
      </c>
      <c r="D673" s="106">
        <v>233.93</v>
      </c>
      <c r="E673" s="106">
        <v>238.89000000000001</v>
      </c>
      <c r="F673" s="106">
        <v>1178.05</v>
      </c>
      <c r="G673">
        <v>4929</v>
      </c>
      <c r="H673" s="106"/>
      <c r="I673" s="106"/>
      <c r="L673" s="143">
        <v>42992</v>
      </c>
      <c r="M673" s="106">
        <v>235.43</v>
      </c>
      <c r="N673" s="106">
        <v>237.98000000000002</v>
      </c>
      <c r="O673" s="106">
        <v>234.05</v>
      </c>
      <c r="P673" s="106">
        <v>234.95999999999998</v>
      </c>
      <c r="Q673" s="106">
        <v>1177.1500000000001</v>
      </c>
      <c r="R673">
        <v>89130</v>
      </c>
    </row>
    <row r="674" spans="1:18" x14ac:dyDescent="0.25">
      <c r="A674" s="143">
        <v>42993</v>
      </c>
      <c r="B674" s="106">
        <v>236.49</v>
      </c>
      <c r="C674" s="106">
        <v>233.10999999999999</v>
      </c>
      <c r="D674" s="106">
        <v>231.48000000000002</v>
      </c>
      <c r="E674" s="106">
        <v>233.1</v>
      </c>
      <c r="F674" s="106">
        <v>1165.55</v>
      </c>
      <c r="G674">
        <v>11613</v>
      </c>
      <c r="H674" s="106"/>
      <c r="I674" s="106"/>
      <c r="L674" s="143">
        <v>42993</v>
      </c>
      <c r="M674" s="106">
        <v>232.75</v>
      </c>
      <c r="N674" s="106">
        <v>236.64000000000001</v>
      </c>
      <c r="O674" s="106">
        <v>230</v>
      </c>
      <c r="P674" s="106">
        <v>234.74</v>
      </c>
      <c r="Q674" s="106">
        <v>1163.75</v>
      </c>
      <c r="R674">
        <v>125581</v>
      </c>
    </row>
    <row r="675" spans="1:18" x14ac:dyDescent="0.25">
      <c r="A675" s="143">
        <v>42996</v>
      </c>
      <c r="B675" s="106">
        <v>235.75</v>
      </c>
      <c r="C675" s="106">
        <v>233.9</v>
      </c>
      <c r="D675" s="106">
        <v>231.99</v>
      </c>
      <c r="E675" s="106">
        <v>234.21999999999997</v>
      </c>
      <c r="F675" s="106">
        <v>1169.5</v>
      </c>
      <c r="G675">
        <v>4675</v>
      </c>
      <c r="H675" s="106"/>
      <c r="I675" s="106"/>
      <c r="L675" s="143">
        <v>42996</v>
      </c>
      <c r="M675" s="106">
        <v>233.85999999999999</v>
      </c>
      <c r="N675" s="106">
        <v>236</v>
      </c>
      <c r="O675" s="106">
        <v>231.6</v>
      </c>
      <c r="P675" s="106">
        <v>232</v>
      </c>
      <c r="Q675" s="106">
        <v>1169.3</v>
      </c>
      <c r="R675">
        <v>230637</v>
      </c>
    </row>
    <row r="676" spans="1:18" x14ac:dyDescent="0.25">
      <c r="A676" s="143">
        <v>42997</v>
      </c>
      <c r="B676" s="106">
        <v>237.16</v>
      </c>
      <c r="C676" s="106">
        <v>233.71999999999997</v>
      </c>
      <c r="D676" s="106">
        <v>232.35</v>
      </c>
      <c r="E676" s="106">
        <v>233.35999999999999</v>
      </c>
      <c r="F676" s="106">
        <v>1168.5999999999999</v>
      </c>
      <c r="G676">
        <v>5906</v>
      </c>
      <c r="H676" s="106"/>
      <c r="I676" s="106"/>
      <c r="L676" s="143">
        <v>42997</v>
      </c>
      <c r="M676" s="106">
        <v>233.05</v>
      </c>
      <c r="N676" s="106">
        <v>237</v>
      </c>
      <c r="O676" s="106">
        <v>232</v>
      </c>
      <c r="P676" s="106">
        <v>233.8</v>
      </c>
      <c r="Q676" s="106">
        <v>1165.25</v>
      </c>
      <c r="R676">
        <v>93680</v>
      </c>
    </row>
    <row r="677" spans="1:18" x14ac:dyDescent="0.25">
      <c r="A677" s="143">
        <v>42998</v>
      </c>
      <c r="B677" s="106">
        <v>235.86999999999998</v>
      </c>
      <c r="C677" s="106">
        <v>234.29000000000002</v>
      </c>
      <c r="D677" s="106">
        <v>231.83</v>
      </c>
      <c r="E677" s="106">
        <v>234.70999999999998</v>
      </c>
      <c r="F677" s="106">
        <v>1171.45</v>
      </c>
      <c r="G677">
        <v>9680</v>
      </c>
      <c r="H677" s="106"/>
      <c r="I677" s="106"/>
      <c r="L677" s="143">
        <v>42998</v>
      </c>
      <c r="M677" s="106">
        <v>234.39000000000001</v>
      </c>
      <c r="N677" s="106">
        <v>235.94</v>
      </c>
      <c r="O677" s="106">
        <v>231.28000000000003</v>
      </c>
      <c r="P677" s="106">
        <v>234</v>
      </c>
      <c r="Q677" s="106">
        <v>1171.95</v>
      </c>
      <c r="R677">
        <v>134142</v>
      </c>
    </row>
    <row r="678" spans="1:18" x14ac:dyDescent="0.25">
      <c r="A678" s="143">
        <v>42999</v>
      </c>
      <c r="B678" s="106">
        <v>235.25</v>
      </c>
      <c r="C678" s="106">
        <v>233.23000000000002</v>
      </c>
      <c r="D678" s="106">
        <v>230.95999999999998</v>
      </c>
      <c r="E678" s="106">
        <v>235.21999999999997</v>
      </c>
      <c r="F678" s="106">
        <v>1166.1500000000001</v>
      </c>
      <c r="G678">
        <v>7117</v>
      </c>
      <c r="H678" s="106"/>
      <c r="I678" s="106"/>
      <c r="L678" s="143">
        <v>42999</v>
      </c>
      <c r="M678" s="106">
        <v>233.78000000000003</v>
      </c>
      <c r="N678" s="106">
        <v>235.2</v>
      </c>
      <c r="O678" s="106">
        <v>230.5</v>
      </c>
      <c r="P678" s="106">
        <v>234.99</v>
      </c>
      <c r="Q678" s="106">
        <v>1168.9000000000001</v>
      </c>
      <c r="R678">
        <v>360643</v>
      </c>
    </row>
    <row r="679" spans="1:18" x14ac:dyDescent="0.25">
      <c r="A679" s="143">
        <v>43000</v>
      </c>
      <c r="B679" s="106">
        <v>232.79000000000002</v>
      </c>
      <c r="C679" s="106">
        <v>227.51</v>
      </c>
      <c r="D679" s="106">
        <v>226.01999999999998</v>
      </c>
      <c r="E679" s="106">
        <v>232</v>
      </c>
      <c r="F679" s="106">
        <v>1137.55</v>
      </c>
      <c r="G679">
        <v>11825</v>
      </c>
      <c r="H679" s="106"/>
      <c r="I679" s="106"/>
      <c r="L679" s="143">
        <v>43000</v>
      </c>
      <c r="M679" s="106">
        <v>227.63000000000002</v>
      </c>
      <c r="N679" s="106">
        <v>233.19</v>
      </c>
      <c r="O679" s="106">
        <v>226</v>
      </c>
      <c r="P679" s="106">
        <v>233</v>
      </c>
      <c r="Q679" s="106">
        <v>1138.1500000000001</v>
      </c>
      <c r="R679">
        <v>78686</v>
      </c>
    </row>
    <row r="680" spans="1:18" x14ac:dyDescent="0.25">
      <c r="A680" s="143">
        <v>43003</v>
      </c>
      <c r="B680" s="106">
        <v>226.03000000000003</v>
      </c>
      <c r="C680" s="106">
        <v>219.42</v>
      </c>
      <c r="D680" s="106">
        <v>215.03000000000003</v>
      </c>
      <c r="E680" s="106">
        <v>226.03000000000003</v>
      </c>
      <c r="F680" s="106">
        <v>1097.0999999999999</v>
      </c>
      <c r="G680">
        <v>10794</v>
      </c>
      <c r="H680" s="106"/>
      <c r="I680" s="106"/>
      <c r="L680" s="143">
        <v>43003</v>
      </c>
      <c r="M680" s="106">
        <v>219.35</v>
      </c>
      <c r="N680" s="106">
        <v>228.94</v>
      </c>
      <c r="O680" s="106">
        <v>215</v>
      </c>
      <c r="P680" s="106">
        <v>228.94</v>
      </c>
      <c r="Q680" s="106">
        <v>1096.75</v>
      </c>
      <c r="R680">
        <v>176785</v>
      </c>
    </row>
    <row r="681" spans="1:18" x14ac:dyDescent="0.25">
      <c r="A681" s="143">
        <v>43004</v>
      </c>
      <c r="B681" s="106">
        <v>217.8</v>
      </c>
      <c r="C681" s="106">
        <v>215.2</v>
      </c>
      <c r="D681" s="106">
        <v>211</v>
      </c>
      <c r="E681" s="106">
        <v>216.96999999999997</v>
      </c>
      <c r="F681" s="106">
        <v>1076</v>
      </c>
      <c r="G681">
        <v>15761</v>
      </c>
      <c r="H681" s="106"/>
      <c r="I681" s="106"/>
      <c r="L681" s="143">
        <v>43004</v>
      </c>
      <c r="M681" s="106">
        <v>214.94</v>
      </c>
      <c r="N681" s="106">
        <v>219.17</v>
      </c>
      <c r="O681" s="106">
        <v>210.58</v>
      </c>
      <c r="P681" s="106">
        <v>219.17</v>
      </c>
      <c r="Q681" s="106">
        <v>1074.7</v>
      </c>
      <c r="R681">
        <v>341329</v>
      </c>
    </row>
    <row r="682" spans="1:18" x14ac:dyDescent="0.25">
      <c r="A682" s="143">
        <v>43005</v>
      </c>
      <c r="B682" s="106">
        <v>222.1</v>
      </c>
      <c r="C682" s="106">
        <v>211.76999999999998</v>
      </c>
      <c r="D682" s="106">
        <v>210.59</v>
      </c>
      <c r="E682" s="106">
        <v>216.01999999999998</v>
      </c>
      <c r="F682" s="106">
        <v>1058.8499999999999</v>
      </c>
      <c r="G682">
        <v>11193</v>
      </c>
      <c r="H682" s="106"/>
      <c r="I682" s="106"/>
      <c r="L682" s="143">
        <v>43005</v>
      </c>
      <c r="M682" s="106">
        <v>212.85</v>
      </c>
      <c r="N682" s="106">
        <v>222.09</v>
      </c>
      <c r="O682" s="106">
        <v>211.26999999999998</v>
      </c>
      <c r="P682" s="106">
        <v>216.4</v>
      </c>
      <c r="Q682" s="106">
        <v>1064.25</v>
      </c>
      <c r="R682">
        <v>221082</v>
      </c>
    </row>
    <row r="683" spans="1:18" x14ac:dyDescent="0.25">
      <c r="A683" s="143">
        <v>43006</v>
      </c>
      <c r="B683" s="106">
        <v>221.45999999999998</v>
      </c>
      <c r="C683" s="106">
        <v>216.20999999999998</v>
      </c>
      <c r="D683" s="106">
        <v>212.01</v>
      </c>
      <c r="E683" s="106">
        <v>212.2</v>
      </c>
      <c r="F683" s="106">
        <v>1081.05</v>
      </c>
      <c r="G683">
        <v>8472</v>
      </c>
      <c r="H683" s="106"/>
      <c r="I683" s="106"/>
      <c r="L683" s="143">
        <v>43006</v>
      </c>
      <c r="M683" s="106">
        <v>216.84</v>
      </c>
      <c r="N683" s="106">
        <v>222</v>
      </c>
      <c r="O683" s="106">
        <v>210.39000000000001</v>
      </c>
      <c r="P683" s="106">
        <v>212.38000000000002</v>
      </c>
      <c r="Q683" s="106">
        <v>1084.2</v>
      </c>
      <c r="R683">
        <v>492528</v>
      </c>
    </row>
    <row r="684" spans="1:18" x14ac:dyDescent="0.25">
      <c r="A684" s="143">
        <v>43007</v>
      </c>
      <c r="B684" s="106">
        <v>221.85999999999999</v>
      </c>
      <c r="C684" s="106">
        <v>218.36999999999998</v>
      </c>
      <c r="D684" s="106">
        <v>215.42</v>
      </c>
      <c r="E684" s="106">
        <v>215.42</v>
      </c>
      <c r="F684" s="106">
        <v>1091.8499999999999</v>
      </c>
      <c r="G684">
        <v>4480</v>
      </c>
      <c r="H684" s="106"/>
      <c r="I684" s="106"/>
      <c r="L684" s="143">
        <v>43007</v>
      </c>
      <c r="M684" s="106">
        <v>218.45</v>
      </c>
      <c r="N684" s="106">
        <v>222.6</v>
      </c>
      <c r="O684" s="106">
        <v>217.01</v>
      </c>
      <c r="P684" s="106">
        <v>217.4</v>
      </c>
      <c r="Q684" s="106">
        <v>1092.25</v>
      </c>
      <c r="R684">
        <v>363864</v>
      </c>
    </row>
    <row r="685" spans="1:18" x14ac:dyDescent="0.25">
      <c r="A685" s="143">
        <v>43011</v>
      </c>
      <c r="B685" s="106">
        <v>225.53000000000003</v>
      </c>
      <c r="C685" s="106">
        <v>221.06</v>
      </c>
      <c r="D685" s="106">
        <v>218.20999999999998</v>
      </c>
      <c r="E685" s="106">
        <v>219.33</v>
      </c>
      <c r="F685" s="106">
        <v>1105.3</v>
      </c>
      <c r="G685">
        <v>13375</v>
      </c>
      <c r="H685" s="106"/>
      <c r="I685" s="106"/>
      <c r="L685" s="143">
        <v>43011</v>
      </c>
      <c r="M685" s="106">
        <v>221.63000000000002</v>
      </c>
      <c r="N685" s="106">
        <v>225.95</v>
      </c>
      <c r="O685" s="106">
        <v>218.01</v>
      </c>
      <c r="P685" s="106">
        <v>218.2</v>
      </c>
      <c r="Q685" s="106">
        <v>1108.1500000000001</v>
      </c>
      <c r="R685">
        <v>192837</v>
      </c>
    </row>
    <row r="686" spans="1:18" x14ac:dyDescent="0.25">
      <c r="A686" s="143">
        <v>43012</v>
      </c>
      <c r="B686" s="106">
        <v>224.33</v>
      </c>
      <c r="C686" s="106">
        <v>219.55</v>
      </c>
      <c r="D686" s="106">
        <v>218.8</v>
      </c>
      <c r="E686" s="106">
        <v>223.2</v>
      </c>
      <c r="F686" s="106">
        <v>1097.75</v>
      </c>
      <c r="G686">
        <v>3778</v>
      </c>
      <c r="H686" s="106"/>
      <c r="I686" s="106"/>
      <c r="L686" s="143">
        <v>43012</v>
      </c>
      <c r="M686" s="106">
        <v>219.9</v>
      </c>
      <c r="N686" s="106">
        <v>224.46999999999997</v>
      </c>
      <c r="O686" s="106">
        <v>219.01999999999998</v>
      </c>
      <c r="P686" s="106">
        <v>222</v>
      </c>
      <c r="Q686" s="106">
        <v>1099.5</v>
      </c>
      <c r="R686">
        <v>124202</v>
      </c>
    </row>
    <row r="687" spans="1:18" x14ac:dyDescent="0.25">
      <c r="A687" s="143">
        <v>43013</v>
      </c>
      <c r="B687" s="106">
        <v>222.24</v>
      </c>
      <c r="C687" s="106">
        <v>217.48000000000002</v>
      </c>
      <c r="D687" s="106">
        <v>216.35</v>
      </c>
      <c r="E687" s="106">
        <v>219.83</v>
      </c>
      <c r="F687" s="106">
        <v>1087.4000000000001</v>
      </c>
      <c r="G687">
        <v>316793</v>
      </c>
      <c r="H687" s="106"/>
      <c r="I687" s="106"/>
      <c r="L687" s="143">
        <v>43013</v>
      </c>
      <c r="M687" s="106">
        <v>218.53000000000003</v>
      </c>
      <c r="N687" s="106">
        <v>222.51999999999998</v>
      </c>
      <c r="O687" s="106">
        <v>216.73000000000002</v>
      </c>
      <c r="P687" s="106">
        <v>220.2</v>
      </c>
      <c r="Q687" s="106">
        <v>1092.6500000000001</v>
      </c>
      <c r="R687">
        <v>142178</v>
      </c>
    </row>
    <row r="688" spans="1:18" x14ac:dyDescent="0.25">
      <c r="A688" s="143">
        <v>43014</v>
      </c>
      <c r="B688" s="106">
        <v>226.24</v>
      </c>
      <c r="C688" s="106">
        <v>223.95999999999998</v>
      </c>
      <c r="D688" s="106">
        <v>221.39000000000001</v>
      </c>
      <c r="E688" s="106">
        <v>221.39000000000001</v>
      </c>
      <c r="F688" s="106">
        <v>1119.8</v>
      </c>
      <c r="G688">
        <v>155517</v>
      </c>
      <c r="H688" s="106"/>
      <c r="I688" s="106"/>
      <c r="L688" s="143">
        <v>43014</v>
      </c>
      <c r="M688" s="106">
        <v>223.61999999999998</v>
      </c>
      <c r="N688" s="106">
        <v>226.51999999999998</v>
      </c>
      <c r="O688" s="106">
        <v>218.8</v>
      </c>
      <c r="P688" s="106">
        <v>218.8</v>
      </c>
      <c r="Q688" s="106">
        <v>1118.0999999999999</v>
      </c>
      <c r="R688">
        <v>269218</v>
      </c>
    </row>
    <row r="689" spans="1:18" x14ac:dyDescent="0.25">
      <c r="A689" s="143">
        <v>43017</v>
      </c>
      <c r="B689" s="106">
        <v>225.10999999999999</v>
      </c>
      <c r="C689" s="106">
        <v>223.41</v>
      </c>
      <c r="D689" s="106">
        <v>220.44</v>
      </c>
      <c r="E689" s="106">
        <v>224.85</v>
      </c>
      <c r="F689" s="106">
        <v>1117.05</v>
      </c>
      <c r="G689">
        <v>4921</v>
      </c>
      <c r="H689" s="106"/>
      <c r="I689" s="106"/>
      <c r="L689" s="143">
        <v>43017</v>
      </c>
      <c r="M689" s="106">
        <v>224.05</v>
      </c>
      <c r="N689" s="106">
        <v>225</v>
      </c>
      <c r="O689" s="106">
        <v>220.7</v>
      </c>
      <c r="P689" s="106">
        <v>224</v>
      </c>
      <c r="Q689" s="106">
        <v>1120.25</v>
      </c>
      <c r="R689">
        <v>49619</v>
      </c>
    </row>
    <row r="690" spans="1:18" x14ac:dyDescent="0.25">
      <c r="A690" s="143">
        <v>43018</v>
      </c>
      <c r="B690" s="106">
        <v>226</v>
      </c>
      <c r="C690" s="106">
        <v>224.38000000000002</v>
      </c>
      <c r="D690" s="106">
        <v>222.63000000000002</v>
      </c>
      <c r="E690" s="106">
        <v>224.53000000000003</v>
      </c>
      <c r="F690" s="106">
        <v>1121.9000000000001</v>
      </c>
      <c r="G690">
        <v>1961</v>
      </c>
      <c r="H690" s="106"/>
      <c r="I690" s="106"/>
      <c r="L690" s="143">
        <v>43018</v>
      </c>
      <c r="M690" s="106">
        <v>224.18</v>
      </c>
      <c r="N690" s="106">
        <v>226.48000000000002</v>
      </c>
      <c r="O690" s="106">
        <v>222.07</v>
      </c>
      <c r="P690" s="106">
        <v>226.48000000000002</v>
      </c>
      <c r="Q690" s="106">
        <v>1120.9000000000001</v>
      </c>
      <c r="R690">
        <v>335492</v>
      </c>
    </row>
    <row r="691" spans="1:18" x14ac:dyDescent="0.25">
      <c r="A691" s="143">
        <v>43019</v>
      </c>
      <c r="B691" s="106">
        <v>229.73000000000002</v>
      </c>
      <c r="C691" s="106">
        <v>223.25</v>
      </c>
      <c r="D691" s="106">
        <v>221.15</v>
      </c>
      <c r="E691" s="106">
        <v>225.45999999999998</v>
      </c>
      <c r="F691" s="106">
        <v>1116.25</v>
      </c>
      <c r="G691">
        <v>20338</v>
      </c>
      <c r="H691" s="106"/>
      <c r="I691" s="106"/>
      <c r="L691" s="143">
        <v>43019</v>
      </c>
      <c r="M691" s="106">
        <v>222.18</v>
      </c>
      <c r="N691" s="106">
        <v>229.59</v>
      </c>
      <c r="O691" s="106">
        <v>220.03000000000003</v>
      </c>
      <c r="P691" s="106">
        <v>224.38000000000002</v>
      </c>
      <c r="Q691" s="106">
        <v>1110.9000000000001</v>
      </c>
      <c r="R691">
        <v>102524</v>
      </c>
    </row>
    <row r="692" spans="1:18" x14ac:dyDescent="0.25">
      <c r="A692" s="143">
        <v>43020</v>
      </c>
      <c r="B692" s="106">
        <v>231</v>
      </c>
      <c r="C692" s="106">
        <v>230.73000000000002</v>
      </c>
      <c r="D692" s="106">
        <v>221.93</v>
      </c>
      <c r="E692" s="106">
        <v>222.26</v>
      </c>
      <c r="F692" s="106">
        <v>1153.6500000000001</v>
      </c>
      <c r="G692">
        <v>7749</v>
      </c>
      <c r="H692" s="106"/>
      <c r="I692" s="106"/>
      <c r="L692" s="143">
        <v>43020</v>
      </c>
      <c r="M692" s="106">
        <v>230.48000000000002</v>
      </c>
      <c r="N692" s="106">
        <v>231.8</v>
      </c>
      <c r="O692" s="106">
        <v>221.21999999999997</v>
      </c>
      <c r="P692" s="106">
        <v>221.21999999999997</v>
      </c>
      <c r="Q692" s="106">
        <v>1152.4000000000001</v>
      </c>
      <c r="R692">
        <v>633238</v>
      </c>
    </row>
    <row r="693" spans="1:18" x14ac:dyDescent="0.25">
      <c r="A693" s="143">
        <v>43021</v>
      </c>
      <c r="B693" s="106">
        <v>230.98000000000002</v>
      </c>
      <c r="C693" s="106">
        <v>227.51</v>
      </c>
      <c r="D693" s="106">
        <v>226</v>
      </c>
      <c r="E693" s="106">
        <v>230.98000000000002</v>
      </c>
      <c r="F693" s="106">
        <v>1137.55</v>
      </c>
      <c r="G693">
        <v>718218</v>
      </c>
      <c r="H693" s="106"/>
      <c r="I693" s="106"/>
      <c r="L693" s="143">
        <v>43021</v>
      </c>
      <c r="M693" s="106">
        <v>227.36999999999998</v>
      </c>
      <c r="N693" s="106">
        <v>229.95999999999998</v>
      </c>
      <c r="O693" s="106">
        <v>226</v>
      </c>
      <c r="P693" s="106">
        <v>228</v>
      </c>
      <c r="Q693" s="106">
        <v>1136.8499999999999</v>
      </c>
      <c r="R693">
        <v>767593</v>
      </c>
    </row>
    <row r="694" spans="1:18" x14ac:dyDescent="0.25">
      <c r="A694" s="143">
        <v>43024</v>
      </c>
      <c r="B694" s="106">
        <v>230</v>
      </c>
      <c r="C694" s="106">
        <v>225.45</v>
      </c>
      <c r="D694" s="106">
        <v>224.9</v>
      </c>
      <c r="E694" s="106">
        <v>230</v>
      </c>
      <c r="F694" s="106">
        <v>1127.25</v>
      </c>
      <c r="G694">
        <v>3445</v>
      </c>
      <c r="H694" s="106"/>
      <c r="I694" s="106"/>
      <c r="L694" s="143">
        <v>43024</v>
      </c>
      <c r="M694" s="106">
        <v>225.57</v>
      </c>
      <c r="N694" s="106">
        <v>228.93</v>
      </c>
      <c r="O694" s="106">
        <v>224.93</v>
      </c>
      <c r="P694" s="106">
        <v>228.93</v>
      </c>
      <c r="Q694" s="106">
        <v>1127.8499999999999</v>
      </c>
      <c r="R694">
        <v>50009</v>
      </c>
    </row>
    <row r="695" spans="1:18" x14ac:dyDescent="0.25">
      <c r="A695" s="143">
        <v>43025</v>
      </c>
      <c r="B695" s="106">
        <v>227.26</v>
      </c>
      <c r="C695" s="106">
        <v>226.25</v>
      </c>
      <c r="D695" s="106">
        <v>225.2</v>
      </c>
      <c r="E695" s="106">
        <v>227</v>
      </c>
      <c r="F695" s="106">
        <v>1131.25</v>
      </c>
      <c r="G695">
        <v>6798</v>
      </c>
      <c r="H695" s="106"/>
      <c r="I695" s="106"/>
      <c r="L695" s="143">
        <v>43025</v>
      </c>
      <c r="M695" s="106">
        <v>226.69</v>
      </c>
      <c r="N695" s="106">
        <v>227.8</v>
      </c>
      <c r="O695" s="106">
        <v>224.74</v>
      </c>
      <c r="P695" s="106">
        <v>227.8</v>
      </c>
      <c r="Q695" s="106">
        <v>1133.45</v>
      </c>
      <c r="R695">
        <v>286114</v>
      </c>
    </row>
    <row r="696" spans="1:18" x14ac:dyDescent="0.25">
      <c r="A696" s="143">
        <v>43026</v>
      </c>
      <c r="B696" s="106">
        <v>228.75</v>
      </c>
      <c r="C696" s="106">
        <v>226.16</v>
      </c>
      <c r="D696" s="106">
        <v>225.6</v>
      </c>
      <c r="E696" s="106">
        <v>227.23000000000002</v>
      </c>
      <c r="F696" s="106">
        <v>1130.8</v>
      </c>
      <c r="G696">
        <v>2104</v>
      </c>
      <c r="H696" s="106"/>
      <c r="I696" s="106"/>
      <c r="L696" s="143">
        <v>43026</v>
      </c>
      <c r="M696" s="106">
        <v>225.83</v>
      </c>
      <c r="N696" s="106">
        <v>228.5</v>
      </c>
      <c r="O696" s="106">
        <v>225.3</v>
      </c>
      <c r="P696" s="106">
        <v>227</v>
      </c>
      <c r="Q696" s="106">
        <v>1129.1500000000001</v>
      </c>
      <c r="R696">
        <v>376810</v>
      </c>
    </row>
    <row r="697" spans="1:18" x14ac:dyDescent="0.25">
      <c r="A697" s="143">
        <v>43027</v>
      </c>
      <c r="B697" s="106">
        <v>226.21999999999997</v>
      </c>
      <c r="C697" s="106">
        <v>222.67</v>
      </c>
      <c r="D697" s="106">
        <v>221.4</v>
      </c>
      <c r="E697" s="106">
        <v>225.06</v>
      </c>
      <c r="F697" s="106">
        <v>1113.3499999999999</v>
      </c>
      <c r="G697">
        <v>3093</v>
      </c>
      <c r="H697" s="106"/>
      <c r="I697" s="106"/>
      <c r="L697" s="143">
        <v>43027</v>
      </c>
      <c r="M697" s="106">
        <v>223.33</v>
      </c>
      <c r="N697" s="106">
        <v>226</v>
      </c>
      <c r="O697" s="106">
        <v>221.6</v>
      </c>
      <c r="P697" s="106">
        <v>226</v>
      </c>
      <c r="Q697" s="106">
        <v>1116.6500000000001</v>
      </c>
      <c r="R697">
        <v>14255</v>
      </c>
    </row>
    <row r="698" spans="1:18" x14ac:dyDescent="0.25">
      <c r="A698" s="143">
        <v>43031</v>
      </c>
      <c r="B698" s="106">
        <v>232.3</v>
      </c>
      <c r="C698" s="106">
        <v>227.93</v>
      </c>
      <c r="D698" s="106">
        <v>222.4</v>
      </c>
      <c r="E698" s="106">
        <v>222.4</v>
      </c>
      <c r="F698" s="106">
        <v>1139.6500000000001</v>
      </c>
      <c r="G698">
        <v>4850</v>
      </c>
      <c r="H698" s="106"/>
      <c r="I698" s="106"/>
      <c r="L698" s="143">
        <v>43031</v>
      </c>
      <c r="M698" s="106">
        <v>228.32</v>
      </c>
      <c r="N698" s="106">
        <v>232.38000000000002</v>
      </c>
      <c r="O698" s="106">
        <v>223.4</v>
      </c>
      <c r="P698" s="106">
        <v>223.4</v>
      </c>
      <c r="Q698" s="106">
        <v>1141.5999999999999</v>
      </c>
      <c r="R698">
        <v>619600</v>
      </c>
    </row>
    <row r="699" spans="1:18" x14ac:dyDescent="0.25">
      <c r="A699" s="143">
        <v>43032</v>
      </c>
      <c r="B699" s="106">
        <v>236.63000000000002</v>
      </c>
      <c r="C699" s="106">
        <v>235.75</v>
      </c>
      <c r="D699" s="106">
        <v>228</v>
      </c>
      <c r="E699" s="106">
        <v>229.56</v>
      </c>
      <c r="F699" s="106">
        <v>1178.75</v>
      </c>
      <c r="G699">
        <v>20642</v>
      </c>
      <c r="H699" s="106"/>
      <c r="I699" s="106"/>
      <c r="L699" s="143">
        <v>43032</v>
      </c>
      <c r="M699" s="106">
        <v>235.42</v>
      </c>
      <c r="N699" s="106">
        <v>236.78000000000003</v>
      </c>
      <c r="O699" s="106">
        <v>228.15</v>
      </c>
      <c r="P699" s="106">
        <v>229.8</v>
      </c>
      <c r="Q699" s="106">
        <v>1177.0999999999999</v>
      </c>
      <c r="R699">
        <v>882282</v>
      </c>
    </row>
    <row r="700" spans="1:18" x14ac:dyDescent="0.25">
      <c r="A700" s="143">
        <v>43033</v>
      </c>
      <c r="B700" s="106">
        <v>239.2</v>
      </c>
      <c r="C700" s="106">
        <v>218.89000000000001</v>
      </c>
      <c r="D700" s="106">
        <v>216.21999999999997</v>
      </c>
      <c r="E700" s="106">
        <v>239.2</v>
      </c>
      <c r="F700" s="106">
        <v>1094.45</v>
      </c>
      <c r="G700">
        <v>23418</v>
      </c>
      <c r="H700" s="106"/>
      <c r="I700" s="106"/>
      <c r="L700" s="143">
        <v>43033</v>
      </c>
      <c r="M700" s="106">
        <v>218.65</v>
      </c>
      <c r="N700" s="106">
        <v>235</v>
      </c>
      <c r="O700" s="106">
        <v>216.06</v>
      </c>
      <c r="P700" s="106">
        <v>235</v>
      </c>
      <c r="Q700" s="106">
        <v>1093.25</v>
      </c>
      <c r="R700">
        <v>462673</v>
      </c>
    </row>
    <row r="701" spans="1:18" x14ac:dyDescent="0.25">
      <c r="A701" s="143">
        <v>43034</v>
      </c>
      <c r="B701" s="106">
        <v>225</v>
      </c>
      <c r="C701" s="106">
        <v>222.46999999999997</v>
      </c>
      <c r="D701" s="106">
        <v>215.8</v>
      </c>
      <c r="E701" s="106">
        <v>217.43</v>
      </c>
      <c r="F701" s="106">
        <v>1112.3499999999999</v>
      </c>
      <c r="G701">
        <v>6310</v>
      </c>
      <c r="H701" s="106"/>
      <c r="I701" s="106"/>
      <c r="L701" s="143">
        <v>43034</v>
      </c>
      <c r="M701" s="106">
        <v>222.75</v>
      </c>
      <c r="N701" s="106">
        <v>225</v>
      </c>
      <c r="O701" s="106">
        <v>215.29000000000002</v>
      </c>
      <c r="P701" s="106">
        <v>218.8</v>
      </c>
      <c r="Q701" s="106">
        <v>1113.75</v>
      </c>
      <c r="R701">
        <v>134010</v>
      </c>
    </row>
    <row r="702" spans="1:18" x14ac:dyDescent="0.25">
      <c r="A702" s="143">
        <v>43035</v>
      </c>
      <c r="B702" s="106">
        <v>227.18</v>
      </c>
      <c r="C702" s="106">
        <v>224.75</v>
      </c>
      <c r="D702" s="106">
        <v>222.84</v>
      </c>
      <c r="E702" s="106">
        <v>225.19</v>
      </c>
      <c r="F702" s="106">
        <v>1123.75</v>
      </c>
      <c r="G702">
        <v>5360</v>
      </c>
      <c r="H702" s="106"/>
      <c r="I702" s="106"/>
      <c r="L702" s="143">
        <v>43035</v>
      </c>
      <c r="M702" s="106">
        <v>224.71999999999997</v>
      </c>
      <c r="N702" s="106">
        <v>227.26</v>
      </c>
      <c r="O702" s="106">
        <v>222.93</v>
      </c>
      <c r="P702" s="106">
        <v>223.8</v>
      </c>
      <c r="Q702" s="106">
        <v>1123.5999999999999</v>
      </c>
      <c r="R702">
        <v>71147</v>
      </c>
    </row>
    <row r="703" spans="1:18" x14ac:dyDescent="0.25">
      <c r="A703" s="143">
        <v>43038</v>
      </c>
      <c r="B703" s="106">
        <v>229.8</v>
      </c>
      <c r="C703" s="106">
        <v>227.9</v>
      </c>
      <c r="D703" s="106">
        <v>225.89000000000001</v>
      </c>
      <c r="E703" s="106">
        <v>226.01999999999998</v>
      </c>
      <c r="F703" s="106">
        <v>1139.5</v>
      </c>
      <c r="G703">
        <v>10672</v>
      </c>
      <c r="H703" s="106"/>
      <c r="I703" s="106"/>
      <c r="L703" s="143">
        <v>43038</v>
      </c>
      <c r="M703" s="106">
        <v>228.24</v>
      </c>
      <c r="N703" s="106">
        <v>230</v>
      </c>
      <c r="O703" s="106">
        <v>224.04000000000002</v>
      </c>
      <c r="P703" s="106">
        <v>224.04000000000002</v>
      </c>
      <c r="Q703" s="106">
        <v>1141.2</v>
      </c>
      <c r="R703">
        <v>61375</v>
      </c>
    </row>
    <row r="704" spans="1:18" x14ac:dyDescent="0.25">
      <c r="A704" s="143">
        <v>43039</v>
      </c>
      <c r="B704" s="106">
        <v>232.20999999999998</v>
      </c>
      <c r="C704" s="106">
        <v>230.1</v>
      </c>
      <c r="D704" s="106">
        <v>228.92</v>
      </c>
      <c r="E704" s="106">
        <v>228.92</v>
      </c>
      <c r="F704" s="106">
        <v>1150.5</v>
      </c>
      <c r="G704">
        <v>8224</v>
      </c>
      <c r="H704" s="106"/>
      <c r="I704" s="106"/>
      <c r="L704" s="143">
        <v>43039</v>
      </c>
      <c r="M704" s="106">
        <v>230.24</v>
      </c>
      <c r="N704" s="106">
        <v>232.2</v>
      </c>
      <c r="O704" s="106">
        <v>228.93</v>
      </c>
      <c r="P704" s="106">
        <v>229.8</v>
      </c>
      <c r="Q704" s="106">
        <v>1151.2</v>
      </c>
      <c r="R704">
        <v>138164</v>
      </c>
    </row>
    <row r="705" spans="1:18" x14ac:dyDescent="0.25">
      <c r="A705" s="143">
        <v>43040</v>
      </c>
      <c r="B705" s="106">
        <v>254.16</v>
      </c>
      <c r="C705" s="106">
        <v>244.39000000000001</v>
      </c>
      <c r="D705" s="106">
        <v>233.14000000000001</v>
      </c>
      <c r="E705" s="106">
        <v>233.8</v>
      </c>
      <c r="F705" s="106">
        <v>1221.95</v>
      </c>
      <c r="G705">
        <v>1316781</v>
      </c>
      <c r="H705" s="106"/>
      <c r="I705" s="106"/>
      <c r="L705" s="143">
        <v>43040</v>
      </c>
      <c r="M705" s="106">
        <v>244.98000000000002</v>
      </c>
      <c r="N705" s="106">
        <v>258.88</v>
      </c>
      <c r="O705" s="106">
        <v>233</v>
      </c>
      <c r="P705" s="106">
        <v>238.07</v>
      </c>
      <c r="Q705" s="106">
        <v>1224.9000000000001</v>
      </c>
      <c r="R705">
        <v>2118375</v>
      </c>
    </row>
    <row r="706" spans="1:18" x14ac:dyDescent="0.25">
      <c r="A706" s="143">
        <v>43041</v>
      </c>
      <c r="B706" s="106">
        <v>254</v>
      </c>
      <c r="C706" s="106">
        <v>248.51999999999998</v>
      </c>
      <c r="D706" s="106">
        <v>245</v>
      </c>
      <c r="E706" s="106">
        <v>247.98000000000002</v>
      </c>
      <c r="F706" s="106">
        <v>1242.5999999999999</v>
      </c>
      <c r="G706">
        <v>28621</v>
      </c>
      <c r="H706" s="106"/>
      <c r="I706" s="106"/>
      <c r="L706" s="143">
        <v>43041</v>
      </c>
      <c r="M706" s="106">
        <v>248.78000000000003</v>
      </c>
      <c r="N706" s="106">
        <v>250.56</v>
      </c>
      <c r="O706" s="106">
        <v>245.13000000000002</v>
      </c>
      <c r="P706" s="106">
        <v>245.13000000000002</v>
      </c>
      <c r="Q706" s="106">
        <v>1243.9000000000001</v>
      </c>
      <c r="R706">
        <v>390803</v>
      </c>
    </row>
    <row r="707" spans="1:18" x14ac:dyDescent="0.25">
      <c r="A707" s="143">
        <v>43042</v>
      </c>
      <c r="B707" s="106">
        <v>253.31</v>
      </c>
      <c r="C707" s="106">
        <v>247.92</v>
      </c>
      <c r="D707" s="106">
        <v>246.18</v>
      </c>
      <c r="E707" s="106">
        <v>249.07</v>
      </c>
      <c r="F707" s="106">
        <v>1239.5999999999999</v>
      </c>
      <c r="G707">
        <v>11630</v>
      </c>
      <c r="H707" s="106"/>
      <c r="I707" s="106"/>
      <c r="L707" s="143">
        <v>43042</v>
      </c>
      <c r="M707" s="106">
        <v>248.29000000000002</v>
      </c>
      <c r="N707" s="106">
        <v>253.76</v>
      </c>
      <c r="O707" s="106">
        <v>246.65</v>
      </c>
      <c r="P707" s="106">
        <v>250</v>
      </c>
      <c r="Q707" s="106">
        <v>1241.45</v>
      </c>
      <c r="R707">
        <v>196814</v>
      </c>
    </row>
    <row r="708" spans="1:18" x14ac:dyDescent="0.25">
      <c r="A708" s="143">
        <v>43045</v>
      </c>
      <c r="B708" s="106">
        <v>254.26</v>
      </c>
      <c r="C708" s="106">
        <v>252.76</v>
      </c>
      <c r="D708" s="106">
        <v>245.17</v>
      </c>
      <c r="E708" s="106">
        <v>248.38000000000002</v>
      </c>
      <c r="F708" s="106">
        <v>1263.8</v>
      </c>
      <c r="G708">
        <v>16771</v>
      </c>
      <c r="H708" s="106"/>
      <c r="I708" s="106"/>
      <c r="L708" s="143">
        <v>43045</v>
      </c>
      <c r="M708" s="106">
        <v>253.10999999999999</v>
      </c>
      <c r="N708" s="106">
        <v>254.4</v>
      </c>
      <c r="O708" s="106">
        <v>245.15</v>
      </c>
      <c r="P708" s="106">
        <v>247.94</v>
      </c>
      <c r="Q708" s="106">
        <v>1265.55</v>
      </c>
      <c r="R708">
        <v>926370</v>
      </c>
    </row>
    <row r="709" spans="1:18" x14ac:dyDescent="0.25">
      <c r="A709" s="143">
        <v>43046</v>
      </c>
      <c r="B709" s="106">
        <v>256.79000000000002</v>
      </c>
      <c r="C709" s="106">
        <v>252.93</v>
      </c>
      <c r="D709" s="106">
        <v>250.54000000000002</v>
      </c>
      <c r="E709" s="106">
        <v>254.88000000000002</v>
      </c>
      <c r="F709" s="106">
        <v>1264.6500000000001</v>
      </c>
      <c r="G709">
        <v>15052</v>
      </c>
      <c r="H709" s="106"/>
      <c r="I709" s="106"/>
      <c r="L709" s="143">
        <v>43046</v>
      </c>
      <c r="M709" s="106">
        <v>253.74</v>
      </c>
      <c r="N709" s="106">
        <v>256.65999999999997</v>
      </c>
      <c r="O709" s="106">
        <v>250.60999999999999</v>
      </c>
      <c r="P709" s="106">
        <v>254.41</v>
      </c>
      <c r="Q709" s="106">
        <v>1268.7</v>
      </c>
      <c r="R709">
        <v>201760</v>
      </c>
    </row>
    <row r="710" spans="1:18" x14ac:dyDescent="0.25">
      <c r="A710" s="143">
        <v>43047</v>
      </c>
      <c r="B710" s="106">
        <v>259.68</v>
      </c>
      <c r="C710" s="106">
        <v>253.23000000000002</v>
      </c>
      <c r="D710" s="106">
        <v>252</v>
      </c>
      <c r="E710" s="106">
        <v>252.03000000000003</v>
      </c>
      <c r="F710" s="106">
        <v>1266.1500000000001</v>
      </c>
      <c r="G710">
        <v>22018</v>
      </c>
      <c r="H710" s="106"/>
      <c r="I710" s="106"/>
      <c r="L710" s="143">
        <v>43047</v>
      </c>
      <c r="M710" s="106">
        <v>253.43</v>
      </c>
      <c r="N710" s="106">
        <v>260</v>
      </c>
      <c r="O710" s="106">
        <v>251.7</v>
      </c>
      <c r="P710" s="106">
        <v>252</v>
      </c>
      <c r="Q710" s="106">
        <v>1267.1500000000001</v>
      </c>
      <c r="R710">
        <v>178858</v>
      </c>
    </row>
    <row r="711" spans="1:18" x14ac:dyDescent="0.25">
      <c r="A711" s="143">
        <v>43048</v>
      </c>
      <c r="B711" s="106">
        <v>256.61</v>
      </c>
      <c r="C711" s="106">
        <v>254.57</v>
      </c>
      <c r="D711" s="106">
        <v>252.68</v>
      </c>
      <c r="E711" s="106">
        <v>253.85</v>
      </c>
      <c r="F711" s="106">
        <v>1272.8499999999999</v>
      </c>
      <c r="G711">
        <v>6380</v>
      </c>
      <c r="H711" s="106"/>
      <c r="I711" s="106"/>
      <c r="L711" s="143">
        <v>43048</v>
      </c>
      <c r="M711" s="106">
        <v>254.71999999999997</v>
      </c>
      <c r="N711" s="106">
        <v>256.95</v>
      </c>
      <c r="O711" s="106">
        <v>252.20999999999998</v>
      </c>
      <c r="P711" s="106">
        <v>253.2</v>
      </c>
      <c r="Q711" s="106">
        <v>1273.5999999999999</v>
      </c>
      <c r="R711">
        <v>242611</v>
      </c>
    </row>
    <row r="712" spans="1:18" x14ac:dyDescent="0.25">
      <c r="A712" s="143">
        <v>43049</v>
      </c>
      <c r="B712" s="106">
        <v>255.48000000000002</v>
      </c>
      <c r="C712" s="106">
        <v>253.95999999999998</v>
      </c>
      <c r="D712" s="106">
        <v>249.6</v>
      </c>
      <c r="E712" s="106">
        <v>254.55</v>
      </c>
      <c r="F712" s="106">
        <v>1269.8</v>
      </c>
      <c r="G712">
        <v>12638</v>
      </c>
      <c r="H712" s="106"/>
      <c r="I712" s="106"/>
      <c r="L712" s="143">
        <v>43049</v>
      </c>
      <c r="M712" s="106">
        <v>253.98000000000002</v>
      </c>
      <c r="N712" s="106">
        <v>255.35999999999999</v>
      </c>
      <c r="O712" s="106">
        <v>249.49</v>
      </c>
      <c r="P712" s="106">
        <v>254.73000000000002</v>
      </c>
      <c r="Q712" s="106">
        <v>1269.9000000000001</v>
      </c>
      <c r="R712">
        <v>134548</v>
      </c>
    </row>
    <row r="713" spans="1:18" x14ac:dyDescent="0.25">
      <c r="A713" s="143">
        <v>43052</v>
      </c>
      <c r="B713" s="106">
        <v>253.6</v>
      </c>
      <c r="C713" s="106">
        <v>248.86999999999998</v>
      </c>
      <c r="D713" s="106">
        <v>247.81</v>
      </c>
      <c r="E713" s="106">
        <v>253.6</v>
      </c>
      <c r="F713" s="106">
        <v>1244.3499999999999</v>
      </c>
      <c r="G713">
        <v>11262</v>
      </c>
      <c r="H713" s="106"/>
      <c r="I713" s="106"/>
      <c r="L713" s="143">
        <v>43052</v>
      </c>
      <c r="M713" s="106">
        <v>249.35999999999999</v>
      </c>
      <c r="N713" s="106">
        <v>254.5</v>
      </c>
      <c r="O713" s="106">
        <v>247.8</v>
      </c>
      <c r="P713" s="106">
        <v>254.5</v>
      </c>
      <c r="Q713" s="106">
        <v>1246.8</v>
      </c>
      <c r="R713">
        <v>203193</v>
      </c>
    </row>
    <row r="714" spans="1:18" x14ac:dyDescent="0.25">
      <c r="A714" s="143">
        <v>43053</v>
      </c>
      <c r="B714" s="106">
        <v>252.73000000000002</v>
      </c>
      <c r="C714" s="106">
        <v>249.61999999999998</v>
      </c>
      <c r="D714" s="106">
        <v>247.78000000000003</v>
      </c>
      <c r="E714" s="106">
        <v>249.10999999999999</v>
      </c>
      <c r="F714" s="106">
        <v>1248.0999999999999</v>
      </c>
      <c r="G714">
        <v>7205</v>
      </c>
      <c r="H714" s="106"/>
      <c r="I714" s="106"/>
      <c r="L714" s="143">
        <v>43053</v>
      </c>
      <c r="M714" s="106">
        <v>250.1</v>
      </c>
      <c r="N714" s="106">
        <v>253</v>
      </c>
      <c r="O714" s="106">
        <v>247.38000000000002</v>
      </c>
      <c r="P714" s="106">
        <v>249.99</v>
      </c>
      <c r="Q714" s="106">
        <v>1250.5</v>
      </c>
      <c r="R714">
        <v>193664</v>
      </c>
    </row>
    <row r="715" spans="1:18" x14ac:dyDescent="0.25">
      <c r="A715" s="143">
        <v>43054</v>
      </c>
      <c r="B715" s="106">
        <v>250.45999999999998</v>
      </c>
      <c r="C715" s="106">
        <v>249.48000000000002</v>
      </c>
      <c r="D715" s="106">
        <v>248.78000000000003</v>
      </c>
      <c r="E715" s="106">
        <v>249.55</v>
      </c>
      <c r="F715" s="106">
        <v>1247.4000000000001</v>
      </c>
      <c r="G715">
        <v>3658</v>
      </c>
      <c r="H715" s="106"/>
      <c r="I715" s="106"/>
      <c r="L715" s="143">
        <v>43054</v>
      </c>
      <c r="M715" s="106">
        <v>249.6</v>
      </c>
      <c r="N715" s="106">
        <v>251.93</v>
      </c>
      <c r="O715" s="106">
        <v>248.1</v>
      </c>
      <c r="P715" s="106">
        <v>249.65</v>
      </c>
      <c r="Q715" s="106">
        <v>1248</v>
      </c>
      <c r="R715">
        <v>137595</v>
      </c>
    </row>
    <row r="716" spans="1:18" x14ac:dyDescent="0.25">
      <c r="A716" s="143">
        <v>43055</v>
      </c>
      <c r="B716" s="106">
        <v>261.38</v>
      </c>
      <c r="C716" s="106">
        <v>259.95</v>
      </c>
      <c r="D716" s="106">
        <v>249.45999999999998</v>
      </c>
      <c r="E716" s="106">
        <v>249.61999999999998</v>
      </c>
      <c r="F716" s="106">
        <v>1299.75</v>
      </c>
      <c r="G716">
        <v>14738</v>
      </c>
      <c r="H716" s="106"/>
      <c r="I716" s="106"/>
      <c r="L716" s="143">
        <v>43055</v>
      </c>
      <c r="M716" s="106">
        <v>259.89</v>
      </c>
      <c r="N716" s="106">
        <v>261.5</v>
      </c>
      <c r="O716" s="106">
        <v>248.20999999999998</v>
      </c>
      <c r="P716" s="106">
        <v>249.6</v>
      </c>
      <c r="Q716" s="106">
        <v>1299.45</v>
      </c>
      <c r="R716">
        <v>306743</v>
      </c>
    </row>
    <row r="717" spans="1:18" x14ac:dyDescent="0.25">
      <c r="A717" s="143">
        <v>43056</v>
      </c>
      <c r="B717" s="106">
        <v>271.01</v>
      </c>
      <c r="C717" s="106">
        <v>255.15</v>
      </c>
      <c r="D717" s="106">
        <v>252.5</v>
      </c>
      <c r="E717" s="106">
        <v>267.75</v>
      </c>
      <c r="F717" s="106">
        <v>1275.75</v>
      </c>
      <c r="G717">
        <v>33066</v>
      </c>
      <c r="H717" s="106"/>
      <c r="I717" s="106"/>
      <c r="L717" s="143">
        <v>43056</v>
      </c>
      <c r="M717" s="106">
        <v>254.81</v>
      </c>
      <c r="N717" s="106">
        <v>263.7</v>
      </c>
      <c r="O717" s="106">
        <v>252.5</v>
      </c>
      <c r="P717" s="106">
        <v>263.06</v>
      </c>
      <c r="Q717" s="106">
        <v>1274.05</v>
      </c>
      <c r="R717">
        <v>169452</v>
      </c>
    </row>
    <row r="718" spans="1:18" x14ac:dyDescent="0.25">
      <c r="A718" s="143">
        <v>43059</v>
      </c>
      <c r="B718" s="106">
        <v>258.8</v>
      </c>
      <c r="C718" s="106">
        <v>256.39</v>
      </c>
      <c r="D718" s="106">
        <v>252.65</v>
      </c>
      <c r="E718" s="106">
        <v>253.35</v>
      </c>
      <c r="F718" s="106">
        <v>1281.95</v>
      </c>
      <c r="G718">
        <v>4657</v>
      </c>
      <c r="H718" s="106"/>
      <c r="I718" s="106"/>
      <c r="L718" s="143">
        <v>43059</v>
      </c>
      <c r="M718" s="106">
        <v>257.35000000000002</v>
      </c>
      <c r="N718" s="106">
        <v>258.95</v>
      </c>
      <c r="O718" s="106">
        <v>252.71999999999997</v>
      </c>
      <c r="P718" s="106">
        <v>253.2</v>
      </c>
      <c r="Q718" s="106">
        <v>1286.75</v>
      </c>
      <c r="R718">
        <v>92347</v>
      </c>
    </row>
    <row r="719" spans="1:18" x14ac:dyDescent="0.25">
      <c r="A719" s="143">
        <v>43060</v>
      </c>
      <c r="B719" s="106">
        <v>261.54000000000002</v>
      </c>
      <c r="C719" s="106">
        <v>258.81</v>
      </c>
      <c r="D719" s="106">
        <v>256.64</v>
      </c>
      <c r="E719" s="106">
        <v>257.90999999999997</v>
      </c>
      <c r="F719" s="106">
        <v>1294.05</v>
      </c>
      <c r="G719">
        <v>20265</v>
      </c>
      <c r="H719" s="106"/>
      <c r="I719" s="106"/>
      <c r="L719" s="143">
        <v>43060</v>
      </c>
      <c r="M719" s="106">
        <v>257.89</v>
      </c>
      <c r="N719" s="106">
        <v>261.98</v>
      </c>
      <c r="O719" s="106">
        <v>257.02</v>
      </c>
      <c r="P719" s="106">
        <v>257.2</v>
      </c>
      <c r="Q719" s="106">
        <v>1289.45</v>
      </c>
      <c r="R719">
        <v>123745</v>
      </c>
    </row>
    <row r="720" spans="1:18" x14ac:dyDescent="0.25">
      <c r="A720" s="143">
        <v>43061</v>
      </c>
      <c r="B720" s="106">
        <v>260.40999999999997</v>
      </c>
      <c r="C720" s="106">
        <v>256.41999999999996</v>
      </c>
      <c r="D720" s="106">
        <v>254.84</v>
      </c>
      <c r="E720" s="106">
        <v>259.25</v>
      </c>
      <c r="F720" s="106">
        <v>1282.0999999999999</v>
      </c>
      <c r="G720">
        <v>7393</v>
      </c>
      <c r="H720" s="106"/>
      <c r="I720" s="106"/>
      <c r="L720" s="143">
        <v>43061</v>
      </c>
      <c r="M720" s="106">
        <v>255.89000000000001</v>
      </c>
      <c r="N720" s="106">
        <v>260</v>
      </c>
      <c r="O720" s="106">
        <v>254.46999999999997</v>
      </c>
      <c r="P720" s="106">
        <v>259.86</v>
      </c>
      <c r="Q720" s="106">
        <v>1279.45</v>
      </c>
      <c r="R720">
        <v>140734</v>
      </c>
    </row>
    <row r="721" spans="1:18" x14ac:dyDescent="0.25">
      <c r="A721" s="143">
        <v>43062</v>
      </c>
      <c r="B721" s="106">
        <v>258</v>
      </c>
      <c r="C721" s="106">
        <v>254.38000000000002</v>
      </c>
      <c r="D721" s="106">
        <v>254</v>
      </c>
      <c r="E721" s="106">
        <v>257.74</v>
      </c>
      <c r="F721" s="106">
        <v>1271.9000000000001</v>
      </c>
      <c r="G721">
        <v>6344</v>
      </c>
      <c r="H721" s="106"/>
      <c r="I721" s="106"/>
      <c r="L721" s="143">
        <v>43062</v>
      </c>
      <c r="M721" s="106">
        <v>254.83</v>
      </c>
      <c r="N721" s="106">
        <v>257.8</v>
      </c>
      <c r="O721" s="106">
        <v>253.60999999999999</v>
      </c>
      <c r="P721" s="106">
        <v>256.31</v>
      </c>
      <c r="Q721" s="106">
        <v>1274.1500000000001</v>
      </c>
      <c r="R721">
        <v>108822</v>
      </c>
    </row>
    <row r="722" spans="1:18" x14ac:dyDescent="0.25">
      <c r="A722" s="143">
        <v>43063</v>
      </c>
      <c r="B722" s="106">
        <v>255.35</v>
      </c>
      <c r="C722" s="106">
        <v>254.6</v>
      </c>
      <c r="D722" s="106">
        <v>253.2</v>
      </c>
      <c r="E722" s="106">
        <v>254.38000000000002</v>
      </c>
      <c r="F722" s="106">
        <v>1273</v>
      </c>
      <c r="G722">
        <v>40991</v>
      </c>
      <c r="H722" s="106"/>
      <c r="I722" s="106"/>
      <c r="L722" s="143">
        <v>43063</v>
      </c>
      <c r="M722" s="106">
        <v>254.13000000000002</v>
      </c>
      <c r="N722" s="106">
        <v>255</v>
      </c>
      <c r="O722" s="106">
        <v>252.9</v>
      </c>
      <c r="P722" s="106">
        <v>255</v>
      </c>
      <c r="Q722" s="106">
        <v>1270.6500000000001</v>
      </c>
      <c r="R722">
        <v>111261</v>
      </c>
    </row>
    <row r="723" spans="1:18" x14ac:dyDescent="0.25">
      <c r="A723" s="143">
        <v>43066</v>
      </c>
      <c r="B723" s="106">
        <v>256.96999999999997</v>
      </c>
      <c r="C723" s="106">
        <v>254.38000000000002</v>
      </c>
      <c r="D723" s="106">
        <v>253.01999999999998</v>
      </c>
      <c r="E723" s="106">
        <v>253.32</v>
      </c>
      <c r="F723" s="106">
        <v>1271.9000000000001</v>
      </c>
      <c r="G723">
        <v>4473</v>
      </c>
      <c r="H723" s="106"/>
      <c r="I723" s="106"/>
      <c r="L723" s="143">
        <v>43066</v>
      </c>
      <c r="M723" s="106">
        <v>253.78000000000003</v>
      </c>
      <c r="N723" s="106">
        <v>256.60000000000002</v>
      </c>
      <c r="O723" s="106">
        <v>253</v>
      </c>
      <c r="P723" s="106">
        <v>254.14000000000001</v>
      </c>
      <c r="Q723" s="106">
        <v>1268.9000000000001</v>
      </c>
      <c r="R723">
        <v>107735</v>
      </c>
    </row>
    <row r="724" spans="1:18" x14ac:dyDescent="0.25">
      <c r="A724" s="143">
        <v>43067</v>
      </c>
      <c r="B724" s="106">
        <v>257</v>
      </c>
      <c r="C724" s="106">
        <v>256.45999999999998</v>
      </c>
      <c r="D724" s="106">
        <v>252.94</v>
      </c>
      <c r="E724" s="106">
        <v>252.95</v>
      </c>
      <c r="F724" s="106">
        <v>1282.3</v>
      </c>
      <c r="G724">
        <v>8188</v>
      </c>
      <c r="H724" s="106"/>
      <c r="I724" s="106"/>
      <c r="L724" s="143">
        <v>43067</v>
      </c>
      <c r="M724" s="106">
        <v>256.03000000000003</v>
      </c>
      <c r="N724" s="106">
        <v>256.63</v>
      </c>
      <c r="O724" s="106">
        <v>252.05</v>
      </c>
      <c r="P724" s="106">
        <v>254.51</v>
      </c>
      <c r="Q724" s="106">
        <v>1280.1500000000001</v>
      </c>
      <c r="R724">
        <v>152692</v>
      </c>
    </row>
    <row r="725" spans="1:18" x14ac:dyDescent="0.25">
      <c r="A725" s="143">
        <v>43068</v>
      </c>
      <c r="B725" s="106">
        <v>259</v>
      </c>
      <c r="C725" s="106">
        <v>257.73</v>
      </c>
      <c r="D725" s="106">
        <v>252.51999999999998</v>
      </c>
      <c r="E725" s="106">
        <v>256.2</v>
      </c>
      <c r="F725" s="106">
        <v>1288.6500000000001</v>
      </c>
      <c r="G725">
        <v>6197</v>
      </c>
      <c r="H725" s="106"/>
      <c r="I725" s="106"/>
      <c r="L725" s="143">
        <v>43068</v>
      </c>
      <c r="M725" s="106">
        <v>257.16999999999996</v>
      </c>
      <c r="N725" s="106">
        <v>258.68</v>
      </c>
      <c r="O725" s="106">
        <v>252</v>
      </c>
      <c r="P725" s="106">
        <v>254.42</v>
      </c>
      <c r="Q725" s="106">
        <v>1285.8499999999999</v>
      </c>
      <c r="R725">
        <v>414286</v>
      </c>
    </row>
    <row r="726" spans="1:18" x14ac:dyDescent="0.25">
      <c r="A726" s="143">
        <v>43069</v>
      </c>
      <c r="B726" s="106">
        <v>258.39999999999998</v>
      </c>
      <c r="C726" s="106">
        <v>255.60999999999999</v>
      </c>
      <c r="D726" s="106">
        <v>254.6</v>
      </c>
      <c r="E726" s="106">
        <v>257.14</v>
      </c>
      <c r="F726" s="106">
        <v>1278.05</v>
      </c>
      <c r="G726">
        <v>12594</v>
      </c>
      <c r="H726" s="106"/>
      <c r="I726" s="106"/>
      <c r="L726" s="143">
        <v>43069</v>
      </c>
      <c r="M726" s="106">
        <v>255.75</v>
      </c>
      <c r="N726" s="106">
        <v>258.7</v>
      </c>
      <c r="O726" s="106">
        <v>254.4</v>
      </c>
      <c r="P726" s="106">
        <v>256.84000000000003</v>
      </c>
      <c r="Q726" s="106">
        <v>1278.75</v>
      </c>
      <c r="R726">
        <v>203778</v>
      </c>
    </row>
    <row r="727" spans="1:18" x14ac:dyDescent="0.25">
      <c r="A727" s="143">
        <v>43070</v>
      </c>
      <c r="B727" s="106">
        <v>261.51</v>
      </c>
      <c r="C727" s="106">
        <v>256.36</v>
      </c>
      <c r="D727" s="106">
        <v>254.05</v>
      </c>
      <c r="E727" s="106">
        <v>257.34000000000003</v>
      </c>
      <c r="F727" s="106">
        <v>1281.8</v>
      </c>
      <c r="G727">
        <v>12174</v>
      </c>
      <c r="H727" s="106"/>
      <c r="I727" s="106"/>
      <c r="L727" s="143">
        <v>43070</v>
      </c>
      <c r="M727" s="106">
        <v>256.89</v>
      </c>
      <c r="N727" s="106">
        <v>261.61</v>
      </c>
      <c r="O727" s="106">
        <v>255.41</v>
      </c>
      <c r="P727" s="106">
        <v>257</v>
      </c>
      <c r="Q727" s="106">
        <v>1284.45</v>
      </c>
      <c r="R727">
        <v>434699</v>
      </c>
    </row>
    <row r="728" spans="1:18" x14ac:dyDescent="0.25">
      <c r="A728" s="143">
        <v>43073</v>
      </c>
      <c r="B728" s="106">
        <v>263.60000000000002</v>
      </c>
      <c r="C728" s="106">
        <v>257.93</v>
      </c>
      <c r="D728" s="106">
        <v>253.01999999999998</v>
      </c>
      <c r="E728" s="106">
        <v>263.60000000000002</v>
      </c>
      <c r="F728" s="106">
        <v>1289.6500000000001</v>
      </c>
      <c r="G728">
        <v>5906</v>
      </c>
      <c r="H728" s="106"/>
      <c r="I728" s="106"/>
      <c r="L728" s="143">
        <v>43073</v>
      </c>
      <c r="M728" s="106">
        <v>258.78000000000003</v>
      </c>
      <c r="N728" s="106">
        <v>260</v>
      </c>
      <c r="O728" s="106">
        <v>255.60999999999999</v>
      </c>
      <c r="P728" s="106">
        <v>258.8</v>
      </c>
      <c r="Q728" s="106">
        <v>1293.9000000000001</v>
      </c>
      <c r="R728">
        <v>112139</v>
      </c>
    </row>
    <row r="729" spans="1:18" x14ac:dyDescent="0.25">
      <c r="A729" s="143">
        <v>43074</v>
      </c>
      <c r="B729" s="106">
        <v>263</v>
      </c>
      <c r="C729" s="106">
        <v>260.55</v>
      </c>
      <c r="D729" s="106">
        <v>249</v>
      </c>
      <c r="E729" s="106">
        <v>256.31</v>
      </c>
      <c r="F729" s="106">
        <v>1302.75</v>
      </c>
      <c r="G729">
        <v>15512</v>
      </c>
      <c r="H729" s="106"/>
      <c r="I729" s="106"/>
      <c r="L729" s="143">
        <v>43074</v>
      </c>
      <c r="M729" s="106">
        <v>261.11</v>
      </c>
      <c r="N729" s="106">
        <v>263.23</v>
      </c>
      <c r="O729" s="106">
        <v>248.51</v>
      </c>
      <c r="P729" s="106">
        <v>258.8</v>
      </c>
      <c r="Q729" s="106">
        <v>1305.55</v>
      </c>
      <c r="R729">
        <v>240597</v>
      </c>
    </row>
    <row r="730" spans="1:18" x14ac:dyDescent="0.25">
      <c r="A730" s="143">
        <v>43075</v>
      </c>
      <c r="B730" s="106">
        <v>264.88</v>
      </c>
      <c r="C730" s="106">
        <v>255.53000000000003</v>
      </c>
      <c r="D730" s="106">
        <v>254.03000000000003</v>
      </c>
      <c r="E730" s="106">
        <v>258.76</v>
      </c>
      <c r="F730" s="106">
        <v>1277.6500000000001</v>
      </c>
      <c r="G730">
        <v>21852</v>
      </c>
      <c r="H730" s="106"/>
      <c r="I730" s="106"/>
      <c r="L730" s="143">
        <v>43075</v>
      </c>
      <c r="M730" s="106">
        <v>256.01</v>
      </c>
      <c r="N730" s="106">
        <v>264.98</v>
      </c>
      <c r="O730" s="106">
        <v>254.04000000000002</v>
      </c>
      <c r="P730" s="106">
        <v>259.35000000000002</v>
      </c>
      <c r="Q730" s="106">
        <v>1280.05</v>
      </c>
      <c r="R730">
        <v>244348</v>
      </c>
    </row>
    <row r="731" spans="1:18" x14ac:dyDescent="0.25">
      <c r="A731" s="143">
        <v>43076</v>
      </c>
      <c r="B731" s="106">
        <v>261</v>
      </c>
      <c r="C731" s="106">
        <v>256.24</v>
      </c>
      <c r="D731" s="106">
        <v>254.98000000000002</v>
      </c>
      <c r="E731" s="106">
        <v>258.02</v>
      </c>
      <c r="F731" s="106">
        <v>1281.2</v>
      </c>
      <c r="G731">
        <v>16048</v>
      </c>
      <c r="H731" s="106"/>
      <c r="I731" s="106"/>
      <c r="L731" s="143">
        <v>43076</v>
      </c>
      <c r="M731" s="106">
        <v>257.32</v>
      </c>
      <c r="N731" s="106">
        <v>260.94</v>
      </c>
      <c r="O731" s="106">
        <v>255.20999999999998</v>
      </c>
      <c r="P731" s="106">
        <v>256.37</v>
      </c>
      <c r="Q731" s="106">
        <v>1286.5999999999999</v>
      </c>
      <c r="R731">
        <v>111691</v>
      </c>
    </row>
    <row r="732" spans="1:18" x14ac:dyDescent="0.25">
      <c r="A732" s="143">
        <v>43077</v>
      </c>
      <c r="B732" s="106">
        <v>261.55</v>
      </c>
      <c r="C732" s="106">
        <v>259.98</v>
      </c>
      <c r="D732" s="106">
        <v>258.60000000000002</v>
      </c>
      <c r="E732" s="106">
        <v>259.79000000000002</v>
      </c>
      <c r="F732" s="106">
        <v>1299.9000000000001</v>
      </c>
      <c r="G732">
        <v>7126</v>
      </c>
      <c r="H732" s="106"/>
      <c r="I732" s="106"/>
      <c r="L732" s="143">
        <v>43077</v>
      </c>
      <c r="M732" s="106">
        <v>259.90999999999997</v>
      </c>
      <c r="N732" s="106">
        <v>260.39999999999998</v>
      </c>
      <c r="O732" s="106">
        <v>258</v>
      </c>
      <c r="P732" s="106">
        <v>258</v>
      </c>
      <c r="Q732" s="106">
        <v>1299.55</v>
      </c>
      <c r="R732">
        <v>159505</v>
      </c>
    </row>
    <row r="733" spans="1:18" x14ac:dyDescent="0.25">
      <c r="A733" s="143">
        <v>43080</v>
      </c>
      <c r="B733" s="106">
        <v>260.76</v>
      </c>
      <c r="C733" s="106">
        <v>259.24</v>
      </c>
      <c r="D733" s="106">
        <v>257.60000000000002</v>
      </c>
      <c r="E733" s="106">
        <v>259.84000000000003</v>
      </c>
      <c r="F733" s="106">
        <v>1296.2</v>
      </c>
      <c r="G733">
        <v>5846</v>
      </c>
      <c r="H733" s="106"/>
      <c r="I733" s="106"/>
      <c r="L733" s="143">
        <v>43080</v>
      </c>
      <c r="M733" s="106">
        <v>258.60000000000002</v>
      </c>
      <c r="N733" s="106">
        <v>260.31</v>
      </c>
      <c r="O733" s="106">
        <v>257</v>
      </c>
      <c r="P733" s="106">
        <v>260.31</v>
      </c>
      <c r="Q733" s="106">
        <v>1293</v>
      </c>
      <c r="R733">
        <v>119608</v>
      </c>
    </row>
    <row r="734" spans="1:18" x14ac:dyDescent="0.25">
      <c r="A734" s="143">
        <v>43081</v>
      </c>
      <c r="B734" s="106">
        <v>258.36</v>
      </c>
      <c r="C734" s="106">
        <v>255.14000000000001</v>
      </c>
      <c r="D734" s="106">
        <v>253.45999999999998</v>
      </c>
      <c r="E734" s="106">
        <v>258</v>
      </c>
      <c r="F734" s="106">
        <v>1275.7</v>
      </c>
      <c r="G734">
        <v>8263</v>
      </c>
      <c r="H734" s="106"/>
      <c r="I734" s="106"/>
      <c r="L734" s="143">
        <v>43081</v>
      </c>
      <c r="M734" s="106">
        <v>255.18</v>
      </c>
      <c r="N734" s="106">
        <v>258.89999999999998</v>
      </c>
      <c r="O734" s="106">
        <v>253.2</v>
      </c>
      <c r="P734" s="106">
        <v>257.8</v>
      </c>
      <c r="Q734" s="106">
        <v>1275.9000000000001</v>
      </c>
      <c r="R734">
        <v>151330</v>
      </c>
    </row>
    <row r="735" spans="1:18" x14ac:dyDescent="0.25">
      <c r="A735" s="143">
        <v>43082</v>
      </c>
      <c r="B735" s="106">
        <v>260</v>
      </c>
      <c r="C735" s="106">
        <v>257.88</v>
      </c>
      <c r="D735" s="106">
        <v>252.55</v>
      </c>
      <c r="E735" s="106">
        <v>252.82</v>
      </c>
      <c r="F735" s="106">
        <v>1289.4000000000001</v>
      </c>
      <c r="G735">
        <v>10576</v>
      </c>
      <c r="H735" s="106"/>
      <c r="I735" s="106"/>
      <c r="L735" s="143">
        <v>43082</v>
      </c>
      <c r="M735" s="106">
        <v>258.41999999999996</v>
      </c>
      <c r="N735" s="106">
        <v>259.99</v>
      </c>
      <c r="O735" s="106">
        <v>251.9</v>
      </c>
      <c r="P735" s="106">
        <v>256.25</v>
      </c>
      <c r="Q735" s="106">
        <v>1292.0999999999999</v>
      </c>
      <c r="R735">
        <v>174783</v>
      </c>
    </row>
    <row r="736" spans="1:18" x14ac:dyDescent="0.25">
      <c r="A736" s="143">
        <v>43083</v>
      </c>
      <c r="B736" s="106">
        <v>260.95</v>
      </c>
      <c r="C736" s="106">
        <v>259.43</v>
      </c>
      <c r="D736" s="106">
        <v>256</v>
      </c>
      <c r="E736" s="106">
        <v>258.39999999999998</v>
      </c>
      <c r="F736" s="106">
        <v>1297.1500000000001</v>
      </c>
      <c r="G736">
        <v>5484</v>
      </c>
      <c r="H736" s="106"/>
      <c r="I736" s="106"/>
      <c r="L736" s="143">
        <v>43083</v>
      </c>
      <c r="M736" s="106">
        <v>259.85000000000002</v>
      </c>
      <c r="N736" s="106">
        <v>260.39</v>
      </c>
      <c r="O736" s="106">
        <v>255.53000000000003</v>
      </c>
      <c r="P736" s="106">
        <v>258.44</v>
      </c>
      <c r="Q736" s="106">
        <v>1299.25</v>
      </c>
      <c r="R736">
        <v>337240</v>
      </c>
    </row>
    <row r="737" spans="1:18" x14ac:dyDescent="0.25">
      <c r="A737" s="143">
        <v>43084</v>
      </c>
      <c r="B737" s="106">
        <v>261</v>
      </c>
      <c r="C737" s="106">
        <v>257.89</v>
      </c>
      <c r="D737" s="106">
        <v>257.19</v>
      </c>
      <c r="E737" s="106">
        <v>260</v>
      </c>
      <c r="F737" s="106">
        <v>1289.45</v>
      </c>
      <c r="G737">
        <v>7700</v>
      </c>
      <c r="H737" s="106"/>
      <c r="I737" s="106"/>
      <c r="L737" s="143">
        <v>43084</v>
      </c>
      <c r="M737" s="106">
        <v>257.94</v>
      </c>
      <c r="N737" s="106">
        <v>261</v>
      </c>
      <c r="O737" s="106">
        <v>257.21999999999997</v>
      </c>
      <c r="P737" s="106">
        <v>260.31</v>
      </c>
      <c r="Q737" s="106">
        <v>1289.7</v>
      </c>
      <c r="R737">
        <v>183805</v>
      </c>
    </row>
    <row r="738" spans="1:18" x14ac:dyDescent="0.25">
      <c r="A738" s="143">
        <v>43087</v>
      </c>
      <c r="B738" s="106">
        <v>260.18</v>
      </c>
      <c r="C738" s="106">
        <v>255.55</v>
      </c>
      <c r="D738" s="106">
        <v>250.84</v>
      </c>
      <c r="E738" s="106">
        <v>258.39999999999998</v>
      </c>
      <c r="F738" s="106">
        <v>1277.75</v>
      </c>
      <c r="G738">
        <v>10186</v>
      </c>
      <c r="H738" s="106"/>
      <c r="I738" s="106"/>
      <c r="L738" s="143">
        <v>43087</v>
      </c>
      <c r="M738" s="106">
        <v>255.09</v>
      </c>
      <c r="N738" s="106">
        <v>260.01</v>
      </c>
      <c r="O738" s="106">
        <v>250.66</v>
      </c>
      <c r="P738" s="106">
        <v>257.60000000000002</v>
      </c>
      <c r="Q738" s="106">
        <v>1275.45</v>
      </c>
      <c r="R738">
        <v>454009</v>
      </c>
    </row>
    <row r="739" spans="1:18" x14ac:dyDescent="0.25">
      <c r="A739" s="143">
        <v>43088</v>
      </c>
      <c r="B739" s="106">
        <v>260.8</v>
      </c>
      <c r="C739" s="106">
        <v>257.61</v>
      </c>
      <c r="D739" s="106">
        <v>255.61999999999998</v>
      </c>
      <c r="E739" s="106">
        <v>260.8</v>
      </c>
      <c r="F739" s="106">
        <v>1288.05</v>
      </c>
      <c r="G739">
        <v>11793</v>
      </c>
      <c r="H739" s="106"/>
      <c r="I739" s="106"/>
      <c r="L739" s="143">
        <v>43088</v>
      </c>
      <c r="M739" s="106">
        <v>257.48</v>
      </c>
      <c r="N739" s="106">
        <v>259.35000000000002</v>
      </c>
      <c r="O739" s="106">
        <v>256.55</v>
      </c>
      <c r="P739" s="106">
        <v>257.8</v>
      </c>
      <c r="Q739" s="106">
        <v>1287.4000000000001</v>
      </c>
      <c r="R739">
        <v>78620</v>
      </c>
    </row>
    <row r="740" spans="1:18" x14ac:dyDescent="0.25">
      <c r="A740" s="143">
        <v>43089</v>
      </c>
      <c r="B740" s="106">
        <v>260.45999999999998</v>
      </c>
      <c r="C740" s="106">
        <v>259.95</v>
      </c>
      <c r="D740" s="106">
        <v>256.3</v>
      </c>
      <c r="E740" s="106">
        <v>258</v>
      </c>
      <c r="F740" s="106">
        <v>1299.75</v>
      </c>
      <c r="G740">
        <v>41663</v>
      </c>
      <c r="H740" s="106"/>
      <c r="I740" s="106"/>
      <c r="L740" s="143">
        <v>43089</v>
      </c>
      <c r="M740" s="106">
        <v>259.96999999999997</v>
      </c>
      <c r="N740" s="106">
        <v>260.8</v>
      </c>
      <c r="O740" s="106">
        <v>256.01</v>
      </c>
      <c r="P740" s="106">
        <v>257.48</v>
      </c>
      <c r="Q740" s="106">
        <v>1299.8499999999999</v>
      </c>
      <c r="R740">
        <v>242863</v>
      </c>
    </row>
    <row r="741" spans="1:18" x14ac:dyDescent="0.25">
      <c r="A741" s="143">
        <v>43090</v>
      </c>
      <c r="B741" s="106">
        <v>261.8</v>
      </c>
      <c r="C741" s="106">
        <v>259.91999999999996</v>
      </c>
      <c r="D741" s="106">
        <v>258.62</v>
      </c>
      <c r="E741" s="106">
        <v>261</v>
      </c>
      <c r="F741" s="106">
        <v>1299.5999999999999</v>
      </c>
      <c r="G741">
        <v>10723</v>
      </c>
      <c r="H741" s="106"/>
      <c r="I741" s="106"/>
      <c r="L741" s="143">
        <v>43090</v>
      </c>
      <c r="M741" s="106">
        <v>259.31</v>
      </c>
      <c r="N741" s="106">
        <v>261.8</v>
      </c>
      <c r="O741" s="106">
        <v>258.2</v>
      </c>
      <c r="P741" s="106">
        <v>260.31</v>
      </c>
      <c r="Q741" s="106">
        <v>1296.55</v>
      </c>
      <c r="R741">
        <v>664666</v>
      </c>
    </row>
    <row r="742" spans="1:18" x14ac:dyDescent="0.25">
      <c r="A742" s="143">
        <v>43091</v>
      </c>
      <c r="B742" s="106">
        <v>260</v>
      </c>
      <c r="C742" s="106">
        <v>258.61</v>
      </c>
      <c r="D742" s="106">
        <v>256.60000000000002</v>
      </c>
      <c r="E742" s="106">
        <v>260</v>
      </c>
      <c r="F742" s="106">
        <v>1293.05</v>
      </c>
      <c r="G742">
        <v>7523</v>
      </c>
      <c r="H742" s="106"/>
      <c r="I742" s="106"/>
      <c r="L742" s="143">
        <v>43091</v>
      </c>
      <c r="M742" s="106">
        <v>258.91999999999996</v>
      </c>
      <c r="N742" s="106">
        <v>260.10000000000002</v>
      </c>
      <c r="O742" s="106">
        <v>256.52</v>
      </c>
      <c r="P742" s="106">
        <v>259.89999999999998</v>
      </c>
      <c r="Q742" s="106">
        <v>1294.5999999999999</v>
      </c>
      <c r="R742">
        <v>120104</v>
      </c>
    </row>
    <row r="743" spans="1:18" x14ac:dyDescent="0.25">
      <c r="A743" s="143">
        <v>43095</v>
      </c>
      <c r="B743" s="106">
        <v>261.24</v>
      </c>
      <c r="C743" s="106">
        <v>258.75</v>
      </c>
      <c r="D743" s="106">
        <v>256.64</v>
      </c>
      <c r="E743" s="106">
        <v>259</v>
      </c>
      <c r="F743" s="106">
        <v>1293.75</v>
      </c>
      <c r="G743">
        <v>9946</v>
      </c>
      <c r="H743" s="106"/>
      <c r="I743" s="106"/>
      <c r="L743" s="143">
        <v>43095</v>
      </c>
      <c r="M743" s="106">
        <v>258.63</v>
      </c>
      <c r="N743" s="106">
        <v>261</v>
      </c>
      <c r="O743" s="106">
        <v>256.60000000000002</v>
      </c>
      <c r="P743" s="106">
        <v>258.91999999999996</v>
      </c>
      <c r="Q743" s="106">
        <v>1293.1500000000001</v>
      </c>
      <c r="R743">
        <v>124341</v>
      </c>
    </row>
    <row r="744" spans="1:18" x14ac:dyDescent="0.25">
      <c r="A744" s="143">
        <v>43096</v>
      </c>
      <c r="B744" s="106">
        <v>259</v>
      </c>
      <c r="C744" s="106">
        <v>257.48</v>
      </c>
      <c r="D744" s="106">
        <v>255.78000000000003</v>
      </c>
      <c r="E744" s="106">
        <v>257.52</v>
      </c>
      <c r="F744" s="106">
        <v>1287.4000000000001</v>
      </c>
      <c r="G744">
        <v>1785</v>
      </c>
      <c r="H744" s="106"/>
      <c r="I744" s="106"/>
      <c r="L744" s="143">
        <v>43096</v>
      </c>
      <c r="M744" s="106">
        <v>257.29000000000002</v>
      </c>
      <c r="N744" s="106">
        <v>259.10000000000002</v>
      </c>
      <c r="O744" s="106">
        <v>255.43</v>
      </c>
      <c r="P744" s="106">
        <v>258.74</v>
      </c>
      <c r="Q744" s="106">
        <v>1286.45</v>
      </c>
      <c r="R744">
        <v>71797</v>
      </c>
    </row>
    <row r="745" spans="1:18" x14ac:dyDescent="0.25">
      <c r="A745" s="143">
        <v>43097</v>
      </c>
      <c r="B745" s="106">
        <v>259.01</v>
      </c>
      <c r="C745" s="106">
        <v>257.03000000000003</v>
      </c>
      <c r="D745" s="106">
        <v>254.42</v>
      </c>
      <c r="E745" s="106">
        <v>256.5</v>
      </c>
      <c r="F745" s="106">
        <v>1285.1500000000001</v>
      </c>
      <c r="G745">
        <v>106302</v>
      </c>
      <c r="H745" s="106"/>
      <c r="I745" s="106"/>
      <c r="L745" s="143">
        <v>43097</v>
      </c>
      <c r="M745" s="106">
        <v>257.49</v>
      </c>
      <c r="N745" s="106">
        <v>260</v>
      </c>
      <c r="O745" s="106">
        <v>254.2</v>
      </c>
      <c r="P745" s="106">
        <v>257.5</v>
      </c>
      <c r="Q745" s="106">
        <v>1287.45</v>
      </c>
      <c r="R745">
        <v>341594</v>
      </c>
    </row>
    <row r="746" spans="1:18" x14ac:dyDescent="0.25">
      <c r="A746" s="143">
        <v>43098</v>
      </c>
      <c r="B746" s="106">
        <v>259.8</v>
      </c>
      <c r="C746" s="106">
        <v>258.83000000000004</v>
      </c>
      <c r="D746" s="106">
        <v>256.28000000000003</v>
      </c>
      <c r="E746" s="106">
        <v>257.2</v>
      </c>
      <c r="F746" s="106">
        <v>1294.1500000000001</v>
      </c>
      <c r="G746">
        <v>13088</v>
      </c>
      <c r="H746" s="106"/>
      <c r="I746" s="106"/>
      <c r="L746" s="143">
        <v>43098</v>
      </c>
      <c r="M746" s="106">
        <v>259.90999999999997</v>
      </c>
      <c r="N746" s="106">
        <v>260</v>
      </c>
      <c r="O746" s="106">
        <v>256.39999999999998</v>
      </c>
      <c r="P746" s="106">
        <v>256.39999999999998</v>
      </c>
      <c r="Q746" s="106">
        <v>1299.55</v>
      </c>
      <c r="R746">
        <v>127786</v>
      </c>
    </row>
    <row r="747" spans="1:18" x14ac:dyDescent="0.25">
      <c r="A747" s="143">
        <v>43101</v>
      </c>
      <c r="B747" s="106">
        <v>267.2</v>
      </c>
      <c r="C747" s="106">
        <v>263.53000000000003</v>
      </c>
      <c r="D747" s="106">
        <v>258.3</v>
      </c>
      <c r="E747" s="106">
        <v>260</v>
      </c>
      <c r="F747" s="106">
        <v>1317.65</v>
      </c>
      <c r="G747">
        <v>26902</v>
      </c>
      <c r="H747" s="106"/>
      <c r="I747" s="106"/>
      <c r="L747" s="143">
        <v>43101</v>
      </c>
      <c r="M747" s="106">
        <v>263.57</v>
      </c>
      <c r="N747" s="106">
        <v>267.57</v>
      </c>
      <c r="O747" s="106">
        <v>258.28000000000003</v>
      </c>
      <c r="P747" s="106">
        <v>261</v>
      </c>
      <c r="Q747" s="106">
        <v>1317.85</v>
      </c>
      <c r="R747">
        <v>165858</v>
      </c>
    </row>
    <row r="748" spans="1:18" x14ac:dyDescent="0.25">
      <c r="A748" s="143">
        <v>43102</v>
      </c>
      <c r="B748" s="106">
        <v>262.78000000000003</v>
      </c>
      <c r="C748" s="106">
        <v>258.63</v>
      </c>
      <c r="D748" s="106">
        <v>255.79000000000002</v>
      </c>
      <c r="E748" s="106">
        <v>260.8</v>
      </c>
      <c r="F748" s="106">
        <v>1293.1500000000001</v>
      </c>
      <c r="G748">
        <v>14441</v>
      </c>
      <c r="H748" s="106"/>
      <c r="I748" s="106"/>
      <c r="L748" s="143">
        <v>43102</v>
      </c>
      <c r="M748" s="106">
        <v>259.28000000000003</v>
      </c>
      <c r="N748" s="106">
        <v>263.15999999999997</v>
      </c>
      <c r="O748" s="106">
        <v>255.76999999999998</v>
      </c>
      <c r="P748" s="106">
        <v>263.15999999999997</v>
      </c>
      <c r="Q748" s="106">
        <v>1296.4000000000001</v>
      </c>
      <c r="R748">
        <v>348515</v>
      </c>
    </row>
    <row r="749" spans="1:18" x14ac:dyDescent="0.25">
      <c r="A749" s="143">
        <v>43103</v>
      </c>
      <c r="B749" s="106">
        <v>262.76</v>
      </c>
      <c r="C749" s="106">
        <v>260.93</v>
      </c>
      <c r="D749" s="106">
        <v>258.63</v>
      </c>
      <c r="E749" s="106">
        <v>260</v>
      </c>
      <c r="F749" s="106">
        <v>1304.6500000000001</v>
      </c>
      <c r="G749">
        <v>12822</v>
      </c>
      <c r="H749" s="106"/>
      <c r="I749" s="106"/>
      <c r="L749" s="143">
        <v>43103</v>
      </c>
      <c r="M749" s="106">
        <v>261.87</v>
      </c>
      <c r="N749" s="106">
        <v>263</v>
      </c>
      <c r="O749" s="106">
        <v>260</v>
      </c>
      <c r="P749" s="106">
        <v>260.99</v>
      </c>
      <c r="Q749" s="106">
        <v>1309.3499999999999</v>
      </c>
      <c r="R749">
        <v>255824</v>
      </c>
    </row>
    <row r="750" spans="1:18" x14ac:dyDescent="0.25">
      <c r="A750" s="143">
        <v>43104</v>
      </c>
      <c r="B750" s="106">
        <v>262.35000000000002</v>
      </c>
      <c r="C750" s="106">
        <v>261.12</v>
      </c>
      <c r="D750" s="106">
        <v>258.86</v>
      </c>
      <c r="E750" s="106">
        <v>262</v>
      </c>
      <c r="F750" s="106">
        <v>1305.5999999999999</v>
      </c>
      <c r="G750">
        <v>9729</v>
      </c>
      <c r="H750" s="106"/>
      <c r="I750" s="106"/>
      <c r="L750" s="143">
        <v>43104</v>
      </c>
      <c r="M750" s="106">
        <v>261.89999999999998</v>
      </c>
      <c r="N750" s="106">
        <v>263</v>
      </c>
      <c r="O750" s="106">
        <v>258.70999999999998</v>
      </c>
      <c r="P750" s="106">
        <v>262.8</v>
      </c>
      <c r="Q750" s="106">
        <v>1309.5</v>
      </c>
      <c r="R750">
        <v>70464</v>
      </c>
    </row>
    <row r="751" spans="1:18" x14ac:dyDescent="0.25">
      <c r="A751" s="143">
        <v>43105</v>
      </c>
      <c r="B751" s="106">
        <v>264.39999999999998</v>
      </c>
      <c r="C751" s="106">
        <v>261.89999999999998</v>
      </c>
      <c r="D751" s="106">
        <v>260.64999999999998</v>
      </c>
      <c r="E751" s="106">
        <v>262.54000000000002</v>
      </c>
      <c r="F751" s="106">
        <v>1309.5</v>
      </c>
      <c r="G751">
        <v>16380</v>
      </c>
      <c r="H751" s="106"/>
      <c r="I751" s="106"/>
      <c r="L751" s="143">
        <v>43105</v>
      </c>
      <c r="M751" s="106">
        <v>261.62</v>
      </c>
      <c r="N751" s="106">
        <v>264.55</v>
      </c>
      <c r="O751" s="106">
        <v>259.83000000000004</v>
      </c>
      <c r="P751" s="106">
        <v>261.55</v>
      </c>
      <c r="Q751" s="106">
        <v>1308.0999999999999</v>
      </c>
      <c r="R751">
        <v>210100</v>
      </c>
    </row>
    <row r="752" spans="1:18" x14ac:dyDescent="0.25">
      <c r="A752" s="143">
        <v>43108</v>
      </c>
      <c r="B752" s="106">
        <v>274.2</v>
      </c>
      <c r="C752" s="106">
        <v>266.66999999999996</v>
      </c>
      <c r="D752" s="106">
        <v>261.89999999999998</v>
      </c>
      <c r="E752" s="106">
        <v>263.23</v>
      </c>
      <c r="F752" s="106">
        <v>1333.35</v>
      </c>
      <c r="G752">
        <v>25778</v>
      </c>
      <c r="H752" s="106"/>
      <c r="I752" s="106"/>
      <c r="L752" s="143">
        <v>43108</v>
      </c>
      <c r="M752" s="106">
        <v>264.38</v>
      </c>
      <c r="N752" s="106">
        <v>270.76</v>
      </c>
      <c r="O752" s="106">
        <v>261.26</v>
      </c>
      <c r="P752" s="106">
        <v>263.12</v>
      </c>
      <c r="Q752" s="106">
        <v>1321.9</v>
      </c>
      <c r="R752">
        <v>381883</v>
      </c>
    </row>
    <row r="753" spans="1:18" x14ac:dyDescent="0.25">
      <c r="A753" s="143">
        <v>43109</v>
      </c>
      <c r="B753" s="106">
        <v>269.13</v>
      </c>
      <c r="C753" s="106">
        <v>266.29000000000002</v>
      </c>
      <c r="D753" s="106">
        <v>263.54000000000002</v>
      </c>
      <c r="E753" s="106">
        <v>269.13</v>
      </c>
      <c r="F753" s="106">
        <v>1331.45</v>
      </c>
      <c r="G753">
        <v>19994</v>
      </c>
      <c r="H753" s="106"/>
      <c r="I753" s="106"/>
      <c r="L753" s="143">
        <v>43109</v>
      </c>
      <c r="M753" s="106">
        <v>266.58000000000004</v>
      </c>
      <c r="N753" s="106">
        <v>269.96999999999997</v>
      </c>
      <c r="O753" s="106">
        <v>263.29000000000002</v>
      </c>
      <c r="P753" s="106">
        <v>268.74</v>
      </c>
      <c r="Q753" s="106">
        <v>1332.9</v>
      </c>
      <c r="R753">
        <v>239430</v>
      </c>
    </row>
    <row r="754" spans="1:18" x14ac:dyDescent="0.25">
      <c r="A754" s="143">
        <v>43110</v>
      </c>
      <c r="B754" s="106">
        <v>268</v>
      </c>
      <c r="C754" s="106">
        <v>260.83000000000004</v>
      </c>
      <c r="D754" s="106">
        <v>259.60000000000002</v>
      </c>
      <c r="E754" s="106">
        <v>268</v>
      </c>
      <c r="F754" s="106">
        <v>1304.1500000000001</v>
      </c>
      <c r="G754">
        <v>23514</v>
      </c>
      <c r="H754" s="106"/>
      <c r="I754" s="106"/>
      <c r="L754" s="143">
        <v>43110</v>
      </c>
      <c r="M754" s="106">
        <v>260.18</v>
      </c>
      <c r="N754" s="106">
        <v>267.8</v>
      </c>
      <c r="O754" s="106">
        <v>259.2</v>
      </c>
      <c r="P754" s="106">
        <v>267.25</v>
      </c>
      <c r="Q754" s="106">
        <v>1300.9000000000001</v>
      </c>
      <c r="R754">
        <v>167902</v>
      </c>
    </row>
    <row r="755" spans="1:18" x14ac:dyDescent="0.25">
      <c r="A755" s="143">
        <v>43111</v>
      </c>
      <c r="B755" s="106">
        <v>264</v>
      </c>
      <c r="C755" s="106">
        <v>262.07</v>
      </c>
      <c r="D755" s="106">
        <v>259.57</v>
      </c>
      <c r="E755" s="106">
        <v>261.94</v>
      </c>
      <c r="F755" s="106">
        <v>1310.3499999999999</v>
      </c>
      <c r="G755">
        <v>6649</v>
      </c>
      <c r="H755" s="106"/>
      <c r="I755" s="106"/>
      <c r="L755" s="143">
        <v>43111</v>
      </c>
      <c r="M755" s="106">
        <v>261.76</v>
      </c>
      <c r="N755" s="106">
        <v>264.38</v>
      </c>
      <c r="O755" s="106">
        <v>259.06</v>
      </c>
      <c r="P755" s="106">
        <v>261.8</v>
      </c>
      <c r="Q755" s="106">
        <v>1308.8</v>
      </c>
      <c r="R755">
        <v>152413</v>
      </c>
    </row>
    <row r="756" spans="1:18" x14ac:dyDescent="0.25">
      <c r="A756" s="143">
        <v>43112</v>
      </c>
      <c r="B756" s="106">
        <v>263.57</v>
      </c>
      <c r="C756" s="106">
        <v>262.71999999999997</v>
      </c>
      <c r="D756" s="106">
        <v>255.41</v>
      </c>
      <c r="E756" s="106">
        <v>263.46999999999997</v>
      </c>
      <c r="F756" s="106">
        <v>1313.6</v>
      </c>
      <c r="G756">
        <v>199319</v>
      </c>
      <c r="H756" s="106"/>
      <c r="I756" s="106"/>
      <c r="L756" s="143">
        <v>43112</v>
      </c>
      <c r="M756" s="106">
        <v>262.15999999999997</v>
      </c>
      <c r="N756" s="106">
        <v>263.99</v>
      </c>
      <c r="O756" s="106">
        <v>255.33</v>
      </c>
      <c r="P756" s="106">
        <v>262</v>
      </c>
      <c r="Q756" s="106">
        <v>1310.8</v>
      </c>
      <c r="R756">
        <v>221234</v>
      </c>
    </row>
    <row r="757" spans="1:18" x14ac:dyDescent="0.25">
      <c r="A757" s="143">
        <v>43115</v>
      </c>
      <c r="B757" s="106">
        <v>266</v>
      </c>
      <c r="C757" s="106">
        <v>262.8</v>
      </c>
      <c r="D757" s="106">
        <v>261.43</v>
      </c>
      <c r="E757" s="106">
        <v>263.39999999999998</v>
      </c>
      <c r="F757" s="106">
        <v>1314</v>
      </c>
      <c r="G757">
        <v>6052</v>
      </c>
      <c r="H757" s="106"/>
      <c r="I757" s="106"/>
      <c r="L757" s="143">
        <v>43115</v>
      </c>
      <c r="M757" s="106">
        <v>263.23</v>
      </c>
      <c r="N757" s="106">
        <v>266.71999999999997</v>
      </c>
      <c r="O757" s="106">
        <v>262.26</v>
      </c>
      <c r="P757" s="106">
        <v>262.89999999999998</v>
      </c>
      <c r="Q757" s="106">
        <v>1316.15</v>
      </c>
      <c r="R757">
        <v>109994</v>
      </c>
    </row>
    <row r="758" spans="1:18" x14ac:dyDescent="0.25">
      <c r="A758" s="143">
        <v>43116</v>
      </c>
      <c r="B758" s="106">
        <v>272.12</v>
      </c>
      <c r="C758" s="106">
        <v>266.28000000000003</v>
      </c>
      <c r="D758" s="106">
        <v>261.69</v>
      </c>
      <c r="E758" s="106">
        <v>263.69</v>
      </c>
      <c r="F758" s="106">
        <v>1331.4</v>
      </c>
      <c r="G758">
        <v>20551</v>
      </c>
      <c r="H758" s="106"/>
      <c r="I758" s="106"/>
      <c r="L758" s="143">
        <v>43116</v>
      </c>
      <c r="M758" s="106">
        <v>266.56</v>
      </c>
      <c r="N758" s="106">
        <v>272.15999999999997</v>
      </c>
      <c r="O758" s="106">
        <v>261.60000000000002</v>
      </c>
      <c r="P758" s="106">
        <v>263</v>
      </c>
      <c r="Q758" s="106">
        <v>1332.8</v>
      </c>
      <c r="R758">
        <v>673730</v>
      </c>
    </row>
    <row r="759" spans="1:18" x14ac:dyDescent="0.25">
      <c r="A759" s="143">
        <v>43117</v>
      </c>
      <c r="B759" s="106">
        <v>269.48</v>
      </c>
      <c r="C759" s="106">
        <v>268.73</v>
      </c>
      <c r="D759" s="106">
        <v>262.3</v>
      </c>
      <c r="E759" s="106">
        <v>264</v>
      </c>
      <c r="F759" s="106">
        <v>1343.65</v>
      </c>
      <c r="G759">
        <v>10117</v>
      </c>
      <c r="H759" s="106"/>
      <c r="I759" s="106"/>
      <c r="L759" s="143">
        <v>43117</v>
      </c>
      <c r="M759" s="106">
        <v>268.98</v>
      </c>
      <c r="N759" s="106">
        <v>269.87</v>
      </c>
      <c r="O759" s="106">
        <v>262.34000000000003</v>
      </c>
      <c r="P759" s="106">
        <v>266.3</v>
      </c>
      <c r="Q759" s="106">
        <v>1344.9</v>
      </c>
      <c r="R759">
        <v>145687</v>
      </c>
    </row>
    <row r="760" spans="1:18" x14ac:dyDescent="0.25">
      <c r="A760" s="143">
        <v>43118</v>
      </c>
      <c r="B760" s="106">
        <v>273</v>
      </c>
      <c r="C760" s="106">
        <v>262.03000000000003</v>
      </c>
      <c r="D760" s="106">
        <v>256.2</v>
      </c>
      <c r="E760" s="106">
        <v>273</v>
      </c>
      <c r="F760" s="106">
        <v>1310.1500000000001</v>
      </c>
      <c r="G760">
        <v>7421</v>
      </c>
      <c r="H760" s="106"/>
      <c r="I760" s="106"/>
      <c r="L760" s="143">
        <v>43118</v>
      </c>
      <c r="M760" s="106">
        <v>262.91999999999996</v>
      </c>
      <c r="N760" s="106">
        <v>270.61</v>
      </c>
      <c r="O760" s="106">
        <v>255.86999999999998</v>
      </c>
      <c r="P760" s="106">
        <v>269.39999999999998</v>
      </c>
      <c r="Q760" s="106">
        <v>1314.6</v>
      </c>
      <c r="R760">
        <v>179604</v>
      </c>
    </row>
    <row r="761" spans="1:18" x14ac:dyDescent="0.25">
      <c r="A761" s="143">
        <v>43119</v>
      </c>
      <c r="B761" s="106">
        <v>266.54000000000002</v>
      </c>
      <c r="C761" s="106">
        <v>264.01</v>
      </c>
      <c r="D761" s="106">
        <v>260.34000000000003</v>
      </c>
      <c r="E761" s="106">
        <v>263.12</v>
      </c>
      <c r="F761" s="106">
        <v>1320.05</v>
      </c>
      <c r="G761">
        <v>3733</v>
      </c>
      <c r="H761" s="106"/>
      <c r="I761" s="106"/>
      <c r="L761" s="143">
        <v>43119</v>
      </c>
      <c r="M761" s="106">
        <v>264.54000000000002</v>
      </c>
      <c r="N761" s="106">
        <v>266.19</v>
      </c>
      <c r="O761" s="106">
        <v>260.04000000000002</v>
      </c>
      <c r="P761" s="106">
        <v>264</v>
      </c>
      <c r="Q761" s="106">
        <v>1322.7</v>
      </c>
      <c r="R761">
        <v>55034</v>
      </c>
    </row>
    <row r="762" spans="1:18" x14ac:dyDescent="0.25">
      <c r="A762" s="143">
        <v>43122</v>
      </c>
      <c r="B762" s="106">
        <v>269.2</v>
      </c>
      <c r="C762" s="106">
        <v>262.04000000000002</v>
      </c>
      <c r="D762" s="106">
        <v>259.28000000000003</v>
      </c>
      <c r="E762" s="106">
        <v>269.2</v>
      </c>
      <c r="F762" s="106">
        <v>1310.2</v>
      </c>
      <c r="G762">
        <v>2429</v>
      </c>
      <c r="H762" s="106"/>
      <c r="I762" s="106"/>
      <c r="L762" s="143">
        <v>43122</v>
      </c>
      <c r="M762" s="106">
        <v>261.82</v>
      </c>
      <c r="N762" s="106">
        <v>265.57</v>
      </c>
      <c r="O762" s="106">
        <v>258.90999999999997</v>
      </c>
      <c r="P762" s="106">
        <v>265.57</v>
      </c>
      <c r="Q762" s="106">
        <v>1309.0999999999999</v>
      </c>
      <c r="R762">
        <v>182669</v>
      </c>
    </row>
    <row r="763" spans="1:18" x14ac:dyDescent="0.25">
      <c r="A763" s="143">
        <v>43123</v>
      </c>
      <c r="B763" s="106">
        <v>263.40999999999997</v>
      </c>
      <c r="C763" s="106">
        <v>262.23</v>
      </c>
      <c r="D763" s="106">
        <v>261</v>
      </c>
      <c r="E763" s="106">
        <v>262.2</v>
      </c>
      <c r="F763" s="106">
        <v>1311.15</v>
      </c>
      <c r="G763">
        <v>9321</v>
      </c>
      <c r="H763" s="106"/>
      <c r="I763" s="106"/>
      <c r="L763" s="143">
        <v>43123</v>
      </c>
      <c r="M763" s="106">
        <v>262.18</v>
      </c>
      <c r="N763" s="106">
        <v>263.39</v>
      </c>
      <c r="O763" s="106">
        <v>260.48</v>
      </c>
      <c r="P763" s="106">
        <v>261.71999999999997</v>
      </c>
      <c r="Q763" s="106">
        <v>1310.9</v>
      </c>
      <c r="R763">
        <v>112831</v>
      </c>
    </row>
    <row r="764" spans="1:18" x14ac:dyDescent="0.25">
      <c r="A764" s="143">
        <v>43124</v>
      </c>
      <c r="B764" s="106">
        <v>264</v>
      </c>
      <c r="C764" s="106">
        <v>261.62</v>
      </c>
      <c r="D764" s="106">
        <v>259.5</v>
      </c>
      <c r="E764" s="106">
        <v>262.19</v>
      </c>
      <c r="F764" s="106">
        <v>1308.0999999999999</v>
      </c>
      <c r="G764">
        <v>5958</v>
      </c>
      <c r="H764" s="106"/>
      <c r="I764" s="106"/>
      <c r="L764" s="143">
        <v>43124</v>
      </c>
      <c r="M764" s="106">
        <v>261.19</v>
      </c>
      <c r="N764" s="106">
        <v>263.60000000000002</v>
      </c>
      <c r="O764" s="106">
        <v>259.02</v>
      </c>
      <c r="P764" s="106">
        <v>263.60000000000002</v>
      </c>
      <c r="Q764" s="106">
        <v>1305.95</v>
      </c>
      <c r="R764">
        <v>135572</v>
      </c>
    </row>
    <row r="765" spans="1:18" x14ac:dyDescent="0.25">
      <c r="A765" s="143">
        <v>43125</v>
      </c>
      <c r="B765" s="106">
        <v>264.93</v>
      </c>
      <c r="C765" s="106">
        <v>261.61</v>
      </c>
      <c r="D765" s="106">
        <v>260</v>
      </c>
      <c r="E765" s="106">
        <v>262.49</v>
      </c>
      <c r="F765" s="106">
        <v>1308.05</v>
      </c>
      <c r="G765">
        <v>8038</v>
      </c>
      <c r="H765" s="106"/>
      <c r="I765" s="106"/>
      <c r="L765" s="143">
        <v>43125</v>
      </c>
      <c r="M765" s="106">
        <v>261.5</v>
      </c>
      <c r="N765" s="106">
        <v>264.96999999999997</v>
      </c>
      <c r="O765" s="106">
        <v>259.48</v>
      </c>
      <c r="P765" s="106">
        <v>261.62</v>
      </c>
      <c r="Q765" s="106">
        <v>1307.5</v>
      </c>
      <c r="R765">
        <v>194191</v>
      </c>
    </row>
    <row r="766" spans="1:18" x14ac:dyDescent="0.25">
      <c r="A766" s="143">
        <v>43129</v>
      </c>
      <c r="B766" s="106">
        <v>269.58000000000004</v>
      </c>
      <c r="C766" s="106">
        <v>262.38</v>
      </c>
      <c r="D766" s="106">
        <v>260.61</v>
      </c>
      <c r="E766" s="106">
        <v>269.58000000000004</v>
      </c>
      <c r="F766" s="106">
        <v>1311.9</v>
      </c>
      <c r="G766">
        <v>13154</v>
      </c>
      <c r="H766" s="106"/>
      <c r="I766" s="106"/>
      <c r="L766" s="143">
        <v>43129</v>
      </c>
      <c r="M766" s="106">
        <v>261.94</v>
      </c>
      <c r="N766" s="106">
        <v>265.8</v>
      </c>
      <c r="O766" s="106">
        <v>260.08000000000004</v>
      </c>
      <c r="P766" s="106">
        <v>264.39999999999998</v>
      </c>
      <c r="Q766" s="106">
        <v>1309.7</v>
      </c>
      <c r="R766">
        <v>94892</v>
      </c>
    </row>
    <row r="767" spans="1:18" x14ac:dyDescent="0.25">
      <c r="A767" s="143">
        <v>43130</v>
      </c>
      <c r="B767" s="106">
        <v>264.87</v>
      </c>
      <c r="C767" s="106">
        <v>256.85000000000002</v>
      </c>
      <c r="D767" s="106">
        <v>256.01</v>
      </c>
      <c r="E767" s="106">
        <v>262.62</v>
      </c>
      <c r="F767" s="106">
        <v>1284.25</v>
      </c>
      <c r="G767">
        <v>21893</v>
      </c>
      <c r="H767" s="106"/>
      <c r="I767" s="106"/>
      <c r="L767" s="143">
        <v>43130</v>
      </c>
      <c r="M767" s="106">
        <v>257.54000000000002</v>
      </c>
      <c r="N767" s="106">
        <v>264.96999999999997</v>
      </c>
      <c r="O767" s="106">
        <v>254.16</v>
      </c>
      <c r="P767" s="106">
        <v>263.39999999999998</v>
      </c>
      <c r="Q767" s="106">
        <v>1287.7</v>
      </c>
      <c r="R767">
        <v>214409</v>
      </c>
    </row>
    <row r="768" spans="1:18" x14ac:dyDescent="0.25">
      <c r="A768" s="143">
        <v>43131</v>
      </c>
      <c r="B768" s="106">
        <v>264.8</v>
      </c>
      <c r="C768" s="106">
        <v>257.18</v>
      </c>
      <c r="D768" s="106">
        <v>255.75</v>
      </c>
      <c r="E768" s="106">
        <v>262</v>
      </c>
      <c r="F768" s="106">
        <v>1285.9000000000001</v>
      </c>
      <c r="G768">
        <v>27354</v>
      </c>
      <c r="H768" s="106"/>
      <c r="I768" s="106"/>
      <c r="L768" s="143">
        <v>43131</v>
      </c>
      <c r="M768" s="106">
        <v>257.20999999999998</v>
      </c>
      <c r="N768" s="106">
        <v>264.98</v>
      </c>
      <c r="O768" s="106">
        <v>255.20999999999998</v>
      </c>
      <c r="P768" s="106">
        <v>261.8</v>
      </c>
      <c r="Q768" s="106">
        <v>1286.05</v>
      </c>
      <c r="R768">
        <v>403468</v>
      </c>
    </row>
    <row r="769" spans="1:18" x14ac:dyDescent="0.25">
      <c r="A769" s="143">
        <v>43132</v>
      </c>
      <c r="B769" s="106">
        <v>267.59000000000003</v>
      </c>
      <c r="C769" s="106">
        <v>266.16999999999996</v>
      </c>
      <c r="D769" s="106">
        <v>258.45</v>
      </c>
      <c r="E769" s="106">
        <v>258.69</v>
      </c>
      <c r="F769" s="106">
        <v>1330.85</v>
      </c>
      <c r="G769">
        <v>16470</v>
      </c>
      <c r="H769" s="106"/>
      <c r="I769" s="106"/>
      <c r="L769" s="143">
        <v>43132</v>
      </c>
      <c r="M769" s="106">
        <v>266.95999999999998</v>
      </c>
      <c r="N769" s="106">
        <v>267.93</v>
      </c>
      <c r="O769" s="106">
        <v>257.21999999999997</v>
      </c>
      <c r="P769" s="106">
        <v>258.60000000000002</v>
      </c>
      <c r="Q769" s="106">
        <v>1334.8</v>
      </c>
      <c r="R769">
        <v>232788</v>
      </c>
    </row>
    <row r="770" spans="1:18" x14ac:dyDescent="0.25">
      <c r="A770" s="143">
        <v>43133</v>
      </c>
      <c r="B770" s="106">
        <v>262.40999999999997</v>
      </c>
      <c r="C770" s="106">
        <v>255.05</v>
      </c>
      <c r="D770" s="106">
        <v>246.4</v>
      </c>
      <c r="E770" s="106">
        <v>262.2</v>
      </c>
      <c r="F770" s="106">
        <v>1275.25</v>
      </c>
      <c r="G770">
        <v>16497</v>
      </c>
      <c r="H770" s="106"/>
      <c r="I770" s="106"/>
      <c r="L770" s="143">
        <v>43133</v>
      </c>
      <c r="M770" s="106">
        <v>254.91</v>
      </c>
      <c r="N770" s="106">
        <v>266.98</v>
      </c>
      <c r="O770" s="106">
        <v>246.1</v>
      </c>
      <c r="P770" s="106">
        <v>266.98</v>
      </c>
      <c r="Q770" s="106">
        <v>1274.55</v>
      </c>
      <c r="R770">
        <v>649932</v>
      </c>
    </row>
    <row r="771" spans="1:18" x14ac:dyDescent="0.25">
      <c r="A771" s="143">
        <v>43136</v>
      </c>
      <c r="B771" s="106">
        <v>256.8</v>
      </c>
      <c r="C771" s="106">
        <v>254.6</v>
      </c>
      <c r="D771" s="106">
        <v>242.28000000000003</v>
      </c>
      <c r="E771" s="106">
        <v>248.03000000000003</v>
      </c>
      <c r="F771" s="106">
        <v>1273</v>
      </c>
      <c r="G771">
        <v>8411</v>
      </c>
      <c r="H771" s="106"/>
      <c r="I771" s="106"/>
      <c r="L771" s="143">
        <v>43136</v>
      </c>
      <c r="M771" s="106">
        <v>254.71999999999997</v>
      </c>
      <c r="N771" s="106">
        <v>258.08000000000004</v>
      </c>
      <c r="O771" s="106">
        <v>242.25</v>
      </c>
      <c r="P771" s="106">
        <v>250</v>
      </c>
      <c r="Q771" s="106">
        <v>1273.5999999999999</v>
      </c>
      <c r="R771">
        <v>246584</v>
      </c>
    </row>
    <row r="772" spans="1:18" x14ac:dyDescent="0.25">
      <c r="A772" s="143">
        <v>43137</v>
      </c>
      <c r="B772" s="106">
        <v>261.20999999999998</v>
      </c>
      <c r="C772" s="106">
        <v>257.29000000000002</v>
      </c>
      <c r="D772" s="106">
        <v>243.67</v>
      </c>
      <c r="E772" s="106">
        <v>250</v>
      </c>
      <c r="F772" s="106">
        <v>1286.45</v>
      </c>
      <c r="G772">
        <v>11736</v>
      </c>
      <c r="H772" s="106"/>
      <c r="I772" s="106"/>
      <c r="L772" s="143">
        <v>43137</v>
      </c>
      <c r="M772" s="106">
        <v>256.99</v>
      </c>
      <c r="N772" s="106">
        <v>261.74</v>
      </c>
      <c r="O772" s="106">
        <v>241</v>
      </c>
      <c r="P772" s="106">
        <v>250</v>
      </c>
      <c r="Q772" s="106">
        <v>1284.95</v>
      </c>
      <c r="R772">
        <v>227637</v>
      </c>
    </row>
    <row r="773" spans="1:18" x14ac:dyDescent="0.25">
      <c r="A773" s="143">
        <v>43138</v>
      </c>
      <c r="B773" s="106">
        <v>265</v>
      </c>
      <c r="C773" s="106">
        <v>258.64</v>
      </c>
      <c r="D773" s="106">
        <v>254.60999999999999</v>
      </c>
      <c r="E773" s="106">
        <v>258.12</v>
      </c>
      <c r="F773" s="106">
        <v>1293.2</v>
      </c>
      <c r="G773">
        <v>10746</v>
      </c>
      <c r="H773" s="106"/>
      <c r="I773" s="106"/>
      <c r="L773" s="143">
        <v>43138</v>
      </c>
      <c r="M773" s="106">
        <v>259.19</v>
      </c>
      <c r="N773" s="106">
        <v>265.5</v>
      </c>
      <c r="O773" s="106">
        <v>254.01</v>
      </c>
      <c r="P773" s="106">
        <v>258.98</v>
      </c>
      <c r="Q773" s="106">
        <v>1295.95</v>
      </c>
      <c r="R773">
        <v>379979</v>
      </c>
    </row>
    <row r="774" spans="1:18" x14ac:dyDescent="0.25">
      <c r="A774" s="143">
        <v>43139</v>
      </c>
      <c r="B774" s="106">
        <v>265</v>
      </c>
      <c r="C774" s="106">
        <v>262.20999999999998</v>
      </c>
      <c r="D774" s="106">
        <v>259.78000000000003</v>
      </c>
      <c r="E774" s="106">
        <v>260.06</v>
      </c>
      <c r="F774" s="106">
        <v>1311.05</v>
      </c>
      <c r="G774">
        <v>4934</v>
      </c>
      <c r="H774" s="106"/>
      <c r="I774" s="106"/>
      <c r="L774" s="143">
        <v>43139</v>
      </c>
      <c r="M774" s="106">
        <v>261.06</v>
      </c>
      <c r="N774" s="106">
        <v>266.39999999999998</v>
      </c>
      <c r="O774" s="106">
        <v>258.57</v>
      </c>
      <c r="P774" s="106">
        <v>262.39999999999998</v>
      </c>
      <c r="Q774" s="106">
        <v>1305.3</v>
      </c>
      <c r="R774">
        <v>158996</v>
      </c>
    </row>
    <row r="775" spans="1:18" x14ac:dyDescent="0.25">
      <c r="A775" s="143">
        <v>43140</v>
      </c>
      <c r="B775" s="106">
        <v>265.65999999999997</v>
      </c>
      <c r="C775" s="106">
        <v>263.18</v>
      </c>
      <c r="D775" s="106">
        <v>254.2</v>
      </c>
      <c r="E775" s="106">
        <v>259.54000000000002</v>
      </c>
      <c r="F775" s="106">
        <v>1315.9</v>
      </c>
      <c r="G775">
        <v>7285</v>
      </c>
      <c r="H775" s="106"/>
      <c r="I775" s="106"/>
      <c r="L775" s="143">
        <v>43140</v>
      </c>
      <c r="M775" s="106">
        <v>264.51</v>
      </c>
      <c r="N775" s="106">
        <v>267</v>
      </c>
      <c r="O775" s="106">
        <v>256.40999999999997</v>
      </c>
      <c r="P775" s="106">
        <v>259.60000000000002</v>
      </c>
      <c r="Q775" s="106">
        <v>1322.55</v>
      </c>
      <c r="R775">
        <v>179399</v>
      </c>
    </row>
    <row r="776" spans="1:18" x14ac:dyDescent="0.25">
      <c r="A776" s="143">
        <v>43143</v>
      </c>
      <c r="B776" s="106">
        <v>279</v>
      </c>
      <c r="C776" s="106">
        <v>271.05</v>
      </c>
      <c r="D776" s="106">
        <v>263.2</v>
      </c>
      <c r="E776" s="106">
        <v>263.2</v>
      </c>
      <c r="F776" s="106">
        <v>1355.25</v>
      </c>
      <c r="G776">
        <v>125842</v>
      </c>
      <c r="H776" s="106"/>
      <c r="I776" s="106"/>
      <c r="L776" s="143">
        <v>43143</v>
      </c>
      <c r="M776" s="106">
        <v>273.01</v>
      </c>
      <c r="N776" s="106">
        <v>276.39</v>
      </c>
      <c r="O776" s="106">
        <v>264.75</v>
      </c>
      <c r="P776" s="106">
        <v>267</v>
      </c>
      <c r="Q776" s="106">
        <v>1365.05</v>
      </c>
      <c r="R776">
        <v>528263</v>
      </c>
    </row>
    <row r="777" spans="1:18" x14ac:dyDescent="0.25">
      <c r="A777" s="143">
        <v>43145</v>
      </c>
      <c r="B777" s="106">
        <v>280.93</v>
      </c>
      <c r="C777" s="106">
        <v>277.75</v>
      </c>
      <c r="D777" s="106">
        <v>274.78000000000003</v>
      </c>
      <c r="E777" s="106">
        <v>276</v>
      </c>
      <c r="F777" s="106">
        <v>1388.75</v>
      </c>
      <c r="G777">
        <v>32367</v>
      </c>
      <c r="H777" s="106"/>
      <c r="I777" s="106"/>
      <c r="L777" s="143">
        <v>43145</v>
      </c>
      <c r="M777" s="106">
        <v>277.99</v>
      </c>
      <c r="N777" s="106">
        <v>280.99</v>
      </c>
      <c r="O777" s="106">
        <v>274.39</v>
      </c>
      <c r="P777" s="106">
        <v>275.60000000000002</v>
      </c>
      <c r="Q777" s="106">
        <v>1389.95</v>
      </c>
      <c r="R777">
        <v>686713</v>
      </c>
    </row>
    <row r="778" spans="1:18" x14ac:dyDescent="0.25">
      <c r="A778" s="143">
        <v>43146</v>
      </c>
      <c r="B778" s="106">
        <v>282</v>
      </c>
      <c r="C778" s="106">
        <v>276.23</v>
      </c>
      <c r="D778" s="106">
        <v>275.21999999999997</v>
      </c>
      <c r="E778" s="106">
        <v>278.11</v>
      </c>
      <c r="F778" s="106">
        <v>1381.15</v>
      </c>
      <c r="G778">
        <v>13501</v>
      </c>
      <c r="H778" s="106"/>
      <c r="I778" s="106"/>
      <c r="L778" s="143">
        <v>43146</v>
      </c>
      <c r="M778" s="106">
        <v>277.02</v>
      </c>
      <c r="N778" s="106">
        <v>282.39999999999998</v>
      </c>
      <c r="O778" s="106">
        <v>275.81</v>
      </c>
      <c r="P778" s="106">
        <v>280.39999999999998</v>
      </c>
      <c r="Q778" s="106">
        <v>1385.1</v>
      </c>
      <c r="R778">
        <v>206225</v>
      </c>
    </row>
    <row r="779" spans="1:18" x14ac:dyDescent="0.25">
      <c r="A779" s="143">
        <v>43147</v>
      </c>
      <c r="B779" s="106">
        <v>281.10000000000002</v>
      </c>
      <c r="C779" s="106">
        <v>270.58000000000004</v>
      </c>
      <c r="D779" s="106">
        <v>268.56</v>
      </c>
      <c r="E779" s="106">
        <v>277.39</v>
      </c>
      <c r="F779" s="106">
        <v>1352.9</v>
      </c>
      <c r="G779">
        <v>5669</v>
      </c>
      <c r="H779" s="106"/>
      <c r="I779" s="106"/>
      <c r="L779" s="143">
        <v>43147</v>
      </c>
      <c r="M779" s="106">
        <v>270.41999999999996</v>
      </c>
      <c r="N779" s="106">
        <v>281.07</v>
      </c>
      <c r="O779" s="106">
        <v>268.51</v>
      </c>
      <c r="P779" s="106">
        <v>275.39999999999998</v>
      </c>
      <c r="Q779" s="106">
        <v>1352.1</v>
      </c>
      <c r="R779">
        <v>100836</v>
      </c>
    </row>
    <row r="780" spans="1:18" x14ac:dyDescent="0.25">
      <c r="A780" s="143">
        <v>43150</v>
      </c>
      <c r="B780" s="106">
        <v>275</v>
      </c>
      <c r="C780" s="106">
        <v>270.39999999999998</v>
      </c>
      <c r="D780" s="106">
        <v>259.05</v>
      </c>
      <c r="E780" s="106">
        <v>275</v>
      </c>
      <c r="F780" s="106">
        <v>1352</v>
      </c>
      <c r="G780">
        <v>10720</v>
      </c>
      <c r="H780" s="106"/>
      <c r="I780" s="106"/>
      <c r="L780" s="143">
        <v>43150</v>
      </c>
      <c r="M780" s="106">
        <v>270.2</v>
      </c>
      <c r="N780" s="106">
        <v>271.79000000000002</v>
      </c>
      <c r="O780" s="106">
        <v>259.2</v>
      </c>
      <c r="P780" s="106">
        <v>270.39999999999998</v>
      </c>
      <c r="Q780" s="106">
        <v>1351</v>
      </c>
      <c r="R780">
        <v>290290</v>
      </c>
    </row>
    <row r="781" spans="1:18" x14ac:dyDescent="0.25">
      <c r="A781" s="143">
        <v>43151</v>
      </c>
      <c r="B781" s="106">
        <v>271.18</v>
      </c>
      <c r="C781" s="106">
        <v>266.53000000000003</v>
      </c>
      <c r="D781" s="106">
        <v>264.48</v>
      </c>
      <c r="E781" s="106">
        <v>271.18</v>
      </c>
      <c r="F781" s="106">
        <v>1332.65</v>
      </c>
      <c r="G781">
        <v>78108</v>
      </c>
      <c r="H781" s="106"/>
      <c r="I781" s="106"/>
      <c r="L781" s="143">
        <v>43151</v>
      </c>
      <c r="M781" s="106">
        <v>266.56</v>
      </c>
      <c r="N781" s="106">
        <v>273.38</v>
      </c>
      <c r="O781" s="106">
        <v>264.06</v>
      </c>
      <c r="P781" s="106">
        <v>273.38</v>
      </c>
      <c r="Q781" s="106">
        <v>1332.8</v>
      </c>
      <c r="R781">
        <v>136291</v>
      </c>
    </row>
    <row r="782" spans="1:18" x14ac:dyDescent="0.25">
      <c r="A782" s="143">
        <v>43152</v>
      </c>
      <c r="B782" s="106">
        <v>276.39</v>
      </c>
      <c r="C782" s="106">
        <v>275.63</v>
      </c>
      <c r="D782" s="106">
        <v>267.04000000000002</v>
      </c>
      <c r="E782" s="106">
        <v>268.66999999999996</v>
      </c>
      <c r="F782" s="106">
        <v>1378.15</v>
      </c>
      <c r="G782">
        <v>11211</v>
      </c>
      <c r="H782" s="106"/>
      <c r="I782" s="106"/>
      <c r="L782" s="143">
        <v>43152</v>
      </c>
      <c r="M782" s="106">
        <v>276.32</v>
      </c>
      <c r="N782" s="106">
        <v>277.39999999999998</v>
      </c>
      <c r="O782" s="106">
        <v>264.8</v>
      </c>
      <c r="P782" s="106">
        <v>264.8</v>
      </c>
      <c r="Q782" s="106">
        <v>1381.6</v>
      </c>
      <c r="R782">
        <v>289354</v>
      </c>
    </row>
    <row r="783" spans="1:18" x14ac:dyDescent="0.25">
      <c r="A783" s="143">
        <v>43153</v>
      </c>
      <c r="B783" s="106">
        <v>278.27</v>
      </c>
      <c r="C783" s="106">
        <v>275.05</v>
      </c>
      <c r="D783" s="106">
        <v>272.8</v>
      </c>
      <c r="E783" s="106">
        <v>274.34000000000003</v>
      </c>
      <c r="F783" s="106">
        <v>1375.25</v>
      </c>
      <c r="G783">
        <v>11851</v>
      </c>
      <c r="H783" s="106"/>
      <c r="I783" s="106"/>
      <c r="L783" s="143">
        <v>43153</v>
      </c>
      <c r="M783" s="106">
        <v>275.8</v>
      </c>
      <c r="N783" s="106">
        <v>279.60000000000002</v>
      </c>
      <c r="O783" s="106">
        <v>272.8</v>
      </c>
      <c r="P783" s="106">
        <v>275.02</v>
      </c>
      <c r="Q783" s="106">
        <v>1379</v>
      </c>
      <c r="R783">
        <v>319177</v>
      </c>
    </row>
    <row r="784" spans="1:18" x14ac:dyDescent="0.25">
      <c r="A784" s="143">
        <v>43154</v>
      </c>
      <c r="B784" s="106">
        <v>285.27</v>
      </c>
      <c r="C784" s="106">
        <v>283.69</v>
      </c>
      <c r="D784" s="106">
        <v>275.53000000000003</v>
      </c>
      <c r="E784" s="106">
        <v>276.60000000000002</v>
      </c>
      <c r="F784" s="106">
        <v>1418.45</v>
      </c>
      <c r="G784">
        <v>16359</v>
      </c>
      <c r="H784" s="106"/>
      <c r="I784" s="106"/>
      <c r="L784" s="143">
        <v>43154</v>
      </c>
      <c r="M784" s="106">
        <v>283.12</v>
      </c>
      <c r="N784" s="106">
        <v>285.68</v>
      </c>
      <c r="O784" s="106">
        <v>274.10000000000002</v>
      </c>
      <c r="P784" s="106">
        <v>275.55</v>
      </c>
      <c r="Q784" s="106">
        <v>1415.6</v>
      </c>
      <c r="R784">
        <v>397357</v>
      </c>
    </row>
    <row r="785" spans="1:18" x14ac:dyDescent="0.25">
      <c r="A785" s="143">
        <v>43157</v>
      </c>
      <c r="B785" s="106">
        <v>289</v>
      </c>
      <c r="C785" s="106">
        <v>287.70999999999998</v>
      </c>
      <c r="D785" s="106">
        <v>279.68</v>
      </c>
      <c r="E785" s="106">
        <v>284.99</v>
      </c>
      <c r="F785" s="106">
        <v>1438.55</v>
      </c>
      <c r="G785">
        <v>17082</v>
      </c>
      <c r="H785" s="106"/>
      <c r="I785" s="106"/>
      <c r="L785" s="143">
        <v>43157</v>
      </c>
      <c r="M785" s="106">
        <v>288.21999999999997</v>
      </c>
      <c r="N785" s="106">
        <v>289.90999999999997</v>
      </c>
      <c r="O785" s="106">
        <v>279.21999999999997</v>
      </c>
      <c r="P785" s="106">
        <v>283.5</v>
      </c>
      <c r="Q785" s="106">
        <v>1441.1</v>
      </c>
      <c r="R785">
        <v>333936</v>
      </c>
    </row>
    <row r="786" spans="1:18" x14ac:dyDescent="0.25">
      <c r="A786" s="143">
        <v>43158</v>
      </c>
      <c r="B786" s="106">
        <v>294.04000000000002</v>
      </c>
      <c r="C786" s="106">
        <v>292.48</v>
      </c>
      <c r="D786" s="106">
        <v>288</v>
      </c>
      <c r="E786" s="106">
        <v>288</v>
      </c>
      <c r="F786" s="106">
        <v>1462.4</v>
      </c>
      <c r="G786">
        <v>25177</v>
      </c>
      <c r="H786" s="106"/>
      <c r="I786" s="106"/>
      <c r="L786" s="143">
        <v>43158</v>
      </c>
      <c r="M786" s="106">
        <v>292.90999999999997</v>
      </c>
      <c r="N786" s="106">
        <v>294.39999999999998</v>
      </c>
      <c r="O786" s="106">
        <v>287.64</v>
      </c>
      <c r="P786" s="106">
        <v>288.3</v>
      </c>
      <c r="Q786" s="106">
        <v>1464.55</v>
      </c>
      <c r="R786">
        <v>358063</v>
      </c>
    </row>
    <row r="787" spans="1:18" x14ac:dyDescent="0.25">
      <c r="A787" s="143">
        <v>43159</v>
      </c>
      <c r="B787" s="106">
        <v>295.19</v>
      </c>
      <c r="C787" s="106">
        <v>293.87</v>
      </c>
      <c r="D787" s="106">
        <v>289.11</v>
      </c>
      <c r="E787" s="106">
        <v>290</v>
      </c>
      <c r="F787" s="106">
        <v>1469.35</v>
      </c>
      <c r="G787">
        <v>12565</v>
      </c>
      <c r="H787" s="106"/>
      <c r="I787" s="106"/>
      <c r="L787" s="143">
        <v>43159</v>
      </c>
      <c r="M787" s="106">
        <v>293.99</v>
      </c>
      <c r="N787" s="106">
        <v>295</v>
      </c>
      <c r="O787" s="106">
        <v>289.32</v>
      </c>
      <c r="P787" s="106">
        <v>292.39999999999998</v>
      </c>
      <c r="Q787" s="106">
        <v>1469.95</v>
      </c>
      <c r="R787">
        <v>615724</v>
      </c>
    </row>
    <row r="788" spans="1:18" x14ac:dyDescent="0.25">
      <c r="A788" s="143">
        <v>43160</v>
      </c>
      <c r="B788" s="106">
        <v>296.8</v>
      </c>
      <c r="C788" s="106">
        <v>290.40999999999997</v>
      </c>
      <c r="D788" s="106">
        <v>287.60000000000002</v>
      </c>
      <c r="E788" s="106">
        <v>293.01</v>
      </c>
      <c r="F788" s="106">
        <v>1452.05</v>
      </c>
      <c r="G788">
        <v>780788</v>
      </c>
      <c r="H788" s="106"/>
      <c r="I788" s="106"/>
      <c r="L788" s="143">
        <v>43160</v>
      </c>
      <c r="M788" s="106">
        <v>290.3</v>
      </c>
      <c r="N788" s="106">
        <v>297.19</v>
      </c>
      <c r="O788" s="106">
        <v>287.62</v>
      </c>
      <c r="P788" s="106">
        <v>292.21999999999997</v>
      </c>
      <c r="Q788" s="106">
        <v>1451.5</v>
      </c>
      <c r="R788">
        <v>1376349</v>
      </c>
    </row>
    <row r="789" spans="1:18" x14ac:dyDescent="0.25">
      <c r="A789" s="143">
        <v>43164</v>
      </c>
      <c r="B789" s="106">
        <v>297.2</v>
      </c>
      <c r="C789" s="106">
        <v>290.84000000000003</v>
      </c>
      <c r="D789" s="106">
        <v>286.90999999999997</v>
      </c>
      <c r="E789" s="106">
        <v>287.02</v>
      </c>
      <c r="F789" s="106">
        <v>1454.2</v>
      </c>
      <c r="G789">
        <v>21583</v>
      </c>
      <c r="H789" s="106"/>
      <c r="I789" s="106"/>
      <c r="L789" s="143">
        <v>43164</v>
      </c>
      <c r="M789" s="106">
        <v>290.74</v>
      </c>
      <c r="N789" s="106">
        <v>297.52</v>
      </c>
      <c r="O789" s="106">
        <v>284.77</v>
      </c>
      <c r="P789" s="106">
        <v>290.3</v>
      </c>
      <c r="Q789" s="106">
        <v>1453.7</v>
      </c>
      <c r="R789">
        <v>540458</v>
      </c>
    </row>
    <row r="790" spans="1:18" x14ac:dyDescent="0.25">
      <c r="A790" s="143">
        <v>43165</v>
      </c>
      <c r="B790" s="106">
        <v>295.99</v>
      </c>
      <c r="C790" s="106">
        <v>286.19</v>
      </c>
      <c r="D790" s="106">
        <v>284.49</v>
      </c>
      <c r="E790" s="106">
        <v>292</v>
      </c>
      <c r="F790" s="106">
        <v>1430.95</v>
      </c>
      <c r="G790">
        <v>21513</v>
      </c>
      <c r="H790" s="106"/>
      <c r="I790" s="106"/>
      <c r="L790" s="143">
        <v>43165</v>
      </c>
      <c r="M790" s="106">
        <v>286.83000000000004</v>
      </c>
      <c r="N790" s="106">
        <v>294.31</v>
      </c>
      <c r="O790" s="106">
        <v>284.44</v>
      </c>
      <c r="P790" s="106">
        <v>292.60000000000002</v>
      </c>
      <c r="Q790" s="106">
        <v>1434.15</v>
      </c>
      <c r="R790">
        <v>168301</v>
      </c>
    </row>
    <row r="791" spans="1:18" x14ac:dyDescent="0.25">
      <c r="A791" s="143">
        <v>43166</v>
      </c>
      <c r="B791" s="106">
        <v>290.28000000000003</v>
      </c>
      <c r="C791" s="106">
        <v>282.95</v>
      </c>
      <c r="D791" s="106">
        <v>282</v>
      </c>
      <c r="E791" s="106">
        <v>284.26</v>
      </c>
      <c r="F791" s="106">
        <v>1414.75</v>
      </c>
      <c r="G791">
        <v>8742</v>
      </c>
      <c r="H791" s="106"/>
      <c r="I791" s="106"/>
      <c r="L791" s="143">
        <v>43166</v>
      </c>
      <c r="M791" s="106">
        <v>282.64999999999998</v>
      </c>
      <c r="N791" s="106">
        <v>290.8</v>
      </c>
      <c r="O791" s="106">
        <v>281.74</v>
      </c>
      <c r="P791" s="106">
        <v>286.2</v>
      </c>
      <c r="Q791" s="106">
        <v>1413.25</v>
      </c>
      <c r="R791">
        <v>174154</v>
      </c>
    </row>
    <row r="792" spans="1:18" x14ac:dyDescent="0.25">
      <c r="A792" s="143">
        <v>43167</v>
      </c>
      <c r="B792" s="106">
        <v>287.64</v>
      </c>
      <c r="C792" s="106">
        <v>285.56</v>
      </c>
      <c r="D792" s="106">
        <v>278.60000000000002</v>
      </c>
      <c r="E792" s="106">
        <v>284.44</v>
      </c>
      <c r="F792" s="106">
        <v>1427.8</v>
      </c>
      <c r="G792">
        <v>4443</v>
      </c>
      <c r="H792" s="106"/>
      <c r="I792" s="106"/>
      <c r="L792" s="143">
        <v>43167</v>
      </c>
      <c r="M792" s="106">
        <v>285.08000000000004</v>
      </c>
      <c r="N792" s="106">
        <v>287.83000000000004</v>
      </c>
      <c r="O792" s="106">
        <v>278.49</v>
      </c>
      <c r="P792" s="106">
        <v>285.76</v>
      </c>
      <c r="Q792" s="106">
        <v>1425.4</v>
      </c>
      <c r="R792">
        <v>238512</v>
      </c>
    </row>
    <row r="793" spans="1:18" x14ac:dyDescent="0.25">
      <c r="A793" s="143">
        <v>43168</v>
      </c>
      <c r="B793" s="106">
        <v>291</v>
      </c>
      <c r="C793" s="106">
        <v>280.83000000000004</v>
      </c>
      <c r="D793" s="106">
        <v>279.05</v>
      </c>
      <c r="E793" s="106">
        <v>288.75</v>
      </c>
      <c r="F793" s="106">
        <v>1404.15</v>
      </c>
      <c r="G793">
        <v>6775</v>
      </c>
      <c r="H793" s="106"/>
      <c r="I793" s="106"/>
      <c r="L793" s="143">
        <v>43168</v>
      </c>
      <c r="M793" s="106">
        <v>280.49</v>
      </c>
      <c r="N793" s="106">
        <v>286.8</v>
      </c>
      <c r="O793" s="106">
        <v>279.11</v>
      </c>
      <c r="P793" s="106">
        <v>286.8</v>
      </c>
      <c r="Q793" s="106">
        <v>1402.45</v>
      </c>
      <c r="R793">
        <v>214542</v>
      </c>
    </row>
    <row r="794" spans="1:18" x14ac:dyDescent="0.25">
      <c r="A794" s="143">
        <v>43171</v>
      </c>
      <c r="B794" s="106">
        <v>290.98</v>
      </c>
      <c r="C794" s="106">
        <v>288.96999999999997</v>
      </c>
      <c r="D794" s="106">
        <v>278.65999999999997</v>
      </c>
      <c r="E794" s="106">
        <v>282.71999999999997</v>
      </c>
      <c r="F794" s="106">
        <v>1444.85</v>
      </c>
      <c r="G794">
        <v>8299</v>
      </c>
      <c r="H794" s="106"/>
      <c r="I794" s="106"/>
      <c r="L794" s="143">
        <v>43171</v>
      </c>
      <c r="M794" s="106">
        <v>289.10000000000002</v>
      </c>
      <c r="N794" s="106">
        <v>290.8</v>
      </c>
      <c r="O794" s="106">
        <v>278.55</v>
      </c>
      <c r="P794" s="106">
        <v>281.02</v>
      </c>
      <c r="Q794" s="106">
        <v>1445.5</v>
      </c>
      <c r="R794">
        <v>170541</v>
      </c>
    </row>
    <row r="795" spans="1:18" x14ac:dyDescent="0.25">
      <c r="A795" s="143">
        <v>43172</v>
      </c>
      <c r="B795" s="106">
        <v>292.60000000000002</v>
      </c>
      <c r="C795" s="106">
        <v>288.45</v>
      </c>
      <c r="D795" s="106">
        <v>287</v>
      </c>
      <c r="E795" s="106">
        <v>289</v>
      </c>
      <c r="F795" s="106">
        <v>1442.25</v>
      </c>
      <c r="G795">
        <v>4403</v>
      </c>
      <c r="H795" s="106"/>
      <c r="I795" s="106"/>
      <c r="L795" s="143">
        <v>43172</v>
      </c>
      <c r="M795" s="106">
        <v>289.23</v>
      </c>
      <c r="N795" s="106">
        <v>292.98</v>
      </c>
      <c r="O795" s="106">
        <v>286.78000000000003</v>
      </c>
      <c r="P795" s="106">
        <v>290.8</v>
      </c>
      <c r="Q795" s="106">
        <v>1446.15</v>
      </c>
      <c r="R795">
        <v>138429</v>
      </c>
    </row>
    <row r="796" spans="1:18" x14ac:dyDescent="0.25">
      <c r="A796" s="143">
        <v>43173</v>
      </c>
      <c r="B796" s="106">
        <v>294</v>
      </c>
      <c r="C796" s="106">
        <v>292.90999999999997</v>
      </c>
      <c r="D796" s="106">
        <v>284.90999999999997</v>
      </c>
      <c r="E796" s="106">
        <v>288.60000000000002</v>
      </c>
      <c r="F796" s="106">
        <v>1464.55</v>
      </c>
      <c r="G796">
        <v>6050</v>
      </c>
      <c r="H796" s="106"/>
      <c r="I796" s="106"/>
      <c r="L796" s="143">
        <v>43173</v>
      </c>
      <c r="M796" s="106">
        <v>293.08000000000004</v>
      </c>
      <c r="N796" s="106">
        <v>294</v>
      </c>
      <c r="O796" s="106">
        <v>284.86</v>
      </c>
      <c r="P796" s="106">
        <v>290</v>
      </c>
      <c r="Q796" s="106">
        <v>1465.4</v>
      </c>
      <c r="R796">
        <v>127564</v>
      </c>
    </row>
    <row r="797" spans="1:18" x14ac:dyDescent="0.25">
      <c r="A797" s="143">
        <v>43174</v>
      </c>
      <c r="B797" s="106">
        <v>298.59000000000003</v>
      </c>
      <c r="C797" s="106">
        <v>296.07</v>
      </c>
      <c r="D797" s="106">
        <v>292</v>
      </c>
      <c r="E797" s="106">
        <v>292.39999999999998</v>
      </c>
      <c r="F797" s="106">
        <v>1480.35</v>
      </c>
      <c r="G797">
        <v>14146</v>
      </c>
      <c r="H797" s="106"/>
      <c r="I797" s="106"/>
      <c r="L797" s="143">
        <v>43174</v>
      </c>
      <c r="M797" s="106">
        <v>295.84000000000003</v>
      </c>
      <c r="N797" s="106">
        <v>298.39</v>
      </c>
      <c r="O797" s="106">
        <v>292</v>
      </c>
      <c r="P797" s="106">
        <v>292</v>
      </c>
      <c r="Q797" s="106">
        <v>1479.2</v>
      </c>
      <c r="R797">
        <v>164727</v>
      </c>
    </row>
    <row r="798" spans="1:18" x14ac:dyDescent="0.25">
      <c r="A798" s="143">
        <v>43175</v>
      </c>
      <c r="B798" s="106">
        <v>297</v>
      </c>
      <c r="C798" s="106">
        <v>292.38</v>
      </c>
      <c r="D798" s="106">
        <v>291.43</v>
      </c>
      <c r="E798" s="106">
        <v>295.60000000000002</v>
      </c>
      <c r="F798" s="106">
        <v>1461.9</v>
      </c>
      <c r="G798">
        <v>7602</v>
      </c>
      <c r="H798" s="106"/>
      <c r="I798" s="106"/>
      <c r="L798" s="143">
        <v>43175</v>
      </c>
      <c r="M798" s="106">
        <v>292.76</v>
      </c>
      <c r="N798" s="106">
        <v>297.59000000000003</v>
      </c>
      <c r="O798" s="106">
        <v>291.2</v>
      </c>
      <c r="P798" s="106">
        <v>294.39999999999998</v>
      </c>
      <c r="Q798" s="106">
        <v>1463.8</v>
      </c>
      <c r="R798">
        <v>130906</v>
      </c>
    </row>
    <row r="799" spans="1:18" x14ac:dyDescent="0.25">
      <c r="A799" s="143">
        <v>43178</v>
      </c>
      <c r="B799" s="106">
        <v>294.38</v>
      </c>
      <c r="C799" s="106">
        <v>287.78000000000003</v>
      </c>
      <c r="D799" s="106">
        <v>286.21999999999997</v>
      </c>
      <c r="E799" s="106">
        <v>292.03000000000003</v>
      </c>
      <c r="F799" s="106">
        <v>1438.9</v>
      </c>
      <c r="G799">
        <v>3578</v>
      </c>
      <c r="H799" s="106"/>
      <c r="I799" s="106"/>
      <c r="L799" s="143">
        <v>43178</v>
      </c>
      <c r="M799" s="106">
        <v>287.29000000000002</v>
      </c>
      <c r="N799" s="106">
        <v>294.33000000000004</v>
      </c>
      <c r="O799" s="106">
        <v>285.63</v>
      </c>
      <c r="P799" s="106">
        <v>290.70999999999998</v>
      </c>
      <c r="Q799" s="106">
        <v>1436.45</v>
      </c>
      <c r="R799">
        <v>124452</v>
      </c>
    </row>
    <row r="800" spans="1:18" x14ac:dyDescent="0.25">
      <c r="A800" s="143">
        <v>43179</v>
      </c>
      <c r="B800" s="106">
        <v>291.49</v>
      </c>
      <c r="C800" s="106">
        <v>289.95999999999998</v>
      </c>
      <c r="D800" s="106">
        <v>279.15999999999997</v>
      </c>
      <c r="E800" s="106">
        <v>285.75</v>
      </c>
      <c r="F800" s="106">
        <v>1449.8</v>
      </c>
      <c r="G800">
        <v>11227</v>
      </c>
      <c r="H800" s="106"/>
      <c r="I800" s="106"/>
      <c r="L800" s="143">
        <v>43179</v>
      </c>
      <c r="M800" s="106">
        <v>288.96999999999997</v>
      </c>
      <c r="N800" s="106">
        <v>291.60000000000002</v>
      </c>
      <c r="O800" s="106">
        <v>284.39999999999998</v>
      </c>
      <c r="P800" s="106">
        <v>287.29000000000002</v>
      </c>
      <c r="Q800" s="106">
        <v>1444.85</v>
      </c>
      <c r="R800">
        <v>109929</v>
      </c>
    </row>
    <row r="801" spans="1:18" x14ac:dyDescent="0.25">
      <c r="A801" s="143">
        <v>43180</v>
      </c>
      <c r="B801" s="106">
        <v>293.24</v>
      </c>
      <c r="C801" s="106">
        <v>290.18</v>
      </c>
      <c r="D801" s="106">
        <v>289.03000000000003</v>
      </c>
      <c r="E801" s="106">
        <v>291.99</v>
      </c>
      <c r="F801" s="106">
        <v>1450.9</v>
      </c>
      <c r="G801">
        <v>9860</v>
      </c>
      <c r="H801" s="106"/>
      <c r="I801" s="106"/>
      <c r="L801" s="143">
        <v>43180</v>
      </c>
      <c r="M801" s="106">
        <v>289.48</v>
      </c>
      <c r="N801" s="106">
        <v>293.39999999999998</v>
      </c>
      <c r="O801" s="106">
        <v>288.60000000000002</v>
      </c>
      <c r="P801" s="106">
        <v>289.05</v>
      </c>
      <c r="Q801" s="106">
        <v>1447.4</v>
      </c>
      <c r="R801">
        <v>140902</v>
      </c>
    </row>
    <row r="802" spans="1:18" x14ac:dyDescent="0.25">
      <c r="A802" s="143">
        <v>43181</v>
      </c>
      <c r="B802" s="106">
        <v>290.02</v>
      </c>
      <c r="C802" s="106">
        <v>285.3</v>
      </c>
      <c r="D802" s="106">
        <v>283.46999999999997</v>
      </c>
      <c r="E802" s="106">
        <v>290.02</v>
      </c>
      <c r="F802" s="106">
        <v>1426.5</v>
      </c>
      <c r="G802">
        <v>8566</v>
      </c>
      <c r="H802" s="106"/>
      <c r="I802" s="106"/>
      <c r="L802" s="143">
        <v>43181</v>
      </c>
      <c r="M802" s="106">
        <v>284.84000000000003</v>
      </c>
      <c r="N802" s="106">
        <v>290.89999999999998</v>
      </c>
      <c r="O802" s="106">
        <v>283.23</v>
      </c>
      <c r="P802" s="106">
        <v>290.89999999999998</v>
      </c>
      <c r="Q802" s="106">
        <v>1424.2</v>
      </c>
      <c r="R802">
        <v>55150</v>
      </c>
    </row>
    <row r="803" spans="1:18" x14ac:dyDescent="0.25">
      <c r="A803" s="143">
        <v>43182</v>
      </c>
      <c r="B803" s="106">
        <v>282.8</v>
      </c>
      <c r="C803" s="106">
        <v>277.70999999999998</v>
      </c>
      <c r="D803" s="106">
        <v>273.94</v>
      </c>
      <c r="E803" s="106">
        <v>280.98</v>
      </c>
      <c r="F803" s="106">
        <v>1388.55</v>
      </c>
      <c r="G803">
        <v>6200</v>
      </c>
      <c r="H803" s="106"/>
      <c r="I803" s="106"/>
      <c r="L803" s="143">
        <v>43182</v>
      </c>
      <c r="M803" s="106">
        <v>277.8</v>
      </c>
      <c r="N803" s="106">
        <v>282.13</v>
      </c>
      <c r="O803" s="106">
        <v>273.62</v>
      </c>
      <c r="P803" s="106">
        <v>282</v>
      </c>
      <c r="Q803" s="106">
        <v>1389</v>
      </c>
      <c r="R803">
        <v>125166</v>
      </c>
    </row>
    <row r="804" spans="1:18" x14ac:dyDescent="0.25">
      <c r="A804" s="143">
        <v>43185</v>
      </c>
      <c r="B804" s="106">
        <v>292</v>
      </c>
      <c r="C804" s="106">
        <v>284.82</v>
      </c>
      <c r="D804" s="106">
        <v>272.95999999999998</v>
      </c>
      <c r="E804" s="106">
        <v>280.28000000000003</v>
      </c>
      <c r="F804" s="106">
        <v>1424.1</v>
      </c>
      <c r="G804">
        <v>169967</v>
      </c>
      <c r="H804" s="106"/>
      <c r="I804" s="106"/>
      <c r="L804" s="143">
        <v>43185</v>
      </c>
      <c r="M804" s="106">
        <v>287.48</v>
      </c>
      <c r="N804" s="106">
        <v>292</v>
      </c>
      <c r="O804" s="106">
        <v>273.12</v>
      </c>
      <c r="P804" s="106">
        <v>277.8</v>
      </c>
      <c r="Q804" s="106">
        <v>1437.4</v>
      </c>
      <c r="R804">
        <v>110474</v>
      </c>
    </row>
    <row r="805" spans="1:18" x14ac:dyDescent="0.25">
      <c r="A805" s="143">
        <v>43186</v>
      </c>
      <c r="B805" s="106">
        <v>301.60000000000002</v>
      </c>
      <c r="C805" s="106">
        <v>293.37</v>
      </c>
      <c r="D805" s="106">
        <v>288</v>
      </c>
      <c r="E805" s="106">
        <v>288</v>
      </c>
      <c r="F805" s="106">
        <v>1466.85</v>
      </c>
      <c r="G805">
        <v>12395</v>
      </c>
      <c r="H805" s="106"/>
      <c r="I805" s="106"/>
      <c r="L805" s="143">
        <v>43186</v>
      </c>
      <c r="M805" s="106">
        <v>293.73</v>
      </c>
      <c r="N805" s="106">
        <v>302.31</v>
      </c>
      <c r="O805" s="106">
        <v>287.88</v>
      </c>
      <c r="P805" s="106">
        <v>290.8</v>
      </c>
      <c r="Q805" s="106">
        <v>1468.65</v>
      </c>
      <c r="R805">
        <v>479079</v>
      </c>
    </row>
    <row r="806" spans="1:18" x14ac:dyDescent="0.25">
      <c r="A806" s="143">
        <v>43187</v>
      </c>
      <c r="B806" s="106">
        <v>294</v>
      </c>
      <c r="C806" s="106">
        <v>289.94</v>
      </c>
      <c r="D806" s="106">
        <v>286.52</v>
      </c>
      <c r="E806" s="106">
        <v>292</v>
      </c>
      <c r="F806" s="106">
        <v>1449.7</v>
      </c>
      <c r="G806">
        <v>10429</v>
      </c>
      <c r="H806" s="106"/>
      <c r="I806" s="106"/>
      <c r="L806" s="143">
        <v>43187</v>
      </c>
      <c r="M806" s="106">
        <v>290.09000000000003</v>
      </c>
      <c r="N806" s="106">
        <v>294</v>
      </c>
      <c r="O806" s="106">
        <v>286.11</v>
      </c>
      <c r="P806" s="106">
        <v>292.8</v>
      </c>
      <c r="Q806" s="106">
        <v>1450.45</v>
      </c>
      <c r="R806">
        <v>372406</v>
      </c>
    </row>
    <row r="807" spans="1:18" x14ac:dyDescent="0.25">
      <c r="A807" s="143">
        <v>43192</v>
      </c>
      <c r="B807" s="106">
        <v>296.40999999999997</v>
      </c>
      <c r="C807" s="106">
        <v>295.25</v>
      </c>
      <c r="D807" s="106">
        <v>290.05</v>
      </c>
      <c r="E807" s="106">
        <v>290.05</v>
      </c>
      <c r="F807" s="106">
        <v>1476.25</v>
      </c>
      <c r="G807">
        <v>4302</v>
      </c>
      <c r="H807" s="106"/>
      <c r="I807" s="106"/>
      <c r="L807" s="143">
        <v>43192</v>
      </c>
      <c r="M807" s="106">
        <v>294.7</v>
      </c>
      <c r="N807" s="106">
        <v>296.31</v>
      </c>
      <c r="O807" s="106">
        <v>291.16999999999996</v>
      </c>
      <c r="P807" s="106">
        <v>293.2</v>
      </c>
      <c r="Q807" s="106">
        <v>1473.5</v>
      </c>
      <c r="R807">
        <v>277567</v>
      </c>
    </row>
    <row r="808" spans="1:18" x14ac:dyDescent="0.25">
      <c r="A808" s="143">
        <v>43193</v>
      </c>
      <c r="B808" s="106">
        <v>306</v>
      </c>
      <c r="C808" s="106">
        <v>303.48</v>
      </c>
      <c r="D808" s="106">
        <v>295.2</v>
      </c>
      <c r="E808" s="106">
        <v>295.2</v>
      </c>
      <c r="F808" s="106">
        <v>1517.4</v>
      </c>
      <c r="G808">
        <v>18964</v>
      </c>
      <c r="H808" s="106"/>
      <c r="I808" s="106"/>
      <c r="L808" s="143">
        <v>43193</v>
      </c>
      <c r="M808" s="106">
        <v>303.27</v>
      </c>
      <c r="N808" s="106">
        <v>306.39999999999998</v>
      </c>
      <c r="O808" s="106">
        <v>294.51</v>
      </c>
      <c r="P808" s="106">
        <v>295.38</v>
      </c>
      <c r="Q808" s="106">
        <v>1516.35</v>
      </c>
      <c r="R808">
        <v>311259</v>
      </c>
    </row>
    <row r="809" spans="1:18" x14ac:dyDescent="0.25">
      <c r="A809" s="143">
        <v>43194</v>
      </c>
      <c r="B809" s="106">
        <v>309.60000000000002</v>
      </c>
      <c r="C809" s="106">
        <v>297.73</v>
      </c>
      <c r="D809" s="106">
        <v>295.2</v>
      </c>
      <c r="E809" s="106">
        <v>309.60000000000002</v>
      </c>
      <c r="F809" s="106">
        <v>1488.65</v>
      </c>
      <c r="G809">
        <v>16201</v>
      </c>
      <c r="H809" s="106"/>
      <c r="I809" s="106"/>
      <c r="L809" s="143">
        <v>43194</v>
      </c>
      <c r="M809" s="106">
        <v>298.02</v>
      </c>
      <c r="N809" s="106">
        <v>307.8</v>
      </c>
      <c r="O809" s="106">
        <v>295.88</v>
      </c>
      <c r="P809" s="106">
        <v>306</v>
      </c>
      <c r="Q809" s="106">
        <v>1490.1</v>
      </c>
      <c r="R809">
        <v>319222</v>
      </c>
    </row>
    <row r="810" spans="1:18" x14ac:dyDescent="0.25">
      <c r="A810" s="143">
        <v>43195</v>
      </c>
      <c r="B810" s="106">
        <v>306.78000000000003</v>
      </c>
      <c r="C810" s="106">
        <v>304.94</v>
      </c>
      <c r="D810" s="106">
        <v>300.76</v>
      </c>
      <c r="E810" s="106">
        <v>302</v>
      </c>
      <c r="F810" s="106">
        <v>1524.7</v>
      </c>
      <c r="G810">
        <v>3584</v>
      </c>
      <c r="H810" s="106"/>
      <c r="I810" s="106"/>
      <c r="L810" s="143">
        <v>43195</v>
      </c>
      <c r="M810" s="106">
        <v>304.95</v>
      </c>
      <c r="N810" s="106">
        <v>307</v>
      </c>
      <c r="O810" s="106">
        <v>300.21999999999997</v>
      </c>
      <c r="P810" s="106">
        <v>302.8</v>
      </c>
      <c r="Q810" s="106">
        <v>1524.75</v>
      </c>
      <c r="R810">
        <v>213125</v>
      </c>
    </row>
    <row r="811" spans="1:18" x14ac:dyDescent="0.25">
      <c r="A811" s="143">
        <v>43196</v>
      </c>
      <c r="B811" s="106">
        <v>308.60000000000002</v>
      </c>
      <c r="C811" s="106">
        <v>304.84000000000003</v>
      </c>
      <c r="D811" s="106">
        <v>301.55</v>
      </c>
      <c r="E811" s="106">
        <v>306.78000000000003</v>
      </c>
      <c r="F811" s="106">
        <v>1524.2</v>
      </c>
      <c r="G811">
        <v>7865</v>
      </c>
      <c r="H811" s="106"/>
      <c r="I811" s="106"/>
      <c r="L811" s="143">
        <v>43196</v>
      </c>
      <c r="M811" s="106">
        <v>304.81</v>
      </c>
      <c r="N811" s="106">
        <v>308.8</v>
      </c>
      <c r="O811" s="106">
        <v>301.11</v>
      </c>
      <c r="P811" s="106">
        <v>303</v>
      </c>
      <c r="Q811" s="106">
        <v>1524.05</v>
      </c>
      <c r="R811">
        <v>141552</v>
      </c>
    </row>
    <row r="812" spans="1:18" x14ac:dyDescent="0.25">
      <c r="A812" s="143">
        <v>43199</v>
      </c>
      <c r="B812" s="106">
        <v>308.7</v>
      </c>
      <c r="C812" s="106">
        <v>306.25</v>
      </c>
      <c r="D812" s="106">
        <v>304.03000000000003</v>
      </c>
      <c r="E812" s="106">
        <v>305.35000000000002</v>
      </c>
      <c r="F812" s="106">
        <v>1531.25</v>
      </c>
      <c r="G812">
        <v>10415</v>
      </c>
      <c r="H812" s="106"/>
      <c r="I812" s="106"/>
      <c r="L812" s="143">
        <v>43199</v>
      </c>
      <c r="M812" s="106">
        <v>307.68</v>
      </c>
      <c r="N812" s="106">
        <v>309.39999999999998</v>
      </c>
      <c r="O812" s="106">
        <v>303.01</v>
      </c>
      <c r="P812" s="106">
        <v>303.01</v>
      </c>
      <c r="Q812" s="106">
        <v>1538.4</v>
      </c>
      <c r="R812">
        <v>209189</v>
      </c>
    </row>
    <row r="813" spans="1:18" x14ac:dyDescent="0.25">
      <c r="A813" s="143">
        <v>43200</v>
      </c>
      <c r="B813" s="106">
        <v>320</v>
      </c>
      <c r="C813" s="106">
        <v>313.32</v>
      </c>
      <c r="D813" s="106">
        <v>307.3</v>
      </c>
      <c r="E813" s="106">
        <v>310</v>
      </c>
      <c r="F813" s="106">
        <v>1566.6</v>
      </c>
      <c r="G813">
        <v>18076</v>
      </c>
      <c r="H813" s="106"/>
      <c r="I813" s="106"/>
      <c r="L813" s="143">
        <v>43200</v>
      </c>
      <c r="M813" s="106">
        <v>312.83000000000004</v>
      </c>
      <c r="N813" s="106">
        <v>315.14999999999998</v>
      </c>
      <c r="O813" s="106">
        <v>306.87</v>
      </c>
      <c r="P813" s="106">
        <v>307.23</v>
      </c>
      <c r="Q813" s="106">
        <v>1564.15</v>
      </c>
      <c r="R813">
        <v>257966</v>
      </c>
    </row>
    <row r="814" spans="1:18" x14ac:dyDescent="0.25">
      <c r="A814" s="143">
        <v>43201</v>
      </c>
      <c r="B814" s="106">
        <v>314.90999999999997</v>
      </c>
      <c r="C814" s="106">
        <v>310.91999999999996</v>
      </c>
      <c r="D814" s="106">
        <v>306.45999999999998</v>
      </c>
      <c r="E814" s="106">
        <v>314.90999999999997</v>
      </c>
      <c r="F814" s="106">
        <v>1554.6</v>
      </c>
      <c r="G814">
        <v>11172</v>
      </c>
      <c r="H814" s="106"/>
      <c r="I814" s="106"/>
      <c r="L814" s="143">
        <v>43201</v>
      </c>
      <c r="M814" s="106">
        <v>311.31</v>
      </c>
      <c r="N814" s="106">
        <v>314.39999999999998</v>
      </c>
      <c r="O814" s="106">
        <v>306</v>
      </c>
      <c r="P814" s="106">
        <v>313.95999999999998</v>
      </c>
      <c r="Q814" s="106">
        <v>1556.55</v>
      </c>
      <c r="R814">
        <v>371580</v>
      </c>
    </row>
    <row r="815" spans="1:18" x14ac:dyDescent="0.25">
      <c r="A815" s="143">
        <v>43202</v>
      </c>
      <c r="B815" s="106">
        <v>313.39999999999998</v>
      </c>
      <c r="C815" s="106">
        <v>308.81</v>
      </c>
      <c r="D815" s="106">
        <v>305.83000000000004</v>
      </c>
      <c r="E815" s="106">
        <v>308.7</v>
      </c>
      <c r="F815" s="106">
        <v>1544.05</v>
      </c>
      <c r="G815">
        <v>11846</v>
      </c>
      <c r="H815" s="106"/>
      <c r="I815" s="106"/>
      <c r="L815" s="143">
        <v>43202</v>
      </c>
      <c r="M815" s="106">
        <v>308.66999999999996</v>
      </c>
      <c r="N815" s="106">
        <v>313.19</v>
      </c>
      <c r="O815" s="106">
        <v>305</v>
      </c>
      <c r="P815" s="106">
        <v>310</v>
      </c>
      <c r="Q815" s="106">
        <v>1543.35</v>
      </c>
      <c r="R815">
        <v>158902</v>
      </c>
    </row>
    <row r="816" spans="1:18" x14ac:dyDescent="0.25">
      <c r="A816" s="143">
        <v>43203</v>
      </c>
      <c r="B816" s="106">
        <v>314.19</v>
      </c>
      <c r="C816" s="106">
        <v>312.99</v>
      </c>
      <c r="D816" s="106">
        <v>306.03000000000003</v>
      </c>
      <c r="E816" s="106">
        <v>308.66999999999996</v>
      </c>
      <c r="F816" s="106">
        <v>1564.95</v>
      </c>
      <c r="G816">
        <v>5913</v>
      </c>
      <c r="H816" s="106"/>
      <c r="I816" s="106"/>
      <c r="L816" s="143">
        <v>43203</v>
      </c>
      <c r="M816" s="106">
        <v>313.78000000000003</v>
      </c>
      <c r="N816" s="106">
        <v>315</v>
      </c>
      <c r="O816" s="106">
        <v>305.71999999999997</v>
      </c>
      <c r="P816" s="106">
        <v>305.71999999999997</v>
      </c>
      <c r="Q816" s="106">
        <v>1568.9</v>
      </c>
      <c r="R816">
        <v>171966</v>
      </c>
    </row>
    <row r="817" spans="1:18" x14ac:dyDescent="0.25">
      <c r="A817" s="143">
        <v>43206</v>
      </c>
      <c r="B817" s="106">
        <v>316.46999999999997</v>
      </c>
      <c r="C817" s="106">
        <v>314.95999999999998</v>
      </c>
      <c r="D817" s="106">
        <v>309.51</v>
      </c>
      <c r="E817" s="106">
        <v>309.51</v>
      </c>
      <c r="F817" s="106">
        <v>1574.8</v>
      </c>
      <c r="G817">
        <v>2600</v>
      </c>
      <c r="H817" s="106"/>
      <c r="I817" s="106"/>
      <c r="L817" s="143">
        <v>43206</v>
      </c>
      <c r="M817" s="106">
        <v>314.95</v>
      </c>
      <c r="N817" s="106">
        <v>315.78000000000003</v>
      </c>
      <c r="O817" s="106">
        <v>309.82</v>
      </c>
      <c r="P817" s="106">
        <v>310.11</v>
      </c>
      <c r="Q817" s="106">
        <v>1574.75</v>
      </c>
      <c r="R817">
        <v>100945</v>
      </c>
    </row>
    <row r="818" spans="1:18" x14ac:dyDescent="0.25">
      <c r="A818" s="143">
        <v>43207</v>
      </c>
      <c r="B818" s="106">
        <v>318</v>
      </c>
      <c r="C818" s="106">
        <v>316.77</v>
      </c>
      <c r="D818" s="106">
        <v>313.76</v>
      </c>
      <c r="E818" s="106">
        <v>313.76</v>
      </c>
      <c r="F818" s="106">
        <v>1583.85</v>
      </c>
      <c r="G818">
        <v>2976</v>
      </c>
      <c r="H818" s="106"/>
      <c r="I818" s="106"/>
      <c r="L818" s="143">
        <v>43207</v>
      </c>
      <c r="M818" s="106">
        <v>317.45999999999998</v>
      </c>
      <c r="N818" s="106">
        <v>319</v>
      </c>
      <c r="O818" s="106">
        <v>313.44</v>
      </c>
      <c r="P818" s="106">
        <v>315.60000000000002</v>
      </c>
      <c r="Q818" s="106">
        <v>1587.3</v>
      </c>
      <c r="R818">
        <v>122643</v>
      </c>
    </row>
    <row r="819" spans="1:18" x14ac:dyDescent="0.25">
      <c r="A819" s="143">
        <v>43208</v>
      </c>
      <c r="B819" s="106">
        <v>319.96999999999997</v>
      </c>
      <c r="C819" s="106">
        <v>315.2</v>
      </c>
      <c r="D819" s="106">
        <v>313.54000000000002</v>
      </c>
      <c r="E819" s="106">
        <v>319.68</v>
      </c>
      <c r="F819" s="106">
        <v>1576</v>
      </c>
      <c r="G819">
        <v>5394</v>
      </c>
      <c r="H819" s="106"/>
      <c r="I819" s="106"/>
      <c r="L819" s="143">
        <v>43208</v>
      </c>
      <c r="M819" s="106">
        <v>315.79000000000002</v>
      </c>
      <c r="N819" s="106">
        <v>320.8</v>
      </c>
      <c r="O819" s="106">
        <v>315</v>
      </c>
      <c r="P819" s="106">
        <v>319.60000000000002</v>
      </c>
      <c r="Q819" s="106">
        <v>1578.95</v>
      </c>
      <c r="R819">
        <v>232558</v>
      </c>
    </row>
    <row r="820" spans="1:18" x14ac:dyDescent="0.25">
      <c r="A820" s="143">
        <v>43209</v>
      </c>
      <c r="B820" s="106">
        <v>319.07</v>
      </c>
      <c r="C820" s="106">
        <v>315.10000000000002</v>
      </c>
      <c r="D820" s="106">
        <v>314.07</v>
      </c>
      <c r="E820" s="106">
        <v>316.07</v>
      </c>
      <c r="F820" s="106">
        <v>1575.5</v>
      </c>
      <c r="G820">
        <v>2418</v>
      </c>
      <c r="H820" s="106"/>
      <c r="I820" s="106"/>
      <c r="L820" s="143">
        <v>43209</v>
      </c>
      <c r="M820" s="106">
        <v>316.04000000000002</v>
      </c>
      <c r="N820" s="106">
        <v>320.13</v>
      </c>
      <c r="O820" s="106">
        <v>314</v>
      </c>
      <c r="P820" s="106">
        <v>314</v>
      </c>
      <c r="Q820" s="106">
        <v>1580.2</v>
      </c>
      <c r="R820">
        <v>94200</v>
      </c>
    </row>
    <row r="821" spans="1:18" x14ac:dyDescent="0.25">
      <c r="A821" s="143">
        <v>43210</v>
      </c>
      <c r="B821" s="106">
        <v>314.8</v>
      </c>
      <c r="C821" s="106">
        <v>313.37</v>
      </c>
      <c r="D821" s="106">
        <v>312.06</v>
      </c>
      <c r="E821" s="106">
        <v>314.65999999999997</v>
      </c>
      <c r="F821" s="106">
        <v>1566.85</v>
      </c>
      <c r="G821">
        <v>2108</v>
      </c>
      <c r="H821" s="106"/>
      <c r="I821" s="106"/>
      <c r="L821" s="143">
        <v>43210</v>
      </c>
      <c r="M821" s="106">
        <v>312.46999999999997</v>
      </c>
      <c r="N821" s="106">
        <v>315.96999999999997</v>
      </c>
      <c r="O821" s="106">
        <v>311.65999999999997</v>
      </c>
      <c r="P821" s="106">
        <v>314.57</v>
      </c>
      <c r="Q821" s="106">
        <v>1562.35</v>
      </c>
      <c r="R821">
        <v>68746</v>
      </c>
    </row>
    <row r="822" spans="1:18" x14ac:dyDescent="0.25">
      <c r="A822" s="143">
        <v>43213</v>
      </c>
      <c r="B822" s="106">
        <v>342.97</v>
      </c>
      <c r="C822" s="106">
        <v>332.69</v>
      </c>
      <c r="D822" s="106">
        <v>309.76</v>
      </c>
      <c r="E822" s="106">
        <v>311.60000000000002</v>
      </c>
      <c r="F822" s="106">
        <v>1663.45</v>
      </c>
      <c r="G822">
        <v>58132</v>
      </c>
      <c r="H822" s="106"/>
      <c r="I822" s="106"/>
      <c r="L822" s="143">
        <v>43213</v>
      </c>
      <c r="M822" s="106">
        <v>333.35</v>
      </c>
      <c r="N822" s="106">
        <v>342.13</v>
      </c>
      <c r="O822" s="106">
        <v>310.14999999999998</v>
      </c>
      <c r="P822" s="106">
        <v>312.39999999999998</v>
      </c>
      <c r="Q822" s="106">
        <v>1666.75</v>
      </c>
      <c r="R822">
        <v>1368519</v>
      </c>
    </row>
    <row r="823" spans="1:18" x14ac:dyDescent="0.25">
      <c r="A823" s="143">
        <v>43214</v>
      </c>
      <c r="B823" s="106">
        <v>345.69</v>
      </c>
      <c r="C823" s="106">
        <v>329.92</v>
      </c>
      <c r="D823" s="106">
        <v>326.33</v>
      </c>
      <c r="E823" s="106">
        <v>340</v>
      </c>
      <c r="F823" s="106">
        <v>1649.6</v>
      </c>
      <c r="G823">
        <v>45992</v>
      </c>
      <c r="H823" s="106"/>
      <c r="I823" s="106"/>
      <c r="L823" s="143">
        <v>43214</v>
      </c>
      <c r="M823" s="106">
        <v>329.93</v>
      </c>
      <c r="N823" s="106">
        <v>345.7</v>
      </c>
      <c r="O823" s="106">
        <v>326.54000000000002</v>
      </c>
      <c r="P823" s="106">
        <v>341.4</v>
      </c>
      <c r="Q823" s="106">
        <v>1649.65</v>
      </c>
      <c r="R823">
        <v>926545</v>
      </c>
    </row>
    <row r="824" spans="1:18" x14ac:dyDescent="0.25">
      <c r="A824" s="143">
        <v>43215</v>
      </c>
      <c r="B824" s="106">
        <v>338.8</v>
      </c>
      <c r="C824" s="106">
        <v>336.44</v>
      </c>
      <c r="D824" s="106">
        <v>322.2</v>
      </c>
      <c r="E824" s="106">
        <v>322.2</v>
      </c>
      <c r="F824" s="106">
        <v>1682.2</v>
      </c>
      <c r="G824">
        <v>11474</v>
      </c>
      <c r="H824" s="106"/>
      <c r="I824" s="106"/>
      <c r="L824" s="143">
        <v>43215</v>
      </c>
      <c r="M824" s="106">
        <v>337.14</v>
      </c>
      <c r="N824" s="106">
        <v>339.58000000000004</v>
      </c>
      <c r="O824" s="106">
        <v>326.44</v>
      </c>
      <c r="P824" s="106">
        <v>327.2</v>
      </c>
      <c r="Q824" s="106">
        <v>1685.7</v>
      </c>
      <c r="R824">
        <v>398184</v>
      </c>
    </row>
    <row r="825" spans="1:18" x14ac:dyDescent="0.25">
      <c r="A825" s="143">
        <v>43216</v>
      </c>
      <c r="B825" s="106">
        <v>343.3</v>
      </c>
      <c r="C825" s="106">
        <v>337.86</v>
      </c>
      <c r="D825" s="106">
        <v>330.56</v>
      </c>
      <c r="E825" s="106">
        <v>341</v>
      </c>
      <c r="F825" s="106">
        <v>1689.3</v>
      </c>
      <c r="G825">
        <v>9163</v>
      </c>
      <c r="H825" s="106"/>
      <c r="I825" s="106"/>
      <c r="L825" s="143">
        <v>43216</v>
      </c>
      <c r="M825" s="106">
        <v>337.8</v>
      </c>
      <c r="N825" s="106">
        <v>340.6</v>
      </c>
      <c r="O825" s="106">
        <v>330.21999999999997</v>
      </c>
      <c r="P825" s="106">
        <v>336.41999999999996</v>
      </c>
      <c r="Q825" s="106">
        <v>1689</v>
      </c>
      <c r="R825">
        <v>346110</v>
      </c>
    </row>
    <row r="826" spans="1:18" x14ac:dyDescent="0.25">
      <c r="A826" s="143">
        <v>43217</v>
      </c>
      <c r="B826" s="106">
        <v>350.05</v>
      </c>
      <c r="C826" s="106">
        <v>347.77</v>
      </c>
      <c r="D826" s="106">
        <v>336.02</v>
      </c>
      <c r="E826" s="106">
        <v>336.02</v>
      </c>
      <c r="F826" s="106">
        <v>1738.85</v>
      </c>
      <c r="G826">
        <v>20777</v>
      </c>
      <c r="H826" s="106"/>
      <c r="I826" s="106"/>
      <c r="L826" s="143">
        <v>43217</v>
      </c>
      <c r="M826" s="106">
        <v>347.21999999999997</v>
      </c>
      <c r="N826" s="106">
        <v>350.28000000000003</v>
      </c>
      <c r="O826" s="106">
        <v>336.4</v>
      </c>
      <c r="P826" s="106">
        <v>338.16999999999996</v>
      </c>
      <c r="Q826" s="106">
        <v>1736.1</v>
      </c>
      <c r="R826">
        <v>453196</v>
      </c>
    </row>
    <row r="827" spans="1:18" x14ac:dyDescent="0.25">
      <c r="A827" s="143">
        <v>43220</v>
      </c>
      <c r="B827" s="106">
        <v>352.15</v>
      </c>
      <c r="C827" s="106">
        <v>347.9</v>
      </c>
      <c r="D827" s="106">
        <v>343.8</v>
      </c>
      <c r="E827" s="106">
        <v>347.4</v>
      </c>
      <c r="F827" s="106">
        <v>1739.5</v>
      </c>
      <c r="G827">
        <v>9922</v>
      </c>
      <c r="H827" s="106"/>
      <c r="I827" s="106"/>
      <c r="L827" s="143">
        <v>43220</v>
      </c>
      <c r="M827" s="106">
        <v>348.29</v>
      </c>
      <c r="N827" s="106">
        <v>352.01</v>
      </c>
      <c r="O827" s="106">
        <v>344.2</v>
      </c>
      <c r="P827" s="106">
        <v>346</v>
      </c>
      <c r="Q827" s="106">
        <v>1741.45</v>
      </c>
      <c r="R827">
        <v>236935</v>
      </c>
    </row>
    <row r="828" spans="1:18" x14ac:dyDescent="0.25">
      <c r="A828" s="143">
        <v>43222</v>
      </c>
      <c r="B828" s="106">
        <v>350.74</v>
      </c>
      <c r="C828" s="106">
        <v>342.34</v>
      </c>
      <c r="D828" s="106">
        <v>338.51</v>
      </c>
      <c r="E828" s="106">
        <v>347.82</v>
      </c>
      <c r="F828" s="106">
        <v>1711.7</v>
      </c>
      <c r="G828">
        <v>6335</v>
      </c>
      <c r="H828" s="106"/>
      <c r="I828" s="106"/>
      <c r="L828" s="143">
        <v>43222</v>
      </c>
      <c r="M828" s="106">
        <v>342.09000000000003</v>
      </c>
      <c r="N828" s="106">
        <v>351.68</v>
      </c>
      <c r="O828" s="106">
        <v>338.44</v>
      </c>
      <c r="P828" s="106">
        <v>347.75</v>
      </c>
      <c r="Q828" s="106">
        <v>1710.45</v>
      </c>
      <c r="R828">
        <v>173998</v>
      </c>
    </row>
    <row r="829" spans="1:18" x14ac:dyDescent="0.25">
      <c r="A829" s="143">
        <v>43223</v>
      </c>
      <c r="B829" s="106">
        <v>342.85</v>
      </c>
      <c r="C829" s="106">
        <v>333.1</v>
      </c>
      <c r="D829" s="106">
        <v>331.75</v>
      </c>
      <c r="E829" s="106">
        <v>342.85</v>
      </c>
      <c r="F829" s="106">
        <v>1665.5</v>
      </c>
      <c r="G829">
        <v>6036</v>
      </c>
      <c r="H829" s="106"/>
      <c r="I829" s="106"/>
      <c r="L829" s="143">
        <v>43223</v>
      </c>
      <c r="M829" s="106">
        <v>333.27</v>
      </c>
      <c r="N829" s="106">
        <v>345.4</v>
      </c>
      <c r="O829" s="106">
        <v>331.37</v>
      </c>
      <c r="P829" s="106">
        <v>342.40999999999997</v>
      </c>
      <c r="Q829" s="106">
        <v>1666.35</v>
      </c>
      <c r="R829">
        <v>295191</v>
      </c>
    </row>
    <row r="830" spans="1:18" x14ac:dyDescent="0.25">
      <c r="A830" s="143">
        <v>43224</v>
      </c>
      <c r="B830" s="106">
        <v>340</v>
      </c>
      <c r="C830" s="106">
        <v>327.27999999999997</v>
      </c>
      <c r="D830" s="106">
        <v>325.74</v>
      </c>
      <c r="E830" s="106">
        <v>326.43</v>
      </c>
      <c r="F830" s="106">
        <v>1636.4</v>
      </c>
      <c r="G830">
        <v>7327</v>
      </c>
      <c r="H830" s="106"/>
      <c r="I830" s="106"/>
      <c r="L830" s="143">
        <v>43224</v>
      </c>
      <c r="M830" s="106">
        <v>328.53000000000003</v>
      </c>
      <c r="N830" s="106">
        <v>337.77</v>
      </c>
      <c r="O830" s="106">
        <v>326.40999999999997</v>
      </c>
      <c r="P830" s="106">
        <v>334.2</v>
      </c>
      <c r="Q830" s="106">
        <v>1642.65</v>
      </c>
      <c r="R830">
        <v>265556</v>
      </c>
    </row>
    <row r="831" spans="1:18" x14ac:dyDescent="0.25">
      <c r="A831" s="143">
        <v>43227</v>
      </c>
      <c r="B831" s="106">
        <v>336</v>
      </c>
      <c r="C831" s="106">
        <v>334.16</v>
      </c>
      <c r="D831" s="106">
        <v>326.02</v>
      </c>
      <c r="E831" s="106">
        <v>326.02</v>
      </c>
      <c r="F831" s="106">
        <v>1670.8</v>
      </c>
      <c r="G831">
        <v>10233</v>
      </c>
      <c r="H831" s="106"/>
      <c r="I831" s="106"/>
      <c r="L831" s="143">
        <v>43227</v>
      </c>
      <c r="M831" s="106">
        <v>333.65999999999997</v>
      </c>
      <c r="N831" s="106">
        <v>336.6</v>
      </c>
      <c r="O831" s="106">
        <v>325.60000000000002</v>
      </c>
      <c r="P831" s="106">
        <v>328.53000000000003</v>
      </c>
      <c r="Q831" s="106">
        <v>1668.3</v>
      </c>
      <c r="R831">
        <v>289503</v>
      </c>
    </row>
    <row r="832" spans="1:18" x14ac:dyDescent="0.25">
      <c r="A832" s="143">
        <v>43228</v>
      </c>
      <c r="B832" s="106">
        <v>336.12</v>
      </c>
      <c r="C832" s="106">
        <v>332.15</v>
      </c>
      <c r="D832" s="106">
        <v>328.29</v>
      </c>
      <c r="E832" s="106">
        <v>334.23</v>
      </c>
      <c r="F832" s="106">
        <v>1660.75</v>
      </c>
      <c r="G832">
        <v>7132</v>
      </c>
      <c r="H832" s="106"/>
      <c r="I832" s="106"/>
      <c r="L832" s="143">
        <v>43228</v>
      </c>
      <c r="M832" s="106">
        <v>332.40999999999997</v>
      </c>
      <c r="N832" s="106">
        <v>336.99</v>
      </c>
      <c r="O832" s="106">
        <v>328.01</v>
      </c>
      <c r="P832" s="106">
        <v>334.3</v>
      </c>
      <c r="Q832" s="106">
        <v>1662.05</v>
      </c>
      <c r="R832">
        <v>202893</v>
      </c>
    </row>
    <row r="833" spans="1:18" x14ac:dyDescent="0.25">
      <c r="A833" s="143">
        <v>43229</v>
      </c>
      <c r="B833" s="106">
        <v>332</v>
      </c>
      <c r="C833" s="106">
        <v>320.44</v>
      </c>
      <c r="D833" s="106">
        <v>317.67</v>
      </c>
      <c r="E833" s="106">
        <v>331.95</v>
      </c>
      <c r="F833" s="106">
        <v>1602.2</v>
      </c>
      <c r="G833">
        <v>370222</v>
      </c>
      <c r="H833" s="106"/>
      <c r="I833" s="106"/>
      <c r="L833" s="143">
        <v>43229</v>
      </c>
      <c r="M833" s="106">
        <v>320.40999999999997</v>
      </c>
      <c r="N833" s="106">
        <v>332.61</v>
      </c>
      <c r="O833" s="106">
        <v>317.31</v>
      </c>
      <c r="P833" s="106">
        <v>332.61</v>
      </c>
      <c r="Q833" s="106">
        <v>1602.05</v>
      </c>
      <c r="R833">
        <v>582520</v>
      </c>
    </row>
    <row r="834" spans="1:18" x14ac:dyDescent="0.25">
      <c r="A834" s="143">
        <v>43230</v>
      </c>
      <c r="B834" s="106">
        <v>324.99</v>
      </c>
      <c r="C834" s="106">
        <v>316.10000000000002</v>
      </c>
      <c r="D834" s="106">
        <v>315.35000000000002</v>
      </c>
      <c r="E834" s="106">
        <v>324.99</v>
      </c>
      <c r="F834" s="106">
        <v>1580.5</v>
      </c>
      <c r="G834">
        <v>11071</v>
      </c>
      <c r="H834" s="106"/>
      <c r="I834" s="106"/>
      <c r="L834" s="143">
        <v>43230</v>
      </c>
      <c r="M834" s="106">
        <v>315.60000000000002</v>
      </c>
      <c r="N834" s="106">
        <v>324.37</v>
      </c>
      <c r="O834" s="106">
        <v>314.71999999999997</v>
      </c>
      <c r="P834" s="106">
        <v>323.34000000000003</v>
      </c>
      <c r="Q834" s="106">
        <v>1578</v>
      </c>
      <c r="R834">
        <v>324625</v>
      </c>
    </row>
    <row r="835" spans="1:18" x14ac:dyDescent="0.25">
      <c r="A835" s="143">
        <v>43231</v>
      </c>
      <c r="B835" s="106">
        <v>319.22000000000003</v>
      </c>
      <c r="C835" s="106">
        <v>318</v>
      </c>
      <c r="D835" s="106">
        <v>313.14999999999998</v>
      </c>
      <c r="E835" s="106">
        <v>316</v>
      </c>
      <c r="F835" s="106">
        <v>1590</v>
      </c>
      <c r="G835">
        <v>4934</v>
      </c>
      <c r="H835" s="106"/>
      <c r="I835" s="106"/>
      <c r="L835" s="143">
        <v>43231</v>
      </c>
      <c r="M835" s="106">
        <v>317.79000000000002</v>
      </c>
      <c r="N835" s="106">
        <v>319.31</v>
      </c>
      <c r="O835" s="106">
        <v>313.2</v>
      </c>
      <c r="P835" s="106">
        <v>316.21999999999997</v>
      </c>
      <c r="Q835" s="106">
        <v>1588.95</v>
      </c>
      <c r="R835">
        <v>177597</v>
      </c>
    </row>
    <row r="836" spans="1:18" x14ac:dyDescent="0.25">
      <c r="A836" s="143">
        <v>43234</v>
      </c>
      <c r="B836" s="106">
        <v>323.91999999999996</v>
      </c>
      <c r="C836" s="106">
        <v>314.2</v>
      </c>
      <c r="D836" s="106">
        <v>311.60000000000002</v>
      </c>
      <c r="E836" s="106">
        <v>316.85000000000002</v>
      </c>
      <c r="F836" s="106">
        <v>1571</v>
      </c>
      <c r="G836">
        <v>6401</v>
      </c>
      <c r="H836" s="106"/>
      <c r="I836" s="106"/>
      <c r="L836" s="143">
        <v>43234</v>
      </c>
      <c r="M836" s="106">
        <v>314.82</v>
      </c>
      <c r="N836" s="106">
        <v>323.99</v>
      </c>
      <c r="O836" s="106">
        <v>311.95</v>
      </c>
      <c r="P836" s="106">
        <v>318.39999999999998</v>
      </c>
      <c r="Q836" s="106">
        <v>1574.1</v>
      </c>
      <c r="R836">
        <v>152876</v>
      </c>
    </row>
    <row r="837" spans="1:18" x14ac:dyDescent="0.25">
      <c r="A837" s="143">
        <v>43235</v>
      </c>
      <c r="B837" s="106">
        <v>321.60000000000002</v>
      </c>
      <c r="C837" s="106">
        <v>315.15999999999997</v>
      </c>
      <c r="D837" s="106">
        <v>311</v>
      </c>
      <c r="E837" s="106">
        <v>315.40999999999997</v>
      </c>
      <c r="F837" s="106">
        <v>1575.8</v>
      </c>
      <c r="G837">
        <v>6187</v>
      </c>
      <c r="H837" s="106"/>
      <c r="I837" s="106"/>
      <c r="L837" s="143">
        <v>43235</v>
      </c>
      <c r="M837" s="106">
        <v>315.45</v>
      </c>
      <c r="N837" s="106">
        <v>322</v>
      </c>
      <c r="O837" s="106">
        <v>310.55</v>
      </c>
      <c r="P837" s="106">
        <v>314.39999999999998</v>
      </c>
      <c r="Q837" s="106">
        <v>1577.25</v>
      </c>
      <c r="R837">
        <v>278820</v>
      </c>
    </row>
    <row r="838" spans="1:18" x14ac:dyDescent="0.25">
      <c r="A838" s="143">
        <v>43236</v>
      </c>
      <c r="B838" s="106">
        <v>315.23</v>
      </c>
      <c r="C838" s="106">
        <v>307.51</v>
      </c>
      <c r="D838" s="106">
        <v>305.40999999999997</v>
      </c>
      <c r="E838" s="106">
        <v>314.11</v>
      </c>
      <c r="F838" s="106">
        <v>1537.55</v>
      </c>
      <c r="G838">
        <v>7537</v>
      </c>
      <c r="H838" s="106"/>
      <c r="I838" s="106"/>
      <c r="L838" s="143">
        <v>43236</v>
      </c>
      <c r="M838" s="106">
        <v>307.26</v>
      </c>
      <c r="N838" s="106">
        <v>316.36</v>
      </c>
      <c r="O838" s="106">
        <v>305</v>
      </c>
      <c r="P838" s="106">
        <v>313.8</v>
      </c>
      <c r="Q838" s="106">
        <v>1536.3</v>
      </c>
      <c r="R838">
        <v>336070</v>
      </c>
    </row>
    <row r="839" spans="1:18" x14ac:dyDescent="0.25">
      <c r="A839" s="143">
        <v>43237</v>
      </c>
      <c r="B839" s="106">
        <v>325.38</v>
      </c>
      <c r="C839" s="106">
        <v>320.99</v>
      </c>
      <c r="D839" s="106">
        <v>304</v>
      </c>
      <c r="E839" s="106">
        <v>308.2</v>
      </c>
      <c r="F839" s="106">
        <v>1604.95</v>
      </c>
      <c r="G839">
        <v>58134</v>
      </c>
      <c r="H839" s="106"/>
      <c r="I839" s="106"/>
      <c r="L839" s="143">
        <v>43237</v>
      </c>
      <c r="M839" s="106">
        <v>321.5</v>
      </c>
      <c r="N839" s="106">
        <v>325.5</v>
      </c>
      <c r="O839" s="106">
        <v>303.60000000000002</v>
      </c>
      <c r="P839" s="106">
        <v>308.43</v>
      </c>
      <c r="Q839" s="106">
        <v>1607.5</v>
      </c>
      <c r="R839">
        <v>348028</v>
      </c>
    </row>
    <row r="840" spans="1:18" x14ac:dyDescent="0.25">
      <c r="A840" s="143">
        <v>43238</v>
      </c>
      <c r="B840" s="106">
        <v>323.83000000000004</v>
      </c>
      <c r="C840" s="106">
        <v>311.68</v>
      </c>
      <c r="D840" s="106">
        <v>310</v>
      </c>
      <c r="E840" s="106">
        <v>323.83000000000004</v>
      </c>
      <c r="F840" s="106">
        <v>1558.4</v>
      </c>
      <c r="G840">
        <v>9569</v>
      </c>
      <c r="H840" s="106"/>
      <c r="I840" s="106"/>
      <c r="L840" s="143">
        <v>43238</v>
      </c>
      <c r="M840" s="106">
        <v>311.65999999999997</v>
      </c>
      <c r="N840" s="106">
        <v>321.98</v>
      </c>
      <c r="O840" s="106">
        <v>310.3</v>
      </c>
      <c r="P840" s="106">
        <v>321.98</v>
      </c>
      <c r="Q840" s="106">
        <v>1558.3</v>
      </c>
      <c r="R840">
        <v>168063</v>
      </c>
    </row>
    <row r="841" spans="1:18" x14ac:dyDescent="0.25">
      <c r="A841" s="143">
        <v>43241</v>
      </c>
      <c r="B841" s="106">
        <v>313</v>
      </c>
      <c r="C841" s="106">
        <v>308.23</v>
      </c>
      <c r="D841" s="106">
        <v>301.69</v>
      </c>
      <c r="E841" s="106">
        <v>313</v>
      </c>
      <c r="F841" s="106">
        <v>1541.15</v>
      </c>
      <c r="G841">
        <v>116560</v>
      </c>
      <c r="H841" s="106"/>
      <c r="I841" s="106"/>
      <c r="L841" s="143">
        <v>43241</v>
      </c>
      <c r="M841" s="106">
        <v>307.55</v>
      </c>
      <c r="N841" s="106">
        <v>312.96999999999997</v>
      </c>
      <c r="O841" s="106">
        <v>301</v>
      </c>
      <c r="P841" s="106">
        <v>312</v>
      </c>
      <c r="Q841" s="106">
        <v>1537.75</v>
      </c>
      <c r="R841">
        <v>341023</v>
      </c>
    </row>
    <row r="842" spans="1:18" x14ac:dyDescent="0.25">
      <c r="A842" s="143">
        <v>43242</v>
      </c>
      <c r="B842" s="106">
        <v>314.95999999999998</v>
      </c>
      <c r="C842" s="106">
        <v>307.83000000000004</v>
      </c>
      <c r="D842" s="106">
        <v>304.69</v>
      </c>
      <c r="E842" s="106">
        <v>306.64</v>
      </c>
      <c r="F842" s="106">
        <v>1539.15</v>
      </c>
      <c r="G842">
        <v>7264</v>
      </c>
      <c r="H842" s="106"/>
      <c r="I842" s="106"/>
      <c r="L842" s="143">
        <v>43242</v>
      </c>
      <c r="M842" s="106">
        <v>307.11</v>
      </c>
      <c r="N842" s="106">
        <v>314.62</v>
      </c>
      <c r="O842" s="106">
        <v>304.12</v>
      </c>
      <c r="P842" s="106">
        <v>307.41999999999996</v>
      </c>
      <c r="Q842" s="106">
        <v>1535.55</v>
      </c>
      <c r="R842">
        <v>200752</v>
      </c>
    </row>
    <row r="843" spans="1:18" x14ac:dyDescent="0.25">
      <c r="A843" s="143">
        <v>43243</v>
      </c>
      <c r="B843" s="106">
        <v>308.60000000000002</v>
      </c>
      <c r="C843" s="106">
        <v>297.69</v>
      </c>
      <c r="D843" s="106">
        <v>295.85000000000002</v>
      </c>
      <c r="E843" s="106">
        <v>304.8</v>
      </c>
      <c r="F843" s="106">
        <v>1488.45</v>
      </c>
      <c r="G843">
        <v>17939</v>
      </c>
      <c r="H843" s="106"/>
      <c r="I843" s="106"/>
      <c r="L843" s="143">
        <v>43243</v>
      </c>
      <c r="M843" s="106">
        <v>298.14</v>
      </c>
      <c r="N843" s="106">
        <v>309.11</v>
      </c>
      <c r="O843" s="106">
        <v>295.2</v>
      </c>
      <c r="P843" s="106">
        <v>308</v>
      </c>
      <c r="Q843" s="106">
        <v>1490.7</v>
      </c>
      <c r="R843">
        <v>418946</v>
      </c>
    </row>
    <row r="844" spans="1:18" x14ac:dyDescent="0.25">
      <c r="A844" s="143">
        <v>43244</v>
      </c>
      <c r="B844" s="106">
        <v>301.29000000000002</v>
      </c>
      <c r="C844" s="106">
        <v>298.5</v>
      </c>
      <c r="D844" s="106">
        <v>293.2</v>
      </c>
      <c r="E844" s="106">
        <v>297.77</v>
      </c>
      <c r="F844" s="106">
        <v>1492.5</v>
      </c>
      <c r="G844">
        <v>54095</v>
      </c>
      <c r="H844" s="106"/>
      <c r="I844" s="106"/>
      <c r="L844" s="143">
        <v>43244</v>
      </c>
      <c r="M844" s="106">
        <v>298.82</v>
      </c>
      <c r="N844" s="106">
        <v>301.58000000000004</v>
      </c>
      <c r="O844" s="106">
        <v>293.01</v>
      </c>
      <c r="P844" s="106">
        <v>299.60000000000002</v>
      </c>
      <c r="Q844" s="106">
        <v>1494.1</v>
      </c>
      <c r="R844">
        <v>157511</v>
      </c>
    </row>
    <row r="845" spans="1:18" x14ac:dyDescent="0.25">
      <c r="A845" s="143">
        <v>43245</v>
      </c>
      <c r="B845" s="106">
        <v>304</v>
      </c>
      <c r="C845" s="106">
        <v>301.48</v>
      </c>
      <c r="D845" s="106">
        <v>298.31</v>
      </c>
      <c r="E845" s="106">
        <v>298.31</v>
      </c>
      <c r="F845" s="106">
        <v>1507.4</v>
      </c>
      <c r="G845">
        <v>8579</v>
      </c>
      <c r="H845" s="106"/>
      <c r="I845" s="106"/>
      <c r="L845" s="143">
        <v>43245</v>
      </c>
      <c r="M845" s="106">
        <v>301.48</v>
      </c>
      <c r="N845" s="106">
        <v>303.88</v>
      </c>
      <c r="O845" s="106">
        <v>297.8</v>
      </c>
      <c r="P845" s="106">
        <v>300.60000000000002</v>
      </c>
      <c r="Q845" s="106">
        <v>1507.4</v>
      </c>
      <c r="R845">
        <v>398442</v>
      </c>
    </row>
    <row r="846" spans="1:18" x14ac:dyDescent="0.25">
      <c r="A846" s="143">
        <v>43248</v>
      </c>
      <c r="B846" s="106">
        <v>315.29000000000002</v>
      </c>
      <c r="C846" s="106">
        <v>309.11</v>
      </c>
      <c r="D846" s="106">
        <v>302.98</v>
      </c>
      <c r="E846" s="106">
        <v>304.2</v>
      </c>
      <c r="F846" s="106">
        <v>1545.55</v>
      </c>
      <c r="G846">
        <v>13615</v>
      </c>
      <c r="H846" s="106"/>
      <c r="I846" s="106"/>
      <c r="L846" s="143">
        <v>43248</v>
      </c>
      <c r="M846" s="106">
        <v>309.33000000000004</v>
      </c>
      <c r="N846" s="106">
        <v>315.19</v>
      </c>
      <c r="O846" s="106">
        <v>302.10000000000002</v>
      </c>
      <c r="P846" s="106">
        <v>304.04000000000002</v>
      </c>
      <c r="Q846" s="106">
        <v>1546.65</v>
      </c>
      <c r="R846">
        <v>269062</v>
      </c>
    </row>
    <row r="847" spans="1:18" x14ac:dyDescent="0.25">
      <c r="A847" s="143">
        <v>43249</v>
      </c>
      <c r="B847" s="106">
        <v>312.64</v>
      </c>
      <c r="C847" s="106">
        <v>307.61</v>
      </c>
      <c r="D847" s="106">
        <v>305.39999999999998</v>
      </c>
      <c r="E847" s="106">
        <v>308.63</v>
      </c>
      <c r="F847" s="106">
        <v>1538.05</v>
      </c>
      <c r="G847">
        <v>8489</v>
      </c>
      <c r="H847" s="106"/>
      <c r="I847" s="106"/>
      <c r="L847" s="143">
        <v>43249</v>
      </c>
      <c r="M847" s="106">
        <v>308.62</v>
      </c>
      <c r="N847" s="106">
        <v>313.29000000000002</v>
      </c>
      <c r="O847" s="106">
        <v>305.20999999999998</v>
      </c>
      <c r="P847" s="106">
        <v>313</v>
      </c>
      <c r="Q847" s="106">
        <v>1543.1</v>
      </c>
      <c r="R847">
        <v>223334</v>
      </c>
    </row>
    <row r="848" spans="1:18" x14ac:dyDescent="0.25">
      <c r="A848" s="143">
        <v>43250</v>
      </c>
      <c r="B848" s="106">
        <v>312.60000000000002</v>
      </c>
      <c r="C848" s="106">
        <v>308.02</v>
      </c>
      <c r="D848" s="106">
        <v>302.3</v>
      </c>
      <c r="E848" s="106">
        <v>302.3</v>
      </c>
      <c r="F848" s="106">
        <v>1540.1</v>
      </c>
      <c r="G848">
        <v>6573</v>
      </c>
      <c r="H848" s="106"/>
      <c r="I848" s="106"/>
      <c r="L848" s="143">
        <v>43250</v>
      </c>
      <c r="M848" s="106">
        <v>308.61</v>
      </c>
      <c r="N848" s="106">
        <v>313.18</v>
      </c>
      <c r="O848" s="106">
        <v>303.39999999999998</v>
      </c>
      <c r="P848" s="106">
        <v>307.60000000000002</v>
      </c>
      <c r="Q848" s="106">
        <v>1543.05</v>
      </c>
      <c r="R848">
        <v>145399</v>
      </c>
    </row>
    <row r="849" spans="1:18" x14ac:dyDescent="0.25">
      <c r="A849" s="143">
        <v>43251</v>
      </c>
      <c r="B849" s="106">
        <v>311.8</v>
      </c>
      <c r="C849" s="106">
        <v>305.78000000000003</v>
      </c>
      <c r="D849" s="106">
        <v>304.01</v>
      </c>
      <c r="E849" s="106">
        <v>311.8</v>
      </c>
      <c r="F849" s="106">
        <v>1528.9</v>
      </c>
      <c r="G849">
        <v>3665</v>
      </c>
      <c r="H849" s="106"/>
      <c r="I849" s="106"/>
      <c r="L849" s="143">
        <v>43251</v>
      </c>
      <c r="M849" s="106">
        <v>305.74</v>
      </c>
      <c r="N849" s="106">
        <v>311</v>
      </c>
      <c r="O849" s="106">
        <v>304</v>
      </c>
      <c r="P849" s="106">
        <v>311</v>
      </c>
      <c r="Q849" s="106">
        <v>1528.7</v>
      </c>
      <c r="R849">
        <v>206706</v>
      </c>
    </row>
    <row r="850" spans="1:18" x14ac:dyDescent="0.25">
      <c r="A850" s="143">
        <v>43252</v>
      </c>
      <c r="B850" s="106">
        <v>316.81</v>
      </c>
      <c r="C850" s="106">
        <v>315.75</v>
      </c>
      <c r="D850" s="106">
        <v>305.8</v>
      </c>
      <c r="E850" s="106">
        <v>305.8</v>
      </c>
      <c r="F850" s="106">
        <v>1578.75</v>
      </c>
      <c r="G850">
        <v>11754</v>
      </c>
      <c r="H850" s="106"/>
      <c r="I850" s="106"/>
      <c r="L850" s="143">
        <v>43252</v>
      </c>
      <c r="M850" s="106">
        <v>316.32</v>
      </c>
      <c r="N850" s="106">
        <v>317.39999999999998</v>
      </c>
      <c r="O850" s="106">
        <v>304.2</v>
      </c>
      <c r="P850" s="106">
        <v>308.2</v>
      </c>
      <c r="Q850" s="106">
        <v>1581.6</v>
      </c>
      <c r="R850">
        <v>190885</v>
      </c>
    </row>
    <row r="851" spans="1:18" x14ac:dyDescent="0.25">
      <c r="A851" s="143">
        <v>43255</v>
      </c>
      <c r="B851" s="106">
        <v>323.20999999999998</v>
      </c>
      <c r="C851" s="106">
        <v>315.11</v>
      </c>
      <c r="D851" s="106">
        <v>313.39</v>
      </c>
      <c r="E851" s="106">
        <v>317.8</v>
      </c>
      <c r="F851" s="106">
        <v>1575.55</v>
      </c>
      <c r="G851">
        <v>15375</v>
      </c>
      <c r="H851" s="106"/>
      <c r="I851" s="106"/>
      <c r="L851" s="143">
        <v>43255</v>
      </c>
      <c r="M851" s="106">
        <v>315.45</v>
      </c>
      <c r="N851" s="106">
        <v>323.8</v>
      </c>
      <c r="O851" s="106">
        <v>313.03000000000003</v>
      </c>
      <c r="P851" s="106">
        <v>319</v>
      </c>
      <c r="Q851" s="106">
        <v>1577.25</v>
      </c>
      <c r="R851">
        <v>410614</v>
      </c>
    </row>
    <row r="852" spans="1:18" x14ac:dyDescent="0.25">
      <c r="A852" s="143">
        <v>43256</v>
      </c>
      <c r="B852" s="106">
        <v>320</v>
      </c>
      <c r="C852" s="106">
        <v>307.79000000000002</v>
      </c>
      <c r="D852" s="106">
        <v>302.60000000000002</v>
      </c>
      <c r="E852" s="106">
        <v>316.68</v>
      </c>
      <c r="F852" s="106">
        <v>1538.95</v>
      </c>
      <c r="G852">
        <v>23214</v>
      </c>
      <c r="H852" s="106"/>
      <c r="I852" s="106"/>
      <c r="L852" s="143">
        <v>43256</v>
      </c>
      <c r="M852" s="106">
        <v>308.08000000000004</v>
      </c>
      <c r="N852" s="106">
        <v>318.88</v>
      </c>
      <c r="O852" s="106">
        <v>302</v>
      </c>
      <c r="P852" s="106">
        <v>318</v>
      </c>
      <c r="Q852" s="106">
        <v>1540.4</v>
      </c>
      <c r="R852">
        <v>260007</v>
      </c>
    </row>
    <row r="853" spans="1:18" x14ac:dyDescent="0.25">
      <c r="A853" s="143">
        <v>43257</v>
      </c>
      <c r="B853" s="106">
        <v>314</v>
      </c>
      <c r="C853" s="106">
        <v>311.76</v>
      </c>
      <c r="D853" s="106">
        <v>305.05</v>
      </c>
      <c r="E853" s="106">
        <v>305.05</v>
      </c>
      <c r="F853" s="106">
        <v>1558.8</v>
      </c>
      <c r="G853">
        <v>8153</v>
      </c>
      <c r="H853" s="106"/>
      <c r="I853" s="106"/>
      <c r="L853" s="143">
        <v>43257</v>
      </c>
      <c r="M853" s="106">
        <v>311.89999999999998</v>
      </c>
      <c r="N853" s="106">
        <v>314.58000000000004</v>
      </c>
      <c r="O853" s="106">
        <v>305.32</v>
      </c>
      <c r="P853" s="106">
        <v>310.8</v>
      </c>
      <c r="Q853" s="106">
        <v>1559.5</v>
      </c>
      <c r="R853">
        <v>103465</v>
      </c>
    </row>
    <row r="854" spans="1:18" x14ac:dyDescent="0.25">
      <c r="A854" s="143">
        <v>43258</v>
      </c>
      <c r="B854" s="106">
        <v>319.98</v>
      </c>
      <c r="C854" s="106">
        <v>315.08000000000004</v>
      </c>
      <c r="D854" s="106">
        <v>313.90999999999997</v>
      </c>
      <c r="E854" s="106">
        <v>314.8</v>
      </c>
      <c r="F854" s="106">
        <v>1575.4</v>
      </c>
      <c r="G854">
        <v>8018</v>
      </c>
      <c r="H854" s="106"/>
      <c r="I854" s="106"/>
      <c r="L854" s="143">
        <v>43258</v>
      </c>
      <c r="M854" s="106">
        <v>315.71999999999997</v>
      </c>
      <c r="N854" s="106">
        <v>320.84000000000003</v>
      </c>
      <c r="O854" s="106">
        <v>313.21999999999997</v>
      </c>
      <c r="P854" s="106">
        <v>314.45</v>
      </c>
      <c r="Q854" s="106">
        <v>1578.6</v>
      </c>
      <c r="R854">
        <v>139937</v>
      </c>
    </row>
    <row r="855" spans="1:18" x14ac:dyDescent="0.25">
      <c r="A855" s="143">
        <v>43259</v>
      </c>
      <c r="B855" s="106">
        <v>315.06</v>
      </c>
      <c r="C855" s="106">
        <v>313.63</v>
      </c>
      <c r="D855" s="106">
        <v>310.84000000000003</v>
      </c>
      <c r="E855" s="106">
        <v>314</v>
      </c>
      <c r="F855" s="106">
        <v>1568.15</v>
      </c>
      <c r="G855">
        <v>4312</v>
      </c>
      <c r="H855" s="106"/>
      <c r="I855" s="106"/>
      <c r="L855" s="143">
        <v>43259</v>
      </c>
      <c r="M855" s="106">
        <v>313.21999999999997</v>
      </c>
      <c r="N855" s="106">
        <v>315.59000000000003</v>
      </c>
      <c r="O855" s="106">
        <v>310.49</v>
      </c>
      <c r="P855" s="106">
        <v>314</v>
      </c>
      <c r="Q855" s="106">
        <v>1566.1</v>
      </c>
      <c r="R855">
        <v>75629</v>
      </c>
    </row>
    <row r="856" spans="1:18" x14ac:dyDescent="0.25">
      <c r="A856" s="143">
        <v>43262</v>
      </c>
      <c r="B856" s="106">
        <v>318</v>
      </c>
      <c r="C856" s="106">
        <v>314.59000000000003</v>
      </c>
      <c r="D856" s="106">
        <v>310.95</v>
      </c>
      <c r="E856" s="106">
        <v>312.06</v>
      </c>
      <c r="F856" s="106">
        <v>1572.95</v>
      </c>
      <c r="G856">
        <v>7645</v>
      </c>
      <c r="H856" s="106"/>
      <c r="I856" s="106"/>
      <c r="L856" s="143">
        <v>43262</v>
      </c>
      <c r="M856" s="106">
        <v>314.84000000000003</v>
      </c>
      <c r="N856" s="106">
        <v>318.59000000000003</v>
      </c>
      <c r="O856" s="106">
        <v>310.55</v>
      </c>
      <c r="P856" s="106">
        <v>314.05</v>
      </c>
      <c r="Q856" s="106">
        <v>1574.2</v>
      </c>
      <c r="R856">
        <v>184146</v>
      </c>
    </row>
    <row r="857" spans="1:18" x14ac:dyDescent="0.25">
      <c r="A857" s="143">
        <v>43263</v>
      </c>
      <c r="B857" s="106">
        <v>324.89999999999998</v>
      </c>
      <c r="C857" s="106">
        <v>324.06</v>
      </c>
      <c r="D857" s="106">
        <v>313.20999999999998</v>
      </c>
      <c r="E857" s="106">
        <v>313.20999999999998</v>
      </c>
      <c r="F857" s="106">
        <v>1620.3</v>
      </c>
      <c r="G857">
        <v>32781</v>
      </c>
      <c r="H857" s="106"/>
      <c r="I857" s="106"/>
      <c r="L857" s="143">
        <v>43263</v>
      </c>
      <c r="M857" s="106">
        <v>323.60000000000002</v>
      </c>
      <c r="N857" s="106">
        <v>324.58000000000004</v>
      </c>
      <c r="O857" s="106">
        <v>314.31</v>
      </c>
      <c r="P857" s="106">
        <v>315</v>
      </c>
      <c r="Q857" s="106">
        <v>1618</v>
      </c>
      <c r="R857">
        <v>398625</v>
      </c>
    </row>
    <row r="858" spans="1:18" x14ac:dyDescent="0.25">
      <c r="A858" s="143">
        <v>43264</v>
      </c>
      <c r="B858" s="106">
        <v>329.94</v>
      </c>
      <c r="C858" s="106">
        <v>320.22000000000003</v>
      </c>
      <c r="D858" s="106">
        <v>317.81</v>
      </c>
      <c r="E858" s="106">
        <v>326.2</v>
      </c>
      <c r="F858" s="106">
        <v>1601.1</v>
      </c>
      <c r="G858">
        <v>20296</v>
      </c>
      <c r="H858" s="106"/>
      <c r="I858" s="106"/>
      <c r="L858" s="143">
        <v>43264</v>
      </c>
      <c r="M858" s="106">
        <v>320.21999999999997</v>
      </c>
      <c r="N858" s="106">
        <v>329.99</v>
      </c>
      <c r="O858" s="106">
        <v>316.62</v>
      </c>
      <c r="P858" s="106">
        <v>324.95999999999998</v>
      </c>
      <c r="Q858" s="106">
        <v>1601.1</v>
      </c>
      <c r="R858">
        <v>553633</v>
      </c>
    </row>
    <row r="859" spans="1:18" x14ac:dyDescent="0.25">
      <c r="A859" s="143">
        <v>43265</v>
      </c>
      <c r="B859" s="106">
        <v>323.51</v>
      </c>
      <c r="C859" s="106">
        <v>320.45999999999998</v>
      </c>
      <c r="D859" s="106">
        <v>316.41000000000003</v>
      </c>
      <c r="E859" s="106">
        <v>318.85000000000002</v>
      </c>
      <c r="F859" s="106">
        <v>1602.3</v>
      </c>
      <c r="G859">
        <v>6613</v>
      </c>
      <c r="H859" s="106"/>
      <c r="I859" s="106"/>
      <c r="L859" s="143">
        <v>43265</v>
      </c>
      <c r="M859" s="106">
        <v>320.38</v>
      </c>
      <c r="N859" s="106">
        <v>324</v>
      </c>
      <c r="O859" s="106">
        <v>316.2</v>
      </c>
      <c r="P859" s="106">
        <v>320.3</v>
      </c>
      <c r="Q859" s="106">
        <v>1601.9</v>
      </c>
      <c r="R859">
        <v>149450</v>
      </c>
    </row>
    <row r="860" spans="1:18" x14ac:dyDescent="0.25">
      <c r="A860" s="143">
        <v>43266</v>
      </c>
      <c r="B860" s="106">
        <v>326.89999999999998</v>
      </c>
      <c r="C860" s="106">
        <v>323.08999999999997</v>
      </c>
      <c r="D860" s="106">
        <v>318.14999999999998</v>
      </c>
      <c r="E860" s="106">
        <v>320.5</v>
      </c>
      <c r="F860" s="106">
        <v>1615.45</v>
      </c>
      <c r="G860">
        <v>14921</v>
      </c>
      <c r="H860" s="106"/>
      <c r="I860" s="106"/>
      <c r="L860" s="143">
        <v>43266</v>
      </c>
      <c r="M860" s="106">
        <v>322.21999999999997</v>
      </c>
      <c r="N860" s="106">
        <v>327.14</v>
      </c>
      <c r="O860" s="106">
        <v>317.61</v>
      </c>
      <c r="P860" s="106">
        <v>321.3</v>
      </c>
      <c r="Q860" s="106">
        <v>1611.1</v>
      </c>
      <c r="R860">
        <v>380867</v>
      </c>
    </row>
    <row r="861" spans="1:18" x14ac:dyDescent="0.25">
      <c r="A861" s="143">
        <v>43269</v>
      </c>
      <c r="B861" s="106">
        <v>327.39999999999998</v>
      </c>
      <c r="C861" s="106">
        <v>322.89999999999998</v>
      </c>
      <c r="D861" s="106">
        <v>320.95</v>
      </c>
      <c r="E861" s="106">
        <v>327.39999999999998</v>
      </c>
      <c r="F861" s="106">
        <v>1614.5</v>
      </c>
      <c r="G861">
        <v>7856</v>
      </c>
      <c r="H861" s="106"/>
      <c r="I861" s="106"/>
      <c r="L861" s="143">
        <v>43269</v>
      </c>
      <c r="M861" s="106">
        <v>322.36</v>
      </c>
      <c r="N861" s="106">
        <v>325.98</v>
      </c>
      <c r="O861" s="106">
        <v>321</v>
      </c>
      <c r="P861" s="106">
        <v>325.58000000000004</v>
      </c>
      <c r="Q861" s="106">
        <v>1611.8</v>
      </c>
      <c r="R861">
        <v>135949</v>
      </c>
    </row>
    <row r="862" spans="1:18" x14ac:dyDescent="0.25">
      <c r="A862" s="143">
        <v>43270</v>
      </c>
      <c r="B862" s="106">
        <v>326.27999999999997</v>
      </c>
      <c r="C862" s="106">
        <v>323.88</v>
      </c>
      <c r="D862" s="106">
        <v>316.48</v>
      </c>
      <c r="E862" s="106">
        <v>321.13</v>
      </c>
      <c r="F862" s="106">
        <v>1619.4</v>
      </c>
      <c r="G862">
        <v>16647</v>
      </c>
      <c r="H862" s="106"/>
      <c r="I862" s="106"/>
      <c r="L862" s="143">
        <v>43270</v>
      </c>
      <c r="M862" s="106">
        <v>324.26</v>
      </c>
      <c r="N862" s="106">
        <v>326.32</v>
      </c>
      <c r="O862" s="106">
        <v>316.5</v>
      </c>
      <c r="P862" s="106">
        <v>323.2</v>
      </c>
      <c r="Q862" s="106">
        <v>1621.3</v>
      </c>
      <c r="R862">
        <v>227220</v>
      </c>
    </row>
    <row r="863" spans="1:18" x14ac:dyDescent="0.25">
      <c r="A863" s="143">
        <v>43271</v>
      </c>
      <c r="B863" s="106">
        <v>329</v>
      </c>
      <c r="C863" s="106">
        <v>327.13</v>
      </c>
      <c r="D863" s="106">
        <v>321.85000000000002</v>
      </c>
      <c r="E863" s="106">
        <v>324.27999999999997</v>
      </c>
      <c r="F863" s="106">
        <v>1635.65</v>
      </c>
      <c r="G863">
        <v>12735</v>
      </c>
      <c r="H863" s="106"/>
      <c r="I863" s="106"/>
      <c r="L863" s="143">
        <v>43271</v>
      </c>
      <c r="M863" s="106">
        <v>327.09000000000003</v>
      </c>
      <c r="N863" s="106">
        <v>329.59000000000003</v>
      </c>
      <c r="O863" s="106">
        <v>321.23</v>
      </c>
      <c r="P863" s="106">
        <v>324</v>
      </c>
      <c r="Q863" s="106">
        <v>1635.45</v>
      </c>
      <c r="R863">
        <v>304275</v>
      </c>
    </row>
    <row r="864" spans="1:18" x14ac:dyDescent="0.25">
      <c r="A864" s="143">
        <v>43272</v>
      </c>
      <c r="B864" s="106">
        <v>330</v>
      </c>
      <c r="C864" s="106">
        <v>322.05</v>
      </c>
      <c r="D864" s="106">
        <v>321.44</v>
      </c>
      <c r="E864" s="106">
        <v>330</v>
      </c>
      <c r="F864" s="106">
        <v>1610.25</v>
      </c>
      <c r="G864">
        <v>24591</v>
      </c>
      <c r="H864" s="106"/>
      <c r="I864" s="106"/>
      <c r="L864" s="143">
        <v>43272</v>
      </c>
      <c r="M864" s="106">
        <v>321.77</v>
      </c>
      <c r="N864" s="106">
        <v>329.98</v>
      </c>
      <c r="O864" s="106">
        <v>320.60000000000002</v>
      </c>
      <c r="P864" s="106">
        <v>329.78000000000003</v>
      </c>
      <c r="Q864" s="106">
        <v>1608.85</v>
      </c>
      <c r="R864">
        <v>264698</v>
      </c>
    </row>
    <row r="865" spans="1:18" x14ac:dyDescent="0.25">
      <c r="A865" s="143">
        <v>43273</v>
      </c>
      <c r="B865" s="106">
        <v>323.45999999999998</v>
      </c>
      <c r="C865" s="106">
        <v>320.33999999999997</v>
      </c>
      <c r="D865" s="106">
        <v>319</v>
      </c>
      <c r="E865" s="106">
        <v>323.45999999999998</v>
      </c>
      <c r="F865" s="106">
        <v>1601.7</v>
      </c>
      <c r="G865">
        <v>6960</v>
      </c>
      <c r="H865" s="106"/>
      <c r="I865" s="106"/>
      <c r="L865" s="143">
        <v>43273</v>
      </c>
      <c r="M865" s="106">
        <v>320.62</v>
      </c>
      <c r="N865" s="106">
        <v>324.2</v>
      </c>
      <c r="O865" s="106">
        <v>318.64</v>
      </c>
      <c r="P865" s="106">
        <v>323.99</v>
      </c>
      <c r="Q865" s="106">
        <v>1603.1</v>
      </c>
      <c r="R865">
        <v>266135</v>
      </c>
    </row>
    <row r="866" spans="1:18" x14ac:dyDescent="0.25">
      <c r="A866" s="143">
        <v>43276</v>
      </c>
      <c r="B866" s="106">
        <v>326.99</v>
      </c>
      <c r="C866" s="106">
        <v>322.8</v>
      </c>
      <c r="D866" s="106">
        <v>320.58999999999997</v>
      </c>
      <c r="E866" s="106">
        <v>322.7</v>
      </c>
      <c r="F866" s="106">
        <v>1614</v>
      </c>
      <c r="G866">
        <v>14239</v>
      </c>
      <c r="H866" s="106"/>
      <c r="I866" s="106"/>
      <c r="L866" s="143">
        <v>43276</v>
      </c>
      <c r="M866" s="106">
        <v>323.2</v>
      </c>
      <c r="N866" s="106">
        <v>327.25</v>
      </c>
      <c r="O866" s="106">
        <v>320.25</v>
      </c>
      <c r="P866" s="106">
        <v>321.98</v>
      </c>
      <c r="Q866" s="106">
        <v>1616</v>
      </c>
      <c r="R866">
        <v>227253</v>
      </c>
    </row>
    <row r="867" spans="1:18" x14ac:dyDescent="0.25">
      <c r="A867" s="143">
        <v>43277</v>
      </c>
      <c r="B867" s="106">
        <v>325.58</v>
      </c>
      <c r="C867" s="106">
        <v>319.51</v>
      </c>
      <c r="D867" s="106">
        <v>318.8</v>
      </c>
      <c r="E867" s="106">
        <v>323.55</v>
      </c>
      <c r="F867" s="106">
        <v>1597.55</v>
      </c>
      <c r="G867">
        <v>19272</v>
      </c>
      <c r="H867" s="106"/>
      <c r="I867" s="106"/>
      <c r="L867" s="143">
        <v>43277</v>
      </c>
      <c r="M867" s="106">
        <v>319.38</v>
      </c>
      <c r="N867" s="106">
        <v>325.76</v>
      </c>
      <c r="O867" s="106">
        <v>318.65999999999997</v>
      </c>
      <c r="P867" s="106">
        <v>323.60000000000002</v>
      </c>
      <c r="Q867" s="106">
        <v>1596.9</v>
      </c>
      <c r="R867">
        <v>194114</v>
      </c>
    </row>
    <row r="868" spans="1:18" x14ac:dyDescent="0.25">
      <c r="A868" s="143">
        <v>43278</v>
      </c>
      <c r="B868" s="106">
        <v>322</v>
      </c>
      <c r="C868" s="106">
        <v>314.84000000000003</v>
      </c>
      <c r="D868" s="106">
        <v>313.57</v>
      </c>
      <c r="E868" s="106">
        <v>318.63</v>
      </c>
      <c r="F868" s="106">
        <v>1574.2</v>
      </c>
      <c r="G868">
        <v>10512</v>
      </c>
      <c r="H868" s="106"/>
      <c r="I868" s="106"/>
      <c r="L868" s="143">
        <v>43278</v>
      </c>
      <c r="M868" s="106">
        <v>315.43</v>
      </c>
      <c r="N868" s="106">
        <v>322</v>
      </c>
      <c r="O868" s="106">
        <v>313.59000000000003</v>
      </c>
      <c r="P868" s="106">
        <v>320.96999999999997</v>
      </c>
      <c r="Q868" s="106">
        <v>1577.15</v>
      </c>
      <c r="R868">
        <v>287392</v>
      </c>
    </row>
    <row r="869" spans="1:18" x14ac:dyDescent="0.25">
      <c r="A869" s="143">
        <v>43279</v>
      </c>
      <c r="B869" s="106">
        <v>314</v>
      </c>
      <c r="C869" s="106">
        <v>295.60000000000002</v>
      </c>
      <c r="D869" s="106">
        <v>292.60000000000002</v>
      </c>
      <c r="E869" s="106">
        <v>314</v>
      </c>
      <c r="F869" s="106">
        <v>1478</v>
      </c>
      <c r="G869">
        <v>15715</v>
      </c>
      <c r="H869" s="106"/>
      <c r="I869" s="106"/>
      <c r="L869" s="143">
        <v>43279</v>
      </c>
      <c r="M869" s="106">
        <v>293.63</v>
      </c>
      <c r="N869" s="106">
        <v>316.59000000000003</v>
      </c>
      <c r="O869" s="106">
        <v>291.26</v>
      </c>
      <c r="P869" s="106">
        <v>316.59000000000003</v>
      </c>
      <c r="Q869" s="106">
        <v>1468.15</v>
      </c>
      <c r="R869">
        <v>650953</v>
      </c>
    </row>
    <row r="870" spans="1:18" x14ac:dyDescent="0.25">
      <c r="A870" s="143">
        <v>43280</v>
      </c>
      <c r="B870" s="106">
        <v>308.35000000000002</v>
      </c>
      <c r="C870" s="106">
        <v>302.57</v>
      </c>
      <c r="D870" s="106">
        <v>294.2</v>
      </c>
      <c r="E870" s="106">
        <v>294.2</v>
      </c>
      <c r="F870" s="106">
        <v>1512.85</v>
      </c>
      <c r="G870">
        <v>211087</v>
      </c>
      <c r="H870" s="106"/>
      <c r="I870" s="106"/>
      <c r="L870" s="143">
        <v>43280</v>
      </c>
      <c r="M870" s="106">
        <v>302.52</v>
      </c>
      <c r="N870" s="106">
        <v>308.58000000000004</v>
      </c>
      <c r="O870" s="106">
        <v>294.78000000000003</v>
      </c>
      <c r="P870" s="106">
        <v>295.39999999999998</v>
      </c>
      <c r="Q870" s="106">
        <v>1512.6</v>
      </c>
      <c r="R870">
        <v>414817</v>
      </c>
    </row>
    <row r="871" spans="1:18" x14ac:dyDescent="0.25">
      <c r="A871" s="143">
        <v>43283</v>
      </c>
      <c r="B871" s="106">
        <v>305.2</v>
      </c>
      <c r="C871" s="106">
        <v>302.15999999999997</v>
      </c>
      <c r="D871" s="106">
        <v>293.93</v>
      </c>
      <c r="E871" s="106">
        <v>305.2</v>
      </c>
      <c r="F871" s="106">
        <v>1510.8</v>
      </c>
      <c r="G871">
        <v>6868</v>
      </c>
      <c r="H871" s="106"/>
      <c r="I871" s="106"/>
      <c r="L871" s="143">
        <v>43283</v>
      </c>
      <c r="M871" s="106">
        <v>302.09000000000003</v>
      </c>
      <c r="N871" s="106">
        <v>303.52</v>
      </c>
      <c r="O871" s="106">
        <v>293.81</v>
      </c>
      <c r="P871" s="106">
        <v>303</v>
      </c>
      <c r="Q871" s="106">
        <v>1510.45</v>
      </c>
      <c r="R871">
        <v>154685</v>
      </c>
    </row>
    <row r="872" spans="1:18" x14ac:dyDescent="0.25">
      <c r="A872" s="143">
        <v>43284</v>
      </c>
      <c r="B872" s="106">
        <v>304.60000000000002</v>
      </c>
      <c r="C872" s="106">
        <v>302.56</v>
      </c>
      <c r="D872" s="106">
        <v>297.07</v>
      </c>
      <c r="E872" s="106">
        <v>302.16999999999996</v>
      </c>
      <c r="F872" s="106">
        <v>1512.8</v>
      </c>
      <c r="G872">
        <v>9588</v>
      </c>
      <c r="H872" s="106"/>
      <c r="I872" s="106"/>
      <c r="L872" s="143">
        <v>43284</v>
      </c>
      <c r="M872" s="106">
        <v>302.49</v>
      </c>
      <c r="N872" s="106">
        <v>305.29000000000002</v>
      </c>
      <c r="O872" s="106">
        <v>297.26</v>
      </c>
      <c r="P872" s="106">
        <v>299.27</v>
      </c>
      <c r="Q872" s="106">
        <v>1512.45</v>
      </c>
      <c r="R872">
        <v>166425</v>
      </c>
    </row>
    <row r="873" spans="1:18" x14ac:dyDescent="0.25">
      <c r="A873" s="143">
        <v>43285</v>
      </c>
      <c r="B873" s="106">
        <v>302.64</v>
      </c>
      <c r="C873" s="106">
        <v>299.66999999999996</v>
      </c>
      <c r="D873" s="106">
        <v>297.05</v>
      </c>
      <c r="E873" s="106">
        <v>302.34000000000003</v>
      </c>
      <c r="F873" s="106">
        <v>1498.35</v>
      </c>
      <c r="G873">
        <v>11014</v>
      </c>
      <c r="H873" s="106"/>
      <c r="I873" s="106"/>
      <c r="L873" s="143">
        <v>43285</v>
      </c>
      <c r="M873" s="106">
        <v>300.39</v>
      </c>
      <c r="N873" s="106">
        <v>304</v>
      </c>
      <c r="O873" s="106">
        <v>296.74</v>
      </c>
      <c r="P873" s="106">
        <v>304</v>
      </c>
      <c r="Q873" s="106">
        <v>1501.95</v>
      </c>
      <c r="R873">
        <v>188292</v>
      </c>
    </row>
    <row r="874" spans="1:18" x14ac:dyDescent="0.25">
      <c r="A874" s="143">
        <v>43286</v>
      </c>
      <c r="B874" s="106">
        <v>302.56</v>
      </c>
      <c r="C874" s="106">
        <v>298.15999999999997</v>
      </c>
      <c r="D874" s="106">
        <v>297.01</v>
      </c>
      <c r="E874" s="106">
        <v>301.61</v>
      </c>
      <c r="F874" s="106">
        <v>1490.8</v>
      </c>
      <c r="G874">
        <v>6312</v>
      </c>
      <c r="H874" s="106"/>
      <c r="I874" s="106"/>
      <c r="L874" s="143">
        <v>43286</v>
      </c>
      <c r="M874" s="106">
        <v>298.39999999999998</v>
      </c>
      <c r="N874" s="106">
        <v>303</v>
      </c>
      <c r="O874" s="106">
        <v>298</v>
      </c>
      <c r="P874" s="106">
        <v>302.01</v>
      </c>
      <c r="Q874" s="106">
        <v>1492</v>
      </c>
      <c r="R874">
        <v>182965</v>
      </c>
    </row>
    <row r="875" spans="1:18" x14ac:dyDescent="0.25">
      <c r="A875" s="143">
        <v>43287</v>
      </c>
      <c r="B875" s="106">
        <v>300.56</v>
      </c>
      <c r="C875" s="106">
        <v>296.98</v>
      </c>
      <c r="D875" s="106">
        <v>293.76</v>
      </c>
      <c r="E875" s="106">
        <v>298.06</v>
      </c>
      <c r="F875" s="106">
        <v>1484.9</v>
      </c>
      <c r="G875">
        <v>7047</v>
      </c>
      <c r="H875" s="106"/>
      <c r="I875" s="106"/>
      <c r="L875" s="143">
        <v>43287</v>
      </c>
      <c r="M875" s="106">
        <v>297.11</v>
      </c>
      <c r="N875" s="106">
        <v>301.01</v>
      </c>
      <c r="O875" s="106">
        <v>293.24</v>
      </c>
      <c r="P875" s="106">
        <v>296.86</v>
      </c>
      <c r="Q875" s="106">
        <v>1485.55</v>
      </c>
      <c r="R875">
        <v>230850</v>
      </c>
    </row>
    <row r="876" spans="1:18" x14ac:dyDescent="0.25">
      <c r="A876" s="143">
        <v>43290</v>
      </c>
      <c r="B876" s="106">
        <v>301.25</v>
      </c>
      <c r="C876" s="106">
        <v>299.90999999999997</v>
      </c>
      <c r="D876" s="106">
        <v>295.69</v>
      </c>
      <c r="E876" s="106">
        <v>297.09000000000003</v>
      </c>
      <c r="F876" s="106">
        <v>1499.55</v>
      </c>
      <c r="G876">
        <v>289914</v>
      </c>
      <c r="H876" s="106"/>
      <c r="I876" s="106"/>
      <c r="L876" s="143">
        <v>43290</v>
      </c>
      <c r="M876" s="106">
        <v>300.06</v>
      </c>
      <c r="N876" s="106">
        <v>301.62</v>
      </c>
      <c r="O876" s="106">
        <v>295.99</v>
      </c>
      <c r="P876" s="106">
        <v>298.91999999999996</v>
      </c>
      <c r="Q876" s="106">
        <v>1500.3</v>
      </c>
      <c r="R876">
        <v>142717</v>
      </c>
    </row>
    <row r="877" spans="1:18" x14ac:dyDescent="0.25">
      <c r="A877" s="143">
        <v>43291</v>
      </c>
      <c r="B877" s="106">
        <v>320.95999999999998</v>
      </c>
      <c r="C877" s="106">
        <v>317.64</v>
      </c>
      <c r="D877" s="106">
        <v>300.8</v>
      </c>
      <c r="E877" s="106">
        <v>300.8</v>
      </c>
      <c r="F877" s="106">
        <v>1588.2</v>
      </c>
      <c r="G877">
        <v>28061</v>
      </c>
      <c r="H877" s="106"/>
      <c r="I877" s="106"/>
      <c r="L877" s="143">
        <v>43291</v>
      </c>
      <c r="M877" s="106">
        <v>318.29000000000002</v>
      </c>
      <c r="N877" s="106">
        <v>321.58000000000004</v>
      </c>
      <c r="O877" s="106">
        <v>300.46999999999997</v>
      </c>
      <c r="P877" s="106">
        <v>302</v>
      </c>
      <c r="Q877" s="106">
        <v>1591.45</v>
      </c>
      <c r="R877">
        <v>504637</v>
      </c>
    </row>
    <row r="878" spans="1:18" x14ac:dyDescent="0.25">
      <c r="A878" s="143">
        <v>43292</v>
      </c>
      <c r="B878" s="106">
        <v>318</v>
      </c>
      <c r="C878" s="106">
        <v>314.15999999999997</v>
      </c>
      <c r="D878" s="106">
        <v>309.25</v>
      </c>
      <c r="E878" s="106">
        <v>318</v>
      </c>
      <c r="F878" s="106">
        <v>1570.8</v>
      </c>
      <c r="G878">
        <v>6030</v>
      </c>
      <c r="H878" s="106"/>
      <c r="I878" s="106"/>
      <c r="L878" s="143">
        <v>43292</v>
      </c>
      <c r="M878" s="106">
        <v>314.66999999999996</v>
      </c>
      <c r="N878" s="106">
        <v>317.2</v>
      </c>
      <c r="O878" s="106">
        <v>309.43</v>
      </c>
      <c r="P878" s="106">
        <v>317.2</v>
      </c>
      <c r="Q878" s="106">
        <v>1573.35</v>
      </c>
      <c r="R878">
        <v>175086</v>
      </c>
    </row>
    <row r="879" spans="1:18" x14ac:dyDescent="0.25">
      <c r="A879" s="143">
        <v>43293</v>
      </c>
      <c r="B879" s="106">
        <v>323.60000000000002</v>
      </c>
      <c r="C879" s="106">
        <v>312.55</v>
      </c>
      <c r="D879" s="106">
        <v>308.77</v>
      </c>
      <c r="E879" s="106">
        <v>316.55</v>
      </c>
      <c r="F879" s="106">
        <v>1562.75</v>
      </c>
      <c r="G879">
        <v>22697</v>
      </c>
      <c r="H879" s="106"/>
      <c r="I879" s="106"/>
      <c r="L879" s="143">
        <v>43293</v>
      </c>
      <c r="M879" s="106">
        <v>313.41999999999996</v>
      </c>
      <c r="N879" s="106">
        <v>323.8</v>
      </c>
      <c r="O879" s="106">
        <v>308.51</v>
      </c>
      <c r="P879" s="106">
        <v>316.98</v>
      </c>
      <c r="Q879" s="106">
        <v>1567.1</v>
      </c>
      <c r="R879">
        <v>506959</v>
      </c>
    </row>
    <row r="880" spans="1:18" x14ac:dyDescent="0.25">
      <c r="A880" s="143">
        <v>43294</v>
      </c>
      <c r="B880" s="106">
        <v>317.26</v>
      </c>
      <c r="C880" s="106">
        <v>314.7</v>
      </c>
      <c r="D880" s="106">
        <v>311.2</v>
      </c>
      <c r="E880" s="106">
        <v>314.65999999999997</v>
      </c>
      <c r="F880" s="106">
        <v>1573.5</v>
      </c>
      <c r="G880">
        <v>15530</v>
      </c>
      <c r="H880" s="106"/>
      <c r="I880" s="106"/>
      <c r="L880" s="143">
        <v>43294</v>
      </c>
      <c r="M880" s="106">
        <v>315.45</v>
      </c>
      <c r="N880" s="106">
        <v>317.39</v>
      </c>
      <c r="O880" s="106">
        <v>310.51</v>
      </c>
      <c r="P880" s="106">
        <v>314</v>
      </c>
      <c r="Q880" s="106">
        <v>1577.25</v>
      </c>
      <c r="R880">
        <v>253643</v>
      </c>
    </row>
    <row r="881" spans="1:18" x14ac:dyDescent="0.25">
      <c r="A881" s="143">
        <v>43297</v>
      </c>
      <c r="B881" s="106">
        <v>314.87</v>
      </c>
      <c r="C881" s="106">
        <v>307.21999999999997</v>
      </c>
      <c r="D881" s="106">
        <v>303.8</v>
      </c>
      <c r="E881" s="106">
        <v>313.56</v>
      </c>
      <c r="F881" s="106">
        <v>1536.1</v>
      </c>
      <c r="G881">
        <v>18227</v>
      </c>
      <c r="H881" s="106"/>
      <c r="I881" s="106"/>
      <c r="L881" s="143">
        <v>43297</v>
      </c>
      <c r="M881" s="106">
        <v>307.59000000000003</v>
      </c>
      <c r="N881" s="106">
        <v>315.39</v>
      </c>
      <c r="O881" s="106">
        <v>303.28000000000003</v>
      </c>
      <c r="P881" s="106">
        <v>314</v>
      </c>
      <c r="Q881" s="106">
        <v>1537.95</v>
      </c>
      <c r="R881">
        <v>489280</v>
      </c>
    </row>
    <row r="882" spans="1:18" x14ac:dyDescent="0.25">
      <c r="A882" s="143">
        <v>43298</v>
      </c>
      <c r="B882" s="106">
        <v>317.76</v>
      </c>
      <c r="C882" s="106">
        <v>316.05</v>
      </c>
      <c r="D882" s="106">
        <v>306.12</v>
      </c>
      <c r="E882" s="106">
        <v>308.39999999999998</v>
      </c>
      <c r="F882" s="106">
        <v>1580.25</v>
      </c>
      <c r="G882">
        <v>10319</v>
      </c>
      <c r="H882" s="106"/>
      <c r="I882" s="106"/>
      <c r="L882" s="143">
        <v>43298</v>
      </c>
      <c r="M882" s="106">
        <v>315.77</v>
      </c>
      <c r="N882" s="106">
        <v>317.25</v>
      </c>
      <c r="O882" s="106">
        <v>305.61</v>
      </c>
      <c r="P882" s="106">
        <v>307</v>
      </c>
      <c r="Q882" s="106">
        <v>1578.85</v>
      </c>
      <c r="R882">
        <v>385983</v>
      </c>
    </row>
    <row r="883" spans="1:18" x14ac:dyDescent="0.25">
      <c r="A883" s="143">
        <v>43299</v>
      </c>
      <c r="B883" s="106">
        <v>319</v>
      </c>
      <c r="C883" s="106">
        <v>305.77</v>
      </c>
      <c r="D883" s="106">
        <v>300.39999999999998</v>
      </c>
      <c r="E883" s="106">
        <v>317.53000000000003</v>
      </c>
      <c r="F883" s="106">
        <v>1528.85</v>
      </c>
      <c r="G883">
        <v>20457</v>
      </c>
      <c r="H883" s="106"/>
      <c r="I883" s="106"/>
      <c r="L883" s="143">
        <v>43299</v>
      </c>
      <c r="M883" s="106">
        <v>306.09000000000003</v>
      </c>
      <c r="N883" s="106">
        <v>319.19</v>
      </c>
      <c r="O883" s="106">
        <v>300.15999999999997</v>
      </c>
      <c r="P883" s="106">
        <v>317.98</v>
      </c>
      <c r="Q883" s="106">
        <v>1530.45</v>
      </c>
      <c r="R883">
        <v>650910</v>
      </c>
    </row>
    <row r="884" spans="1:18" x14ac:dyDescent="0.25">
      <c r="A884" s="143">
        <v>43300</v>
      </c>
      <c r="B884" s="106">
        <v>306.04000000000002</v>
      </c>
      <c r="C884" s="106">
        <v>297.31</v>
      </c>
      <c r="D884" s="106">
        <v>295</v>
      </c>
      <c r="E884" s="106">
        <v>305.90999999999997</v>
      </c>
      <c r="F884" s="106">
        <v>1486.55</v>
      </c>
      <c r="G884">
        <v>19572</v>
      </c>
      <c r="H884" s="106"/>
      <c r="I884" s="106"/>
      <c r="L884" s="143">
        <v>43300</v>
      </c>
      <c r="M884" s="106">
        <v>297.88</v>
      </c>
      <c r="N884" s="106">
        <v>306.95999999999998</v>
      </c>
      <c r="O884" s="106">
        <v>294</v>
      </c>
      <c r="P884" s="106">
        <v>305.2</v>
      </c>
      <c r="Q884" s="106">
        <v>1489.4</v>
      </c>
      <c r="R884">
        <v>313718</v>
      </c>
    </row>
    <row r="885" spans="1:18" x14ac:dyDescent="0.25">
      <c r="A885" s="143">
        <v>43301</v>
      </c>
      <c r="B885" s="106">
        <v>306.39999999999998</v>
      </c>
      <c r="C885" s="106">
        <v>303.98</v>
      </c>
      <c r="D885" s="106">
        <v>295.66999999999996</v>
      </c>
      <c r="E885" s="106">
        <v>299.10000000000002</v>
      </c>
      <c r="F885" s="106">
        <v>1519.9</v>
      </c>
      <c r="G885">
        <v>17176</v>
      </c>
      <c r="H885" s="106"/>
      <c r="I885" s="106"/>
      <c r="L885" s="143">
        <v>43301</v>
      </c>
      <c r="M885" s="106">
        <v>304.08000000000004</v>
      </c>
      <c r="N885" s="106">
        <v>306.86</v>
      </c>
      <c r="O885" s="106">
        <v>294.5</v>
      </c>
      <c r="P885" s="106">
        <v>299</v>
      </c>
      <c r="Q885" s="106">
        <v>1520.4</v>
      </c>
      <c r="R885">
        <v>219587</v>
      </c>
    </row>
    <row r="886" spans="1:18" x14ac:dyDescent="0.25">
      <c r="A886" s="143">
        <v>43304</v>
      </c>
      <c r="B886" s="106">
        <v>311.46999999999997</v>
      </c>
      <c r="C886" s="106">
        <v>308.24</v>
      </c>
      <c r="D886" s="106">
        <v>300.52</v>
      </c>
      <c r="E886" s="106">
        <v>304.2</v>
      </c>
      <c r="F886" s="106">
        <v>1541.2</v>
      </c>
      <c r="G886">
        <v>12319</v>
      </c>
      <c r="H886" s="106"/>
      <c r="I886" s="106"/>
      <c r="L886" s="143">
        <v>43304</v>
      </c>
      <c r="M886" s="106">
        <v>307.78000000000003</v>
      </c>
      <c r="N886" s="106">
        <v>311.89999999999998</v>
      </c>
      <c r="O886" s="106">
        <v>300.29000000000002</v>
      </c>
      <c r="P886" s="106">
        <v>304.08000000000004</v>
      </c>
      <c r="Q886" s="106">
        <v>1538.9</v>
      </c>
      <c r="R886">
        <v>511003</v>
      </c>
    </row>
    <row r="887" spans="1:18" x14ac:dyDescent="0.25">
      <c r="A887" s="143">
        <v>43305</v>
      </c>
      <c r="B887" s="106">
        <v>313.38</v>
      </c>
      <c r="C887" s="106">
        <v>302.95999999999998</v>
      </c>
      <c r="D887" s="106">
        <v>301.62</v>
      </c>
      <c r="E887" s="106">
        <v>307.15999999999997</v>
      </c>
      <c r="F887" s="106">
        <v>1514.8</v>
      </c>
      <c r="G887">
        <v>107134</v>
      </c>
      <c r="H887" s="106"/>
      <c r="I887" s="106"/>
      <c r="L887" s="143">
        <v>43305</v>
      </c>
      <c r="M887" s="106">
        <v>301.89999999999998</v>
      </c>
      <c r="N887" s="106">
        <v>313.43</v>
      </c>
      <c r="O887" s="106">
        <v>300.57</v>
      </c>
      <c r="P887" s="106">
        <v>308.2</v>
      </c>
      <c r="Q887" s="106">
        <v>1509.5</v>
      </c>
      <c r="R887">
        <v>255365</v>
      </c>
    </row>
    <row r="888" spans="1:18" x14ac:dyDescent="0.25">
      <c r="A888" s="143">
        <v>43306</v>
      </c>
      <c r="B888" s="106">
        <v>306.02</v>
      </c>
      <c r="C888" s="106">
        <v>299.89999999999998</v>
      </c>
      <c r="D888" s="106">
        <v>297.39999999999998</v>
      </c>
      <c r="E888" s="106">
        <v>304.39999999999998</v>
      </c>
      <c r="F888" s="106">
        <v>1499.5</v>
      </c>
      <c r="G888">
        <v>17295</v>
      </c>
      <c r="H888" s="106"/>
      <c r="I888" s="106"/>
      <c r="L888" s="143">
        <v>43306</v>
      </c>
      <c r="M888" s="106">
        <v>299.45999999999998</v>
      </c>
      <c r="N888" s="106">
        <v>305.98</v>
      </c>
      <c r="O888" s="106">
        <v>298</v>
      </c>
      <c r="P888" s="106">
        <v>304.15999999999997</v>
      </c>
      <c r="Q888" s="106">
        <v>1497.3</v>
      </c>
      <c r="R888">
        <v>330166</v>
      </c>
    </row>
    <row r="889" spans="1:18" x14ac:dyDescent="0.25">
      <c r="A889" s="143">
        <v>43307</v>
      </c>
      <c r="B889" s="106">
        <v>314.96999999999997</v>
      </c>
      <c r="C889" s="106">
        <v>307.73</v>
      </c>
      <c r="D889" s="106">
        <v>297.64</v>
      </c>
      <c r="E889" s="106">
        <v>300</v>
      </c>
      <c r="F889" s="106">
        <v>1538.65</v>
      </c>
      <c r="G889">
        <v>91686</v>
      </c>
      <c r="H889" s="106"/>
      <c r="I889" s="106"/>
      <c r="L889" s="143">
        <v>43307</v>
      </c>
      <c r="M889" s="106">
        <v>308.88</v>
      </c>
      <c r="N889" s="106">
        <v>315.35000000000002</v>
      </c>
      <c r="O889" s="106">
        <v>297.5</v>
      </c>
      <c r="P889" s="106">
        <v>299.36</v>
      </c>
      <c r="Q889" s="106">
        <v>1544.4</v>
      </c>
      <c r="R889">
        <v>798488</v>
      </c>
    </row>
    <row r="890" spans="1:18" x14ac:dyDescent="0.25">
      <c r="A890" s="143">
        <v>43308</v>
      </c>
      <c r="B890" s="106">
        <v>317.46999999999997</v>
      </c>
      <c r="C890" s="106">
        <v>292.69</v>
      </c>
      <c r="D890" s="106">
        <v>290</v>
      </c>
      <c r="E890" s="106">
        <v>316</v>
      </c>
      <c r="F890" s="106">
        <v>1463.45</v>
      </c>
      <c r="G890">
        <v>93684</v>
      </c>
      <c r="H890" s="106"/>
      <c r="I890" s="106"/>
      <c r="L890" s="143">
        <v>43308</v>
      </c>
      <c r="M890" s="106">
        <v>292.66999999999996</v>
      </c>
      <c r="N890" s="106">
        <v>317.39999999999998</v>
      </c>
      <c r="O890" s="106">
        <v>289.33000000000004</v>
      </c>
      <c r="P890" s="106">
        <v>313.62</v>
      </c>
      <c r="Q890" s="106">
        <v>1463.35</v>
      </c>
      <c r="R890">
        <v>1206308</v>
      </c>
    </row>
    <row r="891" spans="1:18" x14ac:dyDescent="0.25">
      <c r="A891" s="143">
        <v>43311</v>
      </c>
      <c r="B891" s="106">
        <v>294</v>
      </c>
      <c r="C891" s="106">
        <v>287.19</v>
      </c>
      <c r="D891" s="106">
        <v>286.44</v>
      </c>
      <c r="E891" s="106">
        <v>292.8</v>
      </c>
      <c r="F891" s="106">
        <v>1435.95</v>
      </c>
      <c r="G891">
        <v>25694</v>
      </c>
      <c r="H891" s="106"/>
      <c r="I891" s="106"/>
      <c r="L891" s="143">
        <v>43311</v>
      </c>
      <c r="M891" s="106">
        <v>287.90999999999997</v>
      </c>
      <c r="N891" s="106">
        <v>294.60000000000002</v>
      </c>
      <c r="O891" s="106">
        <v>286.3</v>
      </c>
      <c r="P891" s="106">
        <v>293.60000000000002</v>
      </c>
      <c r="Q891" s="106">
        <v>1439.55</v>
      </c>
      <c r="R891">
        <v>343931</v>
      </c>
    </row>
    <row r="892" spans="1:18" x14ac:dyDescent="0.25">
      <c r="A892" s="143">
        <v>43312</v>
      </c>
      <c r="B892" s="106">
        <v>291</v>
      </c>
      <c r="C892" s="106">
        <v>286.48</v>
      </c>
      <c r="D892" s="106">
        <v>282.60000000000002</v>
      </c>
      <c r="E892" s="106">
        <v>287</v>
      </c>
      <c r="F892" s="106">
        <v>1432.4</v>
      </c>
      <c r="G892">
        <v>19112</v>
      </c>
      <c r="H892" s="106"/>
      <c r="I892" s="106"/>
      <c r="L892" s="143">
        <v>43312</v>
      </c>
      <c r="M892" s="106">
        <v>286.13</v>
      </c>
      <c r="N892" s="106">
        <v>291.57</v>
      </c>
      <c r="O892" s="106">
        <v>282.63</v>
      </c>
      <c r="P892" s="106">
        <v>287</v>
      </c>
      <c r="Q892" s="106">
        <v>1430.65</v>
      </c>
      <c r="R892">
        <v>313779</v>
      </c>
    </row>
    <row r="893" spans="1:18" x14ac:dyDescent="0.25">
      <c r="A893" s="143">
        <v>43313</v>
      </c>
      <c r="B893" s="106">
        <v>293</v>
      </c>
      <c r="C893" s="106">
        <v>291.57</v>
      </c>
      <c r="D893" s="106">
        <v>287</v>
      </c>
      <c r="E893" s="106">
        <v>287</v>
      </c>
      <c r="F893" s="106">
        <v>1457.85</v>
      </c>
      <c r="G893">
        <v>21197</v>
      </c>
      <c r="H893" s="106"/>
      <c r="I893" s="106"/>
      <c r="L893" s="143">
        <v>43313</v>
      </c>
      <c r="M893" s="106">
        <v>292.35000000000002</v>
      </c>
      <c r="N893" s="106">
        <v>293.71999999999997</v>
      </c>
      <c r="O893" s="106">
        <v>286.2</v>
      </c>
      <c r="P893" s="106">
        <v>286.2</v>
      </c>
      <c r="Q893" s="106">
        <v>1461.75</v>
      </c>
      <c r="R893">
        <v>488817</v>
      </c>
    </row>
    <row r="894" spans="1:18" x14ac:dyDescent="0.25">
      <c r="A894" s="143">
        <v>43314</v>
      </c>
      <c r="B894" s="106">
        <v>294.53000000000003</v>
      </c>
      <c r="C894" s="106">
        <v>284.58000000000004</v>
      </c>
      <c r="D894" s="106">
        <v>282.81</v>
      </c>
      <c r="E894" s="106">
        <v>290.82</v>
      </c>
      <c r="F894" s="106">
        <v>1422.9</v>
      </c>
      <c r="G894">
        <v>18329</v>
      </c>
      <c r="H894" s="106"/>
      <c r="I894" s="106"/>
      <c r="L894" s="143">
        <v>43314</v>
      </c>
      <c r="M894" s="106">
        <v>283.95</v>
      </c>
      <c r="N894" s="106">
        <v>295</v>
      </c>
      <c r="O894" s="106">
        <v>282.39999999999998</v>
      </c>
      <c r="P894" s="106">
        <v>291.43</v>
      </c>
      <c r="Q894" s="106">
        <v>1419.75</v>
      </c>
      <c r="R894">
        <v>356596</v>
      </c>
    </row>
    <row r="895" spans="1:18" x14ac:dyDescent="0.25">
      <c r="A895" s="143">
        <v>43315</v>
      </c>
      <c r="B895" s="106">
        <v>290</v>
      </c>
      <c r="C895" s="106">
        <v>286.2</v>
      </c>
      <c r="D895" s="106">
        <v>284.16999999999996</v>
      </c>
      <c r="E895" s="106">
        <v>287.39999999999998</v>
      </c>
      <c r="F895" s="106">
        <v>1431</v>
      </c>
      <c r="G895">
        <v>15696</v>
      </c>
      <c r="H895" s="106"/>
      <c r="I895" s="106"/>
      <c r="L895" s="143">
        <v>43315</v>
      </c>
      <c r="M895" s="106">
        <v>285.95999999999998</v>
      </c>
      <c r="N895" s="106">
        <v>290</v>
      </c>
      <c r="O895" s="106">
        <v>283.52</v>
      </c>
      <c r="P895" s="106">
        <v>286.07</v>
      </c>
      <c r="Q895" s="106">
        <v>1429.8</v>
      </c>
      <c r="R895">
        <v>381643</v>
      </c>
    </row>
    <row r="896" spans="1:18" x14ac:dyDescent="0.25">
      <c r="A896" s="143">
        <v>43318</v>
      </c>
      <c r="B896" s="106">
        <v>289</v>
      </c>
      <c r="C896" s="106">
        <v>285.82</v>
      </c>
      <c r="D896" s="106">
        <v>284.85000000000002</v>
      </c>
      <c r="E896" s="106">
        <v>286.39999999999998</v>
      </c>
      <c r="F896" s="106">
        <v>1429.1</v>
      </c>
      <c r="G896">
        <v>20480</v>
      </c>
      <c r="H896" s="106"/>
      <c r="I896" s="106"/>
      <c r="L896" s="143">
        <v>43318</v>
      </c>
      <c r="M896" s="106">
        <v>286.21999999999997</v>
      </c>
      <c r="N896" s="106">
        <v>289.39999999999998</v>
      </c>
      <c r="O896" s="106">
        <v>284.39999999999998</v>
      </c>
      <c r="P896" s="106">
        <v>288</v>
      </c>
      <c r="Q896" s="106">
        <v>1431.1</v>
      </c>
      <c r="R896">
        <v>223781</v>
      </c>
    </row>
    <row r="897" spans="1:18" x14ac:dyDescent="0.25">
      <c r="A897" s="143">
        <v>43319</v>
      </c>
      <c r="B897" s="106">
        <v>289.8</v>
      </c>
      <c r="C897" s="106">
        <v>287.37</v>
      </c>
      <c r="D897" s="106">
        <v>284.84000000000003</v>
      </c>
      <c r="E897" s="106">
        <v>287.48</v>
      </c>
      <c r="F897" s="106">
        <v>1436.85</v>
      </c>
      <c r="G897">
        <v>18280</v>
      </c>
      <c r="H897" s="106"/>
      <c r="I897" s="106"/>
      <c r="L897" s="143">
        <v>43319</v>
      </c>
      <c r="M897" s="106">
        <v>287.60000000000002</v>
      </c>
      <c r="N897" s="106">
        <v>289.95999999999998</v>
      </c>
      <c r="O897" s="106">
        <v>286.02</v>
      </c>
      <c r="P897" s="106">
        <v>286.99</v>
      </c>
      <c r="Q897" s="106">
        <v>1438</v>
      </c>
      <c r="R897">
        <v>397140</v>
      </c>
    </row>
    <row r="898" spans="1:18" x14ac:dyDescent="0.25">
      <c r="A898" s="143">
        <v>43320</v>
      </c>
      <c r="B898" s="106">
        <v>292.83000000000004</v>
      </c>
      <c r="C898" s="106">
        <v>291.09000000000003</v>
      </c>
      <c r="D898" s="106">
        <v>286.76</v>
      </c>
      <c r="E898" s="106">
        <v>289.99</v>
      </c>
      <c r="F898" s="106">
        <v>1455.45</v>
      </c>
      <c r="G898">
        <v>14692</v>
      </c>
      <c r="H898" s="106"/>
      <c r="I898" s="106"/>
      <c r="L898" s="143">
        <v>43320</v>
      </c>
      <c r="M898" s="106">
        <v>290.41999999999996</v>
      </c>
      <c r="N898" s="106">
        <v>292.89</v>
      </c>
      <c r="O898" s="106">
        <v>286.40999999999997</v>
      </c>
      <c r="P898" s="106">
        <v>288.2</v>
      </c>
      <c r="Q898" s="106">
        <v>1452.1</v>
      </c>
      <c r="R898">
        <v>222145</v>
      </c>
    </row>
    <row r="899" spans="1:18" x14ac:dyDescent="0.25">
      <c r="A899" s="143">
        <v>43321</v>
      </c>
      <c r="B899" s="106">
        <v>294</v>
      </c>
      <c r="C899" s="106">
        <v>288.7</v>
      </c>
      <c r="D899" s="106">
        <v>287.68</v>
      </c>
      <c r="E899" s="106">
        <v>291.21999999999997</v>
      </c>
      <c r="F899" s="106">
        <v>1443.5</v>
      </c>
      <c r="G899">
        <v>14087</v>
      </c>
      <c r="H899" s="106"/>
      <c r="I899" s="106"/>
      <c r="L899" s="143">
        <v>43321</v>
      </c>
      <c r="M899" s="106">
        <v>288.70999999999998</v>
      </c>
      <c r="N899" s="106">
        <v>293.89999999999998</v>
      </c>
      <c r="O899" s="106">
        <v>288.01</v>
      </c>
      <c r="P899" s="106">
        <v>292.78000000000003</v>
      </c>
      <c r="Q899" s="106">
        <v>1443.55</v>
      </c>
      <c r="R899">
        <v>140389</v>
      </c>
    </row>
    <row r="900" spans="1:18" x14ac:dyDescent="0.25">
      <c r="A900" s="143">
        <v>43322</v>
      </c>
      <c r="B900" s="106">
        <v>290.44</v>
      </c>
      <c r="C900" s="106">
        <v>289.62</v>
      </c>
      <c r="D900" s="106">
        <v>287.01</v>
      </c>
      <c r="E900" s="106">
        <v>288.87</v>
      </c>
      <c r="F900" s="106">
        <v>1448.1</v>
      </c>
      <c r="G900">
        <v>8675</v>
      </c>
      <c r="H900" s="106"/>
      <c r="I900" s="106"/>
      <c r="L900" s="143">
        <v>43322</v>
      </c>
      <c r="M900" s="106">
        <v>288.93</v>
      </c>
      <c r="N900" s="106">
        <v>290.89999999999998</v>
      </c>
      <c r="O900" s="106">
        <v>286.39999999999998</v>
      </c>
      <c r="P900" s="106">
        <v>288.54000000000002</v>
      </c>
      <c r="Q900" s="106">
        <v>1444.65</v>
      </c>
      <c r="R900">
        <v>118501</v>
      </c>
    </row>
    <row r="901" spans="1:18" x14ac:dyDescent="0.25">
      <c r="A901" s="143">
        <v>43325</v>
      </c>
      <c r="B901" s="106">
        <v>291.41999999999996</v>
      </c>
      <c r="C901" s="106">
        <v>288.70999999999998</v>
      </c>
      <c r="D901" s="106">
        <v>285.85000000000002</v>
      </c>
      <c r="E901" s="106">
        <v>287.2</v>
      </c>
      <c r="F901" s="106">
        <v>1443.55</v>
      </c>
      <c r="G901">
        <v>6973</v>
      </c>
      <c r="H901" s="106"/>
      <c r="I901" s="106"/>
      <c r="L901" s="143">
        <v>43325</v>
      </c>
      <c r="M901" s="106">
        <v>288.54000000000002</v>
      </c>
      <c r="N901" s="106">
        <v>291.60000000000002</v>
      </c>
      <c r="O901" s="106">
        <v>285.56</v>
      </c>
      <c r="P901" s="106">
        <v>288.60000000000002</v>
      </c>
      <c r="Q901" s="106">
        <v>1442.7</v>
      </c>
      <c r="R901">
        <v>139673</v>
      </c>
    </row>
    <row r="902" spans="1:18" x14ac:dyDescent="0.25">
      <c r="A902" s="143">
        <v>43326</v>
      </c>
      <c r="B902" s="106">
        <v>295.31</v>
      </c>
      <c r="C902" s="106">
        <v>294.11</v>
      </c>
      <c r="D902" s="106">
        <v>280.77</v>
      </c>
      <c r="E902" s="106">
        <v>289.56</v>
      </c>
      <c r="F902" s="106">
        <v>1470.55</v>
      </c>
      <c r="G902">
        <v>36297</v>
      </c>
      <c r="H902" s="106"/>
      <c r="I902" s="106"/>
      <c r="L902" s="143">
        <v>43326</v>
      </c>
      <c r="M902" s="106">
        <v>294.38</v>
      </c>
      <c r="N902" s="106">
        <v>296.15999999999997</v>
      </c>
      <c r="O902" s="106">
        <v>288.01</v>
      </c>
      <c r="P902" s="106">
        <v>289.54000000000002</v>
      </c>
      <c r="Q902" s="106">
        <v>1471.9</v>
      </c>
      <c r="R902">
        <v>223556</v>
      </c>
    </row>
    <row r="903" spans="1:18" x14ac:dyDescent="0.25">
      <c r="A903" s="143">
        <v>43328</v>
      </c>
      <c r="B903" s="106">
        <v>301</v>
      </c>
      <c r="C903" s="106">
        <v>292.95999999999998</v>
      </c>
      <c r="D903" s="106">
        <v>290</v>
      </c>
      <c r="E903" s="106">
        <v>294</v>
      </c>
      <c r="F903" s="106">
        <v>1464.8</v>
      </c>
      <c r="G903">
        <v>31047</v>
      </c>
      <c r="H903" s="106"/>
      <c r="I903" s="106"/>
      <c r="L903" s="143">
        <v>43328</v>
      </c>
      <c r="M903" s="106">
        <v>292.99</v>
      </c>
      <c r="N903" s="106">
        <v>301.24</v>
      </c>
      <c r="O903" s="106">
        <v>289.60000000000002</v>
      </c>
      <c r="P903" s="106">
        <v>294</v>
      </c>
      <c r="Q903" s="106">
        <v>1464.95</v>
      </c>
      <c r="R903">
        <v>416406</v>
      </c>
    </row>
    <row r="904" spans="1:18" x14ac:dyDescent="0.25">
      <c r="A904" s="143">
        <v>43329</v>
      </c>
      <c r="B904" s="106">
        <v>300.40999999999997</v>
      </c>
      <c r="C904" s="106">
        <v>297.63</v>
      </c>
      <c r="D904" s="106">
        <v>291.89</v>
      </c>
      <c r="E904" s="106">
        <v>293</v>
      </c>
      <c r="F904" s="106">
        <v>1488.15</v>
      </c>
      <c r="G904">
        <v>42931</v>
      </c>
      <c r="H904" s="106"/>
      <c r="I904" s="106"/>
      <c r="L904" s="143">
        <v>43329</v>
      </c>
      <c r="M904" s="106">
        <v>297.48</v>
      </c>
      <c r="N904" s="106">
        <v>299.39999999999998</v>
      </c>
      <c r="O904" s="106">
        <v>292.07</v>
      </c>
      <c r="P904" s="106">
        <v>295</v>
      </c>
      <c r="Q904" s="106">
        <v>1487.4</v>
      </c>
      <c r="R904">
        <v>310740</v>
      </c>
    </row>
    <row r="905" spans="1:18" x14ac:dyDescent="0.25">
      <c r="A905" s="143">
        <v>43332</v>
      </c>
      <c r="B905" s="106">
        <v>301.89999999999998</v>
      </c>
      <c r="C905" s="106">
        <v>294.10000000000002</v>
      </c>
      <c r="D905" s="106">
        <v>293</v>
      </c>
      <c r="E905" s="106">
        <v>297.60000000000002</v>
      </c>
      <c r="F905" s="106">
        <v>1470.5</v>
      </c>
      <c r="G905">
        <v>11892</v>
      </c>
      <c r="H905" s="106"/>
      <c r="I905" s="106"/>
      <c r="L905" s="143">
        <v>43332</v>
      </c>
      <c r="M905" s="106">
        <v>293.73</v>
      </c>
      <c r="N905" s="106">
        <v>302</v>
      </c>
      <c r="O905" s="106">
        <v>292.71999999999997</v>
      </c>
      <c r="P905" s="106">
        <v>299.38</v>
      </c>
      <c r="Q905" s="106">
        <v>1468.65</v>
      </c>
      <c r="R905">
        <v>273947</v>
      </c>
    </row>
    <row r="906" spans="1:18" x14ac:dyDescent="0.25">
      <c r="A906" s="143">
        <v>43333</v>
      </c>
      <c r="B906" s="106">
        <v>297.39999999999998</v>
      </c>
      <c r="C906" s="106">
        <v>296.19</v>
      </c>
      <c r="D906" s="106">
        <v>294.7</v>
      </c>
      <c r="E906" s="106">
        <v>295.90999999999997</v>
      </c>
      <c r="F906" s="106">
        <v>1480.95</v>
      </c>
      <c r="G906">
        <v>4545</v>
      </c>
      <c r="H906" s="106"/>
      <c r="I906" s="106"/>
      <c r="L906" s="143">
        <v>43333</v>
      </c>
      <c r="M906" s="106">
        <v>295.61</v>
      </c>
      <c r="N906" s="106">
        <v>297.5</v>
      </c>
      <c r="O906" s="106">
        <v>294.05</v>
      </c>
      <c r="P906" s="106">
        <v>295.18</v>
      </c>
      <c r="Q906" s="106">
        <v>1478.05</v>
      </c>
      <c r="R906">
        <v>170497</v>
      </c>
    </row>
    <row r="907" spans="1:18" x14ac:dyDescent="0.25">
      <c r="A907" s="143">
        <v>43335</v>
      </c>
      <c r="B907" s="106">
        <v>297.35000000000002</v>
      </c>
      <c r="C907" s="106">
        <v>293.09000000000003</v>
      </c>
      <c r="D907" s="106">
        <v>292.2</v>
      </c>
      <c r="E907" s="106">
        <v>297.34000000000003</v>
      </c>
      <c r="F907" s="106">
        <v>1465.45</v>
      </c>
      <c r="G907">
        <v>6493</v>
      </c>
      <c r="H907" s="106"/>
      <c r="I907" s="106"/>
      <c r="L907" s="143">
        <v>43335</v>
      </c>
      <c r="M907" s="106">
        <v>292.65999999999997</v>
      </c>
      <c r="N907" s="106">
        <v>297.38</v>
      </c>
      <c r="O907" s="106">
        <v>291.5</v>
      </c>
      <c r="P907" s="106">
        <v>297.38</v>
      </c>
      <c r="Q907" s="106">
        <v>1463.3</v>
      </c>
      <c r="R907">
        <v>323094</v>
      </c>
    </row>
    <row r="908" spans="1:18" x14ac:dyDescent="0.25">
      <c r="A908" s="143">
        <v>43336</v>
      </c>
      <c r="B908" s="106">
        <v>296.59000000000003</v>
      </c>
      <c r="C908" s="106">
        <v>291.89</v>
      </c>
      <c r="D908" s="106">
        <v>290.52</v>
      </c>
      <c r="E908" s="106">
        <v>293.05</v>
      </c>
      <c r="F908" s="106">
        <v>1459.45</v>
      </c>
      <c r="G908">
        <v>7048</v>
      </c>
      <c r="H908" s="106"/>
      <c r="I908" s="106"/>
      <c r="L908" s="143">
        <v>43336</v>
      </c>
      <c r="M908" s="106">
        <v>291.68</v>
      </c>
      <c r="N908" s="106">
        <v>296.58000000000004</v>
      </c>
      <c r="O908" s="106">
        <v>290</v>
      </c>
      <c r="P908" s="106">
        <v>294.38</v>
      </c>
      <c r="Q908" s="106">
        <v>1458.4</v>
      </c>
      <c r="R908">
        <v>175797</v>
      </c>
    </row>
    <row r="909" spans="1:18" x14ac:dyDescent="0.25">
      <c r="A909" s="143">
        <v>43339</v>
      </c>
      <c r="B909" s="106">
        <v>294.10000000000002</v>
      </c>
      <c r="C909" s="106">
        <v>291.25</v>
      </c>
      <c r="D909" s="106">
        <v>290.37</v>
      </c>
      <c r="E909" s="106">
        <v>293.20999999999998</v>
      </c>
      <c r="F909" s="106">
        <v>1456.25</v>
      </c>
      <c r="G909">
        <v>8442</v>
      </c>
      <c r="H909" s="106"/>
      <c r="I909" s="106"/>
      <c r="L909" s="143">
        <v>43339</v>
      </c>
      <c r="M909" s="106">
        <v>290.8</v>
      </c>
      <c r="N909" s="106">
        <v>296</v>
      </c>
      <c r="O909" s="106">
        <v>289.85000000000002</v>
      </c>
      <c r="P909" s="106">
        <v>296</v>
      </c>
      <c r="Q909" s="106">
        <v>1454</v>
      </c>
      <c r="R909">
        <v>297573</v>
      </c>
    </row>
    <row r="910" spans="1:18" x14ac:dyDescent="0.25">
      <c r="A910" s="143">
        <v>43340</v>
      </c>
      <c r="B910" s="106">
        <v>292.77</v>
      </c>
      <c r="C910" s="106">
        <v>290.95999999999998</v>
      </c>
      <c r="D910" s="106">
        <v>289.93</v>
      </c>
      <c r="E910" s="106">
        <v>292.60000000000002</v>
      </c>
      <c r="F910" s="106">
        <v>1454.8</v>
      </c>
      <c r="G910">
        <v>6005</v>
      </c>
      <c r="H910" s="106"/>
      <c r="I910" s="106"/>
      <c r="L910" s="143">
        <v>43340</v>
      </c>
      <c r="M910" s="106">
        <v>290.95</v>
      </c>
      <c r="N910" s="106">
        <v>293</v>
      </c>
      <c r="O910" s="106">
        <v>289.60000000000002</v>
      </c>
      <c r="P910" s="106">
        <v>291.2</v>
      </c>
      <c r="Q910" s="106">
        <v>1454.75</v>
      </c>
      <c r="R910">
        <v>128211</v>
      </c>
    </row>
    <row r="911" spans="1:18" x14ac:dyDescent="0.25">
      <c r="A911" s="143">
        <v>43341</v>
      </c>
      <c r="B911" s="106">
        <v>300.01</v>
      </c>
      <c r="C911" s="106">
        <v>289.2</v>
      </c>
      <c r="D911" s="106">
        <v>288.66999999999996</v>
      </c>
      <c r="E911" s="106">
        <v>290.58000000000004</v>
      </c>
      <c r="F911" s="106">
        <v>1446</v>
      </c>
      <c r="G911">
        <v>22801</v>
      </c>
      <c r="H911" s="106"/>
      <c r="I911" s="106"/>
      <c r="L911" s="143">
        <v>43341</v>
      </c>
      <c r="M911" s="106">
        <v>289.55</v>
      </c>
      <c r="N911" s="106">
        <v>294.39999999999998</v>
      </c>
      <c r="O911" s="106">
        <v>289.02</v>
      </c>
      <c r="P911" s="106">
        <v>290.2</v>
      </c>
      <c r="Q911" s="106">
        <v>1447.75</v>
      </c>
      <c r="R911">
        <v>187403</v>
      </c>
    </row>
    <row r="912" spans="1:18" x14ac:dyDescent="0.25">
      <c r="A912" s="143">
        <v>43342</v>
      </c>
      <c r="B912" s="106">
        <v>293.39999999999998</v>
      </c>
      <c r="C912" s="106">
        <v>292.45999999999998</v>
      </c>
      <c r="D912" s="106">
        <v>287.76</v>
      </c>
      <c r="E912" s="106">
        <v>290.37</v>
      </c>
      <c r="F912" s="106">
        <v>1462.3</v>
      </c>
      <c r="G912">
        <v>2718</v>
      </c>
      <c r="H912" s="106"/>
      <c r="I912" s="106"/>
      <c r="L912" s="143">
        <v>43342</v>
      </c>
      <c r="M912" s="106">
        <v>292.55</v>
      </c>
      <c r="N912" s="106">
        <v>294.2</v>
      </c>
      <c r="O912" s="106">
        <v>287.28000000000003</v>
      </c>
      <c r="P912" s="106">
        <v>289.64999999999998</v>
      </c>
      <c r="Q912" s="106">
        <v>1462.75</v>
      </c>
      <c r="R912">
        <v>251494</v>
      </c>
    </row>
    <row r="913" spans="1:18" x14ac:dyDescent="0.25">
      <c r="A913" s="143">
        <v>43343</v>
      </c>
      <c r="B913" s="106">
        <v>295.51</v>
      </c>
      <c r="C913" s="106">
        <v>294.53000000000003</v>
      </c>
      <c r="D913" s="106">
        <v>291</v>
      </c>
      <c r="E913" s="106">
        <v>291.99</v>
      </c>
      <c r="F913" s="106">
        <v>1472.65</v>
      </c>
      <c r="G913">
        <v>2282</v>
      </c>
      <c r="H913" s="106"/>
      <c r="I913" s="106"/>
      <c r="L913" s="143">
        <v>43343</v>
      </c>
      <c r="M913" s="106">
        <v>295.23</v>
      </c>
      <c r="N913" s="106">
        <v>296</v>
      </c>
      <c r="O913" s="106">
        <v>290.61</v>
      </c>
      <c r="P913" s="106">
        <v>290.78000000000003</v>
      </c>
      <c r="Q913" s="106">
        <v>1476.15</v>
      </c>
      <c r="R913">
        <v>133931</v>
      </c>
    </row>
    <row r="914" spans="1:18" x14ac:dyDescent="0.25">
      <c r="A914" s="143">
        <v>43346</v>
      </c>
      <c r="B914" s="106">
        <v>309.98</v>
      </c>
      <c r="C914" s="106">
        <v>301.99</v>
      </c>
      <c r="D914" s="106">
        <v>266.60000000000002</v>
      </c>
      <c r="E914" s="106">
        <v>305</v>
      </c>
      <c r="F914" s="106">
        <v>1509.95</v>
      </c>
      <c r="G914">
        <v>28567</v>
      </c>
      <c r="H914" s="106"/>
      <c r="I914" s="106"/>
      <c r="L914" s="143">
        <v>43346</v>
      </c>
      <c r="M914" s="106">
        <v>301.94</v>
      </c>
      <c r="N914" s="106">
        <v>306.40999999999997</v>
      </c>
      <c r="O914" s="106">
        <v>293.44</v>
      </c>
      <c r="P914" s="106">
        <v>299.39999999999998</v>
      </c>
      <c r="Q914" s="106">
        <v>1509.7</v>
      </c>
      <c r="R914">
        <v>343382</v>
      </c>
    </row>
    <row r="915" spans="1:18" x14ac:dyDescent="0.25">
      <c r="A915" s="143">
        <v>43347</v>
      </c>
      <c r="B915" s="106">
        <v>301.08000000000004</v>
      </c>
      <c r="C915" s="106">
        <v>294.86</v>
      </c>
      <c r="D915" s="106">
        <v>291.66999999999996</v>
      </c>
      <c r="E915" s="106">
        <v>300.60000000000002</v>
      </c>
      <c r="F915" s="106">
        <v>1474.3</v>
      </c>
      <c r="G915">
        <v>12814</v>
      </c>
      <c r="H915" s="106"/>
      <c r="I915" s="106"/>
      <c r="L915" s="143">
        <v>43347</v>
      </c>
      <c r="M915" s="106">
        <v>294.49</v>
      </c>
      <c r="N915" s="106">
        <v>302.14</v>
      </c>
      <c r="O915" s="106">
        <v>291.01</v>
      </c>
      <c r="P915" s="106">
        <v>301.3</v>
      </c>
      <c r="Q915" s="106">
        <v>1472.45</v>
      </c>
      <c r="R915">
        <v>286724</v>
      </c>
    </row>
    <row r="916" spans="1:18" x14ac:dyDescent="0.25">
      <c r="A916" s="143">
        <v>43348</v>
      </c>
      <c r="B916" s="106">
        <v>297.14</v>
      </c>
      <c r="C916" s="106">
        <v>288.74</v>
      </c>
      <c r="D916" s="106">
        <v>286.2</v>
      </c>
      <c r="E916" s="106">
        <v>294</v>
      </c>
      <c r="F916" s="106">
        <v>1443.7</v>
      </c>
      <c r="G916">
        <v>14725</v>
      </c>
      <c r="H916" s="106"/>
      <c r="I916" s="106"/>
      <c r="L916" s="143">
        <v>43348</v>
      </c>
      <c r="M916" s="106">
        <v>288.5</v>
      </c>
      <c r="N916" s="106">
        <v>297.39</v>
      </c>
      <c r="O916" s="106">
        <v>285.60000000000002</v>
      </c>
      <c r="P916" s="106">
        <v>293.60000000000002</v>
      </c>
      <c r="Q916" s="106">
        <v>1442.5</v>
      </c>
      <c r="R916">
        <v>248766</v>
      </c>
    </row>
    <row r="917" spans="1:18" x14ac:dyDescent="0.25">
      <c r="A917" s="143">
        <v>43349</v>
      </c>
      <c r="B917" s="106">
        <v>292.40999999999997</v>
      </c>
      <c r="C917" s="106">
        <v>279.75</v>
      </c>
      <c r="D917" s="106">
        <v>275.39999999999998</v>
      </c>
      <c r="E917" s="106">
        <v>292.39999999999998</v>
      </c>
      <c r="F917" s="106">
        <v>1398.75</v>
      </c>
      <c r="G917">
        <v>13233</v>
      </c>
      <c r="H917" s="106"/>
      <c r="I917" s="106"/>
      <c r="L917" s="143">
        <v>43349</v>
      </c>
      <c r="M917" s="106">
        <v>280.33000000000004</v>
      </c>
      <c r="N917" s="106">
        <v>292.62</v>
      </c>
      <c r="O917" s="106">
        <v>275.08000000000004</v>
      </c>
      <c r="P917" s="106">
        <v>289.79000000000002</v>
      </c>
      <c r="Q917" s="106">
        <v>1401.65</v>
      </c>
      <c r="R917">
        <v>368543</v>
      </c>
    </row>
    <row r="918" spans="1:18" x14ac:dyDescent="0.25">
      <c r="A918" s="143">
        <v>43350</v>
      </c>
      <c r="B918" s="106">
        <v>291.11</v>
      </c>
      <c r="C918" s="106">
        <v>287.43</v>
      </c>
      <c r="D918" s="106">
        <v>276.27</v>
      </c>
      <c r="E918" s="106">
        <v>279.26</v>
      </c>
      <c r="F918" s="106">
        <v>1437.15</v>
      </c>
      <c r="G918">
        <v>21975</v>
      </c>
      <c r="H918" s="106"/>
      <c r="I918" s="106"/>
      <c r="L918" s="143">
        <v>43350</v>
      </c>
      <c r="M918" s="106">
        <v>287.98</v>
      </c>
      <c r="N918" s="106">
        <v>291.60000000000002</v>
      </c>
      <c r="O918" s="106">
        <v>276.39999999999998</v>
      </c>
      <c r="P918" s="106">
        <v>277.13</v>
      </c>
      <c r="Q918" s="106">
        <v>1439.9</v>
      </c>
      <c r="R918">
        <v>498942</v>
      </c>
    </row>
    <row r="919" spans="1:18" x14ac:dyDescent="0.25">
      <c r="A919" s="143">
        <v>43353</v>
      </c>
      <c r="B919" s="106">
        <v>286.7</v>
      </c>
      <c r="C919" s="106">
        <v>277.39999999999998</v>
      </c>
      <c r="D919" s="106">
        <v>276.60000000000002</v>
      </c>
      <c r="E919" s="106">
        <v>280.88</v>
      </c>
      <c r="F919" s="106">
        <v>1387</v>
      </c>
      <c r="G919">
        <v>22939</v>
      </c>
      <c r="H919" s="106"/>
      <c r="I919" s="106"/>
      <c r="L919" s="143">
        <v>43353</v>
      </c>
      <c r="M919" s="106">
        <v>277.89999999999998</v>
      </c>
      <c r="N919" s="106">
        <v>286.78000000000003</v>
      </c>
      <c r="O919" s="106">
        <v>276.39999999999998</v>
      </c>
      <c r="P919" s="106">
        <v>280</v>
      </c>
      <c r="Q919" s="106">
        <v>1389.5</v>
      </c>
      <c r="R919">
        <v>346758</v>
      </c>
    </row>
    <row r="920" spans="1:18" x14ac:dyDescent="0.25">
      <c r="A920" s="143">
        <v>43354</v>
      </c>
      <c r="B920" s="106">
        <v>278.44</v>
      </c>
      <c r="C920" s="106">
        <v>262.65999999999997</v>
      </c>
      <c r="D920" s="106">
        <v>261.07</v>
      </c>
      <c r="E920" s="106">
        <v>277.39999999999998</v>
      </c>
      <c r="F920" s="106">
        <v>1313.3</v>
      </c>
      <c r="G920">
        <v>24626</v>
      </c>
      <c r="H920" s="106"/>
      <c r="I920" s="106"/>
      <c r="L920" s="143">
        <v>43354</v>
      </c>
      <c r="M920" s="106">
        <v>262.19</v>
      </c>
      <c r="N920" s="106">
        <v>279.69</v>
      </c>
      <c r="O920" s="106">
        <v>260.10000000000002</v>
      </c>
      <c r="P920" s="106">
        <v>278.06</v>
      </c>
      <c r="Q920" s="106">
        <v>1310.95</v>
      </c>
      <c r="R920">
        <v>457833</v>
      </c>
    </row>
    <row r="921" spans="1:18" x14ac:dyDescent="0.25">
      <c r="A921" s="143">
        <v>43355</v>
      </c>
      <c r="B921" s="106">
        <v>264.8</v>
      </c>
      <c r="C921" s="106">
        <v>262.40999999999997</v>
      </c>
      <c r="D921" s="106">
        <v>251.78000000000003</v>
      </c>
      <c r="E921" s="106">
        <v>264</v>
      </c>
      <c r="F921" s="106">
        <v>1312.05</v>
      </c>
      <c r="G921">
        <v>30897</v>
      </c>
      <c r="H921" s="106"/>
      <c r="I921" s="106"/>
      <c r="L921" s="143">
        <v>43355</v>
      </c>
      <c r="M921" s="106">
        <v>261.89</v>
      </c>
      <c r="N921" s="106">
        <v>265.33000000000004</v>
      </c>
      <c r="O921" s="106">
        <v>252.03000000000003</v>
      </c>
      <c r="P921" s="106">
        <v>264.60000000000002</v>
      </c>
      <c r="Q921" s="106">
        <v>1309.45</v>
      </c>
      <c r="R921">
        <v>474205</v>
      </c>
    </row>
    <row r="922" spans="1:18" x14ac:dyDescent="0.25">
      <c r="A922" s="143">
        <v>43357</v>
      </c>
      <c r="B922" s="106">
        <v>272</v>
      </c>
      <c r="C922" s="106">
        <v>264.64999999999998</v>
      </c>
      <c r="D922" s="106">
        <v>262.01</v>
      </c>
      <c r="E922" s="106">
        <v>262.39999999999998</v>
      </c>
      <c r="F922" s="106">
        <v>1323.25</v>
      </c>
      <c r="G922">
        <v>27914</v>
      </c>
      <c r="H922" s="106"/>
      <c r="I922" s="106"/>
      <c r="L922" s="143">
        <v>43357</v>
      </c>
      <c r="M922" s="106">
        <v>264.90999999999997</v>
      </c>
      <c r="N922" s="106">
        <v>272.28000000000003</v>
      </c>
      <c r="O922" s="106">
        <v>262.02</v>
      </c>
      <c r="P922" s="106">
        <v>264.8</v>
      </c>
      <c r="Q922" s="106">
        <v>1324.55</v>
      </c>
      <c r="R922">
        <v>335733</v>
      </c>
    </row>
    <row r="923" spans="1:18" x14ac:dyDescent="0.25">
      <c r="A923" s="143">
        <v>43360</v>
      </c>
      <c r="B923" s="106">
        <v>264.54000000000002</v>
      </c>
      <c r="C923" s="106">
        <v>262.91999999999996</v>
      </c>
      <c r="D923" s="106">
        <v>254.5</v>
      </c>
      <c r="E923" s="106">
        <v>263</v>
      </c>
      <c r="F923" s="106">
        <v>1314.6</v>
      </c>
      <c r="G923">
        <v>16216</v>
      </c>
      <c r="H923" s="106"/>
      <c r="I923" s="106"/>
      <c r="L923" s="143">
        <v>43360</v>
      </c>
      <c r="M923" s="106">
        <v>263.40999999999997</v>
      </c>
      <c r="N923" s="106">
        <v>265.19</v>
      </c>
      <c r="O923" s="106">
        <v>253.20999999999998</v>
      </c>
      <c r="P923" s="106">
        <v>261.23</v>
      </c>
      <c r="Q923" s="106">
        <v>1317.05</v>
      </c>
      <c r="R923">
        <v>253380</v>
      </c>
    </row>
    <row r="924" spans="1:18" x14ac:dyDescent="0.25">
      <c r="A924" s="143">
        <v>43361</v>
      </c>
      <c r="B924" s="106">
        <v>268.10000000000002</v>
      </c>
      <c r="C924" s="106">
        <v>263.64</v>
      </c>
      <c r="D924" s="106">
        <v>262.16999999999996</v>
      </c>
      <c r="E924" s="106">
        <v>265.89</v>
      </c>
      <c r="F924" s="106">
        <v>1318.2</v>
      </c>
      <c r="G924">
        <v>7104</v>
      </c>
      <c r="H924" s="106"/>
      <c r="I924" s="106"/>
      <c r="L924" s="143">
        <v>43361</v>
      </c>
      <c r="M924" s="106">
        <v>263.94</v>
      </c>
      <c r="N924" s="106">
        <v>267.79000000000002</v>
      </c>
      <c r="O924" s="106">
        <v>262</v>
      </c>
      <c r="P924" s="106">
        <v>265.81</v>
      </c>
      <c r="Q924" s="106">
        <v>1319.7</v>
      </c>
      <c r="R924">
        <v>190668</v>
      </c>
    </row>
    <row r="925" spans="1:18" x14ac:dyDescent="0.25">
      <c r="A925" s="143">
        <v>43362</v>
      </c>
      <c r="B925" s="106">
        <v>268.58000000000004</v>
      </c>
      <c r="C925" s="106">
        <v>263.39</v>
      </c>
      <c r="D925" s="106">
        <v>260.56</v>
      </c>
      <c r="E925" s="106">
        <v>268</v>
      </c>
      <c r="F925" s="106">
        <v>1316.95</v>
      </c>
      <c r="G925">
        <v>12180</v>
      </c>
      <c r="H925" s="106"/>
      <c r="I925" s="106"/>
      <c r="L925" s="143">
        <v>43362</v>
      </c>
      <c r="M925" s="106">
        <v>263.87</v>
      </c>
      <c r="N925" s="106">
        <v>269.39999999999998</v>
      </c>
      <c r="O925" s="106">
        <v>260.21999999999997</v>
      </c>
      <c r="P925" s="106">
        <v>266.8</v>
      </c>
      <c r="Q925" s="106">
        <v>1319.35</v>
      </c>
      <c r="R925">
        <v>145080</v>
      </c>
    </row>
    <row r="926" spans="1:18" x14ac:dyDescent="0.25">
      <c r="A926" s="143">
        <v>43364</v>
      </c>
      <c r="B926" s="106">
        <v>267.35000000000002</v>
      </c>
      <c r="C926" s="106">
        <v>254.13000000000002</v>
      </c>
      <c r="D926" s="106">
        <v>237.20999999999998</v>
      </c>
      <c r="E926" s="106">
        <v>266.01</v>
      </c>
      <c r="F926" s="106">
        <v>1270.6500000000001</v>
      </c>
      <c r="G926">
        <v>38805</v>
      </c>
      <c r="H926" s="106"/>
      <c r="I926" s="106"/>
      <c r="L926" s="143">
        <v>43364</v>
      </c>
      <c r="M926" s="106">
        <v>255.11999999999998</v>
      </c>
      <c r="N926" s="106">
        <v>267</v>
      </c>
      <c r="O926" s="106">
        <v>237.65</v>
      </c>
      <c r="P926" s="106">
        <v>265</v>
      </c>
      <c r="Q926" s="106">
        <v>1275.5999999999999</v>
      </c>
      <c r="R926">
        <v>592899</v>
      </c>
    </row>
    <row r="927" spans="1:18" x14ac:dyDescent="0.25">
      <c r="A927" s="143">
        <v>43367</v>
      </c>
      <c r="B927" s="106">
        <v>256.38</v>
      </c>
      <c r="C927" s="106">
        <v>235.96999999999997</v>
      </c>
      <c r="D927" s="106">
        <v>230.85999999999999</v>
      </c>
      <c r="E927" s="106">
        <v>254</v>
      </c>
      <c r="F927" s="106">
        <v>1179.8499999999999</v>
      </c>
      <c r="G927">
        <v>33523</v>
      </c>
      <c r="H927" s="106"/>
      <c r="I927" s="106"/>
      <c r="L927" s="143">
        <v>43367</v>
      </c>
      <c r="M927" s="106">
        <v>236.16</v>
      </c>
      <c r="N927" s="106">
        <v>257.44</v>
      </c>
      <c r="O927" s="106">
        <v>230.53000000000003</v>
      </c>
      <c r="P927" s="106">
        <v>256.2</v>
      </c>
      <c r="Q927" s="106">
        <v>1180.8</v>
      </c>
      <c r="R927">
        <v>1029901</v>
      </c>
    </row>
    <row r="928" spans="1:18" x14ac:dyDescent="0.25">
      <c r="A928" s="143">
        <v>43368</v>
      </c>
      <c r="B928" s="106">
        <v>248.01</v>
      </c>
      <c r="C928" s="106">
        <v>246.44</v>
      </c>
      <c r="D928" s="106">
        <v>229.65</v>
      </c>
      <c r="E928" s="106">
        <v>236.9</v>
      </c>
      <c r="F928" s="106">
        <v>1232.2</v>
      </c>
      <c r="G928">
        <v>30686</v>
      </c>
      <c r="H928" s="106"/>
      <c r="I928" s="106"/>
      <c r="L928" s="143">
        <v>43368</v>
      </c>
      <c r="M928" s="106">
        <v>246.08</v>
      </c>
      <c r="N928" s="106">
        <v>247.3</v>
      </c>
      <c r="O928" s="106">
        <v>228.81</v>
      </c>
      <c r="P928" s="106">
        <v>237</v>
      </c>
      <c r="Q928" s="106">
        <v>1230.4000000000001</v>
      </c>
      <c r="R928">
        <v>1212878</v>
      </c>
    </row>
    <row r="929" spans="1:18" x14ac:dyDescent="0.25">
      <c r="A929" s="143">
        <v>43369</v>
      </c>
      <c r="B929" s="106">
        <v>250.8</v>
      </c>
      <c r="C929" s="106">
        <v>242.95999999999998</v>
      </c>
      <c r="D929" s="106">
        <v>240.95</v>
      </c>
      <c r="E929" s="106">
        <v>250.8</v>
      </c>
      <c r="F929" s="106">
        <v>1214.8</v>
      </c>
      <c r="G929">
        <v>7660</v>
      </c>
      <c r="H929" s="106"/>
      <c r="I929" s="106"/>
      <c r="L929" s="143">
        <v>43369</v>
      </c>
      <c r="M929" s="106">
        <v>243.10999999999999</v>
      </c>
      <c r="N929" s="106">
        <v>248</v>
      </c>
      <c r="O929" s="106">
        <v>240.70999999999998</v>
      </c>
      <c r="P929" s="106">
        <v>247.4</v>
      </c>
      <c r="Q929" s="106">
        <v>1215.55</v>
      </c>
      <c r="R929">
        <v>400010</v>
      </c>
    </row>
    <row r="930" spans="1:18" x14ac:dyDescent="0.25">
      <c r="A930" s="143">
        <v>43370</v>
      </c>
      <c r="B930" s="106">
        <v>248.32</v>
      </c>
      <c r="C930" s="106">
        <v>235.51</v>
      </c>
      <c r="D930" s="106">
        <v>233.69</v>
      </c>
      <c r="E930" s="106">
        <v>243.2</v>
      </c>
      <c r="F930" s="106">
        <v>1177.55</v>
      </c>
      <c r="G930">
        <v>28131</v>
      </c>
      <c r="H930" s="106"/>
      <c r="I930" s="106"/>
      <c r="L930" s="143">
        <v>43370</v>
      </c>
      <c r="M930" s="106">
        <v>235.83</v>
      </c>
      <c r="N930" s="106">
        <v>248.45</v>
      </c>
      <c r="O930" s="106">
        <v>233.76999999999998</v>
      </c>
      <c r="P930" s="106">
        <v>243.23000000000002</v>
      </c>
      <c r="Q930" s="106">
        <v>1179.1500000000001</v>
      </c>
      <c r="R930">
        <v>848211</v>
      </c>
    </row>
    <row r="931" spans="1:18" x14ac:dyDescent="0.25">
      <c r="A931" s="143">
        <v>43371</v>
      </c>
      <c r="B931" s="106">
        <v>238.1</v>
      </c>
      <c r="C931" s="106">
        <v>233.79000000000002</v>
      </c>
      <c r="D931" s="106">
        <v>219.53000000000003</v>
      </c>
      <c r="E931" s="106">
        <v>235.51</v>
      </c>
      <c r="F931" s="106">
        <v>1168.95</v>
      </c>
      <c r="G931">
        <v>35523</v>
      </c>
      <c r="H931" s="106"/>
      <c r="I931" s="106"/>
      <c r="L931" s="143">
        <v>43371</v>
      </c>
      <c r="M931" s="106">
        <v>233.35</v>
      </c>
      <c r="N931" s="106">
        <v>238.35999999999999</v>
      </c>
      <c r="O931" s="106">
        <v>218.70999999999998</v>
      </c>
      <c r="P931" s="106">
        <v>236</v>
      </c>
      <c r="Q931" s="106">
        <v>1166.75</v>
      </c>
      <c r="R931">
        <v>579036</v>
      </c>
    </row>
    <row r="932" spans="1:18" x14ac:dyDescent="0.25">
      <c r="A932" s="143">
        <v>43374</v>
      </c>
      <c r="B932" s="106">
        <v>250.91</v>
      </c>
      <c r="C932" s="106">
        <v>247.61</v>
      </c>
      <c r="D932" s="106">
        <v>222.22</v>
      </c>
      <c r="E932" s="106">
        <v>230</v>
      </c>
      <c r="F932" s="106">
        <v>1238.05</v>
      </c>
      <c r="G932">
        <v>26344</v>
      </c>
      <c r="H932" s="106"/>
      <c r="I932" s="106"/>
      <c r="L932" s="143">
        <v>43374</v>
      </c>
      <c r="M932" s="106">
        <v>247.07</v>
      </c>
      <c r="N932" s="106">
        <v>247.83</v>
      </c>
      <c r="O932" s="106">
        <v>224.2</v>
      </c>
      <c r="P932" s="106">
        <v>234.7</v>
      </c>
      <c r="Q932" s="106">
        <v>1235.3499999999999</v>
      </c>
      <c r="R932">
        <v>469653</v>
      </c>
    </row>
    <row r="933" spans="1:18" x14ac:dyDescent="0.25">
      <c r="A933" s="143">
        <v>43376</v>
      </c>
      <c r="B933" s="106">
        <v>252.44</v>
      </c>
      <c r="C933" s="106">
        <v>240.12</v>
      </c>
      <c r="D933" s="106">
        <v>237.41</v>
      </c>
      <c r="E933" s="106">
        <v>242.79</v>
      </c>
      <c r="F933" s="106">
        <v>1200.5999999999999</v>
      </c>
      <c r="G933">
        <v>16499</v>
      </c>
      <c r="H933" s="106"/>
      <c r="I933" s="106"/>
      <c r="L933" s="143">
        <v>43376</v>
      </c>
      <c r="M933" s="106">
        <v>239.61</v>
      </c>
      <c r="N933" s="106">
        <v>252.7</v>
      </c>
      <c r="O933" s="106">
        <v>237</v>
      </c>
      <c r="P933" s="106">
        <v>247.6</v>
      </c>
      <c r="Q933" s="106">
        <v>1198.05</v>
      </c>
      <c r="R933">
        <v>642997</v>
      </c>
    </row>
    <row r="934" spans="1:18" x14ac:dyDescent="0.25">
      <c r="A934" s="143">
        <v>43377</v>
      </c>
      <c r="B934" s="106">
        <v>239.68</v>
      </c>
      <c r="C934" s="106">
        <v>237.57</v>
      </c>
      <c r="D934" s="106">
        <v>228.6</v>
      </c>
      <c r="E934" s="106">
        <v>234.89</v>
      </c>
      <c r="F934" s="106">
        <v>1187.8499999999999</v>
      </c>
      <c r="G934">
        <v>20823</v>
      </c>
      <c r="H934" s="106"/>
      <c r="I934" s="106"/>
      <c r="L934" s="143">
        <v>43377</v>
      </c>
      <c r="M934" s="106">
        <v>238.58</v>
      </c>
      <c r="N934" s="106">
        <v>240.6</v>
      </c>
      <c r="O934" s="106">
        <v>228</v>
      </c>
      <c r="P934" s="106">
        <v>233.66</v>
      </c>
      <c r="Q934" s="106">
        <v>1192.9000000000001</v>
      </c>
      <c r="R934">
        <v>298731</v>
      </c>
    </row>
    <row r="935" spans="1:18" x14ac:dyDescent="0.25">
      <c r="A935" s="143">
        <v>43378</v>
      </c>
      <c r="B935" s="106">
        <v>236.73</v>
      </c>
      <c r="C935" s="106">
        <v>223.57</v>
      </c>
      <c r="D935" s="106">
        <v>218.52</v>
      </c>
      <c r="E935" s="106">
        <v>232.3</v>
      </c>
      <c r="F935" s="106">
        <v>1117.8499999999999</v>
      </c>
      <c r="G935">
        <v>14115</v>
      </c>
      <c r="H935" s="106"/>
      <c r="I935" s="106"/>
      <c r="L935" s="143">
        <v>43378</v>
      </c>
      <c r="M935" s="106">
        <v>222.23</v>
      </c>
      <c r="N935" s="106">
        <v>236.4</v>
      </c>
      <c r="O935" s="106">
        <v>217.03</v>
      </c>
      <c r="P935" s="106">
        <v>234.4</v>
      </c>
      <c r="Q935" s="106">
        <v>1111.1500000000001</v>
      </c>
      <c r="R935">
        <v>347040</v>
      </c>
    </row>
    <row r="936" spans="1:18" x14ac:dyDescent="0.25">
      <c r="A936" s="143">
        <v>43381</v>
      </c>
      <c r="B936" s="106">
        <v>225.74</v>
      </c>
      <c r="C936" s="106">
        <v>209.99</v>
      </c>
      <c r="D936" s="106">
        <v>207.75</v>
      </c>
      <c r="E936" s="106">
        <v>222.2</v>
      </c>
      <c r="F936" s="106">
        <v>1049.95</v>
      </c>
      <c r="G936">
        <v>168478</v>
      </c>
      <c r="H936" s="106"/>
      <c r="I936" s="106"/>
      <c r="L936" s="143">
        <v>43381</v>
      </c>
      <c r="M936" s="106">
        <v>211.07</v>
      </c>
      <c r="N936" s="106">
        <v>224.99</v>
      </c>
      <c r="O936" s="106">
        <v>207.6</v>
      </c>
      <c r="P936" s="106">
        <v>218.8</v>
      </c>
      <c r="Q936" s="106">
        <v>1055.3499999999999</v>
      </c>
      <c r="R936">
        <v>547169</v>
      </c>
    </row>
    <row r="937" spans="1:18" x14ac:dyDescent="0.25">
      <c r="A937" s="143">
        <v>43382</v>
      </c>
      <c r="B937" s="106">
        <v>218.69</v>
      </c>
      <c r="C937" s="106">
        <v>212.82</v>
      </c>
      <c r="D937" s="106">
        <v>208</v>
      </c>
      <c r="E937" s="106">
        <v>210.32</v>
      </c>
      <c r="F937" s="106">
        <v>1064.0999999999999</v>
      </c>
      <c r="G937">
        <v>17828</v>
      </c>
      <c r="H937" s="106"/>
      <c r="I937" s="106"/>
      <c r="L937" s="143">
        <v>43382</v>
      </c>
      <c r="M937" s="106">
        <v>212.91</v>
      </c>
      <c r="N937" s="106">
        <v>219.4</v>
      </c>
      <c r="O937" s="106">
        <v>207.93</v>
      </c>
      <c r="P937" s="106">
        <v>211.07</v>
      </c>
      <c r="Q937" s="106">
        <v>1064.55</v>
      </c>
      <c r="R937">
        <v>780760</v>
      </c>
    </row>
    <row r="938" spans="1:18" x14ac:dyDescent="0.25">
      <c r="A938" s="143">
        <v>43383</v>
      </c>
      <c r="B938" s="106">
        <v>239.38</v>
      </c>
      <c r="C938" s="106">
        <v>233.97</v>
      </c>
      <c r="D938" s="106">
        <v>214.22</v>
      </c>
      <c r="E938" s="106">
        <v>214.22</v>
      </c>
      <c r="F938" s="106">
        <v>1169.8499999999999</v>
      </c>
      <c r="G938">
        <v>29746</v>
      </c>
      <c r="H938" s="106"/>
      <c r="I938" s="106"/>
      <c r="L938" s="143">
        <v>43383</v>
      </c>
      <c r="M938" s="106">
        <v>233.01</v>
      </c>
      <c r="N938" s="106">
        <v>238.24</v>
      </c>
      <c r="O938" s="106">
        <v>214.65</v>
      </c>
      <c r="P938" s="106">
        <v>214.75</v>
      </c>
      <c r="Q938" s="106">
        <v>1165.05</v>
      </c>
      <c r="R938">
        <v>500091</v>
      </c>
    </row>
    <row r="939" spans="1:18" x14ac:dyDescent="0.25">
      <c r="A939" s="143">
        <v>43384</v>
      </c>
      <c r="B939" s="106">
        <v>227.89</v>
      </c>
      <c r="C939" s="106">
        <v>222.48</v>
      </c>
      <c r="D939" s="106">
        <v>211.6</v>
      </c>
      <c r="E939" s="106">
        <v>227.89</v>
      </c>
      <c r="F939" s="106">
        <v>1112.4000000000001</v>
      </c>
      <c r="G939">
        <v>20732</v>
      </c>
      <c r="H939" s="106"/>
      <c r="I939" s="106"/>
      <c r="L939" s="143">
        <v>43384</v>
      </c>
      <c r="M939" s="106">
        <v>221.94</v>
      </c>
      <c r="N939" s="106">
        <v>227.04</v>
      </c>
      <c r="O939" s="106">
        <v>211.4</v>
      </c>
      <c r="P939" s="106">
        <v>219.58</v>
      </c>
      <c r="Q939" s="106">
        <v>1109.7</v>
      </c>
      <c r="R939">
        <v>620334</v>
      </c>
    </row>
    <row r="940" spans="1:18" x14ac:dyDescent="0.25">
      <c r="A940" s="143">
        <v>43385</v>
      </c>
      <c r="B940" s="106">
        <v>241.11</v>
      </c>
      <c r="C940" s="106">
        <v>238</v>
      </c>
      <c r="D940" s="106">
        <v>224.63</v>
      </c>
      <c r="E940" s="106">
        <v>224.63</v>
      </c>
      <c r="F940" s="106">
        <v>1190</v>
      </c>
      <c r="G940">
        <v>25930</v>
      </c>
      <c r="H940" s="106"/>
      <c r="I940" s="106"/>
      <c r="L940" s="143">
        <v>43385</v>
      </c>
      <c r="M940" s="106">
        <v>237.84</v>
      </c>
      <c r="N940" s="106">
        <v>241</v>
      </c>
      <c r="O940" s="106">
        <v>222.99</v>
      </c>
      <c r="P940" s="106">
        <v>224</v>
      </c>
      <c r="Q940" s="106">
        <v>1189.2</v>
      </c>
      <c r="R940">
        <v>554714</v>
      </c>
    </row>
    <row r="941" spans="1:18" x14ac:dyDescent="0.25">
      <c r="A941" s="143">
        <v>43388</v>
      </c>
      <c r="B941" s="106">
        <v>243.77</v>
      </c>
      <c r="C941" s="106">
        <v>238.73</v>
      </c>
      <c r="D941" s="106">
        <v>234.17</v>
      </c>
      <c r="E941" s="106">
        <v>238</v>
      </c>
      <c r="F941" s="106">
        <v>1193.6500000000001</v>
      </c>
      <c r="G941">
        <v>18298</v>
      </c>
      <c r="H941" s="106"/>
      <c r="I941" s="106"/>
      <c r="L941" s="143">
        <v>43388</v>
      </c>
      <c r="M941" s="106">
        <v>238.76</v>
      </c>
      <c r="N941" s="106">
        <v>243.76</v>
      </c>
      <c r="O941" s="106">
        <v>233.86</v>
      </c>
      <c r="P941" s="106">
        <v>238.8</v>
      </c>
      <c r="Q941" s="106">
        <v>1193.8</v>
      </c>
      <c r="R941">
        <v>253753</v>
      </c>
    </row>
    <row r="942" spans="1:18" x14ac:dyDescent="0.25">
      <c r="A942" s="143">
        <v>43389</v>
      </c>
      <c r="B942" s="106">
        <v>243.84</v>
      </c>
      <c r="C942" s="106">
        <v>241.99</v>
      </c>
      <c r="D942" s="106">
        <v>234.3</v>
      </c>
      <c r="E942" s="106">
        <v>236.23</v>
      </c>
      <c r="F942" s="106">
        <v>1209.95</v>
      </c>
      <c r="G942">
        <v>98996</v>
      </c>
      <c r="H942" s="106"/>
      <c r="I942" s="106"/>
      <c r="L942" s="143">
        <v>43389</v>
      </c>
      <c r="M942" s="106">
        <v>241.77</v>
      </c>
      <c r="N942" s="106">
        <v>243.79</v>
      </c>
      <c r="O942" s="106">
        <v>234.2</v>
      </c>
      <c r="P942" s="106">
        <v>238.4</v>
      </c>
      <c r="Q942" s="106">
        <v>1208.8499999999999</v>
      </c>
      <c r="R942">
        <v>254489</v>
      </c>
    </row>
    <row r="943" spans="1:18" x14ac:dyDescent="0.25">
      <c r="A943" s="143">
        <v>43390</v>
      </c>
      <c r="B943" s="106">
        <v>244.94</v>
      </c>
      <c r="C943" s="106">
        <v>225.94</v>
      </c>
      <c r="D943" s="106">
        <v>223.69</v>
      </c>
      <c r="E943" s="106">
        <v>244.17</v>
      </c>
      <c r="F943" s="106">
        <v>1129.7</v>
      </c>
      <c r="G943">
        <v>20364</v>
      </c>
      <c r="H943" s="106"/>
      <c r="I943" s="106"/>
      <c r="L943" s="143">
        <v>43390</v>
      </c>
      <c r="M943" s="106">
        <v>226.18</v>
      </c>
      <c r="N943" s="106">
        <v>246.38</v>
      </c>
      <c r="O943" s="106">
        <v>223.54</v>
      </c>
      <c r="P943" s="106">
        <v>246.38</v>
      </c>
      <c r="Q943" s="106">
        <v>1130.9000000000001</v>
      </c>
      <c r="R943">
        <v>404796</v>
      </c>
    </row>
    <row r="944" spans="1:18" x14ac:dyDescent="0.25">
      <c r="A944" s="143">
        <v>43392</v>
      </c>
      <c r="B944" s="106">
        <v>233.7</v>
      </c>
      <c r="C944" s="106">
        <v>222.79</v>
      </c>
      <c r="D944" s="106">
        <v>218.26</v>
      </c>
      <c r="E944" s="106">
        <v>226</v>
      </c>
      <c r="F944" s="106">
        <v>1113.95</v>
      </c>
      <c r="G944">
        <v>18815</v>
      </c>
      <c r="H944" s="106"/>
      <c r="I944" s="106"/>
      <c r="L944" s="143">
        <v>43392</v>
      </c>
      <c r="M944" s="106">
        <v>222.74</v>
      </c>
      <c r="N944" s="106">
        <v>233.8</v>
      </c>
      <c r="O944" s="106">
        <v>217.78</v>
      </c>
      <c r="P944" s="106">
        <v>226.2</v>
      </c>
      <c r="Q944" s="106">
        <v>1113.7</v>
      </c>
      <c r="R944">
        <v>361133</v>
      </c>
    </row>
    <row r="945" spans="1:18" x14ac:dyDescent="0.25">
      <c r="A945" s="143">
        <v>43395</v>
      </c>
      <c r="B945" s="106">
        <v>234</v>
      </c>
      <c r="C945" s="106">
        <v>228.77</v>
      </c>
      <c r="D945" s="106">
        <v>224.48</v>
      </c>
      <c r="E945" s="106">
        <v>226.43</v>
      </c>
      <c r="F945" s="106">
        <v>1143.8499999999999</v>
      </c>
      <c r="G945">
        <v>13136</v>
      </c>
      <c r="H945" s="106"/>
      <c r="I945" s="106"/>
      <c r="L945" s="143">
        <v>43395</v>
      </c>
      <c r="M945" s="106">
        <v>229.47</v>
      </c>
      <c r="N945" s="106">
        <v>234.4</v>
      </c>
      <c r="O945" s="106">
        <v>223.4</v>
      </c>
      <c r="P945" s="106">
        <v>223.4</v>
      </c>
      <c r="Q945" s="106">
        <v>1147.3499999999999</v>
      </c>
      <c r="R945">
        <v>328081</v>
      </c>
    </row>
    <row r="946" spans="1:18" x14ac:dyDescent="0.25">
      <c r="A946" s="143">
        <v>43396</v>
      </c>
      <c r="B946" s="106">
        <v>235.23</v>
      </c>
      <c r="C946" s="106">
        <v>222.72</v>
      </c>
      <c r="D946" s="106">
        <v>216</v>
      </c>
      <c r="E946" s="106">
        <v>228.05</v>
      </c>
      <c r="F946" s="106">
        <v>1113.5999999999999</v>
      </c>
      <c r="G946">
        <v>15589</v>
      </c>
      <c r="H946" s="106"/>
      <c r="I946" s="106"/>
      <c r="L946" s="143">
        <v>43396</v>
      </c>
      <c r="M946" s="106">
        <v>222.35</v>
      </c>
      <c r="N946" s="106">
        <v>235.34</v>
      </c>
      <c r="O946" s="106">
        <v>215.42</v>
      </c>
      <c r="P946" s="106">
        <v>225.2</v>
      </c>
      <c r="Q946" s="106">
        <v>1111.75</v>
      </c>
      <c r="R946">
        <v>326056</v>
      </c>
    </row>
    <row r="947" spans="1:18" x14ac:dyDescent="0.25">
      <c r="A947" s="143">
        <v>43397</v>
      </c>
      <c r="B947" s="106">
        <v>237.68</v>
      </c>
      <c r="C947" s="106">
        <v>236.64</v>
      </c>
      <c r="D947" s="106">
        <v>225.45</v>
      </c>
      <c r="E947" s="106">
        <v>229.04</v>
      </c>
      <c r="F947" s="106">
        <v>1183.2</v>
      </c>
      <c r="G947">
        <v>16381</v>
      </c>
      <c r="H947" s="106"/>
      <c r="I947" s="106"/>
      <c r="L947" s="143">
        <v>43397</v>
      </c>
      <c r="M947" s="106">
        <v>236.49</v>
      </c>
      <c r="N947" s="106">
        <v>238.37</v>
      </c>
      <c r="O947" s="106">
        <v>223.88</v>
      </c>
      <c r="P947" s="106">
        <v>228.4</v>
      </c>
      <c r="Q947" s="106">
        <v>1182.45</v>
      </c>
      <c r="R947">
        <v>648071</v>
      </c>
    </row>
    <row r="948" spans="1:18" x14ac:dyDescent="0.25">
      <c r="A948" s="143">
        <v>43398</v>
      </c>
      <c r="B948" s="106">
        <v>238.83</v>
      </c>
      <c r="C948" s="106">
        <v>236.08</v>
      </c>
      <c r="D948" s="106">
        <v>224.86</v>
      </c>
      <c r="E948" s="106">
        <v>229</v>
      </c>
      <c r="F948" s="106">
        <v>1180.4000000000001</v>
      </c>
      <c r="G948">
        <v>12488</v>
      </c>
      <c r="H948" s="106"/>
      <c r="I948" s="106"/>
      <c r="L948" s="143">
        <v>43398</v>
      </c>
      <c r="M948" s="106">
        <v>236</v>
      </c>
      <c r="N948" s="106">
        <v>239.42</v>
      </c>
      <c r="O948" s="106">
        <v>229.22</v>
      </c>
      <c r="P948" s="106">
        <v>229.22</v>
      </c>
      <c r="Q948" s="106">
        <v>1180</v>
      </c>
      <c r="R948">
        <v>288159</v>
      </c>
    </row>
    <row r="949" spans="1:18" x14ac:dyDescent="0.25">
      <c r="A949" s="143">
        <v>43399</v>
      </c>
      <c r="B949" s="106">
        <v>246.57</v>
      </c>
      <c r="C949" s="106">
        <v>240.96</v>
      </c>
      <c r="D949" s="106">
        <v>229.8</v>
      </c>
      <c r="E949" s="106">
        <v>234.03</v>
      </c>
      <c r="F949" s="106">
        <v>1204.8</v>
      </c>
      <c r="G949">
        <v>18717</v>
      </c>
      <c r="H949" s="106"/>
      <c r="I949" s="106"/>
      <c r="L949" s="143">
        <v>43399</v>
      </c>
      <c r="M949" s="106">
        <v>241.15</v>
      </c>
      <c r="N949" s="106">
        <v>247.3</v>
      </c>
      <c r="O949" s="106">
        <v>229.77</v>
      </c>
      <c r="P949" s="106">
        <v>237.16</v>
      </c>
      <c r="Q949" s="106">
        <v>1205.75</v>
      </c>
      <c r="R949">
        <v>319040</v>
      </c>
    </row>
    <row r="950" spans="1:18" x14ac:dyDescent="0.25">
      <c r="A950" s="143">
        <v>43402</v>
      </c>
      <c r="B950" s="106">
        <v>254.47</v>
      </c>
      <c r="C950" s="106">
        <v>253.51</v>
      </c>
      <c r="D950" s="106">
        <v>238.38</v>
      </c>
      <c r="E950" s="106">
        <v>242.06</v>
      </c>
      <c r="F950" s="106">
        <v>1267.55</v>
      </c>
      <c r="G950">
        <v>19816</v>
      </c>
      <c r="H950" s="106"/>
      <c r="I950" s="106"/>
      <c r="L950" s="143">
        <v>43402</v>
      </c>
      <c r="M950" s="106">
        <v>253.7</v>
      </c>
      <c r="N950" s="106">
        <v>254.97</v>
      </c>
      <c r="O950" s="106">
        <v>238.8</v>
      </c>
      <c r="P950" s="106">
        <v>239.7</v>
      </c>
      <c r="Q950" s="106">
        <v>1268.5</v>
      </c>
      <c r="R950">
        <v>313567</v>
      </c>
    </row>
    <row r="951" spans="1:18" x14ac:dyDescent="0.25">
      <c r="A951" s="143">
        <v>43403</v>
      </c>
      <c r="B951" s="106">
        <v>257.36</v>
      </c>
      <c r="C951" s="106">
        <v>249.19</v>
      </c>
      <c r="D951" s="106">
        <v>247.36</v>
      </c>
      <c r="E951" s="106">
        <v>250.04</v>
      </c>
      <c r="F951" s="106">
        <v>1245.95</v>
      </c>
      <c r="G951">
        <v>28011</v>
      </c>
      <c r="H951" s="106"/>
      <c r="I951" s="106"/>
      <c r="L951" s="143">
        <v>43403</v>
      </c>
      <c r="M951" s="106">
        <v>248.75</v>
      </c>
      <c r="N951" s="106">
        <v>258</v>
      </c>
      <c r="O951" s="106">
        <v>246.35</v>
      </c>
      <c r="P951" s="106">
        <v>253</v>
      </c>
      <c r="Q951" s="106">
        <v>1243.75</v>
      </c>
      <c r="R951">
        <v>345154</v>
      </c>
    </row>
    <row r="952" spans="1:18" x14ac:dyDescent="0.25">
      <c r="A952" s="143">
        <v>43404</v>
      </c>
      <c r="B952" s="106">
        <v>256</v>
      </c>
      <c r="C952" s="106">
        <v>253.76</v>
      </c>
      <c r="D952" s="106">
        <v>244.49</v>
      </c>
      <c r="E952" s="106">
        <v>253</v>
      </c>
      <c r="F952" s="106">
        <v>1268.8</v>
      </c>
      <c r="G952">
        <v>34676</v>
      </c>
      <c r="H952" s="106"/>
      <c r="I952" s="106"/>
      <c r="L952" s="143">
        <v>43404</v>
      </c>
      <c r="M952" s="106">
        <v>254.1</v>
      </c>
      <c r="N952" s="106">
        <v>255.77</v>
      </c>
      <c r="O952" s="106">
        <v>243.6</v>
      </c>
      <c r="P952" s="106">
        <v>250.59</v>
      </c>
      <c r="Q952" s="106">
        <v>1270.5</v>
      </c>
      <c r="R952">
        <v>356127</v>
      </c>
    </row>
    <row r="953" spans="1:18" x14ac:dyDescent="0.25">
      <c r="A953" s="143">
        <v>43405</v>
      </c>
      <c r="B953" s="106">
        <v>270.70999999999998</v>
      </c>
      <c r="C953" s="106">
        <v>266.74</v>
      </c>
      <c r="D953" s="106">
        <v>253.65</v>
      </c>
      <c r="E953" s="106">
        <v>253.88</v>
      </c>
      <c r="F953" s="106">
        <v>1333.7</v>
      </c>
      <c r="G953">
        <v>37209</v>
      </c>
      <c r="H953" s="106"/>
      <c r="I953" s="106"/>
      <c r="L953" s="143">
        <v>43405</v>
      </c>
      <c r="M953" s="106">
        <v>267.81</v>
      </c>
      <c r="N953" s="106">
        <v>270.92</v>
      </c>
      <c r="O953" s="106">
        <v>252.56</v>
      </c>
      <c r="P953" s="106">
        <v>252.56</v>
      </c>
      <c r="Q953" s="106">
        <v>1339.05</v>
      </c>
      <c r="R953">
        <v>671463</v>
      </c>
    </row>
    <row r="954" spans="1:18" x14ac:dyDescent="0.25">
      <c r="A954" s="143">
        <v>43406</v>
      </c>
      <c r="B954" s="106">
        <v>277.47000000000003</v>
      </c>
      <c r="C954" s="106">
        <v>264.52</v>
      </c>
      <c r="D954" s="106">
        <v>258.82</v>
      </c>
      <c r="E954" s="106">
        <v>268.49</v>
      </c>
      <c r="F954" s="106">
        <v>1322.6</v>
      </c>
      <c r="G954">
        <v>40021</v>
      </c>
      <c r="H954" s="106"/>
      <c r="I954" s="106"/>
      <c r="L954" s="143">
        <v>43406</v>
      </c>
      <c r="M954" s="106">
        <v>264.64</v>
      </c>
      <c r="N954" s="106">
        <v>277.98</v>
      </c>
      <c r="O954" s="106">
        <v>257.61</v>
      </c>
      <c r="P954" s="106">
        <v>269.74</v>
      </c>
      <c r="Q954" s="106">
        <v>1323.2</v>
      </c>
      <c r="R954">
        <v>527320</v>
      </c>
    </row>
    <row r="955" spans="1:18" x14ac:dyDescent="0.25">
      <c r="A955" s="143">
        <v>43409</v>
      </c>
      <c r="B955" s="106">
        <v>269</v>
      </c>
      <c r="C955" s="106">
        <v>262.64999999999998</v>
      </c>
      <c r="D955" s="106">
        <v>256</v>
      </c>
      <c r="E955" s="106">
        <v>263</v>
      </c>
      <c r="F955" s="106">
        <v>1313.25</v>
      </c>
      <c r="G955">
        <v>9019</v>
      </c>
      <c r="H955" s="106"/>
      <c r="I955" s="106"/>
      <c r="L955" s="143">
        <v>43409</v>
      </c>
      <c r="M955" s="106">
        <v>262.83</v>
      </c>
      <c r="N955" s="106">
        <v>269.39999999999998</v>
      </c>
      <c r="O955" s="106">
        <v>255.65</v>
      </c>
      <c r="P955" s="106">
        <v>263.04000000000002</v>
      </c>
      <c r="Q955" s="106">
        <v>1314.15</v>
      </c>
      <c r="R955">
        <v>168300</v>
      </c>
    </row>
    <row r="956" spans="1:18" x14ac:dyDescent="0.25">
      <c r="A956" s="143">
        <v>43410</v>
      </c>
      <c r="B956" s="106">
        <v>267.33</v>
      </c>
      <c r="C956" s="106">
        <v>258.19</v>
      </c>
      <c r="D956" s="106">
        <v>257.69</v>
      </c>
      <c r="E956" s="106">
        <v>263</v>
      </c>
      <c r="F956" s="106">
        <v>1290.95</v>
      </c>
      <c r="G956">
        <v>8682</v>
      </c>
      <c r="H956" s="106"/>
      <c r="I956" s="106"/>
      <c r="L956" s="143">
        <v>43410</v>
      </c>
      <c r="M956" s="106">
        <v>258.07</v>
      </c>
      <c r="N956" s="106">
        <v>268</v>
      </c>
      <c r="O956" s="106">
        <v>257.17</v>
      </c>
      <c r="P956" s="106">
        <v>264.60000000000002</v>
      </c>
      <c r="Q956" s="106">
        <v>1290.3499999999999</v>
      </c>
      <c r="R956">
        <v>117149</v>
      </c>
    </row>
    <row r="957" spans="1:18" x14ac:dyDescent="0.25">
      <c r="A957" s="143">
        <v>43411</v>
      </c>
      <c r="B957" s="106">
        <v>260.98</v>
      </c>
      <c r="C957" s="106">
        <v>258.08</v>
      </c>
      <c r="D957" s="106">
        <v>256.39999999999998</v>
      </c>
      <c r="E957" s="106">
        <v>258.44</v>
      </c>
      <c r="F957" s="106">
        <v>1290.4000000000001</v>
      </c>
      <c r="G957">
        <v>729</v>
      </c>
      <c r="H957" s="106"/>
      <c r="I957" s="106"/>
      <c r="L957" s="143">
        <v>43411</v>
      </c>
      <c r="M957" s="106">
        <v>258.7</v>
      </c>
      <c r="N957" s="106">
        <v>261.39999999999998</v>
      </c>
      <c r="O957" s="106">
        <v>257.45</v>
      </c>
      <c r="P957" s="106">
        <v>261.39999999999998</v>
      </c>
      <c r="Q957" s="106">
        <v>1293.5</v>
      </c>
      <c r="R957">
        <v>14507</v>
      </c>
    </row>
    <row r="958" spans="1:18" x14ac:dyDescent="0.25">
      <c r="A958" s="143">
        <v>43413</v>
      </c>
      <c r="B958" s="106">
        <v>267.58</v>
      </c>
      <c r="C958" s="106">
        <v>262.08</v>
      </c>
      <c r="D958" s="106">
        <v>258.99</v>
      </c>
      <c r="E958" s="106">
        <v>259.69</v>
      </c>
      <c r="F958" s="106">
        <v>1310.4000000000001</v>
      </c>
      <c r="G958">
        <v>9012</v>
      </c>
      <c r="H958" s="106"/>
      <c r="I958" s="106"/>
      <c r="L958" s="143">
        <v>43413</v>
      </c>
      <c r="M958" s="106">
        <v>262</v>
      </c>
      <c r="N958" s="106">
        <v>267.60000000000002</v>
      </c>
      <c r="O958" s="106">
        <v>257.01</v>
      </c>
      <c r="P958" s="106">
        <v>257.01</v>
      </c>
      <c r="Q958" s="106">
        <v>1310</v>
      </c>
      <c r="R958">
        <v>186421</v>
      </c>
    </row>
    <row r="959" spans="1:18" x14ac:dyDescent="0.25">
      <c r="A959" s="143">
        <v>43416</v>
      </c>
      <c r="B959" s="106">
        <v>267.31</v>
      </c>
      <c r="C959" s="106">
        <v>263.55</v>
      </c>
      <c r="D959" s="106">
        <v>261.37</v>
      </c>
      <c r="E959" s="106">
        <v>261.42</v>
      </c>
      <c r="F959" s="106">
        <v>1317.75</v>
      </c>
      <c r="G959">
        <v>8853</v>
      </c>
      <c r="H959" s="106"/>
      <c r="I959" s="106"/>
      <c r="L959" s="143">
        <v>43416</v>
      </c>
      <c r="M959" s="106">
        <v>264.75</v>
      </c>
      <c r="N959" s="106">
        <v>267.70999999999998</v>
      </c>
      <c r="O959" s="106">
        <v>260.69</v>
      </c>
      <c r="P959" s="106">
        <v>264</v>
      </c>
      <c r="Q959" s="106">
        <v>1323.75</v>
      </c>
      <c r="R959">
        <v>185399</v>
      </c>
    </row>
    <row r="960" spans="1:18" x14ac:dyDescent="0.25">
      <c r="A960" s="143">
        <v>43417</v>
      </c>
      <c r="B960" s="106">
        <v>266.2</v>
      </c>
      <c r="C960" s="106">
        <v>265.83</v>
      </c>
      <c r="D960" s="106">
        <v>258.31</v>
      </c>
      <c r="E960" s="106">
        <v>263.41000000000003</v>
      </c>
      <c r="F960" s="106">
        <v>1329.15</v>
      </c>
      <c r="G960">
        <v>20299</v>
      </c>
      <c r="H960" s="106"/>
      <c r="I960" s="106"/>
      <c r="L960" s="143">
        <v>43417</v>
      </c>
      <c r="M960" s="106">
        <v>265.82</v>
      </c>
      <c r="N960" s="106">
        <v>266.39999999999998</v>
      </c>
      <c r="O960" s="106">
        <v>258.27999999999997</v>
      </c>
      <c r="P960" s="106">
        <v>265.39</v>
      </c>
      <c r="Q960" s="106">
        <v>1329.1</v>
      </c>
      <c r="R960">
        <v>391011</v>
      </c>
    </row>
    <row r="961" spans="1:18" x14ac:dyDescent="0.25">
      <c r="A961" s="143">
        <v>43418</v>
      </c>
      <c r="B961" s="106">
        <v>267.56</v>
      </c>
      <c r="C961" s="106">
        <v>256.10000000000002</v>
      </c>
      <c r="D961" s="106">
        <v>254</v>
      </c>
      <c r="E961" s="106">
        <v>266.2</v>
      </c>
      <c r="F961" s="106">
        <v>1280.5</v>
      </c>
      <c r="G961">
        <v>15115</v>
      </c>
      <c r="H961" s="106"/>
      <c r="I961" s="106"/>
      <c r="L961" s="143">
        <v>43418</v>
      </c>
      <c r="M961" s="106">
        <v>256.2</v>
      </c>
      <c r="N961" s="106">
        <v>268.31</v>
      </c>
      <c r="O961" s="106">
        <v>253.47</v>
      </c>
      <c r="P961" s="106">
        <v>265.60000000000002</v>
      </c>
      <c r="Q961" s="106">
        <v>1281</v>
      </c>
      <c r="R961">
        <v>383755</v>
      </c>
    </row>
    <row r="962" spans="1:18" x14ac:dyDescent="0.25">
      <c r="A962" s="143">
        <v>43419</v>
      </c>
      <c r="B962" s="106">
        <v>261.24</v>
      </c>
      <c r="C962" s="106">
        <v>258.91000000000003</v>
      </c>
      <c r="D962" s="106">
        <v>254.4</v>
      </c>
      <c r="E962" s="106">
        <v>256</v>
      </c>
      <c r="F962" s="106">
        <v>1294.55</v>
      </c>
      <c r="G962">
        <v>13860</v>
      </c>
      <c r="H962" s="106"/>
      <c r="I962" s="106"/>
      <c r="L962" s="143">
        <v>43419</v>
      </c>
      <c r="M962" s="106">
        <v>258.95</v>
      </c>
      <c r="N962" s="106">
        <v>261.39</v>
      </c>
      <c r="O962" s="106">
        <v>254.4</v>
      </c>
      <c r="P962" s="106">
        <v>258.25</v>
      </c>
      <c r="Q962" s="106">
        <v>1294.75</v>
      </c>
      <c r="R962">
        <v>417546</v>
      </c>
    </row>
    <row r="963" spans="1:18" x14ac:dyDescent="0.25">
      <c r="A963" s="143">
        <v>43420</v>
      </c>
      <c r="B963" s="106">
        <v>260.87</v>
      </c>
      <c r="C963" s="106">
        <v>250.7</v>
      </c>
      <c r="D963" s="106">
        <v>246.08</v>
      </c>
      <c r="E963" s="106">
        <v>258.45999999999998</v>
      </c>
      <c r="F963" s="106">
        <v>1253.5</v>
      </c>
      <c r="G963">
        <v>16309</v>
      </c>
      <c r="H963" s="106"/>
      <c r="I963" s="106"/>
      <c r="L963" s="143">
        <v>43420</v>
      </c>
      <c r="M963" s="106">
        <v>251.1</v>
      </c>
      <c r="N963" s="106">
        <v>260.51</v>
      </c>
      <c r="O963" s="106">
        <v>246.04</v>
      </c>
      <c r="P963" s="106">
        <v>260.39999999999998</v>
      </c>
      <c r="Q963" s="106">
        <v>1255.5</v>
      </c>
      <c r="R963">
        <v>314157</v>
      </c>
    </row>
    <row r="964" spans="1:18" x14ac:dyDescent="0.25">
      <c r="A964" s="143">
        <v>43423</v>
      </c>
      <c r="B964" s="106">
        <v>252</v>
      </c>
      <c r="C964" s="106">
        <v>249.61</v>
      </c>
      <c r="D964" s="106">
        <v>245.01</v>
      </c>
      <c r="E964" s="106">
        <v>250.4</v>
      </c>
      <c r="F964" s="106">
        <v>1248.05</v>
      </c>
      <c r="G964">
        <v>19090</v>
      </c>
      <c r="H964" s="106"/>
      <c r="I964" s="106"/>
      <c r="L964" s="143">
        <v>43423</v>
      </c>
      <c r="M964" s="106">
        <v>249.67</v>
      </c>
      <c r="N964" s="106">
        <v>251.62</v>
      </c>
      <c r="O964" s="106">
        <v>245.41</v>
      </c>
      <c r="P964" s="106">
        <v>249.4</v>
      </c>
      <c r="Q964" s="106">
        <v>1248.3499999999999</v>
      </c>
      <c r="R964">
        <v>291338</v>
      </c>
    </row>
    <row r="965" spans="1:18" x14ac:dyDescent="0.25">
      <c r="A965" s="143">
        <v>43424</v>
      </c>
      <c r="B965" s="106">
        <v>261.42</v>
      </c>
      <c r="C965" s="106">
        <v>251.54</v>
      </c>
      <c r="D965" s="106">
        <v>245.87</v>
      </c>
      <c r="E965" s="106">
        <v>248</v>
      </c>
      <c r="F965" s="106">
        <v>1257.7</v>
      </c>
      <c r="G965">
        <v>20073</v>
      </c>
      <c r="H965" s="106"/>
      <c r="I965" s="106"/>
      <c r="L965" s="143">
        <v>43424</v>
      </c>
      <c r="M965" s="106">
        <v>252.04</v>
      </c>
      <c r="N965" s="106">
        <v>261.62</v>
      </c>
      <c r="O965" s="106">
        <v>243.6</v>
      </c>
      <c r="P965" s="106">
        <v>243.6</v>
      </c>
      <c r="Q965" s="106">
        <v>1260.2</v>
      </c>
      <c r="R965">
        <v>418865</v>
      </c>
    </row>
    <row r="966" spans="1:18" x14ac:dyDescent="0.25">
      <c r="A966" s="143">
        <v>43425</v>
      </c>
      <c r="B966" s="106">
        <v>259</v>
      </c>
      <c r="C966" s="106">
        <v>256.36</v>
      </c>
      <c r="D966" s="106">
        <v>253</v>
      </c>
      <c r="E966" s="106">
        <v>259</v>
      </c>
      <c r="F966" s="106">
        <v>1281.8</v>
      </c>
      <c r="G966">
        <v>25378</v>
      </c>
      <c r="H966" s="106"/>
      <c r="I966" s="106"/>
      <c r="L966" s="143">
        <v>43425</v>
      </c>
      <c r="M966" s="106">
        <v>256.73</v>
      </c>
      <c r="N966" s="106">
        <v>258.58</v>
      </c>
      <c r="O966" s="106">
        <v>252.22</v>
      </c>
      <c r="P966" s="106">
        <v>252.22</v>
      </c>
      <c r="Q966" s="106">
        <v>1283.6500000000001</v>
      </c>
      <c r="R966">
        <v>212907</v>
      </c>
    </row>
    <row r="967" spans="1:18" x14ac:dyDescent="0.25">
      <c r="A967" s="143">
        <v>43426</v>
      </c>
      <c r="B967" s="106">
        <v>263.49</v>
      </c>
      <c r="C967" s="106">
        <v>261.07</v>
      </c>
      <c r="D967" s="106">
        <v>256.29000000000002</v>
      </c>
      <c r="E967" s="106">
        <v>257.64999999999998</v>
      </c>
      <c r="F967" s="106">
        <v>1305.3499999999999</v>
      </c>
      <c r="G967">
        <v>14423</v>
      </c>
      <c r="H967" s="106"/>
      <c r="I967" s="106"/>
      <c r="L967" s="143">
        <v>43426</v>
      </c>
      <c r="M967" s="106">
        <v>261.83</v>
      </c>
      <c r="N967" s="106">
        <v>263.62</v>
      </c>
      <c r="O967" s="106">
        <v>256.02</v>
      </c>
      <c r="P967" s="106">
        <v>257.41000000000003</v>
      </c>
      <c r="Q967" s="106">
        <v>1309.1500000000001</v>
      </c>
      <c r="R967">
        <v>384605</v>
      </c>
    </row>
    <row r="968" spans="1:18" x14ac:dyDescent="0.25">
      <c r="A968" s="143">
        <v>43430</v>
      </c>
      <c r="B968" s="106">
        <v>263.99</v>
      </c>
      <c r="C968" s="106">
        <v>257.72000000000003</v>
      </c>
      <c r="D968" s="106">
        <v>256.02999999999997</v>
      </c>
      <c r="E968" s="106">
        <v>262.39999999999998</v>
      </c>
      <c r="F968" s="106">
        <v>1288.5999999999999</v>
      </c>
      <c r="G968">
        <v>7501</v>
      </c>
      <c r="H968" s="106"/>
      <c r="I968" s="106"/>
      <c r="L968" s="143">
        <v>43430</v>
      </c>
      <c r="M968" s="106">
        <v>257.77</v>
      </c>
      <c r="N968" s="106">
        <v>263.8</v>
      </c>
      <c r="O968" s="106">
        <v>256.05</v>
      </c>
      <c r="P968" s="106">
        <v>260.43</v>
      </c>
      <c r="Q968" s="106">
        <v>1288.8499999999999</v>
      </c>
      <c r="R968">
        <v>194284</v>
      </c>
    </row>
    <row r="969" spans="1:18" x14ac:dyDescent="0.25">
      <c r="A969" s="143">
        <v>43431</v>
      </c>
      <c r="B969" s="106">
        <v>264.2</v>
      </c>
      <c r="C969" s="106">
        <v>261.86</v>
      </c>
      <c r="D969" s="106">
        <v>256.58999999999997</v>
      </c>
      <c r="E969" s="106">
        <v>257.23</v>
      </c>
      <c r="F969" s="106">
        <v>1309.3</v>
      </c>
      <c r="G969">
        <v>14533</v>
      </c>
      <c r="H969" s="106"/>
      <c r="I969" s="106"/>
      <c r="L969" s="143">
        <v>43431</v>
      </c>
      <c r="M969" s="106">
        <v>261.95999999999998</v>
      </c>
      <c r="N969" s="106">
        <v>264.8</v>
      </c>
      <c r="O969" s="106">
        <v>254</v>
      </c>
      <c r="P969" s="106">
        <v>257</v>
      </c>
      <c r="Q969" s="106">
        <v>1309.8</v>
      </c>
      <c r="R969">
        <v>224784</v>
      </c>
    </row>
    <row r="970" spans="1:18" x14ac:dyDescent="0.25">
      <c r="A970" s="143">
        <v>43432</v>
      </c>
      <c r="B970" s="106">
        <v>265.79000000000002</v>
      </c>
      <c r="C970" s="106">
        <v>258.54000000000002</v>
      </c>
      <c r="D970" s="106">
        <v>257.64</v>
      </c>
      <c r="E970" s="106">
        <v>264.57</v>
      </c>
      <c r="F970" s="106">
        <v>1292.7</v>
      </c>
      <c r="G970">
        <v>13725</v>
      </c>
      <c r="H970" s="106"/>
      <c r="I970" s="106"/>
      <c r="L970" s="143">
        <v>43432</v>
      </c>
      <c r="M970" s="106">
        <v>258.85000000000002</v>
      </c>
      <c r="N970" s="106">
        <v>265.93</v>
      </c>
      <c r="O970" s="106">
        <v>257.61</v>
      </c>
      <c r="P970" s="106">
        <v>263.58999999999997</v>
      </c>
      <c r="Q970" s="106">
        <v>1294.25</v>
      </c>
      <c r="R970">
        <v>396602</v>
      </c>
    </row>
    <row r="971" spans="1:18" x14ac:dyDescent="0.25">
      <c r="A971" s="143">
        <v>43433</v>
      </c>
      <c r="B971" s="106">
        <v>267.56</v>
      </c>
      <c r="C971" s="106">
        <v>265.82</v>
      </c>
      <c r="D971" s="106">
        <v>258.64999999999998</v>
      </c>
      <c r="E971" s="106">
        <v>258.66000000000003</v>
      </c>
      <c r="F971" s="106">
        <v>1329.1</v>
      </c>
      <c r="G971">
        <v>13456</v>
      </c>
      <c r="H971" s="106"/>
      <c r="I971" s="106"/>
      <c r="L971" s="143">
        <v>43433</v>
      </c>
      <c r="M971" s="106">
        <v>266.83999999999997</v>
      </c>
      <c r="N971" s="106">
        <v>268.8</v>
      </c>
      <c r="O971" s="106">
        <v>259.39999999999998</v>
      </c>
      <c r="P971" s="106">
        <v>260.39999999999998</v>
      </c>
      <c r="Q971" s="106">
        <v>1334.2</v>
      </c>
      <c r="R971">
        <v>510320</v>
      </c>
    </row>
    <row r="972" spans="1:18" x14ac:dyDescent="0.25">
      <c r="A972" s="143">
        <v>43434</v>
      </c>
      <c r="B972" s="106">
        <v>268.17</v>
      </c>
      <c r="C972" s="106">
        <v>262.94</v>
      </c>
      <c r="D972" s="106">
        <v>261.33999999999997</v>
      </c>
      <c r="E972" s="106">
        <v>268.17</v>
      </c>
      <c r="F972" s="106">
        <v>1314.7</v>
      </c>
      <c r="G972">
        <v>12475</v>
      </c>
      <c r="H972" s="106"/>
      <c r="I972" s="106"/>
      <c r="L972" s="143">
        <v>43434</v>
      </c>
      <c r="M972" s="106">
        <v>262.8</v>
      </c>
      <c r="N972" s="106">
        <v>268.5</v>
      </c>
      <c r="O972" s="106">
        <v>261.08</v>
      </c>
      <c r="P972" s="106">
        <v>268.45999999999998</v>
      </c>
      <c r="Q972" s="106">
        <v>1314</v>
      </c>
      <c r="R972">
        <v>186743</v>
      </c>
    </row>
    <row r="973" spans="1:18" x14ac:dyDescent="0.25">
      <c r="A973" s="143">
        <v>43437</v>
      </c>
      <c r="B973" s="106">
        <v>265.61</v>
      </c>
      <c r="C973" s="106">
        <v>263.12</v>
      </c>
      <c r="D973" s="106">
        <v>260.95</v>
      </c>
      <c r="E973" s="106">
        <v>263.57</v>
      </c>
      <c r="F973" s="106">
        <v>1315.6</v>
      </c>
      <c r="G973">
        <v>11778</v>
      </c>
      <c r="H973" s="106"/>
      <c r="I973" s="106"/>
      <c r="L973" s="143">
        <v>43437</v>
      </c>
      <c r="M973" s="106">
        <v>262.86</v>
      </c>
      <c r="N973" s="106">
        <v>265.55</v>
      </c>
      <c r="O973" s="106">
        <v>260.60000000000002</v>
      </c>
      <c r="P973" s="106">
        <v>264.60000000000002</v>
      </c>
      <c r="Q973" s="106">
        <v>1314.3</v>
      </c>
      <c r="R973">
        <v>243243</v>
      </c>
    </row>
    <row r="974" spans="1:18" x14ac:dyDescent="0.25">
      <c r="A974" s="143">
        <v>43438</v>
      </c>
      <c r="B974" s="106">
        <v>267.16000000000003</v>
      </c>
      <c r="C974" s="106">
        <v>259.52999999999997</v>
      </c>
      <c r="D974" s="106">
        <v>258.02</v>
      </c>
      <c r="E974" s="106">
        <v>263.64</v>
      </c>
      <c r="F974" s="106">
        <v>1297.6500000000001</v>
      </c>
      <c r="G974">
        <v>11920</v>
      </c>
      <c r="H974" s="106"/>
      <c r="I974" s="106"/>
      <c r="L974" s="143">
        <v>43438</v>
      </c>
      <c r="M974" s="106">
        <v>259.8</v>
      </c>
      <c r="N974" s="106">
        <v>267.57</v>
      </c>
      <c r="O974" s="106">
        <v>258.22000000000003</v>
      </c>
      <c r="P974" s="106">
        <v>262</v>
      </c>
      <c r="Q974" s="106">
        <v>1299</v>
      </c>
      <c r="R974">
        <v>180864</v>
      </c>
    </row>
    <row r="975" spans="1:18" x14ac:dyDescent="0.25">
      <c r="A975" s="143">
        <v>43439</v>
      </c>
      <c r="B975" s="106">
        <v>258.92</v>
      </c>
      <c r="C975" s="106">
        <v>256.35000000000002</v>
      </c>
      <c r="D975" s="106">
        <v>250.24</v>
      </c>
      <c r="E975" s="106">
        <v>257</v>
      </c>
      <c r="F975" s="106">
        <v>1281.75</v>
      </c>
      <c r="G975">
        <v>14782</v>
      </c>
      <c r="H975" s="106"/>
      <c r="I975" s="106"/>
      <c r="L975" s="143">
        <v>43439</v>
      </c>
      <c r="M975" s="106">
        <v>255.61</v>
      </c>
      <c r="N975" s="106">
        <v>259.35000000000002</v>
      </c>
      <c r="O975" s="106">
        <v>250</v>
      </c>
      <c r="P975" s="106">
        <v>259</v>
      </c>
      <c r="Q975" s="106">
        <v>1278.05</v>
      </c>
      <c r="R975">
        <v>321986</v>
      </c>
    </row>
    <row r="976" spans="1:18" x14ac:dyDescent="0.25">
      <c r="A976" s="143">
        <v>43440</v>
      </c>
      <c r="B976" s="106">
        <v>256.08999999999997</v>
      </c>
      <c r="C976" s="106">
        <v>245.08</v>
      </c>
      <c r="D976" s="106">
        <v>242</v>
      </c>
      <c r="E976" s="106">
        <v>254.24</v>
      </c>
      <c r="F976" s="106">
        <v>1225.4000000000001</v>
      </c>
      <c r="G976">
        <v>33924</v>
      </c>
      <c r="H976" s="106"/>
      <c r="I976" s="106"/>
      <c r="L976" s="143">
        <v>43440</v>
      </c>
      <c r="M976" s="106">
        <v>245.61</v>
      </c>
      <c r="N976" s="106">
        <v>256.29000000000002</v>
      </c>
      <c r="O976" s="106">
        <v>241.83</v>
      </c>
      <c r="P976" s="106">
        <v>255.4</v>
      </c>
      <c r="Q976" s="106">
        <v>1228.05</v>
      </c>
      <c r="R976">
        <v>362075</v>
      </c>
    </row>
    <row r="977" spans="1:18" x14ac:dyDescent="0.25">
      <c r="A977" s="143">
        <v>43441</v>
      </c>
      <c r="B977" s="106">
        <v>248.43</v>
      </c>
      <c r="C977" s="106">
        <v>245.8</v>
      </c>
      <c r="D977" s="106">
        <v>238.47</v>
      </c>
      <c r="E977" s="106">
        <v>245.22</v>
      </c>
      <c r="F977" s="106">
        <v>1229</v>
      </c>
      <c r="G977">
        <v>17762</v>
      </c>
      <c r="H977" s="106"/>
      <c r="I977" s="106"/>
      <c r="L977" s="143">
        <v>43441</v>
      </c>
      <c r="M977" s="106">
        <v>245.06</v>
      </c>
      <c r="N977" s="106">
        <v>251</v>
      </c>
      <c r="O977" s="106">
        <v>238.03</v>
      </c>
      <c r="P977" s="106">
        <v>244.02</v>
      </c>
      <c r="Q977" s="106">
        <v>1225.3</v>
      </c>
      <c r="R977">
        <v>419837</v>
      </c>
    </row>
    <row r="978" spans="1:18" x14ac:dyDescent="0.25">
      <c r="A978" s="143">
        <v>43444</v>
      </c>
      <c r="B978" s="106">
        <v>243.78</v>
      </c>
      <c r="C978" s="106">
        <v>240.2</v>
      </c>
      <c r="D978" s="106">
        <v>237.6</v>
      </c>
      <c r="E978" s="106">
        <v>243.78</v>
      </c>
      <c r="F978" s="106">
        <v>1201</v>
      </c>
      <c r="G978">
        <v>7946</v>
      </c>
      <c r="H978" s="106"/>
      <c r="I978" s="106"/>
      <c r="L978" s="143">
        <v>43444</v>
      </c>
      <c r="M978" s="106">
        <v>239.52</v>
      </c>
      <c r="N978" s="106">
        <v>242.57</v>
      </c>
      <c r="O978" s="106">
        <v>237.41</v>
      </c>
      <c r="P978" s="106">
        <v>242</v>
      </c>
      <c r="Q978" s="106">
        <v>1197.5999999999999</v>
      </c>
      <c r="R978">
        <v>141581</v>
      </c>
    </row>
    <row r="979" spans="1:18" x14ac:dyDescent="0.25">
      <c r="A979" s="143">
        <v>43445</v>
      </c>
      <c r="B979" s="106">
        <v>242</v>
      </c>
      <c r="C979" s="106">
        <v>237.62</v>
      </c>
      <c r="D979" s="106">
        <v>233.06</v>
      </c>
      <c r="E979" s="106">
        <v>233.29</v>
      </c>
      <c r="F979" s="106">
        <v>1188.0999999999999</v>
      </c>
      <c r="G979">
        <v>23708</v>
      </c>
      <c r="H979" s="106"/>
      <c r="I979" s="106"/>
      <c r="L979" s="143">
        <v>43445</v>
      </c>
      <c r="M979" s="106">
        <v>237.92</v>
      </c>
      <c r="N979" s="106">
        <v>242.33</v>
      </c>
      <c r="O979" s="106">
        <v>232.41</v>
      </c>
      <c r="P979" s="106">
        <v>233.2</v>
      </c>
      <c r="Q979" s="106">
        <v>1189.5999999999999</v>
      </c>
      <c r="R979">
        <v>436374</v>
      </c>
    </row>
    <row r="980" spans="1:18" x14ac:dyDescent="0.25">
      <c r="A980" s="143">
        <v>43446</v>
      </c>
      <c r="B980" s="106">
        <v>249</v>
      </c>
      <c r="C980" s="106">
        <v>248.27</v>
      </c>
      <c r="D980" s="106">
        <v>238.87</v>
      </c>
      <c r="E980" s="106">
        <v>239.72</v>
      </c>
      <c r="F980" s="106">
        <v>1241.3499999999999</v>
      </c>
      <c r="G980">
        <v>17059</v>
      </c>
      <c r="H980" s="106"/>
      <c r="I980" s="106"/>
      <c r="L980" s="143">
        <v>43446</v>
      </c>
      <c r="M980" s="106">
        <v>247.92</v>
      </c>
      <c r="N980" s="106">
        <v>248.88</v>
      </c>
      <c r="O980" s="106">
        <v>238.05</v>
      </c>
      <c r="P980" s="106">
        <v>238.05</v>
      </c>
      <c r="Q980" s="106">
        <v>1239.5999999999999</v>
      </c>
      <c r="R980">
        <v>489363</v>
      </c>
    </row>
    <row r="981" spans="1:18" x14ac:dyDescent="0.25">
      <c r="A981" s="143">
        <v>43447</v>
      </c>
      <c r="B981" s="106">
        <v>257</v>
      </c>
      <c r="C981" s="106">
        <v>247.68</v>
      </c>
      <c r="D981" s="106">
        <v>246.02</v>
      </c>
      <c r="E981" s="106">
        <v>250</v>
      </c>
      <c r="F981" s="106">
        <v>1238.4000000000001</v>
      </c>
      <c r="G981">
        <v>22860</v>
      </c>
      <c r="H981" s="106"/>
      <c r="I981" s="106"/>
      <c r="L981" s="143">
        <v>43447</v>
      </c>
      <c r="M981" s="106">
        <v>247.62</v>
      </c>
      <c r="N981" s="106">
        <v>257.27999999999997</v>
      </c>
      <c r="O981" s="106">
        <v>245.42</v>
      </c>
      <c r="P981" s="106">
        <v>248.75</v>
      </c>
      <c r="Q981" s="106">
        <v>1238.0999999999999</v>
      </c>
      <c r="R981">
        <v>505286</v>
      </c>
    </row>
    <row r="982" spans="1:18" x14ac:dyDescent="0.25">
      <c r="A982" s="143">
        <v>43448</v>
      </c>
      <c r="B982" s="106">
        <v>249.2</v>
      </c>
      <c r="C982" s="106">
        <v>246.14</v>
      </c>
      <c r="D982" s="106">
        <v>244.52</v>
      </c>
      <c r="E982" s="106">
        <v>247.4</v>
      </c>
      <c r="F982" s="106">
        <v>1230.7</v>
      </c>
      <c r="G982">
        <v>8859</v>
      </c>
      <c r="H982" s="106"/>
      <c r="I982" s="106"/>
      <c r="L982" s="143">
        <v>43448</v>
      </c>
      <c r="M982" s="106">
        <v>245.9</v>
      </c>
      <c r="N982" s="106">
        <v>249.61</v>
      </c>
      <c r="O982" s="106">
        <v>244.2</v>
      </c>
      <c r="P982" s="106">
        <v>246</v>
      </c>
      <c r="Q982" s="106">
        <v>1229.5</v>
      </c>
      <c r="R982">
        <v>238684</v>
      </c>
    </row>
    <row r="983" spans="1:18" x14ac:dyDescent="0.25">
      <c r="A983" s="143">
        <v>43451</v>
      </c>
      <c r="B983" s="106">
        <v>248.1</v>
      </c>
      <c r="C983" s="106">
        <v>246.14</v>
      </c>
      <c r="D983" s="106">
        <v>243.5</v>
      </c>
      <c r="E983" s="106">
        <v>246.83</v>
      </c>
      <c r="F983" s="106">
        <v>1230.7</v>
      </c>
      <c r="G983">
        <v>6958</v>
      </c>
      <c r="H983" s="106"/>
      <c r="I983" s="106"/>
      <c r="L983" s="143">
        <v>43451</v>
      </c>
      <c r="M983" s="106">
        <v>246.43</v>
      </c>
      <c r="N983" s="106">
        <v>247.89</v>
      </c>
      <c r="O983" s="106">
        <v>243.17</v>
      </c>
      <c r="P983" s="106">
        <v>246</v>
      </c>
      <c r="Q983" s="106">
        <v>1232.1500000000001</v>
      </c>
      <c r="R983">
        <v>252668</v>
      </c>
    </row>
    <row r="984" spans="1:18" x14ac:dyDescent="0.25">
      <c r="A984" s="143">
        <v>43452</v>
      </c>
      <c r="B984" s="106">
        <v>245.44</v>
      </c>
      <c r="C984" s="106">
        <v>243.79</v>
      </c>
      <c r="D984" s="106">
        <v>242.82</v>
      </c>
      <c r="E984" s="106">
        <v>244.29</v>
      </c>
      <c r="F984" s="106">
        <v>1218.95</v>
      </c>
      <c r="G984">
        <v>24728</v>
      </c>
      <c r="H984" s="106"/>
      <c r="I984" s="106"/>
      <c r="L984" s="143">
        <v>43452</v>
      </c>
      <c r="M984" s="106">
        <v>243.97</v>
      </c>
      <c r="N984" s="106">
        <v>245.71</v>
      </c>
      <c r="O984" s="106">
        <v>241.89</v>
      </c>
      <c r="P984" s="106">
        <v>244.8</v>
      </c>
      <c r="Q984" s="106">
        <v>1219.8499999999999</v>
      </c>
      <c r="R984">
        <v>311331</v>
      </c>
    </row>
    <row r="985" spans="1:18" x14ac:dyDescent="0.25">
      <c r="A985" s="143">
        <v>43453</v>
      </c>
      <c r="B985" s="106">
        <v>260.2</v>
      </c>
      <c r="C985" s="106">
        <v>256.82</v>
      </c>
      <c r="D985" s="106">
        <v>245.49</v>
      </c>
      <c r="E985" s="106">
        <v>245.49</v>
      </c>
      <c r="F985" s="106">
        <v>1284.0999999999999</v>
      </c>
      <c r="G985">
        <v>42880</v>
      </c>
      <c r="H985" s="106"/>
      <c r="I985" s="106"/>
      <c r="L985" s="143">
        <v>43453</v>
      </c>
      <c r="M985" s="106">
        <v>256.32</v>
      </c>
      <c r="N985" s="106">
        <v>260.51</v>
      </c>
      <c r="O985" s="106">
        <v>245.59</v>
      </c>
      <c r="P985" s="106">
        <v>246.8</v>
      </c>
      <c r="Q985" s="106">
        <v>1281.5999999999999</v>
      </c>
      <c r="R985">
        <v>1231505</v>
      </c>
    </row>
    <row r="986" spans="1:18" x14ac:dyDescent="0.25">
      <c r="A986" s="143">
        <v>43454</v>
      </c>
      <c r="B986" s="106">
        <v>258.92</v>
      </c>
      <c r="C986" s="106">
        <v>252.31</v>
      </c>
      <c r="D986" s="106">
        <v>251.48</v>
      </c>
      <c r="E986" s="106">
        <v>255</v>
      </c>
      <c r="F986" s="106">
        <v>1261.55</v>
      </c>
      <c r="G986">
        <v>11687</v>
      </c>
      <c r="H986" s="106"/>
      <c r="I986" s="106"/>
      <c r="L986" s="143">
        <v>43454</v>
      </c>
      <c r="M986" s="106">
        <v>251.88</v>
      </c>
      <c r="N986" s="106">
        <v>259</v>
      </c>
      <c r="O986" s="106">
        <v>251.38</v>
      </c>
      <c r="P986" s="106">
        <v>255.56</v>
      </c>
      <c r="Q986" s="106">
        <v>1259.4000000000001</v>
      </c>
      <c r="R986">
        <v>525581</v>
      </c>
    </row>
    <row r="987" spans="1:18" x14ac:dyDescent="0.25">
      <c r="A987" s="143">
        <v>43455</v>
      </c>
      <c r="B987" s="106">
        <v>254.94</v>
      </c>
      <c r="C987" s="106">
        <v>244.48</v>
      </c>
      <c r="D987" s="106">
        <v>243.8</v>
      </c>
      <c r="E987" s="106">
        <v>253</v>
      </c>
      <c r="F987" s="106">
        <v>1222.4000000000001</v>
      </c>
      <c r="G987">
        <v>11428</v>
      </c>
      <c r="H987" s="106"/>
      <c r="I987" s="106"/>
      <c r="L987" s="143">
        <v>43455</v>
      </c>
      <c r="M987" s="106">
        <v>244.61</v>
      </c>
      <c r="N987" s="106">
        <v>254.94</v>
      </c>
      <c r="O987" s="106">
        <v>243.72</v>
      </c>
      <c r="P987" s="106">
        <v>252.56</v>
      </c>
      <c r="Q987" s="106">
        <v>1223.05</v>
      </c>
      <c r="R987">
        <v>279110</v>
      </c>
    </row>
    <row r="988" spans="1:18" x14ac:dyDescent="0.25">
      <c r="A988" s="143">
        <v>43458</v>
      </c>
      <c r="B988" s="106">
        <v>250</v>
      </c>
      <c r="C988" s="106">
        <v>244.68</v>
      </c>
      <c r="D988" s="106">
        <v>240.52</v>
      </c>
      <c r="E988" s="106">
        <v>244.61</v>
      </c>
      <c r="F988" s="106">
        <v>1223.4000000000001</v>
      </c>
      <c r="G988">
        <v>9567</v>
      </c>
      <c r="H988" s="106"/>
      <c r="I988" s="106"/>
      <c r="L988" s="143">
        <v>43458</v>
      </c>
      <c r="M988" s="106">
        <v>245.08</v>
      </c>
      <c r="N988" s="106">
        <v>250.52</v>
      </c>
      <c r="O988" s="106">
        <v>240.2</v>
      </c>
      <c r="P988" s="106">
        <v>244.61</v>
      </c>
      <c r="Q988" s="106">
        <v>1225.4000000000001</v>
      </c>
      <c r="R988">
        <v>238226</v>
      </c>
    </row>
    <row r="989" spans="1:18" x14ac:dyDescent="0.25">
      <c r="A989" s="143">
        <v>43460</v>
      </c>
      <c r="B989" s="106">
        <v>246</v>
      </c>
      <c r="C989" s="106">
        <v>244.77</v>
      </c>
      <c r="D989" s="106">
        <v>232.26</v>
      </c>
      <c r="E989" s="106">
        <v>244.69</v>
      </c>
      <c r="F989" s="106">
        <v>1223.8499999999999</v>
      </c>
      <c r="G989">
        <v>25672</v>
      </c>
      <c r="H989" s="106"/>
      <c r="I989" s="106"/>
      <c r="L989" s="143">
        <v>43460</v>
      </c>
      <c r="M989" s="106">
        <v>244.56</v>
      </c>
      <c r="N989" s="106">
        <v>245.81</v>
      </c>
      <c r="O989" s="106">
        <v>231.78</v>
      </c>
      <c r="P989" s="106">
        <v>244</v>
      </c>
      <c r="Q989" s="106">
        <v>1222.8</v>
      </c>
      <c r="R989">
        <v>709282</v>
      </c>
    </row>
    <row r="990" spans="1:18" x14ac:dyDescent="0.25">
      <c r="A990" s="143">
        <v>43461</v>
      </c>
      <c r="B990" s="106">
        <v>252.48</v>
      </c>
      <c r="C990" s="106">
        <v>245.57</v>
      </c>
      <c r="D990" s="106">
        <v>243.2</v>
      </c>
      <c r="E990" s="106">
        <v>244.8</v>
      </c>
      <c r="F990" s="106">
        <v>1227.8499999999999</v>
      </c>
      <c r="G990">
        <v>17265</v>
      </c>
      <c r="H990" s="106"/>
      <c r="I990" s="106"/>
      <c r="L990" s="143">
        <v>43461</v>
      </c>
      <c r="M990" s="106">
        <v>245.75</v>
      </c>
      <c r="N990" s="106">
        <v>252.76</v>
      </c>
      <c r="O990" s="106">
        <v>242.93</v>
      </c>
      <c r="P990" s="106">
        <v>248.8</v>
      </c>
      <c r="Q990" s="106">
        <v>1228.75</v>
      </c>
      <c r="R990">
        <v>453787</v>
      </c>
    </row>
    <row r="991" spans="1:18" x14ac:dyDescent="0.25">
      <c r="A991" s="143">
        <v>43462</v>
      </c>
      <c r="B991" s="106">
        <v>250.67</v>
      </c>
      <c r="C991" s="106">
        <v>249.68</v>
      </c>
      <c r="D991" s="106">
        <v>246.61</v>
      </c>
      <c r="E991" s="106">
        <v>248.77</v>
      </c>
      <c r="F991" s="106">
        <v>1248.4000000000001</v>
      </c>
      <c r="G991">
        <v>8939</v>
      </c>
      <c r="H991" s="106"/>
      <c r="I991" s="106"/>
      <c r="L991" s="143">
        <v>43462</v>
      </c>
      <c r="M991" s="106">
        <v>249.38</v>
      </c>
      <c r="N991" s="106">
        <v>250.73</v>
      </c>
      <c r="O991" s="106">
        <v>246.6</v>
      </c>
      <c r="P991" s="106">
        <v>246.76</v>
      </c>
      <c r="Q991" s="106">
        <v>1246.9000000000001</v>
      </c>
      <c r="R991">
        <v>164195</v>
      </c>
    </row>
    <row r="992" spans="1:18" x14ac:dyDescent="0.25">
      <c r="A992" s="143">
        <v>43465</v>
      </c>
      <c r="B992" s="106">
        <v>255.06</v>
      </c>
      <c r="C992" s="106">
        <v>252.04</v>
      </c>
      <c r="D992" s="106">
        <v>248.84</v>
      </c>
      <c r="E992" s="106">
        <v>250.8</v>
      </c>
      <c r="F992" s="106">
        <v>1260.2</v>
      </c>
      <c r="G992">
        <v>15699</v>
      </c>
      <c r="H992" s="106"/>
      <c r="I992" s="106"/>
      <c r="L992" s="143">
        <v>43465</v>
      </c>
      <c r="M992" s="106">
        <v>251.94</v>
      </c>
      <c r="N992" s="106">
        <v>255.4</v>
      </c>
      <c r="O992" s="106">
        <v>248.65</v>
      </c>
      <c r="P992" s="106">
        <v>251.88</v>
      </c>
      <c r="Q992" s="106">
        <v>1259.7</v>
      </c>
      <c r="R992">
        <v>244064</v>
      </c>
    </row>
    <row r="993" spans="1:18" x14ac:dyDescent="0.25">
      <c r="A993" s="143">
        <v>43466</v>
      </c>
      <c r="B993" s="106">
        <v>253.6</v>
      </c>
      <c r="C993" s="106">
        <v>251.31</v>
      </c>
      <c r="D993" s="106">
        <v>249.24</v>
      </c>
      <c r="E993" s="106">
        <v>252.42</v>
      </c>
      <c r="F993" s="106">
        <v>1256.55</v>
      </c>
      <c r="G993">
        <v>6322</v>
      </c>
      <c r="H993" s="106"/>
      <c r="I993" s="106"/>
      <c r="L993" s="143">
        <v>43466</v>
      </c>
      <c r="M993" s="106">
        <v>251.03</v>
      </c>
      <c r="N993" s="106">
        <v>253.59</v>
      </c>
      <c r="O993" s="106">
        <v>249.05</v>
      </c>
      <c r="P993" s="106">
        <v>252.4</v>
      </c>
      <c r="Q993" s="106">
        <v>1255.1500000000001</v>
      </c>
      <c r="R993">
        <v>97211</v>
      </c>
    </row>
    <row r="994" spans="1:18" x14ac:dyDescent="0.25">
      <c r="A994" s="143">
        <v>43467</v>
      </c>
      <c r="B994" s="106">
        <v>253.19</v>
      </c>
      <c r="C994" s="106">
        <v>246.63</v>
      </c>
      <c r="D994" s="106">
        <v>245.59</v>
      </c>
      <c r="E994" s="106">
        <v>249.4</v>
      </c>
      <c r="F994" s="106">
        <v>1233.1500000000001</v>
      </c>
      <c r="G994">
        <v>14183</v>
      </c>
      <c r="H994" s="106"/>
      <c r="I994" s="106"/>
      <c r="L994" s="143">
        <v>43467</v>
      </c>
      <c r="M994" s="106">
        <v>247.39</v>
      </c>
      <c r="N994" s="106">
        <v>253.37</v>
      </c>
      <c r="O994" s="106">
        <v>245.61</v>
      </c>
      <c r="P994" s="106">
        <v>250.5</v>
      </c>
      <c r="Q994" s="106">
        <v>1236.95</v>
      </c>
      <c r="R994">
        <v>284508</v>
      </c>
    </row>
    <row r="995" spans="1:18" x14ac:dyDescent="0.25">
      <c r="A995" s="143">
        <v>43468</v>
      </c>
      <c r="B995" s="106">
        <v>249.84</v>
      </c>
      <c r="C995" s="106">
        <v>240.17</v>
      </c>
      <c r="D995" s="106">
        <v>239.4</v>
      </c>
      <c r="E995" s="106">
        <v>247.86</v>
      </c>
      <c r="F995" s="106">
        <v>1200.8499999999999</v>
      </c>
      <c r="G995">
        <v>11006</v>
      </c>
      <c r="H995" s="106"/>
      <c r="I995" s="106"/>
      <c r="L995" s="143">
        <v>43468</v>
      </c>
      <c r="M995" s="106">
        <v>240.09</v>
      </c>
      <c r="N995" s="106">
        <v>249.4</v>
      </c>
      <c r="O995" s="106">
        <v>239.2</v>
      </c>
      <c r="P995" s="106">
        <v>246.32</v>
      </c>
      <c r="Q995" s="106">
        <v>1200.45</v>
      </c>
      <c r="R995">
        <v>225916</v>
      </c>
    </row>
    <row r="996" spans="1:18" x14ac:dyDescent="0.25">
      <c r="A996" s="143">
        <v>43469</v>
      </c>
      <c r="B996" s="106">
        <v>245</v>
      </c>
      <c r="C996" s="106">
        <v>241.75</v>
      </c>
      <c r="D996" s="106">
        <v>238.41</v>
      </c>
      <c r="E996" s="106">
        <v>240.2</v>
      </c>
      <c r="F996" s="106">
        <v>1208.75</v>
      </c>
      <c r="G996">
        <v>16970</v>
      </c>
      <c r="H996" s="106"/>
      <c r="I996" s="106"/>
      <c r="L996" s="143">
        <v>43469</v>
      </c>
      <c r="M996" s="106">
        <v>241.52</v>
      </c>
      <c r="N996" s="106">
        <v>245.29</v>
      </c>
      <c r="O996" s="106">
        <v>238.4</v>
      </c>
      <c r="P996" s="106">
        <v>240</v>
      </c>
      <c r="Q996" s="106">
        <v>1207.5999999999999</v>
      </c>
      <c r="R996">
        <v>257270</v>
      </c>
    </row>
    <row r="997" spans="1:18" x14ac:dyDescent="0.25">
      <c r="A997" s="143">
        <v>43472</v>
      </c>
      <c r="B997" s="106">
        <v>245.98</v>
      </c>
      <c r="C997" s="106">
        <v>239.84</v>
      </c>
      <c r="D997" s="106">
        <v>238.94</v>
      </c>
      <c r="E997" s="106">
        <v>245.75</v>
      </c>
      <c r="F997" s="106">
        <v>1199.2</v>
      </c>
      <c r="G997">
        <v>9185</v>
      </c>
      <c r="H997" s="106"/>
      <c r="I997" s="106"/>
      <c r="L997" s="143">
        <v>43472</v>
      </c>
      <c r="M997" s="106">
        <v>239.53</v>
      </c>
      <c r="N997" s="106">
        <v>245.45</v>
      </c>
      <c r="O997" s="106">
        <v>238.22</v>
      </c>
      <c r="P997" s="106">
        <v>243.17</v>
      </c>
      <c r="Q997" s="106">
        <v>1197.6500000000001</v>
      </c>
      <c r="R997">
        <v>240466</v>
      </c>
    </row>
    <row r="998" spans="1:18" x14ac:dyDescent="0.25">
      <c r="A998" s="143">
        <v>43473</v>
      </c>
      <c r="B998" s="106">
        <v>242.61</v>
      </c>
      <c r="C998" s="106">
        <v>239.42</v>
      </c>
      <c r="D998" s="106">
        <v>236.24</v>
      </c>
      <c r="E998" s="106">
        <v>241.2</v>
      </c>
      <c r="F998" s="106">
        <v>1197.0999999999999</v>
      </c>
      <c r="G998">
        <v>7147</v>
      </c>
      <c r="H998" s="106"/>
      <c r="I998" s="106"/>
      <c r="L998" s="143">
        <v>43473</v>
      </c>
      <c r="M998" s="106">
        <v>239.93</v>
      </c>
      <c r="N998" s="106">
        <v>243.01</v>
      </c>
      <c r="O998" s="106">
        <v>238.92</v>
      </c>
      <c r="P998" s="106">
        <v>240</v>
      </c>
      <c r="Q998" s="106">
        <v>1199.6500000000001</v>
      </c>
      <c r="R998">
        <v>184769</v>
      </c>
    </row>
    <row r="999" spans="1:18" x14ac:dyDescent="0.25">
      <c r="A999" s="143">
        <v>43474</v>
      </c>
      <c r="B999" s="106">
        <v>243.81</v>
      </c>
      <c r="C999" s="106">
        <v>239.54</v>
      </c>
      <c r="D999" s="106">
        <v>237.2</v>
      </c>
      <c r="E999" s="106">
        <v>241.21</v>
      </c>
      <c r="F999" s="106">
        <v>1197.7</v>
      </c>
      <c r="G999">
        <v>14456</v>
      </c>
      <c r="H999" s="106"/>
      <c r="I999" s="106"/>
      <c r="L999" s="143">
        <v>43474</v>
      </c>
      <c r="M999" s="106">
        <v>239.79</v>
      </c>
      <c r="N999" s="106">
        <v>244.18</v>
      </c>
      <c r="O999" s="106">
        <v>237</v>
      </c>
      <c r="P999" s="106">
        <v>242.8</v>
      </c>
      <c r="Q999" s="106">
        <v>1198.95</v>
      </c>
      <c r="R999">
        <v>445882</v>
      </c>
    </row>
    <row r="1000" spans="1:18" x14ac:dyDescent="0.25">
      <c r="A1000" s="143">
        <v>43475</v>
      </c>
      <c r="B1000" s="106">
        <v>241.6</v>
      </c>
      <c r="C1000" s="106">
        <v>238.68</v>
      </c>
      <c r="D1000" s="106">
        <v>237.24</v>
      </c>
      <c r="E1000" s="106">
        <v>239.39</v>
      </c>
      <c r="F1000" s="106">
        <v>1193.4000000000001</v>
      </c>
      <c r="G1000">
        <v>11654</v>
      </c>
      <c r="H1000" s="106"/>
      <c r="I1000" s="106"/>
      <c r="L1000" s="143">
        <v>43475</v>
      </c>
      <c r="M1000" s="106">
        <v>238.88</v>
      </c>
      <c r="N1000" s="106">
        <v>242</v>
      </c>
      <c r="O1000" s="106">
        <v>237.36</v>
      </c>
      <c r="P1000" s="106">
        <v>241</v>
      </c>
      <c r="Q1000" s="106">
        <v>1194.4000000000001</v>
      </c>
      <c r="R1000">
        <v>232177</v>
      </c>
    </row>
    <row r="1001" spans="1:18" x14ac:dyDescent="0.25">
      <c r="A1001" s="143">
        <v>43476</v>
      </c>
      <c r="B1001" s="106">
        <v>239.66</v>
      </c>
      <c r="C1001" s="106">
        <v>236.62</v>
      </c>
      <c r="D1001" s="106">
        <v>235</v>
      </c>
      <c r="E1001" s="106">
        <v>239</v>
      </c>
      <c r="F1001" s="106">
        <v>1183.0999999999999</v>
      </c>
      <c r="G1001">
        <v>10876</v>
      </c>
      <c r="H1001" s="106"/>
      <c r="I1001" s="106"/>
      <c r="L1001" s="143">
        <v>43476</v>
      </c>
      <c r="M1001" s="106">
        <v>236.43</v>
      </c>
      <c r="N1001" s="106">
        <v>239.65</v>
      </c>
      <c r="O1001" s="106">
        <v>235</v>
      </c>
      <c r="P1001" s="106">
        <v>238.41</v>
      </c>
      <c r="Q1001" s="106">
        <v>1182.1500000000001</v>
      </c>
      <c r="R1001">
        <v>165040</v>
      </c>
    </row>
    <row r="1002" spans="1:18" x14ac:dyDescent="0.25">
      <c r="A1002" s="143">
        <v>43479</v>
      </c>
      <c r="B1002" s="106">
        <v>239.45</v>
      </c>
      <c r="C1002" s="106">
        <v>237.91</v>
      </c>
      <c r="D1002" s="106">
        <v>230.45</v>
      </c>
      <c r="E1002" s="106">
        <v>234.95</v>
      </c>
      <c r="F1002" s="106">
        <v>1189.55</v>
      </c>
      <c r="G1002">
        <v>32435</v>
      </c>
      <c r="H1002" s="106"/>
      <c r="I1002" s="106"/>
      <c r="L1002" s="143">
        <v>43479</v>
      </c>
      <c r="M1002" s="106">
        <v>237.87</v>
      </c>
      <c r="N1002" s="106">
        <v>238.95</v>
      </c>
      <c r="O1002" s="106">
        <v>230.4</v>
      </c>
      <c r="P1002" s="106">
        <v>236.4</v>
      </c>
      <c r="Q1002" s="106">
        <v>1189.3499999999999</v>
      </c>
      <c r="R1002">
        <v>258963</v>
      </c>
    </row>
    <row r="1003" spans="1:18" x14ac:dyDescent="0.25">
      <c r="A1003" s="143">
        <v>43480</v>
      </c>
      <c r="B1003" s="106">
        <v>240.38</v>
      </c>
      <c r="C1003" s="106">
        <v>237.99</v>
      </c>
      <c r="D1003" s="106">
        <v>236.17</v>
      </c>
      <c r="E1003" s="106">
        <v>239.48</v>
      </c>
      <c r="F1003" s="106">
        <v>1189.95</v>
      </c>
      <c r="G1003">
        <v>14582</v>
      </c>
      <c r="H1003" s="106"/>
      <c r="I1003" s="106"/>
      <c r="L1003" s="143">
        <v>43480</v>
      </c>
      <c r="M1003" s="106">
        <v>238.18</v>
      </c>
      <c r="N1003" s="106">
        <v>240.26</v>
      </c>
      <c r="O1003" s="106">
        <v>235.64</v>
      </c>
      <c r="P1003" s="106">
        <v>238</v>
      </c>
      <c r="Q1003" s="106">
        <v>1190.9000000000001</v>
      </c>
      <c r="R1003">
        <v>165022</v>
      </c>
    </row>
    <row r="1004" spans="1:18" x14ac:dyDescent="0.25">
      <c r="A1004" s="143">
        <v>43481</v>
      </c>
      <c r="B1004" s="106">
        <v>241.77</v>
      </c>
      <c r="C1004" s="106">
        <v>238.54</v>
      </c>
      <c r="D1004" s="106">
        <v>236.21</v>
      </c>
      <c r="E1004" s="106">
        <v>241</v>
      </c>
      <c r="F1004" s="106">
        <v>1192.7</v>
      </c>
      <c r="G1004">
        <v>11451</v>
      </c>
      <c r="H1004" s="106"/>
      <c r="I1004" s="106"/>
      <c r="L1004" s="143">
        <v>43481</v>
      </c>
      <c r="M1004" s="106">
        <v>238.4</v>
      </c>
      <c r="N1004" s="106">
        <v>242.18</v>
      </c>
      <c r="O1004" s="106">
        <v>236.81</v>
      </c>
      <c r="P1004" s="106">
        <v>238.8</v>
      </c>
      <c r="Q1004" s="106">
        <v>1192</v>
      </c>
      <c r="R1004">
        <v>161753</v>
      </c>
    </row>
    <row r="1005" spans="1:18" x14ac:dyDescent="0.25">
      <c r="A1005" s="143">
        <v>43482</v>
      </c>
      <c r="B1005" s="106">
        <v>241.55</v>
      </c>
      <c r="C1005" s="106">
        <v>238.48</v>
      </c>
      <c r="D1005" s="106">
        <v>236.4</v>
      </c>
      <c r="E1005" s="106">
        <v>239.9</v>
      </c>
      <c r="F1005" s="106">
        <v>1192.4000000000001</v>
      </c>
      <c r="G1005">
        <v>7959</v>
      </c>
      <c r="H1005" s="106"/>
      <c r="I1005" s="106"/>
      <c r="L1005" s="143">
        <v>43482</v>
      </c>
      <c r="M1005" s="106">
        <v>239.24</v>
      </c>
      <c r="N1005" s="106">
        <v>241.6</v>
      </c>
      <c r="O1005" s="106">
        <v>236.2</v>
      </c>
      <c r="P1005" s="106">
        <v>239.98</v>
      </c>
      <c r="Q1005" s="106">
        <v>1196.2</v>
      </c>
      <c r="R1005">
        <v>206870</v>
      </c>
    </row>
    <row r="1006" spans="1:18" x14ac:dyDescent="0.25">
      <c r="A1006" s="143">
        <v>43483</v>
      </c>
      <c r="B1006" s="106">
        <v>240.23</v>
      </c>
      <c r="C1006" s="106">
        <v>234.88</v>
      </c>
      <c r="D1006" s="106">
        <v>234.4</v>
      </c>
      <c r="E1006" s="106">
        <v>240.23</v>
      </c>
      <c r="F1006" s="106">
        <v>1174.4000000000001</v>
      </c>
      <c r="G1006">
        <v>8050</v>
      </c>
      <c r="H1006" s="106"/>
      <c r="I1006" s="106"/>
      <c r="L1006" s="143">
        <v>43483</v>
      </c>
      <c r="M1006" s="106">
        <v>235.23</v>
      </c>
      <c r="N1006" s="106">
        <v>241.15</v>
      </c>
      <c r="O1006" s="106">
        <v>234.55</v>
      </c>
      <c r="P1006" s="106">
        <v>240.78</v>
      </c>
      <c r="Q1006" s="106">
        <v>1176.1500000000001</v>
      </c>
      <c r="R1006">
        <v>111078</v>
      </c>
    </row>
    <row r="1007" spans="1:18" x14ac:dyDescent="0.25">
      <c r="A1007" s="143">
        <v>43486</v>
      </c>
      <c r="B1007" s="106">
        <v>236.52</v>
      </c>
      <c r="C1007" s="106">
        <v>234.32</v>
      </c>
      <c r="D1007" s="106">
        <v>233.36</v>
      </c>
      <c r="E1007" s="106">
        <v>236</v>
      </c>
      <c r="F1007" s="106">
        <v>1171.5999999999999</v>
      </c>
      <c r="G1007">
        <v>8090</v>
      </c>
      <c r="H1007" s="106"/>
      <c r="I1007" s="106"/>
      <c r="L1007" s="143">
        <v>43486</v>
      </c>
      <c r="M1007" s="106">
        <v>234.1</v>
      </c>
      <c r="N1007" s="106">
        <v>236.86</v>
      </c>
      <c r="O1007" s="106">
        <v>233.2</v>
      </c>
      <c r="P1007" s="106">
        <v>236.17</v>
      </c>
      <c r="Q1007" s="106">
        <v>1170.5</v>
      </c>
      <c r="R1007">
        <v>145084</v>
      </c>
    </row>
    <row r="1008" spans="1:18" x14ac:dyDescent="0.25">
      <c r="A1008" s="143">
        <v>43487</v>
      </c>
      <c r="B1008" s="106">
        <v>234.37</v>
      </c>
      <c r="C1008" s="106">
        <v>227.78</v>
      </c>
      <c r="D1008" s="106">
        <v>225.17</v>
      </c>
      <c r="E1008" s="106">
        <v>234.37</v>
      </c>
      <c r="F1008" s="106">
        <v>1138.9000000000001</v>
      </c>
      <c r="G1008">
        <v>29591</v>
      </c>
      <c r="H1008" s="106"/>
      <c r="I1008" s="106"/>
      <c r="L1008" s="143">
        <v>43487</v>
      </c>
      <c r="M1008" s="106">
        <v>227.84</v>
      </c>
      <c r="N1008" s="106">
        <v>234.67</v>
      </c>
      <c r="O1008" s="106">
        <v>225.03</v>
      </c>
      <c r="P1008" s="106">
        <v>234.3</v>
      </c>
      <c r="Q1008" s="106">
        <v>1139.2</v>
      </c>
      <c r="R1008">
        <v>449916</v>
      </c>
    </row>
    <row r="1009" spans="1:18" x14ac:dyDescent="0.25">
      <c r="A1009" s="143">
        <v>43488</v>
      </c>
      <c r="B1009" s="106">
        <v>232.79</v>
      </c>
      <c r="C1009" s="106">
        <v>229.45</v>
      </c>
      <c r="D1009" s="106">
        <v>227.9</v>
      </c>
      <c r="E1009" s="106">
        <v>228.71</v>
      </c>
      <c r="F1009" s="106">
        <v>1147.25</v>
      </c>
      <c r="G1009">
        <v>10612</v>
      </c>
      <c r="H1009" s="106"/>
      <c r="I1009" s="106"/>
      <c r="L1009" s="143">
        <v>43488</v>
      </c>
      <c r="M1009" s="106">
        <v>228.99</v>
      </c>
      <c r="N1009" s="106">
        <v>232.96</v>
      </c>
      <c r="O1009" s="106">
        <v>227.58</v>
      </c>
      <c r="P1009" s="106">
        <v>228.4</v>
      </c>
      <c r="Q1009" s="106">
        <v>1144.95</v>
      </c>
      <c r="R1009">
        <v>285217</v>
      </c>
    </row>
    <row r="1010" spans="1:18" x14ac:dyDescent="0.25">
      <c r="A1010" s="143">
        <v>43489</v>
      </c>
      <c r="B1010" s="106">
        <v>233.2</v>
      </c>
      <c r="C1010" s="106">
        <v>231.79</v>
      </c>
      <c r="D1010" s="106">
        <v>226.82</v>
      </c>
      <c r="E1010" s="106">
        <v>227.3</v>
      </c>
      <c r="F1010" s="106">
        <v>1158.95</v>
      </c>
      <c r="G1010">
        <v>6807</v>
      </c>
      <c r="H1010" s="106"/>
      <c r="I1010" s="106"/>
      <c r="L1010" s="143">
        <v>43489</v>
      </c>
      <c r="M1010" s="106">
        <v>231.89</v>
      </c>
      <c r="N1010" s="106">
        <v>233.4</v>
      </c>
      <c r="O1010" s="106">
        <v>227.98</v>
      </c>
      <c r="P1010" s="106">
        <v>229.33</v>
      </c>
      <c r="Q1010" s="106">
        <v>1159.45</v>
      </c>
      <c r="R1010">
        <v>252964</v>
      </c>
    </row>
    <row r="1011" spans="1:18" x14ac:dyDescent="0.25">
      <c r="A1011" s="143">
        <v>43490</v>
      </c>
      <c r="B1011" s="106">
        <v>233.6</v>
      </c>
      <c r="C1011" s="106">
        <v>229.8</v>
      </c>
      <c r="D1011" s="106">
        <v>228.74</v>
      </c>
      <c r="E1011" s="106">
        <v>232.41</v>
      </c>
      <c r="F1011" s="106">
        <v>1149</v>
      </c>
      <c r="G1011">
        <v>7005</v>
      </c>
      <c r="H1011" s="106"/>
      <c r="I1011" s="106"/>
      <c r="L1011" s="143">
        <v>43490</v>
      </c>
      <c r="M1011" s="106">
        <v>229.57</v>
      </c>
      <c r="N1011" s="106">
        <v>233.99</v>
      </c>
      <c r="O1011" s="106">
        <v>228.42</v>
      </c>
      <c r="P1011" s="106">
        <v>232.8</v>
      </c>
      <c r="Q1011" s="106">
        <v>1147.8499999999999</v>
      </c>
      <c r="R1011">
        <v>202546</v>
      </c>
    </row>
    <row r="1012" spans="1:18" x14ac:dyDescent="0.25">
      <c r="A1012" s="143">
        <v>43493</v>
      </c>
      <c r="B1012" s="106">
        <v>229.66</v>
      </c>
      <c r="C1012" s="106">
        <v>225.84</v>
      </c>
      <c r="D1012" s="106">
        <v>223.12</v>
      </c>
      <c r="E1012" s="106">
        <v>229.66</v>
      </c>
      <c r="F1012" s="106">
        <v>1129.2</v>
      </c>
      <c r="G1012">
        <v>10143</v>
      </c>
      <c r="H1012" s="106"/>
      <c r="I1012" s="106"/>
      <c r="L1012" s="143">
        <v>43493</v>
      </c>
      <c r="M1012" s="106">
        <v>225.67</v>
      </c>
      <c r="N1012" s="106">
        <v>231.22</v>
      </c>
      <c r="O1012" s="106">
        <v>222.88</v>
      </c>
      <c r="P1012" s="106">
        <v>230.47</v>
      </c>
      <c r="Q1012" s="106">
        <v>1128.3499999999999</v>
      </c>
      <c r="R1012">
        <v>131624</v>
      </c>
    </row>
    <row r="1013" spans="1:18" x14ac:dyDescent="0.25">
      <c r="A1013" s="143">
        <v>43494</v>
      </c>
      <c r="B1013" s="106">
        <v>226.55</v>
      </c>
      <c r="C1013" s="106">
        <v>221.58</v>
      </c>
      <c r="D1013" s="106">
        <v>219.12</v>
      </c>
      <c r="E1013" s="106">
        <v>223.7</v>
      </c>
      <c r="F1013" s="106">
        <v>1107.9000000000001</v>
      </c>
      <c r="G1013">
        <v>16360</v>
      </c>
      <c r="H1013" s="106"/>
      <c r="I1013" s="106"/>
      <c r="L1013" s="143">
        <v>43494</v>
      </c>
      <c r="M1013" s="106">
        <v>221.82</v>
      </c>
      <c r="N1013" s="106">
        <v>226.92</v>
      </c>
      <c r="O1013" s="106">
        <v>218.88</v>
      </c>
      <c r="P1013" s="106">
        <v>225.6</v>
      </c>
      <c r="Q1013" s="106">
        <v>1109.0999999999999</v>
      </c>
      <c r="R1013">
        <v>282121</v>
      </c>
    </row>
    <row r="1014" spans="1:18" x14ac:dyDescent="0.25">
      <c r="A1014" s="143">
        <v>43495</v>
      </c>
      <c r="B1014" s="106">
        <v>228</v>
      </c>
      <c r="C1014" s="106">
        <v>226.46</v>
      </c>
      <c r="D1014" s="106">
        <v>218.29</v>
      </c>
      <c r="E1014" s="106">
        <v>222</v>
      </c>
      <c r="F1014" s="106">
        <v>1132.3</v>
      </c>
      <c r="G1014">
        <v>25000</v>
      </c>
      <c r="H1014" s="106"/>
      <c r="I1014" s="106"/>
      <c r="L1014" s="143">
        <v>43495</v>
      </c>
      <c r="M1014" s="106">
        <v>226.27</v>
      </c>
      <c r="N1014" s="106">
        <v>228.88</v>
      </c>
      <c r="O1014" s="106">
        <v>218.2</v>
      </c>
      <c r="P1014" s="106">
        <v>224.8</v>
      </c>
      <c r="Q1014" s="106">
        <v>1131.3499999999999</v>
      </c>
      <c r="R1014">
        <v>307024</v>
      </c>
    </row>
    <row r="1015" spans="1:18" x14ac:dyDescent="0.25">
      <c r="A1015" s="143">
        <v>43496</v>
      </c>
      <c r="B1015" s="106">
        <v>236</v>
      </c>
      <c r="C1015" s="106">
        <v>234.84</v>
      </c>
      <c r="D1015" s="106">
        <v>225.95</v>
      </c>
      <c r="E1015" s="106">
        <v>230.8</v>
      </c>
      <c r="F1015" s="106">
        <v>1174.2</v>
      </c>
      <c r="G1015">
        <v>44015</v>
      </c>
      <c r="H1015" s="106"/>
      <c r="I1015" s="106"/>
      <c r="L1015" s="143">
        <v>43496</v>
      </c>
      <c r="M1015" s="106">
        <v>234.46</v>
      </c>
      <c r="N1015" s="106">
        <v>236.23</v>
      </c>
      <c r="O1015" s="106">
        <v>225.99</v>
      </c>
      <c r="P1015" s="106">
        <v>230.96</v>
      </c>
      <c r="Q1015" s="106">
        <v>1172.3</v>
      </c>
      <c r="R1015">
        <v>747226</v>
      </c>
    </row>
    <row r="1016" spans="1:18" x14ac:dyDescent="0.25">
      <c r="A1016" s="143">
        <v>43497</v>
      </c>
      <c r="B1016" s="106">
        <v>249.84</v>
      </c>
      <c r="C1016" s="106">
        <v>244.09</v>
      </c>
      <c r="D1016" s="106">
        <v>234.8</v>
      </c>
      <c r="E1016" s="106">
        <v>234.8</v>
      </c>
      <c r="F1016" s="106">
        <v>1220.45</v>
      </c>
      <c r="G1016">
        <v>50568</v>
      </c>
      <c r="H1016" s="106"/>
      <c r="I1016" s="106"/>
      <c r="L1016" s="143">
        <v>43497</v>
      </c>
      <c r="M1016" s="106">
        <v>243.27</v>
      </c>
      <c r="N1016" s="106">
        <v>249.6</v>
      </c>
      <c r="O1016" s="106">
        <v>235</v>
      </c>
      <c r="P1016" s="106">
        <v>235</v>
      </c>
      <c r="Q1016" s="106">
        <v>1216.3499999999999</v>
      </c>
      <c r="R1016">
        <v>663420</v>
      </c>
    </row>
    <row r="1017" spans="1:18" x14ac:dyDescent="0.25">
      <c r="A1017" s="143">
        <v>43500</v>
      </c>
      <c r="B1017" s="106">
        <v>261.08</v>
      </c>
      <c r="C1017" s="106">
        <v>244.62</v>
      </c>
      <c r="D1017" s="106">
        <v>239.11</v>
      </c>
      <c r="E1017" s="106">
        <v>261.08</v>
      </c>
      <c r="F1017" s="106">
        <v>1223.0999999999999</v>
      </c>
      <c r="G1017">
        <v>14073</v>
      </c>
      <c r="H1017" s="106"/>
      <c r="I1017" s="106"/>
      <c r="L1017" s="143">
        <v>43500</v>
      </c>
      <c r="M1017" s="106">
        <v>244.36</v>
      </c>
      <c r="N1017" s="106">
        <v>248.58</v>
      </c>
      <c r="O1017" s="106">
        <v>238</v>
      </c>
      <c r="P1017" s="106">
        <v>243.27</v>
      </c>
      <c r="Q1017" s="106">
        <v>1221.8</v>
      </c>
      <c r="R1017">
        <v>274098</v>
      </c>
    </row>
    <row r="1018" spans="1:18" x14ac:dyDescent="0.25">
      <c r="A1018" s="143">
        <v>43501</v>
      </c>
      <c r="B1018" s="106">
        <v>248.76</v>
      </c>
      <c r="C1018" s="106">
        <v>247.64</v>
      </c>
      <c r="D1018" s="106">
        <v>243.2</v>
      </c>
      <c r="E1018" s="106">
        <v>243.2</v>
      </c>
      <c r="F1018" s="106">
        <v>1238.2</v>
      </c>
      <c r="G1018">
        <v>8772</v>
      </c>
      <c r="H1018" s="106"/>
      <c r="I1018" s="106"/>
      <c r="L1018" s="143">
        <v>43501</v>
      </c>
      <c r="M1018" s="106">
        <v>247.47</v>
      </c>
      <c r="N1018" s="106">
        <v>248.88</v>
      </c>
      <c r="O1018" s="106">
        <v>242.72</v>
      </c>
      <c r="P1018" s="106">
        <v>245.88</v>
      </c>
      <c r="Q1018" s="106">
        <v>1237.3499999999999</v>
      </c>
      <c r="R1018">
        <v>346095</v>
      </c>
    </row>
    <row r="1019" spans="1:18" x14ac:dyDescent="0.25">
      <c r="A1019" s="143">
        <v>43502</v>
      </c>
      <c r="B1019" s="106">
        <v>252</v>
      </c>
      <c r="C1019" s="106">
        <v>249.32</v>
      </c>
      <c r="D1019" s="106">
        <v>244.78</v>
      </c>
      <c r="E1019" s="106">
        <v>247.64</v>
      </c>
      <c r="F1019" s="106">
        <v>1246.5999999999999</v>
      </c>
      <c r="G1019">
        <v>7445</v>
      </c>
      <c r="H1019" s="106"/>
      <c r="I1019" s="106"/>
      <c r="L1019" s="143">
        <v>43502</v>
      </c>
      <c r="M1019" s="106">
        <v>249.52</v>
      </c>
      <c r="N1019" s="106">
        <v>252.2</v>
      </c>
      <c r="O1019" s="106">
        <v>244.44</v>
      </c>
      <c r="P1019" s="106">
        <v>247.4</v>
      </c>
      <c r="Q1019" s="106">
        <v>1247.5999999999999</v>
      </c>
      <c r="R1019">
        <v>212968</v>
      </c>
    </row>
    <row r="1020" spans="1:18" x14ac:dyDescent="0.25">
      <c r="A1020" s="143">
        <v>43503</v>
      </c>
      <c r="B1020" s="106">
        <v>254.4</v>
      </c>
      <c r="C1020" s="106">
        <v>249.97</v>
      </c>
      <c r="D1020" s="106">
        <v>248</v>
      </c>
      <c r="E1020" s="106">
        <v>249.22</v>
      </c>
      <c r="F1020" s="106">
        <v>1249.8499999999999</v>
      </c>
      <c r="G1020">
        <v>13567</v>
      </c>
      <c r="H1020" s="106"/>
      <c r="I1020" s="106"/>
      <c r="L1020" s="143">
        <v>43503</v>
      </c>
      <c r="M1020" s="106">
        <v>250.31</v>
      </c>
      <c r="N1020" s="106">
        <v>254.39</v>
      </c>
      <c r="O1020" s="106">
        <v>248.5</v>
      </c>
      <c r="P1020" s="106">
        <v>249.6</v>
      </c>
      <c r="Q1020" s="106">
        <v>1251.55</v>
      </c>
      <c r="R1020">
        <v>339258</v>
      </c>
    </row>
    <row r="1021" spans="1:18" x14ac:dyDescent="0.25">
      <c r="A1021" s="143">
        <v>43504</v>
      </c>
      <c r="B1021" s="106">
        <v>252.69</v>
      </c>
      <c r="C1021" s="106">
        <v>245.31</v>
      </c>
      <c r="D1021" s="106">
        <v>243.55</v>
      </c>
      <c r="E1021" s="106">
        <v>250.79</v>
      </c>
      <c r="F1021" s="106">
        <v>1226.55</v>
      </c>
      <c r="G1021">
        <v>16128</v>
      </c>
      <c r="H1021" s="106"/>
      <c r="I1021" s="106"/>
      <c r="L1021" s="143">
        <v>43504</v>
      </c>
      <c r="M1021" s="106">
        <v>245.64</v>
      </c>
      <c r="N1021" s="106">
        <v>252.8</v>
      </c>
      <c r="O1021" s="106">
        <v>243.6</v>
      </c>
      <c r="P1021" s="106">
        <v>248.04</v>
      </c>
      <c r="Q1021" s="106">
        <v>1228.2</v>
      </c>
      <c r="R1021">
        <v>318260</v>
      </c>
    </row>
    <row r="1022" spans="1:18" x14ac:dyDescent="0.25">
      <c r="A1022" s="143">
        <v>43507</v>
      </c>
      <c r="B1022" s="106">
        <v>246.35</v>
      </c>
      <c r="C1022" s="106">
        <v>240.74</v>
      </c>
      <c r="D1022" s="106">
        <v>239.76</v>
      </c>
      <c r="E1022" s="106">
        <v>242.64</v>
      </c>
      <c r="F1022" s="106">
        <v>1203.7</v>
      </c>
      <c r="G1022">
        <v>10061</v>
      </c>
      <c r="H1022" s="106"/>
      <c r="I1022" s="106"/>
      <c r="L1022" s="143">
        <v>43507</v>
      </c>
      <c r="M1022" s="106">
        <v>241.6</v>
      </c>
      <c r="N1022" s="106">
        <v>246.35</v>
      </c>
      <c r="O1022" s="106">
        <v>239.39</v>
      </c>
      <c r="P1022" s="106">
        <v>245.8</v>
      </c>
      <c r="Q1022" s="106">
        <v>1208</v>
      </c>
      <c r="R1022">
        <v>198500</v>
      </c>
    </row>
    <row r="1023" spans="1:18" x14ac:dyDescent="0.25">
      <c r="A1023" s="143">
        <v>43508</v>
      </c>
      <c r="B1023" s="106">
        <v>245.71</v>
      </c>
      <c r="C1023" s="106">
        <v>238.62</v>
      </c>
      <c r="D1023" s="106">
        <v>235.69</v>
      </c>
      <c r="E1023" s="106">
        <v>241.6</v>
      </c>
      <c r="F1023" s="106">
        <v>1193.0999999999999</v>
      </c>
      <c r="G1023">
        <v>17934</v>
      </c>
      <c r="H1023" s="106"/>
      <c r="I1023" s="106"/>
      <c r="L1023" s="143">
        <v>43508</v>
      </c>
      <c r="M1023" s="106">
        <v>239.04</v>
      </c>
      <c r="N1023" s="106">
        <v>245.39</v>
      </c>
      <c r="O1023" s="106">
        <v>236.6</v>
      </c>
      <c r="P1023" s="106">
        <v>241.2</v>
      </c>
      <c r="Q1023" s="106">
        <v>1195.2</v>
      </c>
      <c r="R1023">
        <v>354482</v>
      </c>
    </row>
    <row r="1024" spans="1:18" x14ac:dyDescent="0.25">
      <c r="A1024" s="143">
        <v>43509</v>
      </c>
      <c r="B1024" s="106">
        <v>241.98</v>
      </c>
      <c r="C1024" s="106">
        <v>240.26</v>
      </c>
      <c r="D1024" s="106">
        <v>238.52</v>
      </c>
      <c r="E1024" s="106">
        <v>240</v>
      </c>
      <c r="F1024" s="106">
        <v>1201.3</v>
      </c>
      <c r="G1024">
        <v>5726</v>
      </c>
      <c r="H1024" s="106"/>
      <c r="I1024" s="106"/>
      <c r="L1024" s="143">
        <v>43509</v>
      </c>
      <c r="M1024" s="106">
        <v>240.54</v>
      </c>
      <c r="N1024" s="106">
        <v>242.1</v>
      </c>
      <c r="O1024" s="106">
        <v>238.4</v>
      </c>
      <c r="P1024" s="106">
        <v>241.4</v>
      </c>
      <c r="Q1024" s="106">
        <v>1202.7</v>
      </c>
      <c r="R1024">
        <v>264363</v>
      </c>
    </row>
    <row r="1025" spans="1:18" x14ac:dyDescent="0.25">
      <c r="A1025" s="143">
        <v>43510</v>
      </c>
      <c r="B1025" s="106">
        <v>241.5</v>
      </c>
      <c r="C1025" s="106">
        <v>239.82</v>
      </c>
      <c r="D1025" s="106">
        <v>238.1</v>
      </c>
      <c r="E1025" s="106">
        <v>240.88</v>
      </c>
      <c r="F1025" s="106">
        <v>1199.0999999999999</v>
      </c>
      <c r="G1025">
        <v>3774</v>
      </c>
      <c r="H1025" s="106"/>
      <c r="I1025" s="106"/>
      <c r="L1025" s="143">
        <v>43510</v>
      </c>
      <c r="M1025" s="106">
        <v>239.82</v>
      </c>
      <c r="N1025" s="106">
        <v>242</v>
      </c>
      <c r="O1025" s="106">
        <v>237.77</v>
      </c>
      <c r="P1025" s="106">
        <v>240.02</v>
      </c>
      <c r="Q1025" s="106">
        <v>1199.0999999999999</v>
      </c>
      <c r="R1025">
        <v>150352</v>
      </c>
    </row>
    <row r="1026" spans="1:18" x14ac:dyDescent="0.25">
      <c r="A1026" s="143">
        <v>43511</v>
      </c>
      <c r="B1026" s="106">
        <v>241.04</v>
      </c>
      <c r="C1026" s="106">
        <v>237.63</v>
      </c>
      <c r="D1026" s="106">
        <v>233.88</v>
      </c>
      <c r="E1026" s="106">
        <v>238.96</v>
      </c>
      <c r="F1026" s="106">
        <v>1188.1500000000001</v>
      </c>
      <c r="G1026">
        <v>7332</v>
      </c>
      <c r="H1026" s="106"/>
      <c r="I1026" s="106"/>
      <c r="L1026" s="143">
        <v>43511</v>
      </c>
      <c r="M1026" s="106">
        <v>237.49</v>
      </c>
      <c r="N1026" s="106">
        <v>241.58</v>
      </c>
      <c r="O1026" s="106">
        <v>233.66</v>
      </c>
      <c r="P1026" s="106">
        <v>238.81</v>
      </c>
      <c r="Q1026" s="106">
        <v>1187.45</v>
      </c>
      <c r="R1026">
        <v>253951</v>
      </c>
    </row>
    <row r="1027" spans="1:18" x14ac:dyDescent="0.25">
      <c r="A1027" s="143">
        <v>43514</v>
      </c>
      <c r="B1027" s="106">
        <v>238.95</v>
      </c>
      <c r="C1027" s="106">
        <v>230.04</v>
      </c>
      <c r="D1027" s="106">
        <v>226.9</v>
      </c>
      <c r="E1027" s="106">
        <v>235.44</v>
      </c>
      <c r="F1027" s="106">
        <v>1150.2</v>
      </c>
      <c r="G1027">
        <v>21353</v>
      </c>
      <c r="H1027" s="106"/>
      <c r="I1027" s="106"/>
      <c r="L1027" s="143">
        <v>43514</v>
      </c>
      <c r="M1027" s="106">
        <v>230.69</v>
      </c>
      <c r="N1027" s="106">
        <v>238.92</v>
      </c>
      <c r="O1027" s="106">
        <v>226.64</v>
      </c>
      <c r="P1027" s="106">
        <v>238</v>
      </c>
      <c r="Q1027" s="106">
        <v>1153.45</v>
      </c>
      <c r="R1027">
        <v>321432</v>
      </c>
    </row>
    <row r="1028" spans="1:18" x14ac:dyDescent="0.25">
      <c r="A1028" s="143">
        <v>43515</v>
      </c>
      <c r="B1028" s="106">
        <v>235.12</v>
      </c>
      <c r="C1028" s="106">
        <v>232.44</v>
      </c>
      <c r="D1028" s="106">
        <v>230.51</v>
      </c>
      <c r="E1028" s="106">
        <v>231.24</v>
      </c>
      <c r="F1028" s="106">
        <v>1162.2</v>
      </c>
      <c r="G1028">
        <v>8777</v>
      </c>
      <c r="H1028" s="106"/>
      <c r="I1028" s="106"/>
      <c r="L1028" s="143">
        <v>43515</v>
      </c>
      <c r="M1028" s="106">
        <v>232.01</v>
      </c>
      <c r="N1028" s="106">
        <v>234.96</v>
      </c>
      <c r="O1028" s="106">
        <v>229.3</v>
      </c>
      <c r="P1028" s="106">
        <v>229.3</v>
      </c>
      <c r="Q1028" s="106">
        <v>1160.05</v>
      </c>
      <c r="R1028">
        <v>234328</v>
      </c>
    </row>
    <row r="1029" spans="1:18" x14ac:dyDescent="0.25">
      <c r="A1029" s="143">
        <v>43516</v>
      </c>
      <c r="B1029" s="106">
        <v>238.81</v>
      </c>
      <c r="C1029" s="106">
        <v>237.34</v>
      </c>
      <c r="D1029" s="106">
        <v>232.31</v>
      </c>
      <c r="E1029" s="106">
        <v>232.44</v>
      </c>
      <c r="F1029" s="106">
        <v>1186.7</v>
      </c>
      <c r="G1029">
        <v>7302</v>
      </c>
      <c r="H1029" s="106"/>
      <c r="I1029" s="106"/>
      <c r="L1029" s="143">
        <v>43516</v>
      </c>
      <c r="M1029" s="106">
        <v>236.65</v>
      </c>
      <c r="N1029" s="106">
        <v>238.9</v>
      </c>
      <c r="O1029" s="106">
        <v>232</v>
      </c>
      <c r="P1029" s="106">
        <v>232</v>
      </c>
      <c r="Q1029" s="106">
        <v>1183.25</v>
      </c>
      <c r="R1029">
        <v>284108</v>
      </c>
    </row>
    <row r="1030" spans="1:18" x14ac:dyDescent="0.25">
      <c r="A1030" s="143">
        <v>43517</v>
      </c>
      <c r="B1030" s="106">
        <v>239.44</v>
      </c>
      <c r="C1030" s="106">
        <v>234.03</v>
      </c>
      <c r="D1030" s="106">
        <v>233.28</v>
      </c>
      <c r="E1030" s="106">
        <v>238</v>
      </c>
      <c r="F1030" s="106">
        <v>1170.1500000000001</v>
      </c>
      <c r="G1030">
        <v>6239</v>
      </c>
      <c r="H1030" s="106"/>
      <c r="I1030" s="106"/>
      <c r="L1030" s="143">
        <v>43517</v>
      </c>
      <c r="M1030" s="106">
        <v>233.99</v>
      </c>
      <c r="N1030" s="106">
        <v>240</v>
      </c>
      <c r="O1030" s="106">
        <v>233.26</v>
      </c>
      <c r="P1030" s="106">
        <v>237.34</v>
      </c>
      <c r="Q1030" s="106">
        <v>1169.95</v>
      </c>
      <c r="R1030">
        <v>311541</v>
      </c>
    </row>
    <row r="1031" spans="1:18" x14ac:dyDescent="0.25">
      <c r="A1031" s="143">
        <v>43518</v>
      </c>
      <c r="B1031" s="106">
        <v>240.85</v>
      </c>
      <c r="C1031" s="106">
        <v>237.54</v>
      </c>
      <c r="D1031" s="106">
        <v>234.03</v>
      </c>
      <c r="E1031" s="106">
        <v>235.6</v>
      </c>
      <c r="F1031" s="106">
        <v>1187.7</v>
      </c>
      <c r="G1031">
        <v>6673</v>
      </c>
      <c r="H1031" s="106"/>
      <c r="I1031" s="106"/>
      <c r="L1031" s="143">
        <v>43518</v>
      </c>
      <c r="M1031" s="106">
        <v>237.66</v>
      </c>
      <c r="N1031" s="106">
        <v>241</v>
      </c>
      <c r="O1031" s="106">
        <v>234.13</v>
      </c>
      <c r="P1031" s="106">
        <v>234.96</v>
      </c>
      <c r="Q1031" s="106">
        <v>1188.3</v>
      </c>
      <c r="R1031">
        <v>357526</v>
      </c>
    </row>
    <row r="1032" spans="1:18" x14ac:dyDescent="0.25">
      <c r="A1032" s="143">
        <v>43521</v>
      </c>
      <c r="B1032" s="106">
        <v>241.91</v>
      </c>
      <c r="C1032" s="106">
        <v>238.79</v>
      </c>
      <c r="D1032" s="106">
        <v>238.02</v>
      </c>
      <c r="E1032" s="106">
        <v>238.79</v>
      </c>
      <c r="F1032" s="106">
        <v>1193.95</v>
      </c>
      <c r="G1032">
        <v>5996</v>
      </c>
      <c r="H1032" s="106"/>
      <c r="I1032" s="106"/>
      <c r="L1032" s="143">
        <v>43521</v>
      </c>
      <c r="M1032" s="106">
        <v>239.32</v>
      </c>
      <c r="N1032" s="106">
        <v>241.88</v>
      </c>
      <c r="O1032" s="106">
        <v>237.07</v>
      </c>
      <c r="P1032" s="106">
        <v>239</v>
      </c>
      <c r="Q1032" s="106">
        <v>1196.5999999999999</v>
      </c>
      <c r="R1032">
        <v>262878</v>
      </c>
    </row>
    <row r="1033" spans="1:18" x14ac:dyDescent="0.25">
      <c r="A1033" s="143">
        <v>43522</v>
      </c>
      <c r="B1033" s="106">
        <v>242</v>
      </c>
      <c r="C1033" s="106">
        <v>239.44</v>
      </c>
      <c r="D1033" s="106">
        <v>232.48</v>
      </c>
      <c r="E1033" s="106">
        <v>234.11</v>
      </c>
      <c r="F1033" s="106">
        <v>1197.2</v>
      </c>
      <c r="G1033">
        <v>5922</v>
      </c>
      <c r="H1033" s="106"/>
      <c r="I1033" s="106"/>
      <c r="L1033" s="143">
        <v>43522</v>
      </c>
      <c r="M1033" s="106">
        <v>240.05</v>
      </c>
      <c r="N1033" s="106">
        <v>242.4</v>
      </c>
      <c r="O1033" s="106">
        <v>232.57</v>
      </c>
      <c r="P1033" s="106">
        <v>234.58</v>
      </c>
      <c r="Q1033" s="106">
        <v>1200.25</v>
      </c>
      <c r="R1033">
        <v>225496</v>
      </c>
    </row>
    <row r="1034" spans="1:18" x14ac:dyDescent="0.25">
      <c r="A1034" s="143">
        <v>43523</v>
      </c>
      <c r="B1034" s="106">
        <v>247.44</v>
      </c>
      <c r="C1034" s="106">
        <v>243.5</v>
      </c>
      <c r="D1034" s="106">
        <v>241</v>
      </c>
      <c r="E1034" s="106">
        <v>241.9</v>
      </c>
      <c r="F1034" s="106">
        <v>1217.5</v>
      </c>
      <c r="G1034">
        <v>18659</v>
      </c>
      <c r="H1034" s="106"/>
      <c r="I1034" s="106"/>
      <c r="L1034" s="143">
        <v>43523</v>
      </c>
      <c r="M1034" s="106">
        <v>243.39</v>
      </c>
      <c r="N1034" s="106">
        <v>247.67</v>
      </c>
      <c r="O1034" s="106">
        <v>241</v>
      </c>
      <c r="P1034" s="106">
        <v>241.38</v>
      </c>
      <c r="Q1034" s="106">
        <v>1216.95</v>
      </c>
      <c r="R1034">
        <v>420700</v>
      </c>
    </row>
    <row r="1035" spans="1:18" x14ac:dyDescent="0.25">
      <c r="A1035" s="143">
        <v>43524</v>
      </c>
      <c r="B1035" s="106">
        <v>246.75</v>
      </c>
      <c r="C1035" s="106">
        <v>245.61</v>
      </c>
      <c r="D1035" s="106">
        <v>241</v>
      </c>
      <c r="E1035" s="106">
        <v>243.49</v>
      </c>
      <c r="F1035" s="106">
        <v>1228.05</v>
      </c>
      <c r="G1035">
        <v>8775</v>
      </c>
      <c r="H1035" s="106"/>
      <c r="I1035" s="106"/>
      <c r="L1035" s="143">
        <v>43524</v>
      </c>
      <c r="M1035" s="106">
        <v>246.22</v>
      </c>
      <c r="N1035" s="106">
        <v>247.3</v>
      </c>
      <c r="O1035" s="106">
        <v>240.88</v>
      </c>
      <c r="P1035" s="106">
        <v>244.82</v>
      </c>
      <c r="Q1035" s="106">
        <v>1231.0999999999999</v>
      </c>
      <c r="R1035">
        <v>187999</v>
      </c>
    </row>
    <row r="1036" spans="1:18" x14ac:dyDescent="0.25">
      <c r="A1036" s="143">
        <v>43525</v>
      </c>
      <c r="B1036" s="106">
        <v>255.3</v>
      </c>
      <c r="C1036" s="106">
        <v>253.67</v>
      </c>
      <c r="D1036" s="106">
        <v>245.99</v>
      </c>
      <c r="E1036" s="106">
        <v>246.09</v>
      </c>
      <c r="F1036" s="106">
        <v>1268.3499999999999</v>
      </c>
      <c r="G1036">
        <v>20944</v>
      </c>
      <c r="H1036" s="106"/>
      <c r="I1036" s="106"/>
      <c r="L1036" s="143">
        <v>43525</v>
      </c>
      <c r="M1036" s="106">
        <v>253.83</v>
      </c>
      <c r="N1036" s="106">
        <v>255</v>
      </c>
      <c r="O1036" s="106">
        <v>245.11</v>
      </c>
      <c r="P1036" s="106">
        <v>246.22</v>
      </c>
      <c r="Q1036" s="106">
        <v>1269.1500000000001</v>
      </c>
      <c r="R1036">
        <v>512706</v>
      </c>
    </row>
    <row r="1037" spans="1:18" x14ac:dyDescent="0.25">
      <c r="A1037" s="143">
        <v>43529</v>
      </c>
      <c r="B1037" s="106">
        <v>259.42</v>
      </c>
      <c r="C1037" s="106">
        <v>257.62</v>
      </c>
      <c r="D1037" s="106">
        <v>253.66</v>
      </c>
      <c r="E1037" s="106">
        <v>253.66</v>
      </c>
      <c r="F1037" s="106">
        <v>1288.0999999999999</v>
      </c>
      <c r="G1037">
        <v>12718</v>
      </c>
      <c r="H1037" s="106"/>
      <c r="I1037" s="106"/>
      <c r="L1037" s="143">
        <v>43529</v>
      </c>
      <c r="M1037" s="106">
        <v>257.23</v>
      </c>
      <c r="N1037" s="106">
        <v>259.37</v>
      </c>
      <c r="O1037" s="106">
        <v>253.8</v>
      </c>
      <c r="P1037" s="106">
        <v>254.4</v>
      </c>
      <c r="Q1037" s="106">
        <v>1286.1500000000001</v>
      </c>
      <c r="R1037">
        <v>427964</v>
      </c>
    </row>
    <row r="1038" spans="1:18" x14ac:dyDescent="0.25">
      <c r="A1038" s="143">
        <v>43530</v>
      </c>
      <c r="B1038" s="106">
        <v>265.39999999999998</v>
      </c>
      <c r="C1038" s="106">
        <v>261.48</v>
      </c>
      <c r="D1038" s="106">
        <v>258.48</v>
      </c>
      <c r="E1038" s="106">
        <v>258.48</v>
      </c>
      <c r="F1038" s="106">
        <v>1307.4000000000001</v>
      </c>
      <c r="G1038">
        <v>13333</v>
      </c>
      <c r="H1038" s="106"/>
      <c r="I1038" s="106"/>
      <c r="L1038" s="143">
        <v>43530</v>
      </c>
      <c r="M1038" s="106">
        <v>261.54000000000002</v>
      </c>
      <c r="N1038" s="106">
        <v>265.97000000000003</v>
      </c>
      <c r="O1038" s="106">
        <v>259</v>
      </c>
      <c r="P1038" s="106">
        <v>259</v>
      </c>
      <c r="Q1038" s="106">
        <v>1307.7</v>
      </c>
      <c r="R1038">
        <v>289521</v>
      </c>
    </row>
    <row r="1039" spans="1:18" x14ac:dyDescent="0.25">
      <c r="A1039" s="143">
        <v>43531</v>
      </c>
      <c r="B1039" s="106">
        <v>264.39999999999998</v>
      </c>
      <c r="C1039" s="106">
        <v>259.92</v>
      </c>
      <c r="D1039" s="106">
        <v>258.2</v>
      </c>
      <c r="E1039" s="106">
        <v>261.48</v>
      </c>
      <c r="F1039" s="106">
        <v>1299.5999999999999</v>
      </c>
      <c r="G1039">
        <v>11670</v>
      </c>
      <c r="H1039" s="106"/>
      <c r="I1039" s="106"/>
      <c r="L1039" s="143">
        <v>43531</v>
      </c>
      <c r="M1039" s="106">
        <v>259.44</v>
      </c>
      <c r="N1039" s="106">
        <v>264.39999999999998</v>
      </c>
      <c r="O1039" s="106">
        <v>258.27999999999997</v>
      </c>
      <c r="P1039" s="106">
        <v>262</v>
      </c>
      <c r="Q1039" s="106">
        <v>1297.2</v>
      </c>
      <c r="R1039">
        <v>168114</v>
      </c>
    </row>
    <row r="1040" spans="1:18" x14ac:dyDescent="0.25">
      <c r="A1040" s="143">
        <v>43532</v>
      </c>
      <c r="B1040" s="106">
        <v>262.39999999999998</v>
      </c>
      <c r="C1040" s="106">
        <v>257.31</v>
      </c>
      <c r="D1040" s="106">
        <v>257.02</v>
      </c>
      <c r="E1040" s="106">
        <v>260.36</v>
      </c>
      <c r="F1040" s="106">
        <v>1286.55</v>
      </c>
      <c r="G1040">
        <v>8294</v>
      </c>
      <c r="H1040" s="106"/>
      <c r="I1040" s="106"/>
      <c r="L1040" s="143">
        <v>43532</v>
      </c>
      <c r="M1040" s="106">
        <v>257.83999999999997</v>
      </c>
      <c r="N1040" s="106">
        <v>262.57</v>
      </c>
      <c r="O1040" s="106">
        <v>257.41000000000003</v>
      </c>
      <c r="P1040" s="106">
        <v>260.69</v>
      </c>
      <c r="Q1040" s="106">
        <v>1289.2</v>
      </c>
      <c r="R1040">
        <v>161160</v>
      </c>
    </row>
    <row r="1041" spans="1:18" x14ac:dyDescent="0.25">
      <c r="A1041" s="143">
        <v>43535</v>
      </c>
      <c r="B1041" s="106">
        <v>273.70999999999998</v>
      </c>
      <c r="C1041" s="106">
        <v>271.66000000000003</v>
      </c>
      <c r="D1041" s="106">
        <v>259.5</v>
      </c>
      <c r="E1041" s="106">
        <v>260</v>
      </c>
      <c r="F1041" s="106">
        <v>1358.3</v>
      </c>
      <c r="G1041">
        <v>19473</v>
      </c>
      <c r="H1041" s="106"/>
      <c r="I1041" s="106"/>
      <c r="L1041" s="143">
        <v>43535</v>
      </c>
      <c r="M1041" s="106">
        <v>271.83999999999997</v>
      </c>
      <c r="N1041" s="106">
        <v>274</v>
      </c>
      <c r="O1041" s="106">
        <v>258.43</v>
      </c>
      <c r="P1041" s="106">
        <v>258.43</v>
      </c>
      <c r="Q1041" s="106">
        <v>1359.2</v>
      </c>
      <c r="R1041">
        <v>373560</v>
      </c>
    </row>
    <row r="1042" spans="1:18" x14ac:dyDescent="0.25">
      <c r="A1042" s="143">
        <v>43536</v>
      </c>
      <c r="B1042" s="106">
        <v>277.98</v>
      </c>
      <c r="C1042" s="106">
        <v>273.76</v>
      </c>
      <c r="D1042" s="106">
        <v>268.89999999999998</v>
      </c>
      <c r="E1042" s="106">
        <v>274.99</v>
      </c>
      <c r="F1042" s="106">
        <v>1368.8</v>
      </c>
      <c r="G1042">
        <v>46271</v>
      </c>
      <c r="H1042" s="106"/>
      <c r="I1042" s="106"/>
      <c r="L1042" s="143">
        <v>43536</v>
      </c>
      <c r="M1042" s="106">
        <v>273.95999999999998</v>
      </c>
      <c r="N1042" s="106">
        <v>278.52</v>
      </c>
      <c r="O1042" s="106">
        <v>268.60000000000002</v>
      </c>
      <c r="P1042" s="106">
        <v>274.01</v>
      </c>
      <c r="Q1042" s="106">
        <v>1369.8</v>
      </c>
      <c r="R1042">
        <v>606785</v>
      </c>
    </row>
    <row r="1043" spans="1:18" x14ac:dyDescent="0.25">
      <c r="A1043" s="143">
        <v>43537</v>
      </c>
      <c r="B1043" s="106">
        <v>275.08</v>
      </c>
      <c r="C1043" s="106">
        <v>270.68</v>
      </c>
      <c r="D1043" s="106">
        <v>268.10000000000002</v>
      </c>
      <c r="E1043" s="106">
        <v>273.60000000000002</v>
      </c>
      <c r="F1043" s="106">
        <v>1353.4</v>
      </c>
      <c r="G1043">
        <v>13025</v>
      </c>
      <c r="H1043" s="106"/>
      <c r="I1043" s="106"/>
      <c r="L1043" s="143">
        <v>43537</v>
      </c>
      <c r="M1043" s="106">
        <v>270.87</v>
      </c>
      <c r="N1043" s="106">
        <v>275</v>
      </c>
      <c r="O1043" s="106">
        <v>268</v>
      </c>
      <c r="P1043" s="106">
        <v>273.95999999999998</v>
      </c>
      <c r="Q1043" s="106">
        <v>1354.35</v>
      </c>
      <c r="R1043">
        <v>336661</v>
      </c>
    </row>
    <row r="1044" spans="1:18" x14ac:dyDescent="0.25">
      <c r="A1044" s="143">
        <v>43538</v>
      </c>
      <c r="B1044" s="106">
        <v>278.64</v>
      </c>
      <c r="C1044" s="106">
        <v>272.57</v>
      </c>
      <c r="D1044" s="106">
        <v>269</v>
      </c>
      <c r="E1044" s="106">
        <v>272.8</v>
      </c>
      <c r="F1044" s="106">
        <v>1362.85</v>
      </c>
      <c r="G1044">
        <v>25448</v>
      </c>
      <c r="H1044" s="106"/>
      <c r="I1044" s="106"/>
      <c r="L1044" s="143">
        <v>43538</v>
      </c>
      <c r="M1044" s="106">
        <v>272.35000000000002</v>
      </c>
      <c r="N1044" s="106">
        <v>278.8</v>
      </c>
      <c r="O1044" s="106">
        <v>270.58999999999997</v>
      </c>
      <c r="P1044" s="106">
        <v>272.2</v>
      </c>
      <c r="Q1044" s="106">
        <v>1361.75</v>
      </c>
      <c r="R1044">
        <v>513672</v>
      </c>
    </row>
    <row r="1045" spans="1:18" x14ac:dyDescent="0.25">
      <c r="A1045" s="143">
        <v>43539</v>
      </c>
      <c r="B1045" s="106">
        <v>280.20999999999998</v>
      </c>
      <c r="C1045" s="106">
        <v>277.69</v>
      </c>
      <c r="D1045" s="106">
        <v>272.57</v>
      </c>
      <c r="E1045" s="106">
        <v>272.57</v>
      </c>
      <c r="F1045" s="106">
        <v>1388.45</v>
      </c>
      <c r="G1045">
        <v>24392</v>
      </c>
      <c r="H1045" s="106"/>
      <c r="I1045" s="106"/>
      <c r="L1045" s="143">
        <v>43539</v>
      </c>
      <c r="M1045" s="106">
        <v>278.02</v>
      </c>
      <c r="N1045" s="106">
        <v>280.60000000000002</v>
      </c>
      <c r="O1045" s="106">
        <v>272.66000000000003</v>
      </c>
      <c r="P1045" s="106">
        <v>273.8</v>
      </c>
      <c r="Q1045" s="106">
        <v>1390.1</v>
      </c>
      <c r="R1045">
        <v>529910</v>
      </c>
    </row>
    <row r="1046" spans="1:18" x14ac:dyDescent="0.25">
      <c r="A1046" s="143">
        <v>43542</v>
      </c>
      <c r="B1046" s="106">
        <v>281.58999999999997</v>
      </c>
      <c r="C1046" s="106">
        <v>278.37</v>
      </c>
      <c r="D1046" s="106">
        <v>276.86</v>
      </c>
      <c r="E1046" s="106">
        <v>278</v>
      </c>
      <c r="F1046" s="106">
        <v>1391.85</v>
      </c>
      <c r="G1046">
        <v>7260</v>
      </c>
      <c r="H1046" s="106"/>
      <c r="I1046" s="106"/>
      <c r="L1046" s="143">
        <v>43542</v>
      </c>
      <c r="M1046" s="106">
        <v>278.01</v>
      </c>
      <c r="N1046" s="106">
        <v>281.91000000000003</v>
      </c>
      <c r="O1046" s="106">
        <v>276.66000000000003</v>
      </c>
      <c r="P1046" s="106">
        <v>279.75</v>
      </c>
      <c r="Q1046" s="106">
        <v>1390.05</v>
      </c>
      <c r="R1046">
        <v>228253</v>
      </c>
    </row>
    <row r="1047" spans="1:18" x14ac:dyDescent="0.25">
      <c r="A1047" s="143">
        <v>43543</v>
      </c>
      <c r="B1047" s="106">
        <v>280.14</v>
      </c>
      <c r="C1047" s="106">
        <v>275.20999999999998</v>
      </c>
      <c r="D1047" s="106">
        <v>274.5</v>
      </c>
      <c r="E1047" s="106">
        <v>278.37</v>
      </c>
      <c r="F1047" s="106">
        <v>1376.05</v>
      </c>
      <c r="G1047">
        <v>7363</v>
      </c>
      <c r="H1047" s="106"/>
      <c r="I1047" s="106"/>
      <c r="L1047" s="143">
        <v>43543</v>
      </c>
      <c r="M1047" s="106">
        <v>274.88</v>
      </c>
      <c r="N1047" s="106">
        <v>280.39999999999998</v>
      </c>
      <c r="O1047" s="106">
        <v>274.22000000000003</v>
      </c>
      <c r="P1047" s="106">
        <v>279.60000000000002</v>
      </c>
      <c r="Q1047" s="106">
        <v>1374.4</v>
      </c>
      <c r="R1047">
        <v>128207</v>
      </c>
    </row>
    <row r="1048" spans="1:18" x14ac:dyDescent="0.25">
      <c r="A1048" s="143">
        <v>43544</v>
      </c>
      <c r="B1048" s="106">
        <v>276.01</v>
      </c>
      <c r="C1048" s="106">
        <v>274.27</v>
      </c>
      <c r="D1048" s="106">
        <v>272</v>
      </c>
      <c r="E1048" s="106">
        <v>275.92</v>
      </c>
      <c r="F1048" s="106">
        <v>1371.35</v>
      </c>
      <c r="G1048">
        <v>7368</v>
      </c>
      <c r="H1048" s="106"/>
      <c r="I1048" s="106"/>
      <c r="L1048" s="143">
        <v>43544</v>
      </c>
      <c r="M1048" s="106">
        <v>274.56</v>
      </c>
      <c r="N1048" s="106">
        <v>276.92</v>
      </c>
      <c r="O1048" s="106">
        <v>271.91000000000003</v>
      </c>
      <c r="P1048" s="106">
        <v>276.92</v>
      </c>
      <c r="Q1048" s="106">
        <v>1372.8</v>
      </c>
      <c r="R1048">
        <v>182095</v>
      </c>
    </row>
    <row r="1049" spans="1:18" x14ac:dyDescent="0.25">
      <c r="A1049" s="143">
        <v>43546</v>
      </c>
      <c r="B1049" s="106">
        <v>274.89999999999998</v>
      </c>
      <c r="C1049" s="106">
        <v>269.37</v>
      </c>
      <c r="D1049" s="106">
        <v>268.75</v>
      </c>
      <c r="E1049" s="106">
        <v>273.60000000000002</v>
      </c>
      <c r="F1049" s="106">
        <v>1346.85</v>
      </c>
      <c r="G1049">
        <v>6426</v>
      </c>
      <c r="H1049" s="106"/>
      <c r="I1049" s="106"/>
      <c r="L1049" s="143">
        <v>43546</v>
      </c>
      <c r="M1049" s="106">
        <v>269.55</v>
      </c>
      <c r="N1049" s="106">
        <v>274.55</v>
      </c>
      <c r="O1049" s="106">
        <v>268.60000000000002</v>
      </c>
      <c r="P1049" s="106">
        <v>274.55</v>
      </c>
      <c r="Q1049" s="106">
        <v>1347.75</v>
      </c>
      <c r="R1049">
        <v>204822</v>
      </c>
    </row>
    <row r="1050" spans="1:18" x14ac:dyDescent="0.25">
      <c r="A1050" s="143">
        <v>43549</v>
      </c>
      <c r="B1050" s="106">
        <v>268.69</v>
      </c>
      <c r="C1050" s="106">
        <v>266.17</v>
      </c>
      <c r="D1050" s="106">
        <v>262.92</v>
      </c>
      <c r="E1050" s="106">
        <v>268</v>
      </c>
      <c r="F1050" s="106">
        <v>1330.85</v>
      </c>
      <c r="G1050">
        <v>4531</v>
      </c>
      <c r="H1050" s="106"/>
      <c r="I1050" s="106"/>
      <c r="L1050" s="143">
        <v>43549</v>
      </c>
      <c r="M1050" s="106">
        <v>265.88</v>
      </c>
      <c r="N1050" s="106">
        <v>268.98</v>
      </c>
      <c r="O1050" s="106">
        <v>263.11</v>
      </c>
      <c r="P1050" s="106">
        <v>267.8</v>
      </c>
      <c r="Q1050" s="106">
        <v>1329.4</v>
      </c>
      <c r="R1050">
        <v>253236</v>
      </c>
    </row>
    <row r="1051" spans="1:18" x14ac:dyDescent="0.25">
      <c r="A1051" s="143">
        <v>43550</v>
      </c>
      <c r="B1051" s="106">
        <v>278.68</v>
      </c>
      <c r="C1051" s="106">
        <v>275.95</v>
      </c>
      <c r="D1051" s="106">
        <v>266.32</v>
      </c>
      <c r="E1051" s="106">
        <v>267.48</v>
      </c>
      <c r="F1051" s="106">
        <v>1379.75</v>
      </c>
      <c r="G1051">
        <v>15340</v>
      </c>
      <c r="H1051" s="106"/>
      <c r="I1051" s="106"/>
      <c r="L1051" s="143">
        <v>43550</v>
      </c>
      <c r="M1051" s="106">
        <v>276.44</v>
      </c>
      <c r="N1051" s="106">
        <v>279.13</v>
      </c>
      <c r="O1051" s="106">
        <v>265.51</v>
      </c>
      <c r="P1051" s="106">
        <v>265.51</v>
      </c>
      <c r="Q1051" s="106">
        <v>1382.2</v>
      </c>
      <c r="R1051">
        <v>439948</v>
      </c>
    </row>
    <row r="1052" spans="1:18" x14ac:dyDescent="0.25">
      <c r="A1052" s="143">
        <v>43551</v>
      </c>
      <c r="B1052" s="106">
        <v>292</v>
      </c>
      <c r="C1052" s="106">
        <v>285.20999999999998</v>
      </c>
      <c r="D1052" s="106">
        <v>275.89999999999998</v>
      </c>
      <c r="E1052" s="106">
        <v>275.89999999999998</v>
      </c>
      <c r="F1052" s="106">
        <v>1426.05</v>
      </c>
      <c r="G1052">
        <v>38930</v>
      </c>
      <c r="H1052" s="106"/>
      <c r="I1052" s="106"/>
      <c r="L1052" s="143">
        <v>43551</v>
      </c>
      <c r="M1052" s="106">
        <v>285.67</v>
      </c>
      <c r="N1052" s="106">
        <v>292.48</v>
      </c>
      <c r="O1052" s="106">
        <v>276.70999999999998</v>
      </c>
      <c r="P1052" s="106">
        <v>278.16000000000003</v>
      </c>
      <c r="Q1052" s="106">
        <v>1428.35</v>
      </c>
      <c r="R1052">
        <v>922437</v>
      </c>
    </row>
    <row r="1053" spans="1:18" x14ac:dyDescent="0.25">
      <c r="A1053" s="143">
        <v>43552</v>
      </c>
      <c r="B1053" s="106">
        <v>290.89999999999998</v>
      </c>
      <c r="C1053" s="106">
        <v>289.68</v>
      </c>
      <c r="D1053" s="106">
        <v>283.61</v>
      </c>
      <c r="E1053" s="106">
        <v>285.63</v>
      </c>
      <c r="F1053" s="106">
        <v>1448.4</v>
      </c>
      <c r="G1053">
        <v>12474</v>
      </c>
      <c r="H1053" s="106"/>
      <c r="I1053" s="106"/>
      <c r="L1053" s="143">
        <v>43552</v>
      </c>
      <c r="M1053" s="106">
        <v>290.02999999999997</v>
      </c>
      <c r="N1053" s="106">
        <v>290.95999999999998</v>
      </c>
      <c r="O1053" s="106">
        <v>283.60000000000002</v>
      </c>
      <c r="P1053" s="106">
        <v>286.77</v>
      </c>
      <c r="Q1053" s="106">
        <v>1450.15</v>
      </c>
      <c r="R1053">
        <v>453337</v>
      </c>
    </row>
    <row r="1054" spans="1:18" x14ac:dyDescent="0.25">
      <c r="A1054" s="143">
        <v>43553</v>
      </c>
      <c r="B1054" s="106">
        <v>294.64</v>
      </c>
      <c r="C1054" s="106">
        <v>289.5</v>
      </c>
      <c r="D1054" s="106">
        <v>288.25</v>
      </c>
      <c r="E1054" s="106">
        <v>292</v>
      </c>
      <c r="F1054" s="106">
        <v>1447.5</v>
      </c>
      <c r="G1054">
        <v>16869</v>
      </c>
      <c r="H1054" s="106"/>
      <c r="I1054" s="106"/>
      <c r="L1054" s="143">
        <v>43553</v>
      </c>
      <c r="M1054" s="106">
        <v>290.48</v>
      </c>
      <c r="N1054" s="106">
        <v>295</v>
      </c>
      <c r="O1054" s="106">
        <v>288.41000000000003</v>
      </c>
      <c r="P1054" s="106">
        <v>288.41000000000003</v>
      </c>
      <c r="Q1054" s="106">
        <v>1452.4</v>
      </c>
      <c r="R1054">
        <v>338786</v>
      </c>
    </row>
    <row r="1055" spans="1:18" x14ac:dyDescent="0.25">
      <c r="A1055" s="143">
        <v>43556</v>
      </c>
      <c r="B1055" s="106">
        <v>305</v>
      </c>
      <c r="C1055" s="106">
        <v>302.14</v>
      </c>
      <c r="D1055" s="106">
        <v>289.02</v>
      </c>
      <c r="E1055" s="106">
        <v>290.32</v>
      </c>
      <c r="F1055" s="106">
        <v>1510.7</v>
      </c>
      <c r="G1055">
        <v>24373</v>
      </c>
      <c r="H1055" s="106"/>
      <c r="I1055" s="106"/>
      <c r="L1055" s="143">
        <v>43556</v>
      </c>
      <c r="M1055" s="106">
        <v>301.99</v>
      </c>
      <c r="N1055" s="106">
        <v>305.67</v>
      </c>
      <c r="O1055" s="106">
        <v>288.81</v>
      </c>
      <c r="P1055" s="106">
        <v>291.2</v>
      </c>
      <c r="Q1055" s="106">
        <v>1509.95</v>
      </c>
      <c r="R1055">
        <v>646104</v>
      </c>
    </row>
    <row r="1056" spans="1:18" x14ac:dyDescent="0.25">
      <c r="A1056" s="143">
        <v>43557</v>
      </c>
      <c r="B1056" s="106">
        <v>302.06</v>
      </c>
      <c r="C1056" s="106">
        <v>296.54000000000002</v>
      </c>
      <c r="D1056" s="106">
        <v>294.69</v>
      </c>
      <c r="E1056" s="106">
        <v>302.06</v>
      </c>
      <c r="F1056" s="106">
        <v>1482.7</v>
      </c>
      <c r="G1056">
        <v>13255</v>
      </c>
      <c r="H1056" s="106"/>
      <c r="I1056" s="106"/>
      <c r="L1056" s="143">
        <v>43557</v>
      </c>
      <c r="M1056" s="106">
        <v>297.52999999999997</v>
      </c>
      <c r="N1056" s="106">
        <v>301.51</v>
      </c>
      <c r="O1056" s="106">
        <v>295.2</v>
      </c>
      <c r="P1056" s="106">
        <v>301.51</v>
      </c>
      <c r="Q1056" s="106">
        <v>1487.65</v>
      </c>
      <c r="R1056">
        <v>360602</v>
      </c>
    </row>
    <row r="1057" spans="1:18" x14ac:dyDescent="0.25">
      <c r="A1057" s="143">
        <v>43558</v>
      </c>
      <c r="B1057" s="106">
        <v>300.83999999999997</v>
      </c>
      <c r="C1057" s="106">
        <v>292.43</v>
      </c>
      <c r="D1057" s="106">
        <v>290.61</v>
      </c>
      <c r="E1057" s="106">
        <v>297.37</v>
      </c>
      <c r="F1057" s="106">
        <v>1462.15</v>
      </c>
      <c r="G1057">
        <v>8910</v>
      </c>
      <c r="H1057" s="106"/>
      <c r="I1057" s="106"/>
      <c r="L1057" s="143">
        <v>43558</v>
      </c>
      <c r="M1057" s="106">
        <v>292.68</v>
      </c>
      <c r="N1057" s="106">
        <v>301.25</v>
      </c>
      <c r="O1057" s="106">
        <v>290.31</v>
      </c>
      <c r="P1057" s="106">
        <v>298</v>
      </c>
      <c r="Q1057" s="106">
        <v>1463.4</v>
      </c>
      <c r="R1057">
        <v>259875</v>
      </c>
    </row>
    <row r="1058" spans="1:18" x14ac:dyDescent="0.25">
      <c r="A1058" s="143">
        <v>43559</v>
      </c>
      <c r="B1058" s="106">
        <v>297.39999999999998</v>
      </c>
      <c r="C1058" s="106">
        <v>290.62</v>
      </c>
      <c r="D1058" s="106">
        <v>287.58</v>
      </c>
      <c r="E1058" s="106">
        <v>292.61</v>
      </c>
      <c r="F1058" s="106">
        <v>1453.1</v>
      </c>
      <c r="G1058">
        <v>13074</v>
      </c>
      <c r="H1058" s="106"/>
      <c r="I1058" s="106"/>
      <c r="L1058" s="143">
        <v>43559</v>
      </c>
      <c r="M1058" s="106">
        <v>290.64999999999998</v>
      </c>
      <c r="N1058" s="106">
        <v>297.42</v>
      </c>
      <c r="O1058" s="106">
        <v>287.35000000000002</v>
      </c>
      <c r="P1058" s="106">
        <v>292.60000000000002</v>
      </c>
      <c r="Q1058" s="106">
        <v>1453.25</v>
      </c>
      <c r="R1058">
        <v>377779</v>
      </c>
    </row>
    <row r="1059" spans="1:18" x14ac:dyDescent="0.25">
      <c r="A1059" s="143">
        <v>43560</v>
      </c>
      <c r="B1059" s="106">
        <v>298.97000000000003</v>
      </c>
      <c r="C1059" s="106">
        <v>296.98</v>
      </c>
      <c r="D1059" s="106">
        <v>292.10000000000002</v>
      </c>
      <c r="E1059" s="106">
        <v>292.10000000000002</v>
      </c>
      <c r="F1059" s="106">
        <v>1484.9</v>
      </c>
      <c r="G1059">
        <v>8842</v>
      </c>
      <c r="H1059" s="106"/>
      <c r="I1059" s="106"/>
      <c r="L1059" s="143">
        <v>43560</v>
      </c>
      <c r="M1059" s="106">
        <v>296.87</v>
      </c>
      <c r="N1059" s="106">
        <v>299.08999999999997</v>
      </c>
      <c r="O1059" s="106">
        <v>291.2</v>
      </c>
      <c r="P1059" s="106">
        <v>291.2</v>
      </c>
      <c r="Q1059" s="106">
        <v>1484.35</v>
      </c>
      <c r="R1059">
        <v>248633</v>
      </c>
    </row>
    <row r="1060" spans="1:18" x14ac:dyDescent="0.25">
      <c r="A1060" s="143">
        <v>43563</v>
      </c>
      <c r="B1060" s="106">
        <v>299.42</v>
      </c>
      <c r="C1060" s="106">
        <v>294.22000000000003</v>
      </c>
      <c r="D1060" s="106">
        <v>292.2</v>
      </c>
      <c r="E1060" s="106">
        <v>297.20999999999998</v>
      </c>
      <c r="F1060" s="106">
        <v>1471.1</v>
      </c>
      <c r="G1060">
        <v>9297</v>
      </c>
      <c r="H1060" s="106"/>
      <c r="I1060" s="106"/>
      <c r="L1060" s="143">
        <v>43563</v>
      </c>
      <c r="M1060" s="106">
        <v>294.27999999999997</v>
      </c>
      <c r="N1060" s="106">
        <v>299.8</v>
      </c>
      <c r="O1060" s="106">
        <v>292</v>
      </c>
      <c r="P1060" s="106">
        <v>298.72000000000003</v>
      </c>
      <c r="Q1060" s="106">
        <v>1471.4</v>
      </c>
      <c r="R1060">
        <v>184556</v>
      </c>
    </row>
    <row r="1061" spans="1:18" x14ac:dyDescent="0.25">
      <c r="A1061" s="143">
        <v>43564</v>
      </c>
      <c r="B1061" s="106">
        <v>298.43</v>
      </c>
      <c r="C1061" s="106">
        <v>296.26</v>
      </c>
      <c r="D1061" s="106">
        <v>290.13</v>
      </c>
      <c r="E1061" s="106">
        <v>293.37</v>
      </c>
      <c r="F1061" s="106">
        <v>1481.3</v>
      </c>
      <c r="G1061">
        <v>14377</v>
      </c>
      <c r="H1061" s="106"/>
      <c r="I1061" s="106"/>
      <c r="L1061" s="143">
        <v>43564</v>
      </c>
      <c r="M1061" s="106">
        <v>296.49</v>
      </c>
      <c r="N1061" s="106">
        <v>297.8</v>
      </c>
      <c r="O1061" s="106">
        <v>290.2</v>
      </c>
      <c r="P1061" s="106">
        <v>294.39999999999998</v>
      </c>
      <c r="Q1061" s="106">
        <v>1482.45</v>
      </c>
      <c r="R1061">
        <v>209555</v>
      </c>
    </row>
    <row r="1062" spans="1:18" x14ac:dyDescent="0.25">
      <c r="A1062" s="143">
        <v>43565</v>
      </c>
      <c r="B1062" s="106">
        <v>300.7</v>
      </c>
      <c r="C1062" s="106">
        <v>294.86</v>
      </c>
      <c r="D1062" s="106">
        <v>294.2</v>
      </c>
      <c r="E1062" s="106">
        <v>296.32</v>
      </c>
      <c r="F1062" s="106">
        <v>1474.3</v>
      </c>
      <c r="G1062">
        <v>9602</v>
      </c>
      <c r="H1062" s="106"/>
      <c r="I1062" s="106"/>
      <c r="L1062" s="143">
        <v>43565</v>
      </c>
      <c r="M1062" s="106">
        <v>294.5</v>
      </c>
      <c r="N1062" s="106">
        <v>301</v>
      </c>
      <c r="O1062" s="106">
        <v>293.45999999999998</v>
      </c>
      <c r="P1062" s="106">
        <v>295.98</v>
      </c>
      <c r="Q1062" s="106">
        <v>1472.5</v>
      </c>
      <c r="R1062">
        <v>251229</v>
      </c>
    </row>
    <row r="1063" spans="1:18" x14ac:dyDescent="0.25">
      <c r="A1063" s="143">
        <v>43566</v>
      </c>
      <c r="B1063" s="106">
        <v>301.39999999999998</v>
      </c>
      <c r="C1063" s="106">
        <v>298.58</v>
      </c>
      <c r="D1063" s="106">
        <v>292.25</v>
      </c>
      <c r="E1063" s="106">
        <v>295.2</v>
      </c>
      <c r="F1063" s="106">
        <v>1492.9</v>
      </c>
      <c r="G1063">
        <v>11355</v>
      </c>
      <c r="H1063" s="106"/>
      <c r="I1063" s="106"/>
      <c r="L1063" s="143">
        <v>43566</v>
      </c>
      <c r="M1063" s="106">
        <v>298.77999999999997</v>
      </c>
      <c r="N1063" s="106">
        <v>301.72000000000003</v>
      </c>
      <c r="O1063" s="106">
        <v>292.57</v>
      </c>
      <c r="P1063" s="106">
        <v>294.60000000000002</v>
      </c>
      <c r="Q1063" s="106">
        <v>1493.9</v>
      </c>
      <c r="R1063">
        <v>257961</v>
      </c>
    </row>
    <row r="1064" spans="1:18" x14ac:dyDescent="0.25">
      <c r="A1064" s="143">
        <v>43567</v>
      </c>
      <c r="B1064" s="106">
        <v>298.93</v>
      </c>
      <c r="C1064" s="106">
        <v>296.27999999999997</v>
      </c>
      <c r="D1064" s="106">
        <v>295.20999999999998</v>
      </c>
      <c r="E1064" s="106">
        <v>298.93</v>
      </c>
      <c r="F1064" s="106">
        <v>1481.4</v>
      </c>
      <c r="G1064">
        <v>17939</v>
      </c>
      <c r="H1064" s="106"/>
      <c r="I1064" s="106"/>
      <c r="L1064" s="143">
        <v>43567</v>
      </c>
      <c r="M1064" s="106">
        <v>296.27</v>
      </c>
      <c r="N1064" s="106">
        <v>299.60000000000002</v>
      </c>
      <c r="O1064" s="106">
        <v>294.41000000000003</v>
      </c>
      <c r="P1064" s="106">
        <v>298.02</v>
      </c>
      <c r="Q1064" s="106">
        <v>1481.35</v>
      </c>
      <c r="R1064">
        <v>279530</v>
      </c>
    </row>
    <row r="1065" spans="1:18" x14ac:dyDescent="0.25">
      <c r="A1065" s="143">
        <v>43570</v>
      </c>
      <c r="B1065" s="106">
        <v>299.75</v>
      </c>
      <c r="C1065" s="106">
        <v>296.39999999999998</v>
      </c>
      <c r="D1065" s="106">
        <v>295.39999999999998</v>
      </c>
      <c r="E1065" s="106">
        <v>297.24</v>
      </c>
      <c r="F1065" s="106">
        <v>1482</v>
      </c>
      <c r="G1065">
        <v>4066</v>
      </c>
      <c r="H1065" s="106"/>
      <c r="I1065" s="106"/>
      <c r="L1065" s="143">
        <v>43570</v>
      </c>
      <c r="M1065" s="106">
        <v>296.29000000000002</v>
      </c>
      <c r="N1065" s="106">
        <v>299.64</v>
      </c>
      <c r="O1065" s="106">
        <v>295.04000000000002</v>
      </c>
      <c r="P1065" s="106">
        <v>296.2</v>
      </c>
      <c r="Q1065" s="106">
        <v>1481.45</v>
      </c>
      <c r="R1065">
        <v>128441</v>
      </c>
    </row>
    <row r="1066" spans="1:18" x14ac:dyDescent="0.25">
      <c r="A1066" s="143">
        <v>43571</v>
      </c>
      <c r="B1066" s="106">
        <v>298.98</v>
      </c>
      <c r="C1066" s="106">
        <v>297.95999999999998</v>
      </c>
      <c r="D1066" s="106">
        <v>296</v>
      </c>
      <c r="E1066" s="106">
        <v>297.61</v>
      </c>
      <c r="F1066" s="106">
        <v>1489.8</v>
      </c>
      <c r="G1066">
        <v>5254</v>
      </c>
      <c r="H1066" s="106"/>
      <c r="I1066" s="106"/>
      <c r="L1066" s="143">
        <v>43571</v>
      </c>
      <c r="M1066" s="106">
        <v>297.83999999999997</v>
      </c>
      <c r="N1066" s="106">
        <v>298.8</v>
      </c>
      <c r="O1066" s="106">
        <v>295.24</v>
      </c>
      <c r="P1066" s="106">
        <v>295.24</v>
      </c>
      <c r="Q1066" s="106">
        <v>1489.2</v>
      </c>
      <c r="R1066">
        <v>150967</v>
      </c>
    </row>
    <row r="1067" spans="1:18" x14ac:dyDescent="0.25">
      <c r="A1067" s="143">
        <v>43573</v>
      </c>
      <c r="B1067" s="106">
        <v>297.99</v>
      </c>
      <c r="C1067" s="106">
        <v>294.45999999999998</v>
      </c>
      <c r="D1067" s="106">
        <v>292.57</v>
      </c>
      <c r="E1067" s="106">
        <v>297.99</v>
      </c>
      <c r="F1067" s="106">
        <v>1472.3</v>
      </c>
      <c r="G1067">
        <v>7670</v>
      </c>
      <c r="H1067" s="106"/>
      <c r="I1067" s="106"/>
      <c r="L1067" s="143">
        <v>43573</v>
      </c>
      <c r="M1067" s="106">
        <v>296.08</v>
      </c>
      <c r="N1067" s="106">
        <v>298.77</v>
      </c>
      <c r="O1067" s="106">
        <v>292.39999999999998</v>
      </c>
      <c r="P1067" s="106">
        <v>298.04000000000002</v>
      </c>
      <c r="Q1067" s="106">
        <v>1480.4</v>
      </c>
      <c r="R1067">
        <v>151838</v>
      </c>
    </row>
    <row r="1068" spans="1:18" x14ac:dyDescent="0.25">
      <c r="A1068" s="143">
        <v>43577</v>
      </c>
      <c r="B1068" s="106">
        <v>294.10000000000002</v>
      </c>
      <c r="C1068" s="106">
        <v>285.89999999999998</v>
      </c>
      <c r="D1068" s="106">
        <v>283.60000000000002</v>
      </c>
      <c r="E1068" s="106">
        <v>294.10000000000002</v>
      </c>
      <c r="F1068" s="106">
        <v>1429.5</v>
      </c>
      <c r="G1068">
        <v>12715</v>
      </c>
      <c r="H1068" s="106"/>
      <c r="I1068" s="106"/>
      <c r="L1068" s="143">
        <v>43577</v>
      </c>
      <c r="M1068" s="106">
        <v>285.35000000000002</v>
      </c>
      <c r="N1068" s="106">
        <v>296.2</v>
      </c>
      <c r="O1068" s="106">
        <v>283.24</v>
      </c>
      <c r="P1068" s="106">
        <v>296.2</v>
      </c>
      <c r="Q1068" s="106">
        <v>1426.75</v>
      </c>
      <c r="R1068">
        <v>294614</v>
      </c>
    </row>
    <row r="1069" spans="1:18" x14ac:dyDescent="0.25">
      <c r="A1069" s="143">
        <v>43578</v>
      </c>
      <c r="B1069" s="106">
        <v>293.60000000000002</v>
      </c>
      <c r="C1069" s="106">
        <v>283.95</v>
      </c>
      <c r="D1069" s="106">
        <v>281.39999999999998</v>
      </c>
      <c r="E1069" s="106">
        <v>283.61</v>
      </c>
      <c r="F1069" s="106">
        <v>1419.75</v>
      </c>
      <c r="G1069">
        <v>17781</v>
      </c>
      <c r="H1069" s="106"/>
      <c r="I1069" s="106"/>
      <c r="L1069" s="143">
        <v>43578</v>
      </c>
      <c r="M1069" s="106">
        <v>283.66000000000003</v>
      </c>
      <c r="N1069" s="106">
        <v>293.63</v>
      </c>
      <c r="O1069" s="106">
        <v>281</v>
      </c>
      <c r="P1069" s="106">
        <v>283.43</v>
      </c>
      <c r="Q1069" s="106">
        <v>1418.3</v>
      </c>
      <c r="R1069">
        <v>498896</v>
      </c>
    </row>
    <row r="1070" spans="1:18" x14ac:dyDescent="0.25">
      <c r="A1070" s="143">
        <v>43579</v>
      </c>
      <c r="B1070" s="106">
        <v>287.89999999999998</v>
      </c>
      <c r="C1070" s="106">
        <v>284.85000000000002</v>
      </c>
      <c r="D1070" s="106">
        <v>275.44</v>
      </c>
      <c r="E1070" s="106">
        <v>285</v>
      </c>
      <c r="F1070" s="106">
        <v>1424.25</v>
      </c>
      <c r="G1070">
        <v>53284</v>
      </c>
      <c r="H1070" s="106"/>
      <c r="I1070" s="106"/>
      <c r="L1070" s="143">
        <v>43579</v>
      </c>
      <c r="M1070" s="106">
        <v>284.83999999999997</v>
      </c>
      <c r="N1070" s="106">
        <v>287.45999999999998</v>
      </c>
      <c r="O1070" s="106">
        <v>275</v>
      </c>
      <c r="P1070" s="106">
        <v>284</v>
      </c>
      <c r="Q1070" s="106">
        <v>1424.2</v>
      </c>
      <c r="R1070">
        <v>515070</v>
      </c>
    </row>
    <row r="1071" spans="1:18" x14ac:dyDescent="0.25">
      <c r="A1071" s="143">
        <v>43580</v>
      </c>
      <c r="B1071" s="106">
        <v>288.8</v>
      </c>
      <c r="C1071" s="106">
        <v>284.58</v>
      </c>
      <c r="D1071" s="106">
        <v>283.41000000000003</v>
      </c>
      <c r="E1071" s="106">
        <v>284.44</v>
      </c>
      <c r="F1071" s="106">
        <v>1422.9</v>
      </c>
      <c r="G1071">
        <v>11106</v>
      </c>
      <c r="H1071" s="106"/>
      <c r="I1071" s="106"/>
      <c r="L1071" s="143">
        <v>43580</v>
      </c>
      <c r="M1071" s="106">
        <v>284.39</v>
      </c>
      <c r="N1071" s="106">
        <v>289.10000000000002</v>
      </c>
      <c r="O1071" s="106">
        <v>283.10000000000002</v>
      </c>
      <c r="P1071" s="106">
        <v>285.97000000000003</v>
      </c>
      <c r="Q1071" s="106">
        <v>1421.95</v>
      </c>
      <c r="R1071">
        <v>182133</v>
      </c>
    </row>
    <row r="1072" spans="1:18" x14ac:dyDescent="0.25">
      <c r="A1072" s="143">
        <v>43581</v>
      </c>
      <c r="B1072" s="106">
        <v>286</v>
      </c>
      <c r="C1072" s="106">
        <v>281.94</v>
      </c>
      <c r="D1072" s="106">
        <v>278.20999999999998</v>
      </c>
      <c r="E1072" s="106">
        <v>285.27</v>
      </c>
      <c r="F1072" s="106">
        <v>1409.7</v>
      </c>
      <c r="G1072">
        <v>6679</v>
      </c>
      <c r="H1072" s="106"/>
      <c r="I1072" s="106"/>
      <c r="L1072" s="143">
        <v>43581</v>
      </c>
      <c r="M1072" s="106">
        <v>281.54000000000002</v>
      </c>
      <c r="N1072" s="106">
        <v>286.49</v>
      </c>
      <c r="O1072" s="106">
        <v>278.12</v>
      </c>
      <c r="P1072" s="106">
        <v>283.20999999999998</v>
      </c>
      <c r="Q1072" s="106">
        <v>1407.7</v>
      </c>
      <c r="R1072">
        <v>168401</v>
      </c>
    </row>
    <row r="1073" spans="1:18" x14ac:dyDescent="0.25">
      <c r="A1073" s="143">
        <v>43585</v>
      </c>
      <c r="B1073" s="106">
        <v>288</v>
      </c>
      <c r="C1073" s="106">
        <v>277.89999999999998</v>
      </c>
      <c r="D1073" s="106">
        <v>275.60000000000002</v>
      </c>
      <c r="E1073" s="106">
        <v>288</v>
      </c>
      <c r="F1073" s="106">
        <v>1389.5</v>
      </c>
      <c r="G1073">
        <v>40536</v>
      </c>
      <c r="H1073" s="106"/>
      <c r="I1073" s="106"/>
      <c r="L1073" s="143">
        <v>43585</v>
      </c>
      <c r="M1073" s="106">
        <v>277.76</v>
      </c>
      <c r="N1073" s="106">
        <v>286.33</v>
      </c>
      <c r="O1073" s="106">
        <v>275.2</v>
      </c>
      <c r="P1073" s="106">
        <v>285.29000000000002</v>
      </c>
      <c r="Q1073" s="106">
        <v>1388.8</v>
      </c>
      <c r="R1073">
        <v>581250</v>
      </c>
    </row>
    <row r="1074" spans="1:18" x14ac:dyDescent="0.25">
      <c r="A1074" s="143">
        <v>43587</v>
      </c>
      <c r="B1074" s="106">
        <v>276</v>
      </c>
      <c r="C1074" s="106">
        <v>267.44</v>
      </c>
      <c r="D1074" s="106">
        <v>266.20999999999998</v>
      </c>
      <c r="E1074" s="106">
        <v>276</v>
      </c>
      <c r="F1074" s="106">
        <v>1337.2</v>
      </c>
      <c r="G1074">
        <v>19076</v>
      </c>
      <c r="H1074" s="106"/>
      <c r="I1074" s="106"/>
      <c r="L1074" s="143">
        <v>43587</v>
      </c>
      <c r="M1074" s="106">
        <v>267.74</v>
      </c>
      <c r="N1074" s="106">
        <v>277.97000000000003</v>
      </c>
      <c r="O1074" s="106">
        <v>266.5</v>
      </c>
      <c r="P1074" s="106">
        <v>277.39999999999998</v>
      </c>
      <c r="Q1074" s="106">
        <v>1338.7</v>
      </c>
      <c r="R1074">
        <v>372640</v>
      </c>
    </row>
    <row r="1075" spans="1:18" x14ac:dyDescent="0.25">
      <c r="A1075" s="143">
        <v>43588</v>
      </c>
      <c r="B1075" s="106">
        <v>270.54000000000002</v>
      </c>
      <c r="C1075" s="106">
        <v>263.05</v>
      </c>
      <c r="D1075" s="106">
        <v>262</v>
      </c>
      <c r="E1075" s="106">
        <v>267.45999999999998</v>
      </c>
      <c r="F1075" s="106">
        <v>1315.25</v>
      </c>
      <c r="G1075">
        <v>10779</v>
      </c>
      <c r="H1075" s="106"/>
      <c r="I1075" s="106"/>
      <c r="L1075" s="143">
        <v>43588</v>
      </c>
      <c r="M1075" s="106">
        <v>263.45</v>
      </c>
      <c r="N1075" s="106">
        <v>270.55</v>
      </c>
      <c r="O1075" s="106">
        <v>262</v>
      </c>
      <c r="P1075" s="106">
        <v>268.88</v>
      </c>
      <c r="Q1075" s="106">
        <v>1317.25</v>
      </c>
      <c r="R1075">
        <v>448826</v>
      </c>
    </row>
    <row r="1076" spans="1:18" x14ac:dyDescent="0.25">
      <c r="A1076" s="143">
        <v>43591</v>
      </c>
      <c r="B1076" s="106">
        <v>263</v>
      </c>
      <c r="C1076" s="106">
        <v>258.51</v>
      </c>
      <c r="D1076" s="106">
        <v>255</v>
      </c>
      <c r="E1076" s="106">
        <v>263</v>
      </c>
      <c r="F1076" s="106">
        <v>1292.55</v>
      </c>
      <c r="G1076">
        <v>19151</v>
      </c>
      <c r="H1076" s="106"/>
      <c r="I1076" s="106"/>
      <c r="L1076" s="143">
        <v>43591</v>
      </c>
      <c r="M1076" s="106">
        <v>258.73</v>
      </c>
      <c r="N1076" s="106">
        <v>262.8</v>
      </c>
      <c r="O1076" s="106">
        <v>254.66</v>
      </c>
      <c r="P1076" s="106">
        <v>260.69</v>
      </c>
      <c r="Q1076" s="106">
        <v>1293.6500000000001</v>
      </c>
      <c r="R1076">
        <v>454076</v>
      </c>
    </row>
    <row r="1077" spans="1:18" x14ac:dyDescent="0.25">
      <c r="A1077" s="143">
        <v>43592</v>
      </c>
      <c r="B1077" s="106">
        <v>266.14999999999998</v>
      </c>
      <c r="C1077" s="106">
        <v>260.98</v>
      </c>
      <c r="D1077" s="106">
        <v>260.11</v>
      </c>
      <c r="E1077" s="106">
        <v>260.99</v>
      </c>
      <c r="F1077" s="106">
        <v>1304.9000000000001</v>
      </c>
      <c r="G1077">
        <v>15517</v>
      </c>
      <c r="H1077" s="106"/>
      <c r="I1077" s="106"/>
      <c r="L1077" s="143">
        <v>43592</v>
      </c>
      <c r="M1077" s="106">
        <v>260.90999999999997</v>
      </c>
      <c r="N1077" s="106">
        <v>266.39999999999998</v>
      </c>
      <c r="O1077" s="106">
        <v>259.2</v>
      </c>
      <c r="P1077" s="106">
        <v>259.79000000000002</v>
      </c>
      <c r="Q1077" s="106">
        <v>1304.55</v>
      </c>
      <c r="R1077">
        <v>337552</v>
      </c>
    </row>
    <row r="1078" spans="1:18" x14ac:dyDescent="0.25">
      <c r="A1078" s="143">
        <v>43593</v>
      </c>
      <c r="B1078" s="106">
        <v>261.58000000000004</v>
      </c>
      <c r="C1078" s="106">
        <v>256.33000000000004</v>
      </c>
      <c r="D1078" s="106">
        <v>255.6</v>
      </c>
      <c r="E1078" s="106">
        <v>256.2</v>
      </c>
      <c r="F1078" s="106">
        <v>1281.6500000000001</v>
      </c>
      <c r="G1078">
        <v>23041</v>
      </c>
      <c r="H1078" s="106"/>
      <c r="I1078" s="106"/>
      <c r="L1078" s="143">
        <v>43593</v>
      </c>
      <c r="M1078" s="106">
        <v>256.41999999999996</v>
      </c>
      <c r="N1078" s="106">
        <v>261.19</v>
      </c>
      <c r="O1078" s="106">
        <v>255.36999999999998</v>
      </c>
      <c r="P1078" s="106">
        <v>257.60000000000002</v>
      </c>
      <c r="Q1078" s="106">
        <v>1282.0999999999999</v>
      </c>
      <c r="R1078">
        <v>170601</v>
      </c>
    </row>
    <row r="1079" spans="1:18" x14ac:dyDescent="0.25">
      <c r="A1079" s="143">
        <v>43594</v>
      </c>
      <c r="B1079" s="106">
        <v>265.5</v>
      </c>
      <c r="C1079" s="106">
        <v>264.02999999999997</v>
      </c>
      <c r="D1079" s="106">
        <v>252.6</v>
      </c>
      <c r="E1079" s="106">
        <v>255.19</v>
      </c>
      <c r="F1079" s="106">
        <v>1320.15</v>
      </c>
      <c r="G1079">
        <v>17567</v>
      </c>
      <c r="H1079" s="106"/>
      <c r="I1079" s="106"/>
      <c r="L1079" s="143">
        <v>43594</v>
      </c>
      <c r="M1079" s="106">
        <v>264.19</v>
      </c>
      <c r="N1079" s="106">
        <v>265.16000000000003</v>
      </c>
      <c r="O1079" s="106">
        <v>252.73</v>
      </c>
      <c r="P1079" s="106">
        <v>255.4</v>
      </c>
      <c r="Q1079" s="106">
        <v>1320.95</v>
      </c>
      <c r="R1079">
        <v>352601</v>
      </c>
    </row>
    <row r="1080" spans="1:18" x14ac:dyDescent="0.25">
      <c r="A1080" s="143">
        <v>43595</v>
      </c>
      <c r="B1080" s="106">
        <v>265.56</v>
      </c>
      <c r="C1080" s="106">
        <v>258.41999999999996</v>
      </c>
      <c r="D1080" s="106">
        <v>257.10000000000002</v>
      </c>
      <c r="E1080" s="106">
        <v>264.34000000000003</v>
      </c>
      <c r="F1080" s="106">
        <v>1292.0999999999999</v>
      </c>
      <c r="G1080">
        <v>9470</v>
      </c>
      <c r="H1080" s="106"/>
      <c r="I1080" s="106"/>
      <c r="L1080" s="143">
        <v>43595</v>
      </c>
      <c r="M1080" s="106">
        <v>258.79000000000002</v>
      </c>
      <c r="N1080" s="106">
        <v>265.91999999999996</v>
      </c>
      <c r="O1080" s="106">
        <v>257.53000000000003</v>
      </c>
      <c r="P1080" s="106">
        <v>263.77</v>
      </c>
      <c r="Q1080" s="106">
        <v>1293.95</v>
      </c>
      <c r="R1080">
        <v>283138</v>
      </c>
    </row>
    <row r="1081" spans="1:18" x14ac:dyDescent="0.25">
      <c r="A1081" s="143">
        <v>43598</v>
      </c>
      <c r="B1081" s="106">
        <v>260.60000000000002</v>
      </c>
      <c r="C1081" s="106">
        <v>249.32</v>
      </c>
      <c r="D1081" s="106">
        <v>247</v>
      </c>
      <c r="E1081" s="106">
        <v>258.56</v>
      </c>
      <c r="F1081" s="106">
        <v>1246.5999999999999</v>
      </c>
      <c r="G1081">
        <v>17750</v>
      </c>
      <c r="H1081" s="106"/>
      <c r="I1081" s="106"/>
      <c r="L1081" s="143">
        <v>43598</v>
      </c>
      <c r="M1081" s="106">
        <v>249.56</v>
      </c>
      <c r="N1081" s="106">
        <v>260.88</v>
      </c>
      <c r="O1081" s="106">
        <v>248.1</v>
      </c>
      <c r="P1081" s="106">
        <v>259.19</v>
      </c>
      <c r="Q1081" s="106">
        <v>1247.8</v>
      </c>
      <c r="R1081">
        <v>266539</v>
      </c>
    </row>
    <row r="1082" spans="1:18" x14ac:dyDescent="0.25">
      <c r="A1082" s="143">
        <v>43599</v>
      </c>
      <c r="B1082" s="106">
        <v>260</v>
      </c>
      <c r="C1082" s="106">
        <v>255.61999999999998</v>
      </c>
      <c r="D1082" s="106">
        <v>249.8</v>
      </c>
      <c r="E1082" s="106">
        <v>250.69</v>
      </c>
      <c r="F1082" s="106">
        <v>1278.0999999999999</v>
      </c>
      <c r="G1082">
        <v>13511</v>
      </c>
      <c r="H1082" s="106"/>
      <c r="I1082" s="106"/>
      <c r="L1082" s="143">
        <v>43599</v>
      </c>
      <c r="M1082" s="106">
        <v>255.29000000000002</v>
      </c>
      <c r="N1082" s="106">
        <v>260.54000000000002</v>
      </c>
      <c r="O1082" s="106">
        <v>249.04000000000002</v>
      </c>
      <c r="P1082" s="106">
        <v>250.36999999999998</v>
      </c>
      <c r="Q1082" s="106">
        <v>1276.45</v>
      </c>
      <c r="R1082">
        <v>415461</v>
      </c>
    </row>
    <row r="1083" spans="1:18" x14ac:dyDescent="0.25">
      <c r="A1083" s="143">
        <v>43600</v>
      </c>
      <c r="B1083" s="106">
        <v>260.59000000000003</v>
      </c>
      <c r="C1083" s="106">
        <v>256.99</v>
      </c>
      <c r="D1083" s="106">
        <v>252.2</v>
      </c>
      <c r="E1083" s="106">
        <v>252.2</v>
      </c>
      <c r="F1083" s="106">
        <v>1284.95</v>
      </c>
      <c r="G1083">
        <v>9588</v>
      </c>
      <c r="H1083" s="106"/>
      <c r="I1083" s="106"/>
      <c r="L1083" s="143">
        <v>43600</v>
      </c>
      <c r="M1083" s="106">
        <v>257.43</v>
      </c>
      <c r="N1083" s="106">
        <v>260.8</v>
      </c>
      <c r="O1083" s="106">
        <v>253.17</v>
      </c>
      <c r="P1083" s="106">
        <v>255</v>
      </c>
      <c r="Q1083" s="106">
        <v>1287.1500000000001</v>
      </c>
      <c r="R1083">
        <v>215218</v>
      </c>
    </row>
    <row r="1084" spans="1:18" x14ac:dyDescent="0.25">
      <c r="A1084" s="143">
        <v>43601</v>
      </c>
      <c r="B1084" s="106">
        <v>261.60000000000002</v>
      </c>
      <c r="C1084" s="106">
        <v>259.51</v>
      </c>
      <c r="D1084" s="106">
        <v>253.67</v>
      </c>
      <c r="E1084" s="106">
        <v>257.59000000000003</v>
      </c>
      <c r="F1084" s="106">
        <v>1297.55</v>
      </c>
      <c r="G1084">
        <v>6592</v>
      </c>
      <c r="H1084" s="106"/>
      <c r="I1084" s="106"/>
      <c r="L1084" s="143">
        <v>43601</v>
      </c>
      <c r="M1084" s="106">
        <v>259.99</v>
      </c>
      <c r="N1084" s="106">
        <v>262.15999999999997</v>
      </c>
      <c r="O1084" s="106">
        <v>253.31</v>
      </c>
      <c r="P1084" s="106">
        <v>256.24</v>
      </c>
      <c r="Q1084" s="106">
        <v>1299.95</v>
      </c>
      <c r="R1084">
        <v>225960</v>
      </c>
    </row>
    <row r="1085" spans="1:18" x14ac:dyDescent="0.25">
      <c r="A1085" s="143">
        <v>43602</v>
      </c>
      <c r="B1085" s="106">
        <v>271.38</v>
      </c>
      <c r="C1085" s="106">
        <v>270.10000000000002</v>
      </c>
      <c r="D1085" s="106">
        <v>258.98</v>
      </c>
      <c r="E1085" s="106">
        <v>262.63</v>
      </c>
      <c r="F1085" s="106">
        <v>1350.5</v>
      </c>
      <c r="G1085">
        <v>11704</v>
      </c>
      <c r="H1085" s="106"/>
      <c r="I1085" s="106"/>
      <c r="L1085" s="143">
        <v>43602</v>
      </c>
      <c r="M1085" s="106">
        <v>270.17</v>
      </c>
      <c r="N1085" s="106">
        <v>271.5</v>
      </c>
      <c r="O1085" s="106">
        <v>258.8</v>
      </c>
      <c r="P1085" s="106">
        <v>259.05</v>
      </c>
      <c r="Q1085" s="106">
        <v>1350.85</v>
      </c>
      <c r="R1085">
        <v>456847</v>
      </c>
    </row>
    <row r="1086" spans="1:18" x14ac:dyDescent="0.25">
      <c r="A1086" s="143">
        <v>43605</v>
      </c>
      <c r="B1086" s="106">
        <v>295.98</v>
      </c>
      <c r="C1086" s="106">
        <v>285.89999999999998</v>
      </c>
      <c r="D1086" s="106">
        <v>275.51</v>
      </c>
      <c r="E1086" s="106">
        <v>280</v>
      </c>
      <c r="F1086" s="106">
        <v>1429.5</v>
      </c>
      <c r="G1086">
        <v>17398</v>
      </c>
      <c r="H1086" s="106"/>
      <c r="I1086" s="106"/>
      <c r="L1086" s="143">
        <v>43605</v>
      </c>
      <c r="M1086" s="106">
        <v>285.52</v>
      </c>
      <c r="N1086" s="106">
        <v>295.74</v>
      </c>
      <c r="O1086" s="106">
        <v>274.02999999999997</v>
      </c>
      <c r="P1086" s="106">
        <v>285</v>
      </c>
      <c r="Q1086" s="106">
        <v>1427.6</v>
      </c>
      <c r="R1086">
        <v>381739</v>
      </c>
    </row>
    <row r="1087" spans="1:18" x14ac:dyDescent="0.25">
      <c r="A1087" s="143">
        <v>43606</v>
      </c>
      <c r="B1087" s="106">
        <v>290</v>
      </c>
      <c r="C1087" s="106">
        <v>283.36</v>
      </c>
      <c r="D1087" s="106">
        <v>276.31</v>
      </c>
      <c r="E1087" s="106">
        <v>287.49</v>
      </c>
      <c r="F1087" s="106">
        <v>1416.8</v>
      </c>
      <c r="G1087">
        <v>16438</v>
      </c>
      <c r="H1087" s="106"/>
      <c r="I1087" s="106"/>
      <c r="L1087" s="143">
        <v>43606</v>
      </c>
      <c r="M1087" s="106">
        <v>283.89999999999998</v>
      </c>
      <c r="N1087" s="106">
        <v>290.44</v>
      </c>
      <c r="O1087" s="106">
        <v>276.29000000000002</v>
      </c>
      <c r="P1087" s="106">
        <v>286.95999999999998</v>
      </c>
      <c r="Q1087" s="106">
        <v>1419.5</v>
      </c>
      <c r="R1087">
        <v>353293</v>
      </c>
    </row>
    <row r="1088" spans="1:18" x14ac:dyDescent="0.25">
      <c r="A1088" s="143">
        <v>43607</v>
      </c>
      <c r="B1088" s="106">
        <v>285.10000000000002</v>
      </c>
      <c r="C1088" s="106">
        <v>281.77999999999997</v>
      </c>
      <c r="D1088" s="106">
        <v>271.23</v>
      </c>
      <c r="E1088" s="106">
        <v>283.60000000000002</v>
      </c>
      <c r="F1088" s="106">
        <v>1408.9</v>
      </c>
      <c r="G1088">
        <v>23495</v>
      </c>
      <c r="H1088" s="106"/>
      <c r="I1088" s="106"/>
      <c r="L1088" s="143">
        <v>43607</v>
      </c>
      <c r="M1088" s="106">
        <v>283.60000000000002</v>
      </c>
      <c r="N1088" s="106">
        <v>285.43</v>
      </c>
      <c r="O1088" s="106">
        <v>270.64999999999998</v>
      </c>
      <c r="P1088" s="106">
        <v>282.48</v>
      </c>
      <c r="Q1088" s="106">
        <v>1418</v>
      </c>
      <c r="R1088">
        <v>550257</v>
      </c>
    </row>
    <row r="1089" spans="1:18" x14ac:dyDescent="0.25">
      <c r="A1089" s="143">
        <v>43608</v>
      </c>
      <c r="B1089" s="106">
        <v>294.52</v>
      </c>
      <c r="C1089" s="106">
        <v>283.2</v>
      </c>
      <c r="D1089" s="106">
        <v>281.01</v>
      </c>
      <c r="E1089" s="106">
        <v>288</v>
      </c>
      <c r="F1089" s="106">
        <v>1416</v>
      </c>
      <c r="G1089">
        <v>14632</v>
      </c>
      <c r="H1089" s="106"/>
      <c r="I1089" s="106"/>
      <c r="L1089" s="143">
        <v>43608</v>
      </c>
      <c r="M1089" s="106">
        <v>283.75</v>
      </c>
      <c r="N1089" s="106">
        <v>295</v>
      </c>
      <c r="O1089" s="106">
        <v>282.45</v>
      </c>
      <c r="P1089" s="106">
        <v>288</v>
      </c>
      <c r="Q1089" s="106">
        <v>1418.75</v>
      </c>
      <c r="R1089">
        <v>411795</v>
      </c>
    </row>
    <row r="1090" spans="1:18" x14ac:dyDescent="0.25">
      <c r="A1090" s="143">
        <v>43609</v>
      </c>
      <c r="B1090" s="106">
        <v>302.49</v>
      </c>
      <c r="C1090" s="106">
        <v>297.93</v>
      </c>
      <c r="D1090" s="106">
        <v>282.8</v>
      </c>
      <c r="E1090" s="106">
        <v>285.77</v>
      </c>
      <c r="F1090" s="106">
        <v>1489.65</v>
      </c>
      <c r="G1090">
        <v>30062</v>
      </c>
      <c r="H1090" s="106"/>
      <c r="I1090" s="106"/>
      <c r="L1090" s="143">
        <v>43609</v>
      </c>
      <c r="M1090" s="106">
        <v>296.95999999999998</v>
      </c>
      <c r="N1090" s="106">
        <v>305</v>
      </c>
      <c r="O1090" s="106">
        <v>282.64999999999998</v>
      </c>
      <c r="P1090" s="106">
        <v>285</v>
      </c>
      <c r="Q1090" s="106">
        <v>1484.8</v>
      </c>
      <c r="R1090">
        <v>516426</v>
      </c>
    </row>
    <row r="1091" spans="1:18" x14ac:dyDescent="0.25">
      <c r="A1091" s="143">
        <v>43612</v>
      </c>
      <c r="B1091" s="106">
        <v>309.29000000000002</v>
      </c>
      <c r="C1091" s="106">
        <v>305.56</v>
      </c>
      <c r="D1091" s="106">
        <v>298.60000000000002</v>
      </c>
      <c r="E1091" s="106">
        <v>301.8</v>
      </c>
      <c r="F1091" s="106">
        <v>1527.8</v>
      </c>
      <c r="G1091">
        <v>28370</v>
      </c>
      <c r="H1091" s="106"/>
      <c r="I1091" s="106"/>
      <c r="L1091" s="143">
        <v>43612</v>
      </c>
      <c r="M1091" s="106">
        <v>302.61</v>
      </c>
      <c r="N1091" s="106">
        <v>303.89999999999998</v>
      </c>
      <c r="O1091" s="106">
        <v>298.01</v>
      </c>
      <c r="P1091" s="106">
        <v>299.01</v>
      </c>
      <c r="Q1091" s="106">
        <v>1513.05</v>
      </c>
      <c r="R1091">
        <v>288436</v>
      </c>
    </row>
    <row r="1092" spans="1:18" x14ac:dyDescent="0.25">
      <c r="A1092" s="143">
        <v>43613</v>
      </c>
      <c r="B1092" s="106">
        <v>309</v>
      </c>
      <c r="C1092" s="106">
        <v>301.45</v>
      </c>
      <c r="D1092" s="106">
        <v>298.41000000000003</v>
      </c>
      <c r="E1092" s="106">
        <v>305</v>
      </c>
      <c r="F1092" s="106">
        <v>1507.25</v>
      </c>
      <c r="G1092">
        <v>27231</v>
      </c>
      <c r="H1092" s="106"/>
      <c r="I1092" s="106"/>
      <c r="L1092" s="143">
        <v>43613</v>
      </c>
      <c r="M1092" s="106">
        <v>299.19</v>
      </c>
      <c r="N1092" s="106">
        <v>308.89999999999998</v>
      </c>
      <c r="O1092" s="106">
        <v>296.99</v>
      </c>
      <c r="P1092" s="106">
        <v>304</v>
      </c>
      <c r="Q1092" s="106">
        <v>1495.95</v>
      </c>
      <c r="R1092">
        <v>371855</v>
      </c>
    </row>
    <row r="1093" spans="1:18" x14ac:dyDescent="0.25">
      <c r="A1093" s="143">
        <v>43614</v>
      </c>
      <c r="B1093" s="106">
        <v>301.58999999999997</v>
      </c>
      <c r="C1093" s="106">
        <v>295.51</v>
      </c>
      <c r="D1093" s="106">
        <v>293.2</v>
      </c>
      <c r="E1093" s="106">
        <v>301.58999999999997</v>
      </c>
      <c r="F1093" s="106">
        <v>1477.55</v>
      </c>
      <c r="G1093">
        <v>11466</v>
      </c>
      <c r="H1093" s="106"/>
      <c r="I1093" s="106"/>
      <c r="L1093" s="143">
        <v>43614</v>
      </c>
      <c r="M1093" s="106">
        <v>293.83999999999997</v>
      </c>
      <c r="N1093" s="106">
        <v>299.3</v>
      </c>
      <c r="O1093" s="106">
        <v>292.64999999999998</v>
      </c>
      <c r="P1093" s="106">
        <v>299.3</v>
      </c>
      <c r="Q1093" s="106">
        <v>1469.2</v>
      </c>
      <c r="R1093">
        <v>256287</v>
      </c>
    </row>
    <row r="1094" spans="1:18" x14ac:dyDescent="0.25">
      <c r="A1094" s="143">
        <v>43615</v>
      </c>
      <c r="B1094" s="106">
        <v>305.19</v>
      </c>
      <c r="C1094" s="106">
        <v>301.08</v>
      </c>
      <c r="D1094" s="106">
        <v>296</v>
      </c>
      <c r="E1094" s="106">
        <v>296.54000000000002</v>
      </c>
      <c r="F1094" s="106">
        <v>1505.4</v>
      </c>
      <c r="G1094">
        <v>25778</v>
      </c>
      <c r="H1094" s="106"/>
      <c r="I1094" s="106"/>
      <c r="L1094" s="143">
        <v>43615</v>
      </c>
      <c r="M1094" s="106">
        <v>301.48</v>
      </c>
      <c r="N1094" s="106">
        <v>305.14</v>
      </c>
      <c r="O1094" s="106">
        <v>295</v>
      </c>
      <c r="P1094" s="106">
        <v>295.60000000000002</v>
      </c>
      <c r="Q1094" s="106">
        <v>1507.4</v>
      </c>
      <c r="R1094">
        <v>392740</v>
      </c>
    </row>
    <row r="1095" spans="1:18" x14ac:dyDescent="0.25">
      <c r="A1095" s="143">
        <v>43616</v>
      </c>
      <c r="B1095" s="106">
        <v>311</v>
      </c>
      <c r="C1095" s="106">
        <v>306.70999999999998</v>
      </c>
      <c r="D1095" s="106">
        <v>301.97000000000003</v>
      </c>
      <c r="E1095" s="106">
        <v>303.98</v>
      </c>
      <c r="F1095" s="106">
        <v>1533.55</v>
      </c>
      <c r="G1095">
        <v>52353</v>
      </c>
      <c r="H1095" s="106"/>
      <c r="I1095" s="106"/>
      <c r="L1095" s="143">
        <v>43616</v>
      </c>
      <c r="M1095" s="106">
        <v>306.54000000000002</v>
      </c>
      <c r="N1095" s="106">
        <v>311</v>
      </c>
      <c r="O1095" s="106">
        <v>301.22000000000003</v>
      </c>
      <c r="P1095" s="106">
        <v>302.64999999999998</v>
      </c>
      <c r="Q1095" s="106">
        <v>1532.7</v>
      </c>
      <c r="R1095">
        <v>569481</v>
      </c>
    </row>
    <row r="1096" spans="1:18" x14ac:dyDescent="0.25">
      <c r="A1096" s="143">
        <v>43619</v>
      </c>
      <c r="B1096" s="106">
        <v>309.01</v>
      </c>
      <c r="C1096" s="106">
        <v>306.39999999999998</v>
      </c>
      <c r="D1096" s="106">
        <v>304.45999999999998</v>
      </c>
      <c r="E1096" s="106">
        <v>307.45999999999998</v>
      </c>
      <c r="F1096" s="106">
        <v>1532</v>
      </c>
      <c r="G1096">
        <v>8000</v>
      </c>
      <c r="H1096" s="106"/>
      <c r="I1096" s="106"/>
      <c r="L1096" s="143">
        <v>43619</v>
      </c>
      <c r="M1096" s="106">
        <v>306.48</v>
      </c>
      <c r="N1096" s="106">
        <v>308.89</v>
      </c>
      <c r="O1096" s="106">
        <v>304.18</v>
      </c>
      <c r="P1096" s="106">
        <v>307.99</v>
      </c>
      <c r="Q1096" s="106">
        <v>1532.4</v>
      </c>
      <c r="R1096">
        <v>177518</v>
      </c>
    </row>
    <row r="1097" spans="1:18" x14ac:dyDescent="0.25">
      <c r="A1097" s="143">
        <v>43620</v>
      </c>
      <c r="B1097" s="106">
        <v>309.43</v>
      </c>
      <c r="C1097" s="106">
        <v>304.58999999999997</v>
      </c>
      <c r="D1097" s="106">
        <v>302.83999999999997</v>
      </c>
      <c r="E1097" s="106">
        <v>307.39999999999998</v>
      </c>
      <c r="F1097" s="106">
        <v>1522.95</v>
      </c>
      <c r="G1097">
        <v>11339</v>
      </c>
      <c r="H1097" s="106"/>
      <c r="I1097" s="106"/>
      <c r="L1097" s="143">
        <v>43620</v>
      </c>
      <c r="M1097" s="106">
        <v>304.64</v>
      </c>
      <c r="N1097" s="106">
        <v>309.72000000000003</v>
      </c>
      <c r="O1097" s="106">
        <v>303.60000000000002</v>
      </c>
      <c r="P1097" s="106">
        <v>304.02</v>
      </c>
      <c r="Q1097" s="106">
        <v>1523.2</v>
      </c>
      <c r="R1097">
        <v>206271</v>
      </c>
    </row>
    <row r="1098" spans="1:18" x14ac:dyDescent="0.25">
      <c r="A1098" s="143">
        <v>43622</v>
      </c>
      <c r="B1098" s="106">
        <v>303.60000000000002</v>
      </c>
      <c r="C1098" s="106">
        <v>294.02999999999997</v>
      </c>
      <c r="D1098" s="106">
        <v>291.72000000000003</v>
      </c>
      <c r="E1098" s="106">
        <v>303.60000000000002</v>
      </c>
      <c r="F1098" s="106">
        <v>1470.15</v>
      </c>
      <c r="G1098">
        <v>28833</v>
      </c>
      <c r="H1098" s="106"/>
      <c r="I1098" s="106"/>
      <c r="L1098" s="143">
        <v>43622</v>
      </c>
      <c r="M1098" s="106">
        <v>293.43</v>
      </c>
      <c r="N1098" s="106">
        <v>304</v>
      </c>
      <c r="O1098" s="106">
        <v>291.64</v>
      </c>
      <c r="P1098" s="106">
        <v>302.2</v>
      </c>
      <c r="Q1098" s="106">
        <v>1467.15</v>
      </c>
      <c r="R1098">
        <v>345560</v>
      </c>
    </row>
    <row r="1099" spans="1:18" x14ac:dyDescent="0.25">
      <c r="A1099" s="143">
        <v>43623</v>
      </c>
      <c r="B1099" s="106">
        <v>299.66000000000003</v>
      </c>
      <c r="C1099" s="106">
        <v>295.64999999999998</v>
      </c>
      <c r="D1099" s="106">
        <v>291.13</v>
      </c>
      <c r="E1099" s="106">
        <v>292.01</v>
      </c>
      <c r="F1099" s="106">
        <v>1478.25</v>
      </c>
      <c r="G1099">
        <v>12615</v>
      </c>
      <c r="H1099" s="106"/>
      <c r="I1099" s="106"/>
      <c r="L1099" s="143">
        <v>43623</v>
      </c>
      <c r="M1099" s="106">
        <v>295.42</v>
      </c>
      <c r="N1099" s="106">
        <v>299.39</v>
      </c>
      <c r="O1099" s="106">
        <v>290.69</v>
      </c>
      <c r="P1099" s="106">
        <v>293.38</v>
      </c>
      <c r="Q1099" s="106">
        <v>1477.1</v>
      </c>
      <c r="R1099">
        <v>341940</v>
      </c>
    </row>
    <row r="1100" spans="1:18" x14ac:dyDescent="0.25">
      <c r="A1100" s="143">
        <v>43626</v>
      </c>
      <c r="B1100" s="106">
        <v>298.70999999999998</v>
      </c>
      <c r="C1100" s="106">
        <v>293.05</v>
      </c>
      <c r="D1100" s="106">
        <v>290</v>
      </c>
      <c r="E1100" s="106">
        <v>294.43</v>
      </c>
      <c r="F1100" s="106">
        <v>1465.25</v>
      </c>
      <c r="G1100">
        <v>8521</v>
      </c>
      <c r="H1100" s="106"/>
      <c r="I1100" s="106"/>
      <c r="L1100" s="143">
        <v>43626</v>
      </c>
      <c r="M1100" s="106">
        <v>293.3</v>
      </c>
      <c r="N1100" s="106">
        <v>299</v>
      </c>
      <c r="O1100" s="106">
        <v>290.2</v>
      </c>
      <c r="P1100" s="106">
        <v>296.8</v>
      </c>
      <c r="Q1100" s="106">
        <v>1466.5</v>
      </c>
      <c r="R1100">
        <v>227972</v>
      </c>
    </row>
    <row r="1101" spans="1:18" x14ac:dyDescent="0.25">
      <c r="A1101" s="143">
        <v>43627</v>
      </c>
      <c r="B1101" s="106">
        <v>305.19</v>
      </c>
      <c r="C1101" s="106">
        <v>302.89999999999998</v>
      </c>
      <c r="D1101" s="106">
        <v>291.22000000000003</v>
      </c>
      <c r="E1101" s="106">
        <v>291.22000000000003</v>
      </c>
      <c r="F1101" s="106">
        <v>1514.5</v>
      </c>
      <c r="G1101">
        <v>37927</v>
      </c>
      <c r="H1101" s="106"/>
      <c r="I1101" s="106"/>
      <c r="L1101" s="143">
        <v>43627</v>
      </c>
      <c r="M1101" s="106">
        <v>302.7</v>
      </c>
      <c r="N1101" s="106">
        <v>305.39999999999998</v>
      </c>
      <c r="O1101" s="106">
        <v>291.60000000000002</v>
      </c>
      <c r="P1101" s="106">
        <v>293.18</v>
      </c>
      <c r="Q1101" s="106">
        <v>1513.5</v>
      </c>
      <c r="R1101">
        <v>273246</v>
      </c>
    </row>
    <row r="1102" spans="1:18" x14ac:dyDescent="0.25">
      <c r="A1102" s="143">
        <v>43628</v>
      </c>
      <c r="B1102" s="106">
        <v>302.24</v>
      </c>
      <c r="C1102" s="106">
        <v>295.88</v>
      </c>
      <c r="D1102" s="106">
        <v>294.2</v>
      </c>
      <c r="E1102" s="106">
        <v>302.24</v>
      </c>
      <c r="F1102" s="106">
        <v>1479.4</v>
      </c>
      <c r="G1102">
        <v>13525</v>
      </c>
      <c r="H1102" s="106"/>
      <c r="I1102" s="106"/>
      <c r="L1102" s="143">
        <v>43628</v>
      </c>
      <c r="M1102" s="106">
        <v>296.39999999999998</v>
      </c>
      <c r="N1102" s="106">
        <v>303.39</v>
      </c>
      <c r="O1102" s="106">
        <v>294</v>
      </c>
      <c r="P1102" s="106">
        <v>303.39</v>
      </c>
      <c r="Q1102" s="106">
        <v>1482</v>
      </c>
      <c r="R1102">
        <v>279403</v>
      </c>
    </row>
    <row r="1103" spans="1:18" x14ac:dyDescent="0.25">
      <c r="A1103" s="143">
        <v>43629</v>
      </c>
      <c r="B1103" s="106">
        <v>297</v>
      </c>
      <c r="C1103" s="106">
        <v>294.35000000000002</v>
      </c>
      <c r="D1103" s="106">
        <v>287.8</v>
      </c>
      <c r="E1103" s="106">
        <v>295.33</v>
      </c>
      <c r="F1103" s="106">
        <v>1471.75</v>
      </c>
      <c r="G1103">
        <v>19909</v>
      </c>
      <c r="H1103" s="106"/>
      <c r="I1103" s="106"/>
      <c r="L1103" s="143">
        <v>43629</v>
      </c>
      <c r="M1103" s="106">
        <v>294.24</v>
      </c>
      <c r="N1103" s="106">
        <v>296.93</v>
      </c>
      <c r="O1103" s="106">
        <v>287.66000000000003</v>
      </c>
      <c r="P1103" s="106">
        <v>296.2</v>
      </c>
      <c r="Q1103" s="106">
        <v>1471.2</v>
      </c>
      <c r="R1103">
        <v>370098</v>
      </c>
    </row>
    <row r="1104" spans="1:18" x14ac:dyDescent="0.25">
      <c r="A1104" s="143">
        <v>43630</v>
      </c>
      <c r="B1104" s="106">
        <v>300.85000000000002</v>
      </c>
      <c r="C1104" s="106">
        <v>291.55</v>
      </c>
      <c r="D1104" s="106">
        <v>289.95</v>
      </c>
      <c r="E1104" s="106">
        <v>297</v>
      </c>
      <c r="F1104" s="106">
        <v>291.55</v>
      </c>
      <c r="G1104">
        <v>47824</v>
      </c>
      <c r="H1104" s="106"/>
      <c r="I1104" s="106"/>
      <c r="L1104" s="143">
        <v>43630</v>
      </c>
      <c r="M1104" s="106">
        <v>291.35000000000002</v>
      </c>
      <c r="N1104" s="106">
        <v>301.25</v>
      </c>
      <c r="O1104" s="106">
        <v>289.5</v>
      </c>
      <c r="P1104" s="106">
        <v>296.8</v>
      </c>
      <c r="Q1104" s="106">
        <v>291.35000000000002</v>
      </c>
      <c r="R1104">
        <v>1035738</v>
      </c>
    </row>
    <row r="1105" spans="1:18" x14ac:dyDescent="0.25">
      <c r="A1105" s="143">
        <v>43633</v>
      </c>
      <c r="B1105" s="106">
        <v>293.5</v>
      </c>
      <c r="C1105" s="106">
        <v>290.05</v>
      </c>
      <c r="D1105" s="106">
        <v>284.45</v>
      </c>
      <c r="E1105" s="106">
        <v>293.5</v>
      </c>
      <c r="F1105" s="106">
        <v>290.05</v>
      </c>
      <c r="G1105">
        <v>36348</v>
      </c>
      <c r="H1105" s="106"/>
      <c r="I1105" s="106"/>
      <c r="L1105" s="143">
        <v>43633</v>
      </c>
      <c r="M1105" s="106">
        <v>290.25</v>
      </c>
      <c r="N1105" s="106">
        <v>295</v>
      </c>
      <c r="O1105" s="106">
        <v>284.35000000000002</v>
      </c>
      <c r="P1105" s="106">
        <v>293.2</v>
      </c>
      <c r="Q1105" s="106">
        <v>290.25</v>
      </c>
      <c r="R1105">
        <v>605090</v>
      </c>
    </row>
    <row r="1106" spans="1:18" x14ac:dyDescent="0.25">
      <c r="A1106" s="143">
        <v>43634</v>
      </c>
      <c r="B1106" s="106">
        <v>295.60000000000002</v>
      </c>
      <c r="C1106" s="106">
        <v>289.89999999999998</v>
      </c>
      <c r="D1106" s="106">
        <v>287.25</v>
      </c>
      <c r="E1106" s="106">
        <v>291.39999999999998</v>
      </c>
      <c r="F1106" s="106">
        <v>289.89999999999998</v>
      </c>
      <c r="G1106">
        <v>33435</v>
      </c>
      <c r="H1106" s="106"/>
      <c r="I1106" s="106"/>
      <c r="L1106" s="143">
        <v>43634</v>
      </c>
      <c r="M1106" s="106">
        <v>289.89999999999998</v>
      </c>
      <c r="N1106" s="106">
        <v>295.89999999999998</v>
      </c>
      <c r="O1106" s="106">
        <v>286.95</v>
      </c>
      <c r="P1106" s="106">
        <v>291.60000000000002</v>
      </c>
      <c r="Q1106" s="106">
        <v>289.89999999999998</v>
      </c>
      <c r="R1106">
        <v>978798</v>
      </c>
    </row>
    <row r="1107" spans="1:18" x14ac:dyDescent="0.25">
      <c r="A1107" s="143">
        <v>43635</v>
      </c>
      <c r="B1107" s="106">
        <v>293.25</v>
      </c>
      <c r="C1107" s="106">
        <v>283.35000000000002</v>
      </c>
      <c r="D1107" s="106">
        <v>278.10000000000002</v>
      </c>
      <c r="E1107" s="106">
        <v>292.5</v>
      </c>
      <c r="F1107" s="106">
        <v>283.35000000000002</v>
      </c>
      <c r="G1107">
        <v>52804</v>
      </c>
      <c r="H1107" s="106"/>
      <c r="I1107" s="106"/>
      <c r="L1107" s="143">
        <v>43635</v>
      </c>
      <c r="M1107" s="106">
        <v>283.60000000000002</v>
      </c>
      <c r="N1107" s="106">
        <v>293.25</v>
      </c>
      <c r="O1107" s="106">
        <v>278</v>
      </c>
      <c r="P1107" s="106">
        <v>290.7</v>
      </c>
      <c r="Q1107" s="106">
        <v>283.60000000000002</v>
      </c>
      <c r="R1107">
        <v>521835</v>
      </c>
    </row>
    <row r="1108" spans="1:18" x14ac:dyDescent="0.25">
      <c r="A1108" s="143">
        <v>43636</v>
      </c>
      <c r="B1108" s="106">
        <v>286.2</v>
      </c>
      <c r="C1108" s="106">
        <v>283.14999999999998</v>
      </c>
      <c r="D1108" s="106">
        <v>278</v>
      </c>
      <c r="E1108" s="106">
        <v>278.3</v>
      </c>
      <c r="F1108" s="106">
        <v>283.14999999999998</v>
      </c>
      <c r="G1108">
        <v>23124</v>
      </c>
      <c r="H1108" s="106"/>
      <c r="I1108" s="106"/>
      <c r="L1108" s="143">
        <v>43636</v>
      </c>
      <c r="M1108" s="106">
        <v>283.10000000000002</v>
      </c>
      <c r="N1108" s="106">
        <v>286.8</v>
      </c>
      <c r="O1108" s="106">
        <v>272.3</v>
      </c>
      <c r="P1108" s="106">
        <v>282.89999999999998</v>
      </c>
      <c r="Q1108" s="106">
        <v>283.10000000000002</v>
      </c>
      <c r="R1108">
        <v>771593</v>
      </c>
    </row>
    <row r="1109" spans="1:18" x14ac:dyDescent="0.25">
      <c r="A1109" s="143">
        <v>43637</v>
      </c>
      <c r="B1109" s="106">
        <v>284.8</v>
      </c>
      <c r="C1109" s="106">
        <v>275.64999999999998</v>
      </c>
      <c r="D1109" s="106">
        <v>275.05</v>
      </c>
      <c r="E1109" s="106">
        <v>284.8</v>
      </c>
      <c r="F1109" s="106">
        <v>275.64999999999998</v>
      </c>
      <c r="G1109">
        <v>42612</v>
      </c>
      <c r="H1109" s="106"/>
      <c r="I1109" s="106"/>
      <c r="L1109" s="143">
        <v>43637</v>
      </c>
      <c r="M1109" s="106">
        <v>275.60000000000002</v>
      </c>
      <c r="N1109" s="106">
        <v>284</v>
      </c>
      <c r="O1109" s="106">
        <v>274.8</v>
      </c>
      <c r="P1109" s="106">
        <v>283</v>
      </c>
      <c r="Q1109" s="106">
        <v>275.60000000000002</v>
      </c>
      <c r="R1109">
        <v>642097</v>
      </c>
    </row>
    <row r="1110" spans="1:18" x14ac:dyDescent="0.25">
      <c r="A1110" s="143">
        <v>43640</v>
      </c>
      <c r="B1110" s="106">
        <v>279.7</v>
      </c>
      <c r="C1110" s="106">
        <v>274.55</v>
      </c>
      <c r="D1110" s="106">
        <v>272</v>
      </c>
      <c r="E1110" s="106">
        <v>275.95</v>
      </c>
      <c r="F1110" s="106">
        <v>274.55</v>
      </c>
      <c r="G1110">
        <v>29717</v>
      </c>
      <c r="H1110" s="106"/>
      <c r="I1110" s="106"/>
      <c r="L1110" s="143">
        <v>43640</v>
      </c>
      <c r="M1110" s="106">
        <v>274.7</v>
      </c>
      <c r="N1110" s="106">
        <v>279.5</v>
      </c>
      <c r="O1110" s="106">
        <v>271.55</v>
      </c>
      <c r="P1110" s="106">
        <v>275.10000000000002</v>
      </c>
      <c r="Q1110" s="106">
        <v>274.7</v>
      </c>
      <c r="R1110">
        <v>442832</v>
      </c>
    </row>
    <row r="1111" spans="1:18" x14ac:dyDescent="0.25">
      <c r="A1111" s="143">
        <v>43641</v>
      </c>
      <c r="B1111" s="106">
        <v>280.89999999999998</v>
      </c>
      <c r="C1111" s="106">
        <v>278.14999999999998</v>
      </c>
      <c r="D1111" s="106">
        <v>272.10000000000002</v>
      </c>
      <c r="E1111" s="106">
        <v>272.64999999999998</v>
      </c>
      <c r="F1111" s="106">
        <v>278.14999999999998</v>
      </c>
      <c r="G1111">
        <v>913751</v>
      </c>
      <c r="H1111" s="106"/>
      <c r="I1111" s="106"/>
      <c r="L1111" s="143">
        <v>43641</v>
      </c>
      <c r="M1111" s="106">
        <v>277.95</v>
      </c>
      <c r="N1111" s="106">
        <v>280.64999999999998</v>
      </c>
      <c r="O1111" s="106">
        <v>272.05</v>
      </c>
      <c r="P1111" s="106">
        <v>273</v>
      </c>
      <c r="Q1111" s="106">
        <v>277.95</v>
      </c>
      <c r="R1111">
        <v>502790</v>
      </c>
    </row>
    <row r="1112" spans="1:18" x14ac:dyDescent="0.25">
      <c r="A1112" s="143">
        <v>43642</v>
      </c>
      <c r="B1112" s="106">
        <v>283.95</v>
      </c>
      <c r="C1112" s="106">
        <v>282.35000000000002</v>
      </c>
      <c r="D1112" s="106">
        <v>276.35000000000002</v>
      </c>
      <c r="E1112" s="106">
        <v>277.5</v>
      </c>
      <c r="F1112" s="106">
        <v>282.35000000000002</v>
      </c>
      <c r="G1112">
        <v>28401</v>
      </c>
      <c r="H1112" s="106"/>
      <c r="I1112" s="106"/>
      <c r="L1112" s="143">
        <v>43642</v>
      </c>
      <c r="M1112" s="106">
        <v>282.64999999999998</v>
      </c>
      <c r="N1112" s="106">
        <v>284.64999999999998</v>
      </c>
      <c r="O1112" s="106">
        <v>275.75</v>
      </c>
      <c r="P1112" s="106">
        <v>277.39999999999998</v>
      </c>
      <c r="Q1112" s="106">
        <v>282.64999999999998</v>
      </c>
      <c r="R1112">
        <v>655051</v>
      </c>
    </row>
    <row r="1113" spans="1:18" x14ac:dyDescent="0.25">
      <c r="A1113" s="143">
        <v>43643</v>
      </c>
      <c r="B1113" s="106">
        <v>293.60000000000002</v>
      </c>
      <c r="C1113" s="106">
        <v>286.3</v>
      </c>
      <c r="D1113" s="106">
        <v>279.5</v>
      </c>
      <c r="E1113" s="106">
        <v>285</v>
      </c>
      <c r="F1113" s="106">
        <v>286.3</v>
      </c>
      <c r="G1113">
        <v>98618</v>
      </c>
      <c r="H1113" s="106"/>
      <c r="I1113" s="106"/>
      <c r="L1113" s="143">
        <v>43643</v>
      </c>
      <c r="M1113" s="106">
        <v>285.64999999999998</v>
      </c>
      <c r="N1113" s="106">
        <v>294</v>
      </c>
      <c r="O1113" s="106">
        <v>279.10000000000002</v>
      </c>
      <c r="P1113" s="106">
        <v>284.39999999999998</v>
      </c>
      <c r="Q1113" s="106">
        <v>285.64999999999998</v>
      </c>
      <c r="R1113">
        <v>1503740</v>
      </c>
    </row>
    <row r="1114" spans="1:18" x14ac:dyDescent="0.25">
      <c r="A1114" s="143">
        <v>43644</v>
      </c>
      <c r="B1114" s="106">
        <v>290</v>
      </c>
      <c r="C1114" s="106">
        <v>285.95</v>
      </c>
      <c r="D1114" s="106">
        <v>280.64999999999998</v>
      </c>
      <c r="E1114" s="106">
        <v>286</v>
      </c>
      <c r="F1114" s="106">
        <v>285.95</v>
      </c>
      <c r="G1114">
        <v>25977</v>
      </c>
      <c r="H1114" s="106"/>
      <c r="I1114" s="106"/>
      <c r="L1114" s="143">
        <v>43644</v>
      </c>
      <c r="M1114" s="106">
        <v>285.64999999999998</v>
      </c>
      <c r="N1114" s="106">
        <v>290</v>
      </c>
      <c r="O1114" s="106">
        <v>279.8</v>
      </c>
      <c r="P1114" s="106">
        <v>285</v>
      </c>
      <c r="Q1114" s="106">
        <v>285.64999999999998</v>
      </c>
      <c r="R1114">
        <v>765883</v>
      </c>
    </row>
    <row r="1115" spans="1:18" x14ac:dyDescent="0.25">
      <c r="A1115" s="143">
        <v>43647</v>
      </c>
      <c r="B1115" s="106">
        <v>288.14999999999998</v>
      </c>
      <c r="C1115" s="106">
        <v>283.14999999999998</v>
      </c>
      <c r="D1115" s="106">
        <v>281.05</v>
      </c>
      <c r="E1115" s="106">
        <v>286.10000000000002</v>
      </c>
      <c r="F1115" s="106">
        <v>283.14999999999998</v>
      </c>
      <c r="G1115">
        <v>60685</v>
      </c>
      <c r="H1115" s="106"/>
      <c r="I1115" s="106"/>
      <c r="L1115" s="143">
        <v>43647</v>
      </c>
      <c r="M1115" s="106">
        <v>283.05</v>
      </c>
      <c r="N1115" s="106">
        <v>288.8</v>
      </c>
      <c r="O1115" s="106">
        <v>281.05</v>
      </c>
      <c r="P1115" s="106">
        <v>286.8</v>
      </c>
      <c r="Q1115" s="106">
        <v>283.05</v>
      </c>
      <c r="R1115">
        <v>739346</v>
      </c>
    </row>
    <row r="1116" spans="1:18" x14ac:dyDescent="0.25">
      <c r="A1116" s="143">
        <v>43648</v>
      </c>
      <c r="B1116" s="106">
        <v>288.5</v>
      </c>
      <c r="C1116" s="106">
        <v>285.64999999999998</v>
      </c>
      <c r="D1116" s="106">
        <v>283.14999999999998</v>
      </c>
      <c r="E1116" s="106">
        <v>285.95</v>
      </c>
      <c r="F1116" s="106">
        <v>285.64999999999998</v>
      </c>
      <c r="G1116">
        <v>62332</v>
      </c>
      <c r="H1116" s="106"/>
      <c r="I1116" s="106"/>
      <c r="L1116" s="143">
        <v>43648</v>
      </c>
      <c r="M1116" s="106">
        <v>285.7</v>
      </c>
      <c r="N1116" s="106">
        <v>288.7</v>
      </c>
      <c r="O1116" s="106">
        <v>282.55</v>
      </c>
      <c r="P1116" s="106">
        <v>282.55</v>
      </c>
      <c r="Q1116" s="106">
        <v>285.7</v>
      </c>
      <c r="R1116">
        <v>939731</v>
      </c>
    </row>
    <row r="1117" spans="1:18" x14ac:dyDescent="0.25">
      <c r="A1117" s="143">
        <v>43649</v>
      </c>
      <c r="B1117" s="106">
        <v>293</v>
      </c>
      <c r="C1117" s="106">
        <v>290.95</v>
      </c>
      <c r="D1117" s="106">
        <v>285.2</v>
      </c>
      <c r="E1117" s="106">
        <v>288</v>
      </c>
      <c r="F1117" s="106">
        <v>290.95</v>
      </c>
      <c r="G1117">
        <v>31317</v>
      </c>
      <c r="H1117" s="106"/>
      <c r="I1117" s="106"/>
      <c r="L1117" s="143">
        <v>43649</v>
      </c>
      <c r="M1117" s="106">
        <v>291.5</v>
      </c>
      <c r="N1117" s="106">
        <v>294.89999999999998</v>
      </c>
      <c r="O1117" s="106">
        <v>285</v>
      </c>
      <c r="P1117" s="106">
        <v>285.45</v>
      </c>
      <c r="Q1117" s="106">
        <v>291.5</v>
      </c>
      <c r="R1117">
        <v>476383</v>
      </c>
    </row>
    <row r="1118" spans="1:18" x14ac:dyDescent="0.25">
      <c r="A1118" s="143">
        <v>43650</v>
      </c>
      <c r="B1118" s="106">
        <v>294.5</v>
      </c>
      <c r="C1118" s="106">
        <v>291.85000000000002</v>
      </c>
      <c r="D1118" s="106">
        <v>288.8</v>
      </c>
      <c r="E1118" s="106">
        <v>290.89999999999998</v>
      </c>
      <c r="F1118" s="106">
        <v>291.85000000000002</v>
      </c>
      <c r="G1118">
        <v>50168</v>
      </c>
      <c r="H1118" s="106"/>
      <c r="I1118" s="106"/>
      <c r="L1118" s="143">
        <v>43650</v>
      </c>
      <c r="M1118" s="106">
        <v>291.7</v>
      </c>
      <c r="N1118" s="106">
        <v>294.45</v>
      </c>
      <c r="O1118" s="106">
        <v>288.35000000000002</v>
      </c>
      <c r="P1118" s="106">
        <v>292</v>
      </c>
      <c r="Q1118" s="106">
        <v>291.7</v>
      </c>
      <c r="R1118">
        <v>834850</v>
      </c>
    </row>
    <row r="1119" spans="1:18" x14ac:dyDescent="0.25">
      <c r="A1119" s="143">
        <v>43651</v>
      </c>
      <c r="B1119" s="106">
        <v>293.14999999999998</v>
      </c>
      <c r="C1119" s="106">
        <v>288.85000000000002</v>
      </c>
      <c r="D1119" s="106">
        <v>284.8</v>
      </c>
      <c r="E1119" s="106">
        <v>293.14999999999998</v>
      </c>
      <c r="F1119" s="106">
        <v>288.85000000000002</v>
      </c>
      <c r="G1119">
        <v>42656</v>
      </c>
      <c r="H1119" s="106"/>
      <c r="I1119" s="106"/>
      <c r="L1119" s="143">
        <v>43651</v>
      </c>
      <c r="M1119" s="106">
        <v>288.60000000000002</v>
      </c>
      <c r="N1119" s="106">
        <v>293</v>
      </c>
      <c r="O1119" s="106">
        <v>284.25</v>
      </c>
      <c r="P1119" s="106">
        <v>292</v>
      </c>
      <c r="Q1119" s="106">
        <v>288.60000000000002</v>
      </c>
      <c r="R1119">
        <v>637545</v>
      </c>
    </row>
    <row r="1120" spans="1:18" x14ac:dyDescent="0.25">
      <c r="A1120" s="143">
        <v>43654</v>
      </c>
      <c r="B1120" s="106">
        <v>287.10000000000002</v>
      </c>
      <c r="C1120" s="106">
        <v>276.10000000000002</v>
      </c>
      <c r="D1120" s="106">
        <v>275.05</v>
      </c>
      <c r="E1120" s="106">
        <v>287.10000000000002</v>
      </c>
      <c r="F1120" s="106">
        <v>276.10000000000002</v>
      </c>
      <c r="G1120">
        <v>48395</v>
      </c>
      <c r="H1120" s="106"/>
      <c r="I1120" s="106"/>
      <c r="L1120" s="143">
        <v>43654</v>
      </c>
      <c r="M1120" s="106">
        <v>276.35000000000002</v>
      </c>
      <c r="N1120" s="106">
        <v>288.10000000000002</v>
      </c>
      <c r="O1120" s="106">
        <v>274.7</v>
      </c>
      <c r="P1120" s="106">
        <v>288.10000000000002</v>
      </c>
      <c r="Q1120" s="106">
        <v>276.35000000000002</v>
      </c>
      <c r="R1120">
        <v>676296</v>
      </c>
    </row>
    <row r="1121" spans="1:18" x14ac:dyDescent="0.25">
      <c r="A1121" s="143">
        <v>43655</v>
      </c>
      <c r="B1121" s="106">
        <v>284.39999999999998</v>
      </c>
      <c r="C1121" s="106">
        <v>283.14999999999998</v>
      </c>
      <c r="D1121" s="106">
        <v>273.25</v>
      </c>
      <c r="E1121" s="106">
        <v>276.95</v>
      </c>
      <c r="F1121" s="106">
        <v>283.14999999999998</v>
      </c>
      <c r="G1121">
        <v>56092</v>
      </c>
      <c r="H1121" s="106"/>
      <c r="I1121" s="106"/>
      <c r="L1121" s="143">
        <v>43655</v>
      </c>
      <c r="M1121" s="106">
        <v>283.10000000000002</v>
      </c>
      <c r="N1121" s="106">
        <v>284.5</v>
      </c>
      <c r="O1121" s="106">
        <v>272.5</v>
      </c>
      <c r="P1121" s="106">
        <v>272.5</v>
      </c>
      <c r="Q1121" s="106">
        <v>283.10000000000002</v>
      </c>
      <c r="R1121">
        <v>897385</v>
      </c>
    </row>
    <row r="1122" spans="1:18" x14ac:dyDescent="0.25">
      <c r="A1122" s="143">
        <v>43656</v>
      </c>
      <c r="B1122" s="106">
        <v>286.8</v>
      </c>
      <c r="C1122" s="106">
        <v>279.7</v>
      </c>
      <c r="D1122" s="106">
        <v>278</v>
      </c>
      <c r="E1122" s="106">
        <v>283.3</v>
      </c>
      <c r="F1122" s="106">
        <v>279.7</v>
      </c>
      <c r="G1122">
        <v>27115</v>
      </c>
      <c r="H1122" s="106"/>
      <c r="I1122" s="106"/>
      <c r="L1122" s="143">
        <v>43656</v>
      </c>
      <c r="M1122" s="106">
        <v>279.85000000000002</v>
      </c>
      <c r="N1122" s="106">
        <v>286.8</v>
      </c>
      <c r="O1122" s="106">
        <v>277.35000000000002</v>
      </c>
      <c r="P1122" s="106">
        <v>283.25</v>
      </c>
      <c r="Q1122" s="106">
        <v>279.85000000000002</v>
      </c>
      <c r="R1122">
        <v>292655</v>
      </c>
    </row>
    <row r="1123" spans="1:18" x14ac:dyDescent="0.25">
      <c r="A1123" s="143">
        <v>43657</v>
      </c>
      <c r="B1123" s="106">
        <v>283.25</v>
      </c>
      <c r="C1123" s="106">
        <v>281.45</v>
      </c>
      <c r="D1123" s="106">
        <v>277.10000000000002</v>
      </c>
      <c r="E1123" s="106">
        <v>278.5</v>
      </c>
      <c r="F1123" s="106">
        <v>281.45</v>
      </c>
      <c r="G1123">
        <v>49912</v>
      </c>
      <c r="H1123" s="106"/>
      <c r="I1123" s="106"/>
      <c r="L1123" s="143">
        <v>43657</v>
      </c>
      <c r="M1123" s="106">
        <v>280.89999999999998</v>
      </c>
      <c r="N1123" s="106">
        <v>283.75</v>
      </c>
      <c r="O1123" s="106">
        <v>277.05</v>
      </c>
      <c r="P1123" s="106">
        <v>279.3</v>
      </c>
      <c r="Q1123" s="106">
        <v>280.89999999999998</v>
      </c>
      <c r="R1123">
        <v>423741</v>
      </c>
    </row>
    <row r="1124" spans="1:18" x14ac:dyDescent="0.25">
      <c r="A1124" s="143">
        <v>43658</v>
      </c>
      <c r="B1124" s="106">
        <v>283.3</v>
      </c>
      <c r="C1124" s="106">
        <v>281.25</v>
      </c>
      <c r="D1124" s="106">
        <v>278.55</v>
      </c>
      <c r="E1124" s="106">
        <v>282</v>
      </c>
      <c r="F1124" s="106">
        <v>281.25</v>
      </c>
      <c r="G1124">
        <v>16524</v>
      </c>
      <c r="H1124" s="106"/>
      <c r="I1124" s="106"/>
      <c r="L1124" s="143">
        <v>43658</v>
      </c>
      <c r="M1124" s="106">
        <v>281.75</v>
      </c>
      <c r="N1124" s="106">
        <v>283.60000000000002</v>
      </c>
      <c r="O1124" s="106">
        <v>278.89999999999998</v>
      </c>
      <c r="P1124" s="106">
        <v>280</v>
      </c>
      <c r="Q1124" s="106">
        <v>281.75</v>
      </c>
      <c r="R1124">
        <v>797341</v>
      </c>
    </row>
    <row r="1125" spans="1:18" x14ac:dyDescent="0.25">
      <c r="A1125" s="143">
        <v>43661</v>
      </c>
      <c r="B1125" s="106">
        <v>283.2</v>
      </c>
      <c r="C1125" s="106">
        <v>276</v>
      </c>
      <c r="D1125" s="106">
        <v>275</v>
      </c>
      <c r="E1125" s="106">
        <v>280.35000000000002</v>
      </c>
      <c r="F1125" s="106">
        <v>276</v>
      </c>
      <c r="G1125">
        <v>55127</v>
      </c>
      <c r="H1125" s="106"/>
      <c r="I1125" s="106"/>
      <c r="L1125" s="143">
        <v>43661</v>
      </c>
      <c r="M1125" s="106">
        <v>275.75</v>
      </c>
      <c r="N1125" s="106">
        <v>283.85000000000002</v>
      </c>
      <c r="O1125" s="106">
        <v>274.25</v>
      </c>
      <c r="P1125" s="106">
        <v>281.35000000000002</v>
      </c>
      <c r="Q1125" s="106">
        <v>275.75</v>
      </c>
      <c r="R1125">
        <v>676286</v>
      </c>
    </row>
    <row r="1126" spans="1:18" x14ac:dyDescent="0.25">
      <c r="A1126" s="143">
        <v>43662</v>
      </c>
      <c r="B1126" s="106">
        <v>278.55</v>
      </c>
      <c r="C1126" s="106">
        <v>277.14999999999998</v>
      </c>
      <c r="D1126" s="106">
        <v>274.10000000000002</v>
      </c>
      <c r="E1126" s="106">
        <v>276.5</v>
      </c>
      <c r="F1126" s="106">
        <v>277.14999999999998</v>
      </c>
      <c r="G1126">
        <v>24294</v>
      </c>
      <c r="H1126" s="106"/>
      <c r="I1126" s="106"/>
      <c r="L1126" s="143">
        <v>43662</v>
      </c>
      <c r="M1126" s="106">
        <v>277.05</v>
      </c>
      <c r="N1126" s="106">
        <v>278.60000000000002</v>
      </c>
      <c r="O1126" s="106">
        <v>273.8</v>
      </c>
      <c r="P1126" s="106">
        <v>276</v>
      </c>
      <c r="Q1126" s="106">
        <v>277.05</v>
      </c>
      <c r="R1126">
        <v>844086</v>
      </c>
    </row>
    <row r="1127" spans="1:18" x14ac:dyDescent="0.25">
      <c r="A1127" s="143">
        <v>43663</v>
      </c>
      <c r="B1127" s="106">
        <v>286</v>
      </c>
      <c r="C1127" s="106">
        <v>274</v>
      </c>
      <c r="D1127" s="106">
        <v>268.3</v>
      </c>
      <c r="E1127" s="106">
        <v>280.89999999999998</v>
      </c>
      <c r="F1127" s="106">
        <v>274</v>
      </c>
      <c r="G1127">
        <v>71202</v>
      </c>
      <c r="H1127" s="106"/>
      <c r="I1127" s="106"/>
      <c r="L1127" s="143">
        <v>43663</v>
      </c>
      <c r="M1127" s="106">
        <v>276.25</v>
      </c>
      <c r="N1127" s="106">
        <v>286</v>
      </c>
      <c r="O1127" s="106">
        <v>273.75</v>
      </c>
      <c r="P1127" s="106">
        <v>276.89999999999998</v>
      </c>
      <c r="Q1127" s="106">
        <v>276.25</v>
      </c>
      <c r="R1127">
        <v>1051931</v>
      </c>
    </row>
    <row r="1128" spans="1:18" x14ac:dyDescent="0.25">
      <c r="A1128" s="143">
        <v>43664</v>
      </c>
      <c r="B1128" s="106">
        <v>281.7</v>
      </c>
      <c r="C1128" s="106">
        <v>270.10000000000002</v>
      </c>
      <c r="D1128" s="106">
        <v>265</v>
      </c>
      <c r="E1128" s="106">
        <v>281.7</v>
      </c>
      <c r="F1128" s="106">
        <v>270.10000000000002</v>
      </c>
      <c r="G1128">
        <v>72672</v>
      </c>
      <c r="H1128" s="106"/>
      <c r="I1128" s="106"/>
      <c r="L1128" s="143">
        <v>43664</v>
      </c>
      <c r="M1128" s="106">
        <v>270.8</v>
      </c>
      <c r="N1128" s="106">
        <v>277.35000000000002</v>
      </c>
      <c r="O1128" s="106">
        <v>264.95</v>
      </c>
      <c r="P1128" s="106">
        <v>276.60000000000002</v>
      </c>
      <c r="Q1128" s="106">
        <v>270.8</v>
      </c>
      <c r="R1128">
        <v>953968</v>
      </c>
    </row>
    <row r="1129" spans="1:18" x14ac:dyDescent="0.25">
      <c r="A1129" s="143">
        <v>43665</v>
      </c>
      <c r="B1129" s="106">
        <v>274.5</v>
      </c>
      <c r="C1129" s="106">
        <v>264.95</v>
      </c>
      <c r="D1129" s="106">
        <v>259.39999999999998</v>
      </c>
      <c r="E1129" s="106">
        <v>269.39999999999998</v>
      </c>
      <c r="F1129" s="106">
        <v>264.95</v>
      </c>
      <c r="G1129">
        <v>45873</v>
      </c>
      <c r="H1129" s="106"/>
      <c r="I1129" s="106"/>
      <c r="L1129" s="143">
        <v>43665</v>
      </c>
      <c r="M1129" s="106">
        <v>265</v>
      </c>
      <c r="N1129" s="106">
        <v>274.75</v>
      </c>
      <c r="O1129" s="106">
        <v>259.3</v>
      </c>
      <c r="P1129" s="106">
        <v>270</v>
      </c>
      <c r="Q1129" s="106">
        <v>265</v>
      </c>
      <c r="R1129">
        <v>1219212</v>
      </c>
    </row>
    <row r="1130" spans="1:18" x14ac:dyDescent="0.25">
      <c r="A1130" s="143">
        <v>43668</v>
      </c>
      <c r="B1130" s="106">
        <v>262.64999999999998</v>
      </c>
      <c r="C1130" s="106">
        <v>255.15</v>
      </c>
      <c r="D1130" s="106">
        <v>253.5</v>
      </c>
      <c r="E1130" s="106">
        <v>262</v>
      </c>
      <c r="F1130" s="106">
        <v>255.15</v>
      </c>
      <c r="G1130">
        <v>52723</v>
      </c>
      <c r="H1130" s="106"/>
      <c r="I1130" s="106"/>
      <c r="L1130" s="143">
        <v>43668</v>
      </c>
      <c r="M1130" s="106">
        <v>254.95</v>
      </c>
      <c r="N1130" s="106">
        <v>263.8</v>
      </c>
      <c r="O1130" s="106">
        <v>253.5</v>
      </c>
      <c r="P1130" s="106">
        <v>262</v>
      </c>
      <c r="Q1130" s="106">
        <v>254.95</v>
      </c>
      <c r="R1130">
        <v>1264972</v>
      </c>
    </row>
    <row r="1131" spans="1:18" x14ac:dyDescent="0.25">
      <c r="A1131" s="143">
        <v>43669</v>
      </c>
      <c r="B1131" s="106">
        <v>255.5</v>
      </c>
      <c r="C1131" s="106">
        <v>249</v>
      </c>
      <c r="D1131" s="106">
        <v>244.45</v>
      </c>
      <c r="E1131" s="106">
        <v>255</v>
      </c>
      <c r="F1131" s="106">
        <v>249</v>
      </c>
      <c r="G1131">
        <v>126818</v>
      </c>
      <c r="H1131" s="106"/>
      <c r="I1131" s="106"/>
      <c r="L1131" s="143">
        <v>43669</v>
      </c>
      <c r="M1131" s="106">
        <v>249.55</v>
      </c>
      <c r="N1131" s="106">
        <v>255.55</v>
      </c>
      <c r="O1131" s="106">
        <v>244.25</v>
      </c>
      <c r="P1131" s="106">
        <v>254.9</v>
      </c>
      <c r="Q1131" s="106">
        <v>249.55</v>
      </c>
      <c r="R1131">
        <v>1663576</v>
      </c>
    </row>
    <row r="1132" spans="1:18" x14ac:dyDescent="0.25">
      <c r="A1132" s="143">
        <v>43670</v>
      </c>
      <c r="B1132" s="106">
        <v>251.05</v>
      </c>
      <c r="C1132" s="106">
        <v>238.1</v>
      </c>
      <c r="D1132" s="106">
        <v>226.35</v>
      </c>
      <c r="E1132" s="106">
        <v>247.9</v>
      </c>
      <c r="F1132" s="106">
        <v>238.1</v>
      </c>
      <c r="G1132">
        <v>200458</v>
      </c>
      <c r="H1132" s="106"/>
      <c r="I1132" s="106"/>
      <c r="L1132" s="143">
        <v>43670</v>
      </c>
      <c r="M1132" s="106">
        <v>238.55</v>
      </c>
      <c r="N1132" s="106">
        <v>251.1</v>
      </c>
      <c r="O1132" s="106">
        <v>226.5</v>
      </c>
      <c r="P1132" s="106">
        <v>249.55</v>
      </c>
      <c r="Q1132" s="106">
        <v>238.55</v>
      </c>
      <c r="R1132">
        <v>2955613</v>
      </c>
    </row>
    <row r="1133" spans="1:18" x14ac:dyDescent="0.25">
      <c r="A1133" s="143">
        <v>43671</v>
      </c>
      <c r="B1133" s="106">
        <v>255.85</v>
      </c>
      <c r="C1133" s="106">
        <v>248.95</v>
      </c>
      <c r="D1133" s="106">
        <v>241.2</v>
      </c>
      <c r="E1133" s="106">
        <v>241.2</v>
      </c>
      <c r="F1133" s="106">
        <v>248.95</v>
      </c>
      <c r="G1133">
        <v>185964</v>
      </c>
      <c r="H1133" s="106"/>
      <c r="I1133" s="106"/>
      <c r="L1133" s="143">
        <v>43671</v>
      </c>
      <c r="M1133" s="106">
        <v>249.05</v>
      </c>
      <c r="N1133" s="106">
        <v>253.6</v>
      </c>
      <c r="O1133" s="106">
        <v>239.85</v>
      </c>
      <c r="P1133" s="106">
        <v>240.15</v>
      </c>
      <c r="Q1133" s="106">
        <v>249.05</v>
      </c>
      <c r="R1133">
        <v>1550083</v>
      </c>
    </row>
    <row r="1134" spans="1:18" x14ac:dyDescent="0.25">
      <c r="A1134" s="143">
        <v>43672</v>
      </c>
      <c r="B1134" s="106">
        <v>256.5</v>
      </c>
      <c r="C1134" s="106">
        <v>245.45</v>
      </c>
      <c r="D1134" s="106">
        <v>241.25</v>
      </c>
      <c r="E1134" s="106">
        <v>256.5</v>
      </c>
      <c r="F1134" s="106">
        <v>245.45</v>
      </c>
      <c r="G1134">
        <v>116473</v>
      </c>
      <c r="H1134" s="106"/>
      <c r="I1134" s="106"/>
      <c r="L1134" s="143">
        <v>43672</v>
      </c>
      <c r="M1134" s="106">
        <v>245.45</v>
      </c>
      <c r="N1134" s="106">
        <v>250.45</v>
      </c>
      <c r="O1134" s="106">
        <v>242.05</v>
      </c>
      <c r="P1134" s="106">
        <v>249.05</v>
      </c>
      <c r="Q1134" s="106">
        <v>245.45</v>
      </c>
      <c r="R1134">
        <v>1256711</v>
      </c>
    </row>
    <row r="1135" spans="1:18" x14ac:dyDescent="0.25">
      <c r="A1135" s="143">
        <v>43675</v>
      </c>
      <c r="B1135" s="106">
        <v>252.5</v>
      </c>
      <c r="C1135" s="106">
        <v>248.3</v>
      </c>
      <c r="D1135" s="106">
        <v>244.15</v>
      </c>
      <c r="E1135" s="106">
        <v>247</v>
      </c>
      <c r="F1135" s="106">
        <v>248.3</v>
      </c>
      <c r="G1135">
        <v>79261</v>
      </c>
      <c r="H1135" s="106"/>
      <c r="I1135" s="106"/>
      <c r="L1135" s="143">
        <v>43675</v>
      </c>
      <c r="M1135" s="106">
        <v>248.2</v>
      </c>
      <c r="N1135" s="106">
        <v>252.5</v>
      </c>
      <c r="O1135" s="106">
        <v>243.3</v>
      </c>
      <c r="P1135" s="106">
        <v>245.55</v>
      </c>
      <c r="Q1135" s="106">
        <v>248.2</v>
      </c>
      <c r="R1135">
        <v>1626662</v>
      </c>
    </row>
    <row r="1136" spans="1:18" x14ac:dyDescent="0.25">
      <c r="A1136" s="143">
        <v>43676</v>
      </c>
      <c r="B1136" s="106">
        <v>250.5</v>
      </c>
      <c r="C1136" s="106">
        <v>243.5</v>
      </c>
      <c r="D1136" s="106">
        <v>238.3</v>
      </c>
      <c r="E1136" s="106">
        <v>247.2</v>
      </c>
      <c r="F1136" s="106">
        <v>243.5</v>
      </c>
      <c r="G1136">
        <v>280374</v>
      </c>
      <c r="H1136" s="106"/>
      <c r="I1136" s="106"/>
      <c r="L1136" s="143">
        <v>43676</v>
      </c>
      <c r="M1136" s="106">
        <v>243.4</v>
      </c>
      <c r="N1136" s="106">
        <v>250.9</v>
      </c>
      <c r="O1136" s="106">
        <v>238.1</v>
      </c>
      <c r="P1136" s="106">
        <v>249</v>
      </c>
      <c r="Q1136" s="106">
        <v>243.4</v>
      </c>
      <c r="R1136">
        <v>4000824</v>
      </c>
    </row>
    <row r="1137" spans="1:18" x14ac:dyDescent="0.25">
      <c r="A1137" s="143">
        <v>43677</v>
      </c>
      <c r="B1137" s="106">
        <v>261</v>
      </c>
      <c r="C1137" s="106">
        <v>259.39999999999998</v>
      </c>
      <c r="D1137" s="106">
        <v>236.6</v>
      </c>
      <c r="E1137" s="106">
        <v>242.9</v>
      </c>
      <c r="F1137" s="106">
        <v>259.39999999999998</v>
      </c>
      <c r="G1137">
        <v>284041</v>
      </c>
      <c r="H1137" s="106"/>
      <c r="I1137" s="106"/>
      <c r="L1137" s="143">
        <v>43677</v>
      </c>
      <c r="M1137" s="106">
        <v>259.64999999999998</v>
      </c>
      <c r="N1137" s="106">
        <v>260.8</v>
      </c>
      <c r="O1137" s="106">
        <v>236.25</v>
      </c>
      <c r="P1137" s="106">
        <v>242.85</v>
      </c>
      <c r="Q1137" s="106">
        <v>259.64999999999998</v>
      </c>
      <c r="R1137">
        <v>2996284</v>
      </c>
    </row>
    <row r="1138" spans="1:18" x14ac:dyDescent="0.25">
      <c r="A1138" s="143">
        <v>43678</v>
      </c>
      <c r="B1138" s="106">
        <v>266.45</v>
      </c>
      <c r="C1138" s="106">
        <v>259.60000000000002</v>
      </c>
      <c r="D1138" s="106">
        <v>255</v>
      </c>
      <c r="E1138" s="106">
        <v>258</v>
      </c>
      <c r="F1138" s="106">
        <v>259.60000000000002</v>
      </c>
      <c r="G1138">
        <v>169195</v>
      </c>
      <c r="H1138" s="106"/>
      <c r="I1138" s="106"/>
      <c r="L1138" s="143">
        <v>43678</v>
      </c>
      <c r="M1138" s="106">
        <v>259.60000000000002</v>
      </c>
      <c r="N1138" s="106">
        <v>266.5</v>
      </c>
      <c r="O1138" s="106">
        <v>256</v>
      </c>
      <c r="P1138" s="106">
        <v>258.3</v>
      </c>
      <c r="Q1138" s="106">
        <v>259.60000000000002</v>
      </c>
      <c r="R1138">
        <v>2473592</v>
      </c>
    </row>
    <row r="1139" spans="1:18" x14ac:dyDescent="0.25">
      <c r="A1139" s="143">
        <v>43679</v>
      </c>
      <c r="B1139" s="106">
        <v>269.89999999999998</v>
      </c>
      <c r="C1139" s="106">
        <v>266.75</v>
      </c>
      <c r="D1139" s="106">
        <v>254.5</v>
      </c>
      <c r="E1139" s="106">
        <v>267</v>
      </c>
      <c r="F1139" s="106">
        <v>266.75</v>
      </c>
      <c r="G1139">
        <v>182495</v>
      </c>
      <c r="H1139" s="106"/>
      <c r="I1139" s="106"/>
      <c r="L1139" s="143">
        <v>43679</v>
      </c>
      <c r="M1139" s="106">
        <v>266.60000000000002</v>
      </c>
      <c r="N1139" s="106">
        <v>270</v>
      </c>
      <c r="O1139" s="106">
        <v>254.25</v>
      </c>
      <c r="P1139" s="106">
        <v>259.5</v>
      </c>
      <c r="Q1139" s="106">
        <v>266.60000000000002</v>
      </c>
      <c r="R1139">
        <v>1248528</v>
      </c>
    </row>
    <row r="1140" spans="1:18" x14ac:dyDescent="0.25">
      <c r="A1140" s="143">
        <v>43682</v>
      </c>
      <c r="B1140" s="106">
        <v>265.89999999999998</v>
      </c>
      <c r="C1140" s="106">
        <v>261.10000000000002</v>
      </c>
      <c r="D1140" s="106">
        <v>258.2</v>
      </c>
      <c r="E1140" s="106">
        <v>261.5</v>
      </c>
      <c r="F1140" s="106">
        <v>261.10000000000002</v>
      </c>
      <c r="G1140">
        <v>95635</v>
      </c>
      <c r="H1140" s="106"/>
      <c r="I1140" s="106"/>
      <c r="L1140" s="143">
        <v>43682</v>
      </c>
      <c r="M1140" s="106">
        <v>261.05</v>
      </c>
      <c r="N1140" s="106">
        <v>266.55</v>
      </c>
      <c r="O1140" s="106">
        <v>258</v>
      </c>
      <c r="P1140" s="106">
        <v>263.75</v>
      </c>
      <c r="Q1140" s="106">
        <v>261.05</v>
      </c>
      <c r="R1140">
        <v>987327</v>
      </c>
    </row>
    <row r="1141" spans="1:18" x14ac:dyDescent="0.25">
      <c r="A1141" s="143">
        <v>43683</v>
      </c>
      <c r="B1141" s="106">
        <v>274</v>
      </c>
      <c r="C1141" s="106">
        <v>268.64999999999998</v>
      </c>
      <c r="D1141" s="106">
        <v>259</v>
      </c>
      <c r="E1141" s="106">
        <v>259.85000000000002</v>
      </c>
      <c r="F1141" s="106">
        <v>268.64999999999998</v>
      </c>
      <c r="G1141">
        <v>148917</v>
      </c>
      <c r="H1141" s="106"/>
      <c r="I1141" s="106"/>
      <c r="L1141" s="143">
        <v>43683</v>
      </c>
      <c r="M1141" s="106">
        <v>268.25</v>
      </c>
      <c r="N1141" s="106">
        <v>274.3</v>
      </c>
      <c r="O1141" s="106">
        <v>258.39999999999998</v>
      </c>
      <c r="P1141" s="106">
        <v>260</v>
      </c>
      <c r="Q1141" s="106">
        <v>268.25</v>
      </c>
      <c r="R1141">
        <v>2213851</v>
      </c>
    </row>
    <row r="1142" spans="1:18" x14ac:dyDescent="0.25">
      <c r="A1142" s="143">
        <v>43684</v>
      </c>
      <c r="B1142" s="106">
        <v>275.3</v>
      </c>
      <c r="C1142" s="106">
        <v>273.2</v>
      </c>
      <c r="D1142" s="106">
        <v>266.55</v>
      </c>
      <c r="E1142" s="106">
        <v>267.8</v>
      </c>
      <c r="F1142" s="106">
        <v>273.2</v>
      </c>
      <c r="G1142">
        <v>90515</v>
      </c>
      <c r="H1142" s="106"/>
      <c r="I1142" s="106"/>
      <c r="L1142" s="143">
        <v>43684</v>
      </c>
      <c r="M1142" s="106">
        <v>273.2</v>
      </c>
      <c r="N1142" s="106">
        <v>275.35000000000002</v>
      </c>
      <c r="O1142" s="106">
        <v>266.14999999999998</v>
      </c>
      <c r="P1142" s="106">
        <v>266.14999999999998</v>
      </c>
      <c r="Q1142" s="106">
        <v>273.2</v>
      </c>
      <c r="R1142">
        <v>2424461</v>
      </c>
    </row>
    <row r="1143" spans="1:18" x14ac:dyDescent="0.25">
      <c r="A1143" s="143">
        <v>43685</v>
      </c>
      <c r="B1143" s="106">
        <v>275.75</v>
      </c>
      <c r="C1143" s="106">
        <v>271.25</v>
      </c>
      <c r="D1143" s="106">
        <v>265.3</v>
      </c>
      <c r="E1143" s="106">
        <v>275.75</v>
      </c>
      <c r="F1143" s="106">
        <v>271.25</v>
      </c>
      <c r="G1143">
        <v>88235</v>
      </c>
      <c r="H1143" s="106"/>
      <c r="I1143" s="106"/>
      <c r="L1143" s="143">
        <v>43685</v>
      </c>
      <c r="M1143" s="106">
        <v>271.3</v>
      </c>
      <c r="N1143" s="106">
        <v>274.89999999999998</v>
      </c>
      <c r="O1143" s="106">
        <v>265.55</v>
      </c>
      <c r="P1143" s="106">
        <v>274.7</v>
      </c>
      <c r="Q1143" s="106">
        <v>271.3</v>
      </c>
      <c r="R1143">
        <v>751217</v>
      </c>
    </row>
    <row r="1144" spans="1:18" x14ac:dyDescent="0.25">
      <c r="A1144" s="143">
        <v>43686</v>
      </c>
      <c r="B1144" s="106">
        <v>278.5</v>
      </c>
      <c r="C1144" s="106">
        <v>271.95</v>
      </c>
      <c r="D1144" s="106">
        <v>270.5</v>
      </c>
      <c r="E1144" s="106">
        <v>273.95</v>
      </c>
      <c r="F1144" s="106">
        <v>271.95</v>
      </c>
      <c r="G1144">
        <v>105968</v>
      </c>
      <c r="H1144" s="106"/>
      <c r="I1144" s="106"/>
      <c r="L1144" s="143">
        <v>43686</v>
      </c>
      <c r="M1144" s="106">
        <v>272.3</v>
      </c>
      <c r="N1144" s="106">
        <v>278.60000000000002</v>
      </c>
      <c r="O1144" s="106">
        <v>270.14999999999998</v>
      </c>
      <c r="P1144" s="106">
        <v>272.5</v>
      </c>
      <c r="Q1144" s="106">
        <v>272.3</v>
      </c>
      <c r="R1144">
        <v>1760094</v>
      </c>
    </row>
    <row r="1145" spans="1:18" x14ac:dyDescent="0.25">
      <c r="A1145" s="143">
        <v>43690</v>
      </c>
      <c r="B1145" s="106">
        <v>274</v>
      </c>
      <c r="C1145" s="106">
        <v>261.89999999999998</v>
      </c>
      <c r="D1145" s="106">
        <v>260.25</v>
      </c>
      <c r="E1145" s="106">
        <v>272.10000000000002</v>
      </c>
      <c r="F1145" s="106">
        <v>261.89999999999998</v>
      </c>
      <c r="G1145">
        <v>63009</v>
      </c>
      <c r="H1145" s="106"/>
      <c r="I1145" s="106"/>
      <c r="L1145" s="143">
        <v>43690</v>
      </c>
      <c r="M1145" s="106">
        <v>261.75</v>
      </c>
      <c r="N1145" s="106">
        <v>274.60000000000002</v>
      </c>
      <c r="O1145" s="106">
        <v>260.2</v>
      </c>
      <c r="P1145" s="106">
        <v>274.60000000000002</v>
      </c>
      <c r="Q1145" s="106">
        <v>261.75</v>
      </c>
      <c r="R1145">
        <v>738242</v>
      </c>
    </row>
    <row r="1146" spans="1:18" x14ac:dyDescent="0.25">
      <c r="A1146" s="143">
        <v>43691</v>
      </c>
      <c r="B1146" s="106">
        <v>267.89999999999998</v>
      </c>
      <c r="C1146" s="106">
        <v>265.3</v>
      </c>
      <c r="D1146" s="106">
        <v>260.39999999999998</v>
      </c>
      <c r="E1146" s="106">
        <v>262</v>
      </c>
      <c r="F1146" s="106">
        <v>265.3</v>
      </c>
      <c r="G1146">
        <v>103874</v>
      </c>
      <c r="H1146" s="106"/>
      <c r="I1146" s="106"/>
      <c r="L1146" s="143">
        <v>43691</v>
      </c>
      <c r="M1146" s="106">
        <v>265.45</v>
      </c>
      <c r="N1146" s="106">
        <v>268.5</v>
      </c>
      <c r="O1146" s="106">
        <v>260.10000000000002</v>
      </c>
      <c r="P1146" s="106">
        <v>263.25</v>
      </c>
      <c r="Q1146" s="106">
        <v>265.45</v>
      </c>
      <c r="R1146">
        <v>1603251</v>
      </c>
    </row>
    <row r="1147" spans="1:18" x14ac:dyDescent="0.25">
      <c r="A1147" s="143">
        <v>43693</v>
      </c>
      <c r="B1147" s="106">
        <v>267</v>
      </c>
      <c r="C1147" s="106">
        <v>265.45</v>
      </c>
      <c r="D1147" s="106">
        <v>261.60000000000002</v>
      </c>
      <c r="E1147" s="106">
        <v>264.60000000000002</v>
      </c>
      <c r="F1147" s="106">
        <v>265.45</v>
      </c>
      <c r="G1147">
        <v>70707</v>
      </c>
      <c r="H1147" s="106"/>
      <c r="I1147" s="106"/>
      <c r="L1147" s="143">
        <v>43693</v>
      </c>
      <c r="M1147" s="106">
        <v>265.35000000000002</v>
      </c>
      <c r="N1147" s="106">
        <v>267.5</v>
      </c>
      <c r="O1147" s="106">
        <v>261.5</v>
      </c>
      <c r="P1147" s="106">
        <v>266.39999999999998</v>
      </c>
      <c r="Q1147" s="106">
        <v>265.35000000000002</v>
      </c>
      <c r="R1147">
        <v>704170</v>
      </c>
    </row>
    <row r="1148" spans="1:18" x14ac:dyDescent="0.25">
      <c r="A1148" s="143">
        <v>43696</v>
      </c>
      <c r="B1148" s="106">
        <v>268.89999999999998</v>
      </c>
      <c r="C1148" s="106">
        <v>264.3</v>
      </c>
      <c r="D1148" s="106">
        <v>263.85000000000002</v>
      </c>
      <c r="E1148" s="106">
        <v>265</v>
      </c>
      <c r="F1148" s="106">
        <v>264.3</v>
      </c>
      <c r="G1148">
        <v>37541</v>
      </c>
      <c r="H1148" s="106"/>
      <c r="I1148" s="106"/>
      <c r="L1148" s="143">
        <v>43696</v>
      </c>
      <c r="M1148" s="106">
        <v>264.14999999999998</v>
      </c>
      <c r="N1148" s="106">
        <v>268.95</v>
      </c>
      <c r="O1148" s="106">
        <v>262.5</v>
      </c>
      <c r="P1148" s="106">
        <v>266.14999999999998</v>
      </c>
      <c r="Q1148" s="106">
        <v>264.14999999999998</v>
      </c>
      <c r="R1148">
        <v>717986</v>
      </c>
    </row>
    <row r="1149" spans="1:18" x14ac:dyDescent="0.25">
      <c r="A1149" s="143">
        <v>43697</v>
      </c>
      <c r="B1149" s="106">
        <v>265.85000000000002</v>
      </c>
      <c r="C1149" s="106">
        <v>259.10000000000002</v>
      </c>
      <c r="D1149" s="106">
        <v>255.2</v>
      </c>
      <c r="E1149" s="106">
        <v>265.85000000000002</v>
      </c>
      <c r="F1149" s="106">
        <v>259.10000000000002</v>
      </c>
      <c r="G1149">
        <v>73869</v>
      </c>
      <c r="H1149" s="106"/>
      <c r="I1149" s="106"/>
      <c r="L1149" s="143">
        <v>43697</v>
      </c>
      <c r="M1149" s="106">
        <v>259.10000000000002</v>
      </c>
      <c r="N1149" s="106">
        <v>265.7</v>
      </c>
      <c r="O1149" s="106">
        <v>255</v>
      </c>
      <c r="P1149" s="106">
        <v>265.7</v>
      </c>
      <c r="Q1149" s="106">
        <v>259.10000000000002</v>
      </c>
      <c r="R1149">
        <v>1261045</v>
      </c>
    </row>
    <row r="1150" spans="1:18" x14ac:dyDescent="0.25">
      <c r="A1150" s="143">
        <v>43698</v>
      </c>
      <c r="B1150" s="106">
        <v>258.75</v>
      </c>
      <c r="C1150" s="106">
        <v>255.95</v>
      </c>
      <c r="D1150" s="106">
        <v>254.65</v>
      </c>
      <c r="E1150" s="106">
        <v>256.35000000000002</v>
      </c>
      <c r="F1150" s="106">
        <v>255.95</v>
      </c>
      <c r="G1150">
        <v>107629</v>
      </c>
      <c r="H1150" s="106"/>
      <c r="I1150" s="106"/>
      <c r="L1150" s="143">
        <v>43698</v>
      </c>
      <c r="M1150" s="106">
        <v>255.65</v>
      </c>
      <c r="N1150" s="106">
        <v>258.60000000000002</v>
      </c>
      <c r="O1150" s="106">
        <v>254.6</v>
      </c>
      <c r="P1150" s="106">
        <v>257.45</v>
      </c>
      <c r="Q1150" s="106">
        <v>255.65</v>
      </c>
      <c r="R1150">
        <v>695811</v>
      </c>
    </row>
    <row r="1151" spans="1:18" x14ac:dyDescent="0.25">
      <c r="A1151" s="143">
        <v>43699</v>
      </c>
      <c r="B1151" s="106">
        <v>258.95</v>
      </c>
      <c r="C1151" s="106">
        <v>249.55</v>
      </c>
      <c r="D1151" s="106">
        <v>247.05</v>
      </c>
      <c r="E1151" s="106">
        <v>256</v>
      </c>
      <c r="F1151" s="106">
        <v>249.55</v>
      </c>
      <c r="G1151">
        <v>45280</v>
      </c>
      <c r="H1151" s="106"/>
      <c r="I1151" s="106"/>
      <c r="L1151" s="143">
        <v>43699</v>
      </c>
      <c r="M1151" s="106">
        <v>249.15</v>
      </c>
      <c r="N1151" s="106">
        <v>258.95</v>
      </c>
      <c r="O1151" s="106">
        <v>247.05</v>
      </c>
      <c r="P1151" s="106">
        <v>255.65</v>
      </c>
      <c r="Q1151" s="106">
        <v>249.15</v>
      </c>
      <c r="R1151">
        <v>1254602</v>
      </c>
    </row>
    <row r="1152" spans="1:18" x14ac:dyDescent="0.25">
      <c r="A1152" s="143">
        <v>43700</v>
      </c>
      <c r="B1152" s="106">
        <v>265.75</v>
      </c>
      <c r="C1152" s="106">
        <v>260.89999999999998</v>
      </c>
      <c r="D1152" s="106">
        <v>242.45</v>
      </c>
      <c r="E1152" s="106">
        <v>249.5</v>
      </c>
      <c r="F1152" s="106">
        <v>260.89999999999998</v>
      </c>
      <c r="G1152">
        <v>112939</v>
      </c>
      <c r="H1152" s="106"/>
      <c r="I1152" s="106"/>
      <c r="L1152" s="143">
        <v>43700</v>
      </c>
      <c r="M1152" s="106">
        <v>260.64999999999998</v>
      </c>
      <c r="N1152" s="106">
        <v>265.75</v>
      </c>
      <c r="O1152" s="106">
        <v>242.55</v>
      </c>
      <c r="P1152" s="106">
        <v>247.2</v>
      </c>
      <c r="Q1152" s="106">
        <v>260.64999999999998</v>
      </c>
      <c r="R1152">
        <v>2205008</v>
      </c>
    </row>
    <row r="1153" spans="1:18" x14ac:dyDescent="0.25">
      <c r="A1153" s="143">
        <v>43703</v>
      </c>
      <c r="B1153" s="106">
        <v>278.55</v>
      </c>
      <c r="C1153" s="106">
        <v>273.64999999999998</v>
      </c>
      <c r="D1153" s="106">
        <v>262.45</v>
      </c>
      <c r="E1153" s="106">
        <v>264.89999999999998</v>
      </c>
      <c r="F1153" s="106">
        <v>273.64999999999998</v>
      </c>
      <c r="G1153">
        <v>170207</v>
      </c>
      <c r="H1153" s="106"/>
      <c r="I1153" s="106"/>
      <c r="L1153" s="143">
        <v>43703</v>
      </c>
      <c r="M1153" s="106">
        <v>273</v>
      </c>
      <c r="N1153" s="106">
        <v>278.7</v>
      </c>
      <c r="O1153" s="106">
        <v>262</v>
      </c>
      <c r="P1153" s="106">
        <v>265.55</v>
      </c>
      <c r="Q1153" s="106">
        <v>273</v>
      </c>
      <c r="R1153">
        <v>2550579</v>
      </c>
    </row>
    <row r="1154" spans="1:18" x14ac:dyDescent="0.25">
      <c r="A1154" s="143">
        <v>43704</v>
      </c>
      <c r="B1154" s="106">
        <v>275</v>
      </c>
      <c r="C1154" s="106">
        <v>270.05</v>
      </c>
      <c r="D1154" s="106">
        <v>269</v>
      </c>
      <c r="E1154" s="106">
        <v>275</v>
      </c>
      <c r="F1154" s="106">
        <v>270.05</v>
      </c>
      <c r="G1154">
        <v>452569</v>
      </c>
      <c r="H1154" s="106"/>
      <c r="I1154" s="106"/>
      <c r="L1154" s="143">
        <v>43704</v>
      </c>
      <c r="M1154" s="106">
        <v>270.2</v>
      </c>
      <c r="N1154" s="106">
        <v>274.7</v>
      </c>
      <c r="O1154" s="106">
        <v>268.10000000000002</v>
      </c>
      <c r="P1154" s="106">
        <v>272.89999999999998</v>
      </c>
      <c r="Q1154" s="106">
        <v>270.2</v>
      </c>
      <c r="R1154">
        <v>1618641</v>
      </c>
    </row>
    <row r="1155" spans="1:18" x14ac:dyDescent="0.25">
      <c r="A1155" s="143">
        <v>43705</v>
      </c>
      <c r="B1155" s="106">
        <v>274.25</v>
      </c>
      <c r="C1155" s="106">
        <v>266.35000000000002</v>
      </c>
      <c r="D1155" s="106">
        <v>264.10000000000002</v>
      </c>
      <c r="E1155" s="106">
        <v>272.05</v>
      </c>
      <c r="F1155" s="106">
        <v>266.35000000000002</v>
      </c>
      <c r="G1155">
        <v>64325</v>
      </c>
      <c r="H1155" s="106"/>
      <c r="I1155" s="106"/>
      <c r="L1155" s="143">
        <v>43705</v>
      </c>
      <c r="M1155" s="106">
        <v>266.45</v>
      </c>
      <c r="N1155" s="106">
        <v>274.60000000000002</v>
      </c>
      <c r="O1155" s="106">
        <v>264.05</v>
      </c>
      <c r="P1155" s="106">
        <v>272.2</v>
      </c>
      <c r="Q1155" s="106">
        <v>266.45</v>
      </c>
      <c r="R1155">
        <v>1135961</v>
      </c>
    </row>
    <row r="1156" spans="1:18" x14ac:dyDescent="0.25">
      <c r="A1156" s="143">
        <v>43706</v>
      </c>
      <c r="B1156" s="106">
        <v>272.75</v>
      </c>
      <c r="C1156" s="106">
        <v>267.10000000000002</v>
      </c>
      <c r="D1156" s="106">
        <v>261.5</v>
      </c>
      <c r="E1156" s="106">
        <v>266.95</v>
      </c>
      <c r="F1156" s="106">
        <v>267.10000000000002</v>
      </c>
      <c r="G1156">
        <v>58652</v>
      </c>
      <c r="H1156" s="106"/>
      <c r="I1156" s="106"/>
      <c r="L1156" s="143">
        <v>43706</v>
      </c>
      <c r="M1156" s="106">
        <v>267.45</v>
      </c>
      <c r="N1156" s="106">
        <v>273</v>
      </c>
      <c r="O1156" s="106">
        <v>261.60000000000002</v>
      </c>
      <c r="P1156" s="106">
        <v>267.60000000000002</v>
      </c>
      <c r="Q1156" s="106">
        <v>267.45</v>
      </c>
      <c r="R1156">
        <v>775504</v>
      </c>
    </row>
    <row r="1157" spans="1:18" x14ac:dyDescent="0.25">
      <c r="A1157" s="143">
        <v>43707</v>
      </c>
      <c r="B1157" s="106">
        <v>271.7</v>
      </c>
      <c r="C1157" s="106">
        <v>268.85000000000002</v>
      </c>
      <c r="D1157" s="106">
        <v>263.14999999999998</v>
      </c>
      <c r="E1157" s="106">
        <v>269.25</v>
      </c>
      <c r="F1157" s="106">
        <v>268.85000000000002</v>
      </c>
      <c r="G1157">
        <v>50587</v>
      </c>
      <c r="H1157" s="106"/>
      <c r="I1157" s="106"/>
      <c r="L1157" s="143">
        <v>43707</v>
      </c>
      <c r="M1157" s="106">
        <v>268.7</v>
      </c>
      <c r="N1157" s="106">
        <v>271.64999999999998</v>
      </c>
      <c r="O1157" s="106">
        <v>263.05</v>
      </c>
      <c r="P1157" s="106">
        <v>269.10000000000002</v>
      </c>
      <c r="Q1157" s="106">
        <v>268.7</v>
      </c>
      <c r="R1157">
        <v>747889</v>
      </c>
    </row>
    <row r="1158" spans="1:18" x14ac:dyDescent="0.25">
      <c r="A1158" s="143">
        <v>43711</v>
      </c>
      <c r="B1158" s="106">
        <v>271.39999999999998</v>
      </c>
      <c r="C1158" s="106">
        <v>267.64999999999998</v>
      </c>
      <c r="D1158" s="106">
        <v>264.05</v>
      </c>
      <c r="E1158" s="106">
        <v>265.95</v>
      </c>
      <c r="F1158" s="106">
        <v>267.64999999999998</v>
      </c>
      <c r="G1158">
        <v>40972</v>
      </c>
      <c r="H1158" s="106"/>
      <c r="I1158" s="106"/>
      <c r="L1158" s="143">
        <v>43711</v>
      </c>
      <c r="M1158" s="106">
        <v>267.55</v>
      </c>
      <c r="N1158" s="106">
        <v>271.64999999999998</v>
      </c>
      <c r="O1158" s="106">
        <v>264.25</v>
      </c>
      <c r="P1158" s="106">
        <v>268.5</v>
      </c>
      <c r="Q1158" s="106">
        <v>267.55</v>
      </c>
      <c r="R1158">
        <v>780470</v>
      </c>
    </row>
    <row r="1159" spans="1:18" x14ac:dyDescent="0.25">
      <c r="A1159" s="143">
        <v>43712</v>
      </c>
      <c r="B1159" s="106">
        <v>270.8</v>
      </c>
      <c r="C1159" s="106">
        <v>269.8</v>
      </c>
      <c r="D1159" s="106">
        <v>263.25</v>
      </c>
      <c r="E1159" s="106">
        <v>268.7</v>
      </c>
      <c r="F1159" s="106">
        <v>269.8</v>
      </c>
      <c r="G1159">
        <v>43103</v>
      </c>
      <c r="H1159" s="106"/>
      <c r="I1159" s="106"/>
      <c r="L1159" s="143">
        <v>43712</v>
      </c>
      <c r="M1159" s="106">
        <v>269.75</v>
      </c>
      <c r="N1159" s="106">
        <v>270.75</v>
      </c>
      <c r="O1159" s="106">
        <v>263.25</v>
      </c>
      <c r="P1159" s="106">
        <v>267.95</v>
      </c>
      <c r="Q1159" s="106">
        <v>269.75</v>
      </c>
      <c r="R1159">
        <v>673278</v>
      </c>
    </row>
    <row r="1160" spans="1:18" x14ac:dyDescent="0.25">
      <c r="A1160" s="143">
        <v>43713</v>
      </c>
      <c r="B1160" s="106">
        <v>270.2</v>
      </c>
      <c r="C1160" s="106">
        <v>268.45</v>
      </c>
      <c r="D1160" s="106">
        <v>265.85000000000002</v>
      </c>
      <c r="E1160" s="106">
        <v>269.14999999999998</v>
      </c>
      <c r="F1160" s="106">
        <v>268.45</v>
      </c>
      <c r="G1160">
        <v>35785</v>
      </c>
      <c r="H1160" s="106"/>
      <c r="I1160" s="106"/>
      <c r="L1160" s="143">
        <v>43713</v>
      </c>
      <c r="M1160" s="106">
        <v>268.39999999999998</v>
      </c>
      <c r="N1160" s="106">
        <v>271.95</v>
      </c>
      <c r="O1160" s="106">
        <v>265.35000000000002</v>
      </c>
      <c r="P1160" s="106">
        <v>268.5</v>
      </c>
      <c r="Q1160" s="106">
        <v>268.39999999999998</v>
      </c>
      <c r="R1160">
        <v>831264</v>
      </c>
    </row>
    <row r="1161" spans="1:18" x14ac:dyDescent="0.25">
      <c r="A1161" s="143">
        <v>43714</v>
      </c>
      <c r="B1161" s="106">
        <v>271.89999999999998</v>
      </c>
      <c r="C1161" s="106">
        <v>269.35000000000002</v>
      </c>
      <c r="D1161" s="106">
        <v>268</v>
      </c>
      <c r="E1161" s="106">
        <v>270.60000000000002</v>
      </c>
      <c r="F1161" s="106">
        <v>269.35000000000002</v>
      </c>
      <c r="G1161">
        <v>46109</v>
      </c>
      <c r="H1161" s="106"/>
      <c r="I1161" s="106"/>
      <c r="L1161" s="143">
        <v>43714</v>
      </c>
      <c r="M1161" s="106">
        <v>269.2</v>
      </c>
      <c r="N1161" s="106">
        <v>272.10000000000002</v>
      </c>
      <c r="O1161" s="106">
        <v>267.85000000000002</v>
      </c>
      <c r="P1161" s="106">
        <v>269</v>
      </c>
      <c r="Q1161" s="106">
        <v>269.2</v>
      </c>
      <c r="R1161">
        <v>2750665</v>
      </c>
    </row>
    <row r="1162" spans="1:18" x14ac:dyDescent="0.25">
      <c r="A1162" s="143">
        <v>43717</v>
      </c>
      <c r="B1162" s="106">
        <v>275.5</v>
      </c>
      <c r="C1162" s="106">
        <v>272.64999999999998</v>
      </c>
      <c r="D1162" s="106">
        <v>264.85000000000002</v>
      </c>
      <c r="E1162" s="106">
        <v>269.55</v>
      </c>
      <c r="F1162" s="106">
        <v>272.64999999999998</v>
      </c>
      <c r="G1162">
        <v>88811</v>
      </c>
      <c r="H1162" s="106"/>
      <c r="I1162" s="106"/>
      <c r="L1162" s="143">
        <v>43717</v>
      </c>
      <c r="M1162" s="106">
        <v>272.8</v>
      </c>
      <c r="N1162" s="106">
        <v>275.85000000000002</v>
      </c>
      <c r="O1162" s="106">
        <v>255</v>
      </c>
      <c r="P1162" s="106">
        <v>272.7</v>
      </c>
      <c r="Q1162" s="106">
        <v>272.8</v>
      </c>
      <c r="R1162">
        <v>807999</v>
      </c>
    </row>
    <row r="1163" spans="1:18" x14ac:dyDescent="0.25">
      <c r="A1163" s="143">
        <v>43719</v>
      </c>
      <c r="B1163" s="106">
        <v>277.45</v>
      </c>
      <c r="C1163" s="106">
        <v>276.05</v>
      </c>
      <c r="D1163" s="106">
        <v>272.2</v>
      </c>
      <c r="E1163" s="106">
        <v>272.2</v>
      </c>
      <c r="F1163" s="106">
        <v>276.05</v>
      </c>
      <c r="G1163">
        <v>44367</v>
      </c>
      <c r="H1163" s="106"/>
      <c r="I1163" s="106"/>
      <c r="L1163" s="143">
        <v>43719</v>
      </c>
      <c r="M1163" s="106">
        <v>275.95</v>
      </c>
      <c r="N1163" s="106">
        <v>277.75</v>
      </c>
      <c r="O1163" s="106">
        <v>270.64999999999998</v>
      </c>
      <c r="P1163" s="106">
        <v>270.64999999999998</v>
      </c>
      <c r="Q1163" s="106">
        <v>275.95</v>
      </c>
      <c r="R1163">
        <v>791262</v>
      </c>
    </row>
    <row r="1164" spans="1:18" x14ac:dyDescent="0.25">
      <c r="A1164" s="143">
        <v>43720</v>
      </c>
      <c r="B1164" s="106">
        <v>281.45</v>
      </c>
      <c r="C1164" s="106">
        <v>276.35000000000002</v>
      </c>
      <c r="D1164" s="106">
        <v>274.60000000000002</v>
      </c>
      <c r="E1164" s="106">
        <v>275.85000000000002</v>
      </c>
      <c r="F1164" s="106">
        <v>276.35000000000002</v>
      </c>
      <c r="G1164">
        <v>45122</v>
      </c>
      <c r="H1164" s="106"/>
      <c r="I1164" s="106"/>
      <c r="L1164" s="143">
        <v>43720</v>
      </c>
      <c r="M1164" s="106">
        <v>276.45</v>
      </c>
      <c r="N1164" s="106">
        <v>281.39999999999998</v>
      </c>
      <c r="O1164" s="106">
        <v>274.35000000000002</v>
      </c>
      <c r="P1164" s="106">
        <v>275.95</v>
      </c>
      <c r="Q1164" s="106">
        <v>276.45</v>
      </c>
      <c r="R1164">
        <v>1017459</v>
      </c>
    </row>
    <row r="1165" spans="1:18" x14ac:dyDescent="0.25">
      <c r="A1165" s="143">
        <v>43721</v>
      </c>
      <c r="B1165" s="106">
        <v>277.14999999999998</v>
      </c>
      <c r="C1165" s="106">
        <v>274.64999999999998</v>
      </c>
      <c r="D1165" s="106">
        <v>271.85000000000002</v>
      </c>
      <c r="E1165" s="106">
        <v>277.14999999999998</v>
      </c>
      <c r="F1165" s="106">
        <v>274.64999999999998</v>
      </c>
      <c r="G1165">
        <v>49367</v>
      </c>
      <c r="H1165" s="106"/>
      <c r="I1165" s="106"/>
      <c r="L1165" s="143">
        <v>43721</v>
      </c>
      <c r="M1165" s="106">
        <v>274.89999999999998</v>
      </c>
      <c r="N1165" s="106">
        <v>277.95</v>
      </c>
      <c r="O1165" s="106">
        <v>272.10000000000002</v>
      </c>
      <c r="P1165" s="106">
        <v>277.8</v>
      </c>
      <c r="Q1165" s="106">
        <v>274.89999999999998</v>
      </c>
      <c r="R1165">
        <v>891462</v>
      </c>
    </row>
    <row r="1166" spans="1:18" x14ac:dyDescent="0.25">
      <c r="A1166" s="143">
        <v>43724</v>
      </c>
      <c r="B1166" s="106">
        <v>275</v>
      </c>
      <c r="C1166" s="106">
        <v>271.89999999999998</v>
      </c>
      <c r="D1166" s="106">
        <v>270.35000000000002</v>
      </c>
      <c r="E1166" s="106">
        <v>271</v>
      </c>
      <c r="F1166" s="106">
        <v>271.89999999999998</v>
      </c>
      <c r="G1166">
        <v>1270926</v>
      </c>
      <c r="H1166" s="106"/>
      <c r="I1166" s="106"/>
      <c r="L1166" s="143">
        <v>43724</v>
      </c>
      <c r="M1166" s="106">
        <v>271.95</v>
      </c>
      <c r="N1166" s="106">
        <v>275</v>
      </c>
      <c r="O1166" s="106">
        <v>270.25</v>
      </c>
      <c r="P1166" s="106">
        <v>273</v>
      </c>
      <c r="Q1166" s="106">
        <v>271.95</v>
      </c>
      <c r="R1166">
        <v>493303</v>
      </c>
    </row>
    <row r="1167" spans="1:18" x14ac:dyDescent="0.25">
      <c r="A1167" s="143">
        <v>43725</v>
      </c>
      <c r="B1167" s="106">
        <v>275</v>
      </c>
      <c r="C1167" s="106">
        <v>265.89999999999998</v>
      </c>
      <c r="D1167" s="106">
        <v>263.55</v>
      </c>
      <c r="E1167" s="106">
        <v>272.64999999999998</v>
      </c>
      <c r="F1167" s="106">
        <v>265.89999999999998</v>
      </c>
      <c r="G1167">
        <v>43828</v>
      </c>
      <c r="H1167" s="106"/>
      <c r="I1167" s="106"/>
      <c r="L1167" s="143">
        <v>43725</v>
      </c>
      <c r="M1167" s="106">
        <v>265.25</v>
      </c>
      <c r="N1167" s="106">
        <v>275.5</v>
      </c>
      <c r="O1167" s="106">
        <v>263.35000000000002</v>
      </c>
      <c r="P1167" s="106">
        <v>273</v>
      </c>
      <c r="Q1167" s="106">
        <v>265.25</v>
      </c>
      <c r="R1167">
        <v>506565</v>
      </c>
    </row>
    <row r="1168" spans="1:18" x14ac:dyDescent="0.25">
      <c r="A1168" s="143">
        <v>43726</v>
      </c>
      <c r="B1168" s="106">
        <v>269</v>
      </c>
      <c r="C1168" s="106">
        <v>267.39999999999998</v>
      </c>
      <c r="D1168" s="106">
        <v>264</v>
      </c>
      <c r="E1168" s="106">
        <v>266.8</v>
      </c>
      <c r="F1168" s="106">
        <v>267.39999999999998</v>
      </c>
      <c r="G1168">
        <v>54842</v>
      </c>
      <c r="H1168" s="106"/>
      <c r="I1168" s="106"/>
      <c r="L1168" s="143">
        <v>43726</v>
      </c>
      <c r="M1168" s="106">
        <v>267.45</v>
      </c>
      <c r="N1168" s="106">
        <v>269.10000000000002</v>
      </c>
      <c r="O1168" s="106">
        <v>263.8</v>
      </c>
      <c r="P1168" s="106">
        <v>266.60000000000002</v>
      </c>
      <c r="Q1168" s="106">
        <v>267.45</v>
      </c>
      <c r="R1168">
        <v>1180090</v>
      </c>
    </row>
    <row r="1169" spans="1:18" x14ac:dyDescent="0.25">
      <c r="A1169" s="143">
        <v>43727</v>
      </c>
      <c r="B1169" s="106">
        <v>269.60000000000002</v>
      </c>
      <c r="C1169" s="106">
        <v>263.5</v>
      </c>
      <c r="D1169" s="106">
        <v>259.25</v>
      </c>
      <c r="E1169" s="106">
        <v>268.2</v>
      </c>
      <c r="F1169" s="106">
        <v>263.5</v>
      </c>
      <c r="G1169">
        <v>68956</v>
      </c>
      <c r="H1169" s="106"/>
      <c r="I1169" s="106"/>
      <c r="L1169" s="143">
        <v>43727</v>
      </c>
      <c r="M1169" s="106">
        <v>263.39999999999998</v>
      </c>
      <c r="N1169" s="106">
        <v>270.14999999999998</v>
      </c>
      <c r="O1169" s="106">
        <v>259.25</v>
      </c>
      <c r="P1169" s="106">
        <v>268</v>
      </c>
      <c r="Q1169" s="106">
        <v>263.39999999999998</v>
      </c>
      <c r="R1169">
        <v>821222</v>
      </c>
    </row>
    <row r="1170" spans="1:18" x14ac:dyDescent="0.25">
      <c r="A1170" s="143">
        <v>43728</v>
      </c>
      <c r="B1170" s="106">
        <v>303</v>
      </c>
      <c r="C1170" s="106">
        <v>290.64999999999998</v>
      </c>
      <c r="D1170" s="106">
        <v>259.55</v>
      </c>
      <c r="E1170" s="106">
        <v>264.55</v>
      </c>
      <c r="F1170" s="106">
        <v>290.64999999999998</v>
      </c>
      <c r="G1170">
        <v>213773</v>
      </c>
      <c r="H1170" s="106"/>
      <c r="I1170" s="106"/>
      <c r="L1170" s="143">
        <v>43728</v>
      </c>
      <c r="M1170" s="106">
        <v>290.35000000000002</v>
      </c>
      <c r="N1170" s="106">
        <v>306.60000000000002</v>
      </c>
      <c r="O1170" s="106">
        <v>259.05</v>
      </c>
      <c r="P1170" s="106">
        <v>264.10000000000002</v>
      </c>
      <c r="Q1170" s="106">
        <v>290.35000000000002</v>
      </c>
      <c r="R1170">
        <v>5237898</v>
      </c>
    </row>
    <row r="1171" spans="1:18" x14ac:dyDescent="0.25">
      <c r="A1171" s="143">
        <v>43731</v>
      </c>
      <c r="B1171" s="106">
        <v>309.5</v>
      </c>
      <c r="C1171" s="106">
        <v>302.64999999999998</v>
      </c>
      <c r="D1171" s="106">
        <v>290</v>
      </c>
      <c r="E1171" s="106">
        <v>294.35000000000002</v>
      </c>
      <c r="F1171" s="106">
        <v>302.64999999999998</v>
      </c>
      <c r="G1171">
        <v>140762</v>
      </c>
      <c r="H1171" s="106"/>
      <c r="I1171" s="106"/>
      <c r="L1171" s="143">
        <v>43731</v>
      </c>
      <c r="M1171" s="106">
        <v>302.35000000000002</v>
      </c>
      <c r="N1171" s="106">
        <v>309.75</v>
      </c>
      <c r="O1171" s="106">
        <v>289.85000000000002</v>
      </c>
      <c r="P1171" s="106">
        <v>295</v>
      </c>
      <c r="Q1171" s="106">
        <v>302.35000000000002</v>
      </c>
      <c r="R1171">
        <v>2536543</v>
      </c>
    </row>
    <row r="1172" spans="1:18" x14ac:dyDescent="0.25">
      <c r="A1172" s="143">
        <v>43732</v>
      </c>
      <c r="B1172" s="106">
        <v>313.55</v>
      </c>
      <c r="C1172" s="106">
        <v>303</v>
      </c>
      <c r="D1172" s="106">
        <v>295.75</v>
      </c>
      <c r="E1172" s="106">
        <v>303</v>
      </c>
      <c r="F1172" s="106">
        <v>303</v>
      </c>
      <c r="G1172">
        <v>68394</v>
      </c>
      <c r="H1172" s="106"/>
      <c r="I1172" s="106"/>
      <c r="L1172" s="143">
        <v>43732</v>
      </c>
      <c r="M1172" s="106">
        <v>303.14999999999998</v>
      </c>
      <c r="N1172" s="106">
        <v>313.64999999999998</v>
      </c>
      <c r="O1172" s="106">
        <v>295.60000000000002</v>
      </c>
      <c r="P1172" s="106">
        <v>305</v>
      </c>
      <c r="Q1172" s="106">
        <v>303.14999999999998</v>
      </c>
      <c r="R1172">
        <v>1983072</v>
      </c>
    </row>
    <row r="1173" spans="1:18" x14ac:dyDescent="0.25">
      <c r="A1173" s="143">
        <v>43733</v>
      </c>
      <c r="B1173" s="106">
        <v>305.95</v>
      </c>
      <c r="C1173" s="106">
        <v>296.8</v>
      </c>
      <c r="D1173" s="106">
        <v>294.5</v>
      </c>
      <c r="E1173" s="106">
        <v>303.5</v>
      </c>
      <c r="F1173" s="106">
        <v>296.8</v>
      </c>
      <c r="G1173">
        <v>54002</v>
      </c>
      <c r="H1173" s="106"/>
      <c r="I1173" s="106"/>
      <c r="L1173" s="143">
        <v>43733</v>
      </c>
      <c r="M1173" s="106">
        <v>296.05</v>
      </c>
      <c r="N1173" s="106">
        <v>305.5</v>
      </c>
      <c r="O1173" s="106">
        <v>294.05</v>
      </c>
      <c r="P1173" s="106">
        <v>304.45</v>
      </c>
      <c r="Q1173" s="106">
        <v>296.05</v>
      </c>
      <c r="R1173">
        <v>1889525</v>
      </c>
    </row>
    <row r="1174" spans="1:18" x14ac:dyDescent="0.25">
      <c r="A1174" s="143">
        <v>43734</v>
      </c>
      <c r="B1174" s="106">
        <v>311.8</v>
      </c>
      <c r="C1174" s="106">
        <v>310.5</v>
      </c>
      <c r="D1174" s="106">
        <v>296.3</v>
      </c>
      <c r="E1174" s="106">
        <v>296.3</v>
      </c>
      <c r="F1174" s="106">
        <v>310.5</v>
      </c>
      <c r="G1174">
        <v>81111</v>
      </c>
      <c r="H1174" s="106"/>
      <c r="I1174" s="106"/>
      <c r="L1174" s="143">
        <v>43734</v>
      </c>
      <c r="M1174" s="106">
        <v>310.10000000000002</v>
      </c>
      <c r="N1174" s="106">
        <v>312</v>
      </c>
      <c r="O1174" s="106">
        <v>297</v>
      </c>
      <c r="P1174" s="106">
        <v>297</v>
      </c>
      <c r="Q1174" s="106">
        <v>310.10000000000002</v>
      </c>
      <c r="R1174">
        <v>3032681</v>
      </c>
    </row>
    <row r="1175" spans="1:18" x14ac:dyDescent="0.25">
      <c r="A1175" s="143">
        <v>43735</v>
      </c>
      <c r="B1175" s="106">
        <v>322.2</v>
      </c>
      <c r="C1175" s="106">
        <v>310.10000000000002</v>
      </c>
      <c r="D1175" s="106">
        <v>308.5</v>
      </c>
      <c r="E1175" s="106">
        <v>313</v>
      </c>
      <c r="F1175" s="106">
        <v>310.10000000000002</v>
      </c>
      <c r="G1175">
        <v>191747</v>
      </c>
      <c r="H1175" s="106"/>
      <c r="I1175" s="106"/>
      <c r="L1175" s="143">
        <v>43735</v>
      </c>
      <c r="M1175" s="106">
        <v>310.60000000000002</v>
      </c>
      <c r="N1175" s="106">
        <v>322.45</v>
      </c>
      <c r="O1175" s="106">
        <v>308.10000000000002</v>
      </c>
      <c r="P1175" s="106">
        <v>312.05</v>
      </c>
      <c r="Q1175" s="106">
        <v>310.60000000000002</v>
      </c>
      <c r="R1175">
        <v>3324105</v>
      </c>
    </row>
    <row r="1176" spans="1:18" x14ac:dyDescent="0.25">
      <c r="A1176" s="143">
        <v>43738</v>
      </c>
      <c r="B1176" s="106">
        <v>313.25</v>
      </c>
      <c r="C1176" s="106">
        <v>307.25</v>
      </c>
      <c r="D1176" s="106">
        <v>305.85000000000002</v>
      </c>
      <c r="E1176" s="106">
        <v>310.14999999999998</v>
      </c>
      <c r="F1176" s="106">
        <v>307.25</v>
      </c>
      <c r="G1176">
        <v>93909</v>
      </c>
      <c r="H1176" s="106"/>
      <c r="I1176" s="106"/>
      <c r="L1176" s="143">
        <v>43738</v>
      </c>
      <c r="M1176" s="106">
        <v>307.8</v>
      </c>
      <c r="N1176" s="106">
        <v>313.2</v>
      </c>
      <c r="O1176" s="106">
        <v>306</v>
      </c>
      <c r="P1176" s="106">
        <v>311.89999999999998</v>
      </c>
      <c r="Q1176" s="106">
        <v>307.8</v>
      </c>
      <c r="R1176">
        <v>959124</v>
      </c>
    </row>
    <row r="1177" spans="1:18" x14ac:dyDescent="0.25">
      <c r="A1177" s="143">
        <v>43739</v>
      </c>
      <c r="B1177" s="106">
        <v>311.45</v>
      </c>
      <c r="C1177" s="106">
        <v>293.7</v>
      </c>
      <c r="D1177" s="106">
        <v>287.35000000000002</v>
      </c>
      <c r="E1177" s="106">
        <v>311.39999999999998</v>
      </c>
      <c r="F1177" s="106">
        <v>293.7</v>
      </c>
      <c r="G1177">
        <v>83183</v>
      </c>
      <c r="H1177" s="106"/>
      <c r="I1177" s="106"/>
      <c r="L1177" s="143">
        <v>43739</v>
      </c>
      <c r="M1177" s="106">
        <v>293.55</v>
      </c>
      <c r="N1177" s="106">
        <v>311.85000000000002</v>
      </c>
      <c r="O1177" s="106">
        <v>287.10000000000002</v>
      </c>
      <c r="P1177" s="106">
        <v>309.7</v>
      </c>
      <c r="Q1177" s="106">
        <v>293.55</v>
      </c>
      <c r="R1177">
        <v>1608613</v>
      </c>
    </row>
    <row r="1178" spans="1:18" x14ac:dyDescent="0.25">
      <c r="A1178" s="143">
        <v>43741</v>
      </c>
      <c r="B1178" s="106">
        <v>300.8</v>
      </c>
      <c r="C1178" s="106">
        <v>290</v>
      </c>
      <c r="D1178" s="106">
        <v>283.85000000000002</v>
      </c>
      <c r="E1178" s="106">
        <v>296</v>
      </c>
      <c r="F1178" s="106">
        <v>290</v>
      </c>
      <c r="G1178">
        <v>505585</v>
      </c>
      <c r="H1178" s="106"/>
      <c r="I1178" s="106"/>
      <c r="L1178" s="143">
        <v>43741</v>
      </c>
      <c r="M1178" s="106">
        <v>290.10000000000002</v>
      </c>
      <c r="N1178" s="106">
        <v>300.85000000000002</v>
      </c>
      <c r="O1178" s="106">
        <v>285</v>
      </c>
      <c r="P1178" s="106">
        <v>293.55</v>
      </c>
      <c r="Q1178" s="106">
        <v>290.10000000000002</v>
      </c>
      <c r="R1178">
        <v>1823132</v>
      </c>
    </row>
    <row r="1179" spans="1:18" x14ac:dyDescent="0.25">
      <c r="A1179" s="143">
        <v>43742</v>
      </c>
      <c r="B1179" s="106">
        <v>293.7</v>
      </c>
      <c r="C1179" s="106">
        <v>289.7</v>
      </c>
      <c r="D1179" s="106">
        <v>286.7</v>
      </c>
      <c r="E1179" s="106">
        <v>292.89999999999998</v>
      </c>
      <c r="F1179" s="106">
        <v>289.7</v>
      </c>
      <c r="G1179">
        <v>31770</v>
      </c>
      <c r="H1179" s="106"/>
      <c r="I1179" s="106"/>
      <c r="L1179" s="143">
        <v>43742</v>
      </c>
      <c r="M1179" s="106">
        <v>289.64999999999998</v>
      </c>
      <c r="N1179" s="106">
        <v>293.64999999999998</v>
      </c>
      <c r="O1179" s="106">
        <v>287.25</v>
      </c>
      <c r="P1179" s="106">
        <v>290.75</v>
      </c>
      <c r="Q1179" s="106">
        <v>289.64999999999998</v>
      </c>
      <c r="R1179">
        <v>1022709</v>
      </c>
    </row>
    <row r="1180" spans="1:18" x14ac:dyDescent="0.25">
      <c r="A1180" s="143">
        <v>43745</v>
      </c>
      <c r="B1180" s="106">
        <v>293.39999999999998</v>
      </c>
      <c r="C1180" s="106">
        <v>290.5</v>
      </c>
      <c r="D1180" s="106">
        <v>279</v>
      </c>
      <c r="E1180" s="106">
        <v>288</v>
      </c>
      <c r="F1180" s="106">
        <v>290.5</v>
      </c>
      <c r="G1180">
        <v>68451</v>
      </c>
      <c r="H1180" s="106"/>
      <c r="I1180" s="106"/>
      <c r="L1180" s="143">
        <v>43745</v>
      </c>
      <c r="M1180" s="106">
        <v>290.5</v>
      </c>
      <c r="N1180" s="106">
        <v>293.39999999999998</v>
      </c>
      <c r="O1180" s="106">
        <v>278.95</v>
      </c>
      <c r="P1180" s="106">
        <v>287.2</v>
      </c>
      <c r="Q1180" s="106">
        <v>290.5</v>
      </c>
      <c r="R1180">
        <v>1353432</v>
      </c>
    </row>
    <row r="1181" spans="1:18" x14ac:dyDescent="0.25">
      <c r="A1181" s="143">
        <v>43747</v>
      </c>
      <c r="B1181" s="106">
        <v>298</v>
      </c>
      <c r="C1181" s="106">
        <v>296.10000000000002</v>
      </c>
      <c r="D1181" s="106">
        <v>285.05</v>
      </c>
      <c r="E1181" s="106">
        <v>291</v>
      </c>
      <c r="F1181" s="106">
        <v>296.10000000000002</v>
      </c>
      <c r="G1181">
        <v>79803</v>
      </c>
      <c r="H1181" s="106"/>
      <c r="I1181" s="106"/>
      <c r="L1181" s="143">
        <v>43747</v>
      </c>
      <c r="M1181" s="106">
        <v>296.2</v>
      </c>
      <c r="N1181" s="106">
        <v>298</v>
      </c>
      <c r="O1181" s="106">
        <v>285.05</v>
      </c>
      <c r="P1181" s="106">
        <v>291</v>
      </c>
      <c r="Q1181" s="106">
        <v>296.2</v>
      </c>
      <c r="R1181">
        <v>1668659</v>
      </c>
    </row>
    <row r="1182" spans="1:18" x14ac:dyDescent="0.25">
      <c r="A1182" s="143">
        <v>43748</v>
      </c>
      <c r="B1182" s="106">
        <v>295.2</v>
      </c>
      <c r="C1182" s="106">
        <v>283.39999999999998</v>
      </c>
      <c r="D1182" s="106">
        <v>282.60000000000002</v>
      </c>
      <c r="E1182" s="106">
        <v>295.2</v>
      </c>
      <c r="F1182" s="106">
        <v>283.39999999999998</v>
      </c>
      <c r="G1182">
        <v>49971</v>
      </c>
      <c r="H1182" s="106"/>
      <c r="I1182" s="106"/>
      <c r="L1182" s="143">
        <v>43748</v>
      </c>
      <c r="M1182" s="106">
        <v>283.3</v>
      </c>
      <c r="N1182" s="106">
        <v>295.2</v>
      </c>
      <c r="O1182" s="106">
        <v>282.64999999999998</v>
      </c>
      <c r="P1182" s="106">
        <v>292.2</v>
      </c>
      <c r="Q1182" s="106">
        <v>283.3</v>
      </c>
      <c r="R1182">
        <v>823820</v>
      </c>
    </row>
    <row r="1183" spans="1:18" x14ac:dyDescent="0.25">
      <c r="A1183" s="143">
        <v>43749</v>
      </c>
      <c r="B1183" s="106">
        <v>288.10000000000002</v>
      </c>
      <c r="C1183" s="106">
        <v>284.10000000000002</v>
      </c>
      <c r="D1183" s="106">
        <v>280.60000000000002</v>
      </c>
      <c r="E1183" s="106">
        <v>283.5</v>
      </c>
      <c r="F1183" s="106">
        <v>284.10000000000002</v>
      </c>
      <c r="G1183">
        <v>221657</v>
      </c>
      <c r="H1183" s="106"/>
      <c r="I1183" s="106"/>
      <c r="L1183" s="143">
        <v>43749</v>
      </c>
      <c r="M1183" s="106">
        <v>283.95</v>
      </c>
      <c r="N1183" s="106">
        <v>288.89999999999998</v>
      </c>
      <c r="O1183" s="106">
        <v>280.35000000000002</v>
      </c>
      <c r="P1183" s="106">
        <v>285.05</v>
      </c>
      <c r="Q1183" s="106">
        <v>283.95</v>
      </c>
      <c r="R1183">
        <v>851664</v>
      </c>
    </row>
    <row r="1184" spans="1:18" x14ac:dyDescent="0.25">
      <c r="A1184" s="143">
        <v>43752</v>
      </c>
      <c r="B1184" s="106">
        <v>289.8</v>
      </c>
      <c r="C1184" s="106">
        <v>284.64999999999998</v>
      </c>
      <c r="D1184" s="106">
        <v>283.3</v>
      </c>
      <c r="E1184" s="106">
        <v>284.89999999999998</v>
      </c>
      <c r="F1184" s="106">
        <v>284.64999999999998</v>
      </c>
      <c r="G1184">
        <v>48945</v>
      </c>
      <c r="H1184" s="106"/>
      <c r="I1184" s="106"/>
      <c r="L1184" s="143">
        <v>43752</v>
      </c>
      <c r="M1184" s="106">
        <v>285.10000000000002</v>
      </c>
      <c r="N1184" s="106">
        <v>290</v>
      </c>
      <c r="O1184" s="106">
        <v>283.25</v>
      </c>
      <c r="P1184" s="106">
        <v>284</v>
      </c>
      <c r="Q1184" s="106">
        <v>285.10000000000002</v>
      </c>
      <c r="R1184">
        <v>651063</v>
      </c>
    </row>
    <row r="1185" spans="1:18" x14ac:dyDescent="0.25">
      <c r="A1185" s="143">
        <v>43753</v>
      </c>
      <c r="B1185" s="106">
        <v>285.75</v>
      </c>
      <c r="C1185" s="106">
        <v>279.8</v>
      </c>
      <c r="D1185" s="106">
        <v>276.25</v>
      </c>
      <c r="E1185" s="106">
        <v>285.75</v>
      </c>
      <c r="F1185" s="106">
        <v>279.8</v>
      </c>
      <c r="G1185">
        <v>93085</v>
      </c>
      <c r="H1185" s="106"/>
      <c r="I1185" s="106"/>
      <c r="L1185" s="143">
        <v>43753</v>
      </c>
      <c r="M1185" s="106">
        <v>279.85000000000002</v>
      </c>
      <c r="N1185" s="106">
        <v>286.89999999999998</v>
      </c>
      <c r="O1185" s="106">
        <v>276.3</v>
      </c>
      <c r="P1185" s="106">
        <v>286.89999999999998</v>
      </c>
      <c r="Q1185" s="106">
        <v>279.85000000000002</v>
      </c>
      <c r="R1185">
        <v>1723921</v>
      </c>
    </row>
    <row r="1186" spans="1:18" x14ac:dyDescent="0.25">
      <c r="A1186" s="143">
        <v>43754</v>
      </c>
      <c r="B1186" s="106">
        <v>282</v>
      </c>
      <c r="C1186" s="106">
        <v>270.7</v>
      </c>
      <c r="D1186" s="106">
        <v>269.25</v>
      </c>
      <c r="E1186" s="106">
        <v>282</v>
      </c>
      <c r="F1186" s="106">
        <v>270.7</v>
      </c>
      <c r="G1186">
        <v>73736</v>
      </c>
      <c r="H1186" s="106"/>
      <c r="I1186" s="106"/>
      <c r="L1186" s="143">
        <v>43754</v>
      </c>
      <c r="M1186" s="106">
        <v>270.60000000000002</v>
      </c>
      <c r="N1186" s="106">
        <v>283</v>
      </c>
      <c r="O1186" s="106">
        <v>269.5</v>
      </c>
      <c r="P1186" s="106">
        <v>281.2</v>
      </c>
      <c r="Q1186" s="106">
        <v>270.60000000000002</v>
      </c>
      <c r="R1186">
        <v>1695268</v>
      </c>
    </row>
    <row r="1187" spans="1:18" x14ac:dyDescent="0.25">
      <c r="A1187" s="143">
        <v>43755</v>
      </c>
      <c r="B1187" s="106">
        <v>289.89999999999998</v>
      </c>
      <c r="C1187" s="106">
        <v>287.5</v>
      </c>
      <c r="D1187" s="106">
        <v>267.05</v>
      </c>
      <c r="E1187" s="106">
        <v>267.05</v>
      </c>
      <c r="F1187" s="106">
        <v>287.5</v>
      </c>
      <c r="G1187">
        <v>78209</v>
      </c>
      <c r="H1187" s="106"/>
      <c r="I1187" s="106"/>
      <c r="L1187" s="143">
        <v>43755</v>
      </c>
      <c r="M1187" s="106">
        <v>287.5</v>
      </c>
      <c r="N1187" s="106">
        <v>290</v>
      </c>
      <c r="O1187" s="106">
        <v>269.64999999999998</v>
      </c>
      <c r="P1187" s="106">
        <v>271</v>
      </c>
      <c r="Q1187" s="106">
        <v>287.5</v>
      </c>
      <c r="R1187">
        <v>1757918</v>
      </c>
    </row>
    <row r="1188" spans="1:18" x14ac:dyDescent="0.25">
      <c r="A1188" s="143">
        <v>43756</v>
      </c>
      <c r="B1188" s="106">
        <v>303.85000000000002</v>
      </c>
      <c r="C1188" s="106">
        <v>301.85000000000002</v>
      </c>
      <c r="D1188" s="106">
        <v>284.8</v>
      </c>
      <c r="E1188" s="106">
        <v>285</v>
      </c>
      <c r="F1188" s="106">
        <v>301.85000000000002</v>
      </c>
      <c r="G1188">
        <v>50802</v>
      </c>
      <c r="H1188" s="106"/>
      <c r="I1188" s="106"/>
      <c r="L1188" s="143">
        <v>43756</v>
      </c>
      <c r="M1188" s="106">
        <v>302.5</v>
      </c>
      <c r="N1188" s="106">
        <v>304.35000000000002</v>
      </c>
      <c r="O1188" s="106">
        <v>284.5</v>
      </c>
      <c r="P1188" s="106">
        <v>287.05</v>
      </c>
      <c r="Q1188" s="106">
        <v>302.5</v>
      </c>
      <c r="R1188">
        <v>2162692</v>
      </c>
    </row>
    <row r="1189" spans="1:18" x14ac:dyDescent="0.25">
      <c r="A1189" s="143">
        <v>43760</v>
      </c>
      <c r="B1189" s="106">
        <v>308.8</v>
      </c>
      <c r="C1189" s="106">
        <v>294.3</v>
      </c>
      <c r="D1189" s="106">
        <v>291.60000000000002</v>
      </c>
      <c r="E1189" s="106">
        <v>301</v>
      </c>
      <c r="F1189" s="106">
        <v>294.3</v>
      </c>
      <c r="G1189">
        <v>68359</v>
      </c>
      <c r="H1189" s="106"/>
      <c r="I1189" s="106"/>
      <c r="L1189" s="143">
        <v>43760</v>
      </c>
      <c r="M1189" s="106">
        <v>294.55</v>
      </c>
      <c r="N1189" s="106">
        <v>310</v>
      </c>
      <c r="O1189" s="106">
        <v>291.5</v>
      </c>
      <c r="P1189" s="106">
        <v>298.05</v>
      </c>
      <c r="Q1189" s="106">
        <v>294.55</v>
      </c>
      <c r="R1189">
        <v>1322935</v>
      </c>
    </row>
    <row r="1190" spans="1:18" x14ac:dyDescent="0.25">
      <c r="A1190" s="143">
        <v>43761</v>
      </c>
      <c r="B1190" s="106">
        <v>298.25</v>
      </c>
      <c r="C1190" s="106">
        <v>288.60000000000002</v>
      </c>
      <c r="D1190" s="106">
        <v>285.10000000000002</v>
      </c>
      <c r="E1190" s="106">
        <v>296</v>
      </c>
      <c r="F1190" s="106">
        <v>288.60000000000002</v>
      </c>
      <c r="G1190">
        <v>31084</v>
      </c>
      <c r="H1190" s="106"/>
      <c r="I1190" s="106"/>
      <c r="L1190" s="143">
        <v>43761</v>
      </c>
      <c r="M1190" s="106">
        <v>288.7</v>
      </c>
      <c r="N1190" s="106">
        <v>298.2</v>
      </c>
      <c r="O1190" s="106">
        <v>285.10000000000002</v>
      </c>
      <c r="P1190" s="106">
        <v>296.10000000000002</v>
      </c>
      <c r="Q1190" s="106">
        <v>288.7</v>
      </c>
      <c r="R1190">
        <v>935725</v>
      </c>
    </row>
    <row r="1191" spans="1:18" x14ac:dyDescent="0.25">
      <c r="A1191" s="143">
        <v>43762</v>
      </c>
      <c r="B1191" s="106">
        <v>297.5</v>
      </c>
      <c r="C1191" s="106">
        <v>292.8</v>
      </c>
      <c r="D1191" s="106">
        <v>286.35000000000002</v>
      </c>
      <c r="E1191" s="106">
        <v>290</v>
      </c>
      <c r="F1191" s="106">
        <v>292.8</v>
      </c>
      <c r="G1191">
        <v>27761</v>
      </c>
      <c r="H1191" s="106"/>
      <c r="I1191" s="106"/>
      <c r="L1191" s="143">
        <v>43762</v>
      </c>
      <c r="M1191" s="106">
        <v>293</v>
      </c>
      <c r="N1191" s="106">
        <v>297.89999999999998</v>
      </c>
      <c r="O1191" s="106">
        <v>285.85000000000002</v>
      </c>
      <c r="P1191" s="106">
        <v>288.7</v>
      </c>
      <c r="Q1191" s="106">
        <v>293</v>
      </c>
      <c r="R1191">
        <v>1606979</v>
      </c>
    </row>
    <row r="1192" spans="1:18" x14ac:dyDescent="0.25">
      <c r="A1192" s="143">
        <v>43763</v>
      </c>
      <c r="B1192" s="106">
        <v>288.05</v>
      </c>
      <c r="C1192" s="106">
        <v>285.8</v>
      </c>
      <c r="D1192" s="106">
        <v>283.14999999999998</v>
      </c>
      <c r="E1192" s="106">
        <v>287.5</v>
      </c>
      <c r="F1192" s="106">
        <v>285.8</v>
      </c>
      <c r="G1192">
        <v>27129</v>
      </c>
      <c r="H1192" s="106"/>
      <c r="I1192" s="106"/>
      <c r="L1192" s="143">
        <v>43763</v>
      </c>
      <c r="M1192" s="106">
        <v>285.89999999999998</v>
      </c>
      <c r="N1192" s="106">
        <v>293.75</v>
      </c>
      <c r="O1192" s="106">
        <v>282.75</v>
      </c>
      <c r="P1192" s="106">
        <v>293.75</v>
      </c>
      <c r="Q1192" s="106">
        <v>285.89999999999998</v>
      </c>
      <c r="R1192">
        <v>2051702</v>
      </c>
    </row>
    <row r="1193" spans="1:18" x14ac:dyDescent="0.25">
      <c r="A1193" s="143">
        <v>43765</v>
      </c>
      <c r="B1193" s="106">
        <v>289.89999999999998</v>
      </c>
      <c r="C1193" s="106">
        <v>287.7</v>
      </c>
      <c r="D1193" s="106">
        <v>285.8</v>
      </c>
      <c r="E1193" s="106">
        <v>285.8</v>
      </c>
      <c r="F1193" s="106">
        <v>287.7</v>
      </c>
      <c r="G1193">
        <v>1532</v>
      </c>
      <c r="H1193" s="106"/>
      <c r="I1193" s="106"/>
      <c r="L1193" s="143">
        <v>43765</v>
      </c>
      <c r="M1193" s="106">
        <v>287.25</v>
      </c>
      <c r="N1193" s="106">
        <v>288.75</v>
      </c>
      <c r="O1193" s="106">
        <v>286</v>
      </c>
      <c r="P1193" s="106">
        <v>288</v>
      </c>
      <c r="Q1193" s="106">
        <v>287.25</v>
      </c>
      <c r="R1193">
        <v>49774</v>
      </c>
    </row>
    <row r="1194" spans="1:18" x14ac:dyDescent="0.25">
      <c r="A1194" s="143">
        <v>43767</v>
      </c>
      <c r="B1194" s="106">
        <v>298.35000000000002</v>
      </c>
      <c r="C1194" s="106">
        <v>297</v>
      </c>
      <c r="D1194" s="106">
        <v>284.7</v>
      </c>
      <c r="E1194" s="106">
        <v>287.5</v>
      </c>
      <c r="F1194" s="106">
        <v>297</v>
      </c>
      <c r="G1194">
        <v>25393</v>
      </c>
      <c r="H1194" s="106"/>
      <c r="I1194" s="106"/>
      <c r="L1194" s="143">
        <v>43767</v>
      </c>
      <c r="M1194" s="106">
        <v>296.95</v>
      </c>
      <c r="N1194" s="106">
        <v>298.85000000000002</v>
      </c>
      <c r="O1194" s="106">
        <v>284.10000000000002</v>
      </c>
      <c r="P1194" s="106">
        <v>286</v>
      </c>
      <c r="Q1194" s="106">
        <v>296.95</v>
      </c>
      <c r="R1194">
        <v>974448</v>
      </c>
    </row>
    <row r="1195" spans="1:18" x14ac:dyDescent="0.25">
      <c r="A1195" s="143">
        <v>43768</v>
      </c>
      <c r="B1195" s="106">
        <v>307.85000000000002</v>
      </c>
      <c r="C1195" s="106">
        <v>307.05</v>
      </c>
      <c r="D1195" s="106">
        <v>296.7</v>
      </c>
      <c r="E1195" s="106">
        <v>299</v>
      </c>
      <c r="F1195" s="106">
        <v>307.05</v>
      </c>
      <c r="G1195">
        <v>43284</v>
      </c>
      <c r="H1195" s="106"/>
      <c r="I1195" s="106"/>
      <c r="L1195" s="143">
        <v>43768</v>
      </c>
      <c r="M1195" s="106">
        <v>307.10000000000002</v>
      </c>
      <c r="N1195" s="106">
        <v>309</v>
      </c>
      <c r="O1195" s="106">
        <v>296</v>
      </c>
      <c r="P1195" s="106">
        <v>297.05</v>
      </c>
      <c r="Q1195" s="106">
        <v>307.10000000000002</v>
      </c>
      <c r="R1195">
        <v>1612084</v>
      </c>
    </row>
    <row r="1196" spans="1:18" x14ac:dyDescent="0.25">
      <c r="A1196" s="143">
        <v>43769</v>
      </c>
      <c r="B1196" s="106">
        <v>311.2</v>
      </c>
      <c r="C1196" s="106">
        <v>305</v>
      </c>
      <c r="D1196" s="106">
        <v>303.89999999999998</v>
      </c>
      <c r="E1196" s="106">
        <v>310</v>
      </c>
      <c r="F1196" s="106">
        <v>305</v>
      </c>
      <c r="G1196">
        <v>28667</v>
      </c>
      <c r="H1196" s="106"/>
      <c r="I1196" s="106"/>
      <c r="L1196" s="143">
        <v>43769</v>
      </c>
      <c r="M1196" s="106">
        <v>305</v>
      </c>
      <c r="N1196" s="106">
        <v>310.64999999999998</v>
      </c>
      <c r="O1196" s="106">
        <v>303.64999999999998</v>
      </c>
      <c r="P1196" s="106">
        <v>308.8</v>
      </c>
      <c r="Q1196" s="106">
        <v>305</v>
      </c>
      <c r="R1196">
        <v>930758</v>
      </c>
    </row>
    <row r="1197" spans="1:18" x14ac:dyDescent="0.25">
      <c r="A1197" s="143">
        <v>43770</v>
      </c>
      <c r="B1197" s="106">
        <v>315.60000000000002</v>
      </c>
      <c r="C1197" s="106">
        <v>312.95</v>
      </c>
      <c r="D1197" s="106">
        <v>303.8</v>
      </c>
      <c r="E1197" s="106">
        <v>307</v>
      </c>
      <c r="F1197" s="106">
        <v>312.95</v>
      </c>
      <c r="G1197">
        <v>32533</v>
      </c>
      <c r="H1197" s="106"/>
      <c r="I1197" s="106"/>
      <c r="L1197" s="143">
        <v>43770</v>
      </c>
      <c r="M1197" s="106">
        <v>313.2</v>
      </c>
      <c r="N1197" s="106">
        <v>315.55</v>
      </c>
      <c r="O1197" s="106">
        <v>303.45</v>
      </c>
      <c r="P1197" s="106">
        <v>306.35000000000002</v>
      </c>
      <c r="Q1197" s="106">
        <v>313.2</v>
      </c>
      <c r="R1197">
        <v>2747442</v>
      </c>
    </row>
    <row r="1198" spans="1:18" x14ac:dyDescent="0.25">
      <c r="A1198" s="143">
        <v>43773</v>
      </c>
      <c r="B1198" s="106">
        <v>325</v>
      </c>
      <c r="C1198" s="106">
        <v>316.05</v>
      </c>
      <c r="D1198" s="106">
        <v>313.2</v>
      </c>
      <c r="E1198" s="106">
        <v>316</v>
      </c>
      <c r="F1198" s="106">
        <v>316.05</v>
      </c>
      <c r="G1198">
        <v>54770</v>
      </c>
      <c r="H1198" s="106"/>
      <c r="I1198" s="106"/>
      <c r="L1198" s="143">
        <v>43773</v>
      </c>
      <c r="M1198" s="106">
        <v>316</v>
      </c>
      <c r="N1198" s="106">
        <v>325</v>
      </c>
      <c r="O1198" s="106">
        <v>312.64999999999998</v>
      </c>
      <c r="P1198" s="106">
        <v>315</v>
      </c>
      <c r="Q1198" s="106">
        <v>316</v>
      </c>
      <c r="R1198">
        <v>4281408</v>
      </c>
    </row>
    <row r="1199" spans="1:18" x14ac:dyDescent="0.25">
      <c r="A1199" s="143">
        <v>43774</v>
      </c>
      <c r="B1199" s="106">
        <v>319.60000000000002</v>
      </c>
      <c r="C1199" s="106">
        <v>316.3</v>
      </c>
      <c r="D1199" s="106">
        <v>313.45</v>
      </c>
      <c r="E1199" s="106">
        <v>317</v>
      </c>
      <c r="F1199" s="106">
        <v>316.3</v>
      </c>
      <c r="G1199">
        <v>30837</v>
      </c>
      <c r="H1199" s="106"/>
      <c r="I1199" s="106"/>
      <c r="L1199" s="143">
        <v>43774</v>
      </c>
      <c r="M1199" s="106">
        <v>316.60000000000002</v>
      </c>
      <c r="N1199" s="106">
        <v>319.85000000000002</v>
      </c>
      <c r="O1199" s="106">
        <v>313.55</v>
      </c>
      <c r="P1199" s="106">
        <v>316.7</v>
      </c>
      <c r="Q1199" s="106">
        <v>316.60000000000002</v>
      </c>
      <c r="R1199">
        <v>1976356</v>
      </c>
    </row>
    <row r="1200" spans="1:18" x14ac:dyDescent="0.25">
      <c r="A1200" s="143">
        <v>43775</v>
      </c>
      <c r="B1200" s="106">
        <v>318.3</v>
      </c>
      <c r="C1200" s="106">
        <v>299.75</v>
      </c>
      <c r="D1200" s="106">
        <v>293</v>
      </c>
      <c r="E1200" s="106">
        <v>318</v>
      </c>
      <c r="F1200" s="106">
        <v>299.75</v>
      </c>
      <c r="G1200">
        <v>130599</v>
      </c>
      <c r="H1200" s="106"/>
      <c r="I1200" s="106"/>
      <c r="L1200" s="143">
        <v>43775</v>
      </c>
      <c r="M1200" s="106">
        <v>302.39999999999998</v>
      </c>
      <c r="N1200" s="106">
        <v>316.5</v>
      </c>
      <c r="O1200" s="106">
        <v>294.2</v>
      </c>
      <c r="P1200" s="106">
        <v>316.5</v>
      </c>
      <c r="Q1200" s="106">
        <v>302.39999999999998</v>
      </c>
      <c r="R1200">
        <v>5052093</v>
      </c>
    </row>
    <row r="1201" spans="1:18" x14ac:dyDescent="0.25">
      <c r="A1201" s="143">
        <v>43776</v>
      </c>
      <c r="B1201" s="106">
        <v>309.25</v>
      </c>
      <c r="C1201" s="106">
        <v>298.14999999999998</v>
      </c>
      <c r="D1201" s="106">
        <v>297.3</v>
      </c>
      <c r="E1201" s="106">
        <v>305.2</v>
      </c>
      <c r="F1201" s="106">
        <v>298.14999999999998</v>
      </c>
      <c r="G1201">
        <v>20964</v>
      </c>
      <c r="H1201" s="106"/>
      <c r="I1201" s="106"/>
      <c r="L1201" s="143">
        <v>43776</v>
      </c>
      <c r="M1201" s="106">
        <v>297.95</v>
      </c>
      <c r="N1201" s="106">
        <v>309.55</v>
      </c>
      <c r="O1201" s="106">
        <v>297.10000000000002</v>
      </c>
      <c r="P1201" s="106">
        <v>305</v>
      </c>
      <c r="Q1201" s="106">
        <v>297.95</v>
      </c>
      <c r="R1201">
        <v>1070025</v>
      </c>
    </row>
    <row r="1202" spans="1:18" x14ac:dyDescent="0.25">
      <c r="A1202" s="143">
        <v>43777</v>
      </c>
      <c r="B1202" s="106">
        <v>301</v>
      </c>
      <c r="C1202" s="106">
        <v>296.5</v>
      </c>
      <c r="D1202" s="106">
        <v>294.7</v>
      </c>
      <c r="E1202" s="106">
        <v>298.75</v>
      </c>
      <c r="F1202" s="106">
        <v>296.5</v>
      </c>
      <c r="G1202">
        <v>24528</v>
      </c>
      <c r="H1202" s="106"/>
      <c r="I1202" s="106"/>
      <c r="L1202" s="143">
        <v>43777</v>
      </c>
      <c r="M1202" s="106">
        <v>296.64999999999998</v>
      </c>
      <c r="N1202" s="106">
        <v>301</v>
      </c>
      <c r="O1202" s="106">
        <v>294.7</v>
      </c>
      <c r="P1202" s="106">
        <v>299.8</v>
      </c>
      <c r="Q1202" s="106">
        <v>296.64999999999998</v>
      </c>
      <c r="R1202">
        <v>903834</v>
      </c>
    </row>
    <row r="1203" spans="1:18" x14ac:dyDescent="0.25">
      <c r="A1203" s="143">
        <v>43780</v>
      </c>
      <c r="B1203" s="106">
        <v>297.89999999999998</v>
      </c>
      <c r="C1203" s="106">
        <v>296.45</v>
      </c>
      <c r="D1203" s="106">
        <v>293.05</v>
      </c>
      <c r="E1203" s="106">
        <v>297</v>
      </c>
      <c r="F1203" s="106">
        <v>296.45</v>
      </c>
      <c r="G1203">
        <v>5010</v>
      </c>
      <c r="H1203" s="106"/>
      <c r="I1203" s="106"/>
      <c r="L1203" s="143">
        <v>43780</v>
      </c>
      <c r="M1203" s="106">
        <v>296.75</v>
      </c>
      <c r="N1203" s="106">
        <v>298</v>
      </c>
      <c r="O1203" s="106">
        <v>292.85000000000002</v>
      </c>
      <c r="P1203" s="106">
        <v>297.60000000000002</v>
      </c>
      <c r="Q1203" s="106">
        <v>296.75</v>
      </c>
      <c r="R1203">
        <v>763258</v>
      </c>
    </row>
    <row r="1204" spans="1:18" x14ac:dyDescent="0.25">
      <c r="A1204" s="143">
        <v>43782</v>
      </c>
      <c r="B1204" s="106">
        <v>301.8</v>
      </c>
      <c r="C1204" s="106">
        <v>297.3</v>
      </c>
      <c r="D1204" s="106">
        <v>295</v>
      </c>
      <c r="E1204" s="106">
        <v>295</v>
      </c>
      <c r="F1204" s="106">
        <v>297.3</v>
      </c>
      <c r="G1204">
        <v>13347</v>
      </c>
      <c r="H1204" s="106"/>
      <c r="I1204" s="106"/>
      <c r="L1204" s="143">
        <v>43782</v>
      </c>
      <c r="M1204" s="106">
        <v>297.3</v>
      </c>
      <c r="N1204" s="106">
        <v>301.89999999999998</v>
      </c>
      <c r="O1204" s="106">
        <v>296</v>
      </c>
      <c r="P1204" s="106">
        <v>296.75</v>
      </c>
      <c r="Q1204" s="106">
        <v>297.3</v>
      </c>
      <c r="R1204">
        <v>1008638</v>
      </c>
    </row>
    <row r="1205" spans="1:18" x14ac:dyDescent="0.25">
      <c r="A1205" s="143">
        <v>43783</v>
      </c>
      <c r="B1205" s="106">
        <v>310.7</v>
      </c>
      <c r="C1205" s="106">
        <v>309.14999999999998</v>
      </c>
      <c r="D1205" s="106">
        <v>293.85000000000002</v>
      </c>
      <c r="E1205" s="106">
        <v>298.14999999999998</v>
      </c>
      <c r="F1205" s="106">
        <v>309.14999999999998</v>
      </c>
      <c r="G1205">
        <v>2234164</v>
      </c>
      <c r="H1205" s="106"/>
      <c r="I1205" s="106"/>
      <c r="L1205" s="143">
        <v>43783</v>
      </c>
      <c r="M1205" s="106">
        <v>308.95</v>
      </c>
      <c r="N1205" s="106">
        <v>310.7</v>
      </c>
      <c r="O1205" s="106">
        <v>293.5</v>
      </c>
      <c r="P1205" s="106">
        <v>298.75</v>
      </c>
      <c r="Q1205" s="106">
        <v>308.95</v>
      </c>
      <c r="R1205">
        <v>1837984</v>
      </c>
    </row>
    <row r="1206" spans="1:18" x14ac:dyDescent="0.25">
      <c r="A1206" s="143">
        <v>43784</v>
      </c>
      <c r="B1206" s="106">
        <v>330.65</v>
      </c>
      <c r="C1206" s="106">
        <v>329</v>
      </c>
      <c r="D1206" s="106">
        <v>309.39999999999998</v>
      </c>
      <c r="E1206" s="106">
        <v>310.05</v>
      </c>
      <c r="F1206" s="106">
        <v>329</v>
      </c>
      <c r="G1206">
        <v>149121</v>
      </c>
      <c r="H1206" s="106"/>
      <c r="I1206" s="106"/>
      <c r="L1206" s="143">
        <v>43784</v>
      </c>
      <c r="M1206" s="106">
        <v>329.15</v>
      </c>
      <c r="N1206" s="106">
        <v>330.9</v>
      </c>
      <c r="O1206" s="106">
        <v>309.10000000000002</v>
      </c>
      <c r="P1206" s="106">
        <v>310.85000000000002</v>
      </c>
      <c r="Q1206" s="106">
        <v>329.15</v>
      </c>
      <c r="R1206">
        <v>5294094</v>
      </c>
    </row>
    <row r="1207" spans="1:18" x14ac:dyDescent="0.25">
      <c r="A1207" s="143">
        <v>43787</v>
      </c>
      <c r="B1207" s="106">
        <v>333</v>
      </c>
      <c r="C1207" s="106">
        <v>329.7</v>
      </c>
      <c r="D1207" s="106">
        <v>325.8</v>
      </c>
      <c r="E1207" s="106">
        <v>331.7</v>
      </c>
      <c r="F1207" s="106">
        <v>329.7</v>
      </c>
      <c r="G1207">
        <v>79072</v>
      </c>
      <c r="H1207" s="106"/>
      <c r="I1207" s="106"/>
      <c r="L1207" s="143">
        <v>43787</v>
      </c>
      <c r="M1207" s="106">
        <v>329.85</v>
      </c>
      <c r="N1207" s="106">
        <v>333.55</v>
      </c>
      <c r="O1207" s="106">
        <v>325.60000000000002</v>
      </c>
      <c r="P1207" s="106">
        <v>331</v>
      </c>
      <c r="Q1207" s="106">
        <v>329.85</v>
      </c>
      <c r="R1207">
        <v>2794209</v>
      </c>
    </row>
    <row r="1208" spans="1:18" x14ac:dyDescent="0.25">
      <c r="A1208" s="143">
        <v>43788</v>
      </c>
      <c r="B1208" s="106">
        <v>333.9</v>
      </c>
      <c r="C1208" s="106">
        <v>325.14999999999998</v>
      </c>
      <c r="D1208" s="106">
        <v>322.60000000000002</v>
      </c>
      <c r="E1208" s="106">
        <v>329.2</v>
      </c>
      <c r="F1208" s="106">
        <v>325.14999999999998</v>
      </c>
      <c r="G1208">
        <v>2539461</v>
      </c>
      <c r="H1208" s="106"/>
      <c r="I1208" s="106"/>
      <c r="L1208" s="143">
        <v>43788</v>
      </c>
      <c r="M1208" s="106">
        <v>325.39999999999998</v>
      </c>
      <c r="N1208" s="106">
        <v>333.5</v>
      </c>
      <c r="O1208" s="106">
        <v>321.5</v>
      </c>
      <c r="P1208" s="106">
        <v>328.5</v>
      </c>
      <c r="Q1208" s="106">
        <v>325.39999999999998</v>
      </c>
      <c r="R1208">
        <v>1530490</v>
      </c>
    </row>
    <row r="1209" spans="1:18" x14ac:dyDescent="0.25">
      <c r="A1209" s="143">
        <v>43789</v>
      </c>
      <c r="B1209" s="106">
        <v>327.39999999999998</v>
      </c>
      <c r="C1209" s="106">
        <v>320.14999999999998</v>
      </c>
      <c r="D1209" s="106">
        <v>316.89999999999998</v>
      </c>
      <c r="E1209" s="106">
        <v>327.39999999999998</v>
      </c>
      <c r="F1209" s="106">
        <v>320.14999999999998</v>
      </c>
      <c r="G1209">
        <v>37555</v>
      </c>
      <c r="H1209" s="106"/>
      <c r="I1209" s="106"/>
      <c r="L1209" s="143">
        <v>43789</v>
      </c>
      <c r="M1209" s="106">
        <v>319.89999999999998</v>
      </c>
      <c r="N1209" s="106">
        <v>326.85000000000002</v>
      </c>
      <c r="O1209" s="106">
        <v>316.5</v>
      </c>
      <c r="P1209" s="106">
        <v>325.85000000000002</v>
      </c>
      <c r="Q1209" s="106">
        <v>319.89999999999998</v>
      </c>
      <c r="R1209">
        <v>1568940</v>
      </c>
    </row>
    <row r="1210" spans="1:18" x14ac:dyDescent="0.25">
      <c r="A1210" s="143">
        <v>43790</v>
      </c>
      <c r="B1210" s="106">
        <v>321</v>
      </c>
      <c r="C1210" s="106">
        <v>317.39999999999998</v>
      </c>
      <c r="D1210" s="106">
        <v>316.10000000000002</v>
      </c>
      <c r="E1210" s="106">
        <v>318.25</v>
      </c>
      <c r="F1210" s="106">
        <v>317.39999999999998</v>
      </c>
      <c r="G1210">
        <v>16207</v>
      </c>
      <c r="H1210" s="106"/>
      <c r="I1210" s="106"/>
      <c r="L1210" s="143">
        <v>43790</v>
      </c>
      <c r="M1210" s="106">
        <v>317.05</v>
      </c>
      <c r="N1210" s="106">
        <v>321</v>
      </c>
      <c r="O1210" s="106">
        <v>315.7</v>
      </c>
      <c r="P1210" s="106">
        <v>319</v>
      </c>
      <c r="Q1210" s="106">
        <v>317.05</v>
      </c>
      <c r="R1210">
        <v>715748</v>
      </c>
    </row>
    <row r="1211" spans="1:18" x14ac:dyDescent="0.25">
      <c r="A1211" s="143">
        <v>43791</v>
      </c>
      <c r="B1211" s="106">
        <v>317.95</v>
      </c>
      <c r="C1211" s="106">
        <v>314.25</v>
      </c>
      <c r="D1211" s="106">
        <v>310.25</v>
      </c>
      <c r="E1211" s="106">
        <v>317.95</v>
      </c>
      <c r="F1211" s="106">
        <v>314.25</v>
      </c>
      <c r="G1211">
        <v>22837</v>
      </c>
      <c r="H1211" s="106"/>
      <c r="I1211" s="106"/>
      <c r="L1211" s="143">
        <v>43791</v>
      </c>
      <c r="M1211" s="106">
        <v>314.35000000000002</v>
      </c>
      <c r="N1211" s="106">
        <v>318</v>
      </c>
      <c r="O1211" s="106">
        <v>310.05</v>
      </c>
      <c r="P1211" s="106">
        <v>317.5</v>
      </c>
      <c r="Q1211" s="106">
        <v>314.35000000000002</v>
      </c>
      <c r="R1211">
        <v>1198270</v>
      </c>
    </row>
    <row r="1212" spans="1:18" x14ac:dyDescent="0.25">
      <c r="A1212" s="143">
        <v>43794</v>
      </c>
      <c r="B1212" s="106">
        <v>319</v>
      </c>
      <c r="C1212" s="106">
        <v>317.64999999999998</v>
      </c>
      <c r="D1212" s="106">
        <v>311.89999999999998</v>
      </c>
      <c r="E1212" s="106">
        <v>314.7</v>
      </c>
      <c r="F1212" s="106">
        <v>317.64999999999998</v>
      </c>
      <c r="G1212">
        <v>33037</v>
      </c>
      <c r="H1212" s="106"/>
      <c r="I1212" s="106"/>
      <c r="L1212" s="143">
        <v>43794</v>
      </c>
      <c r="M1212" s="106">
        <v>317.39999999999998</v>
      </c>
      <c r="N1212" s="106">
        <v>319.3</v>
      </c>
      <c r="O1212" s="106">
        <v>311.39999999999998</v>
      </c>
      <c r="P1212" s="106">
        <v>312.05</v>
      </c>
      <c r="Q1212" s="106">
        <v>317.39999999999998</v>
      </c>
      <c r="R1212">
        <v>1072616</v>
      </c>
    </row>
    <row r="1213" spans="1:18" x14ac:dyDescent="0.25">
      <c r="A1213" s="143">
        <v>43795</v>
      </c>
      <c r="B1213" s="106">
        <v>321.2</v>
      </c>
      <c r="C1213" s="106">
        <v>310.7</v>
      </c>
      <c r="D1213" s="106">
        <v>308.89999999999998</v>
      </c>
      <c r="E1213" s="106">
        <v>319.25</v>
      </c>
      <c r="F1213" s="106">
        <v>310.7</v>
      </c>
      <c r="G1213">
        <v>18496</v>
      </c>
      <c r="H1213" s="106"/>
      <c r="I1213" s="106"/>
      <c r="L1213" s="143">
        <v>43795</v>
      </c>
      <c r="M1213" s="106">
        <v>310.89999999999998</v>
      </c>
      <c r="N1213" s="106">
        <v>321.5</v>
      </c>
      <c r="O1213" s="106">
        <v>309</v>
      </c>
      <c r="P1213" s="106">
        <v>318.75</v>
      </c>
      <c r="Q1213" s="106">
        <v>310.89999999999998</v>
      </c>
      <c r="R1213">
        <v>1447555</v>
      </c>
    </row>
    <row r="1214" spans="1:18" x14ac:dyDescent="0.25">
      <c r="A1214" s="143">
        <v>43796</v>
      </c>
      <c r="B1214" s="106">
        <v>319.89999999999998</v>
      </c>
      <c r="C1214" s="106">
        <v>315.35000000000002</v>
      </c>
      <c r="D1214" s="106">
        <v>307.55</v>
      </c>
      <c r="E1214" s="106">
        <v>311.05</v>
      </c>
      <c r="F1214" s="106">
        <v>315.35000000000002</v>
      </c>
      <c r="G1214">
        <v>56815</v>
      </c>
      <c r="H1214" s="106"/>
      <c r="I1214" s="106"/>
      <c r="L1214" s="143">
        <v>43796</v>
      </c>
      <c r="M1214" s="106">
        <v>315.3</v>
      </c>
      <c r="N1214" s="106">
        <v>320.10000000000002</v>
      </c>
      <c r="O1214" s="106">
        <v>307.5</v>
      </c>
      <c r="P1214" s="106">
        <v>311</v>
      </c>
      <c r="Q1214" s="106">
        <v>315.3</v>
      </c>
      <c r="R1214">
        <v>2614091</v>
      </c>
    </row>
    <row r="1215" spans="1:18" x14ac:dyDescent="0.25">
      <c r="A1215" s="143">
        <v>43797</v>
      </c>
      <c r="B1215" s="106">
        <v>318.8</v>
      </c>
      <c r="C1215" s="106">
        <v>316.85000000000002</v>
      </c>
      <c r="D1215" s="106">
        <v>312.75</v>
      </c>
      <c r="E1215" s="106">
        <v>315.35000000000002</v>
      </c>
      <c r="F1215" s="106">
        <v>316.85000000000002</v>
      </c>
      <c r="G1215">
        <v>24302</v>
      </c>
      <c r="H1215" s="106"/>
      <c r="I1215" s="106"/>
      <c r="L1215" s="143">
        <v>43797</v>
      </c>
      <c r="M1215" s="106">
        <v>317.05</v>
      </c>
      <c r="N1215" s="106">
        <v>319</v>
      </c>
      <c r="O1215" s="106">
        <v>312.55</v>
      </c>
      <c r="P1215" s="106">
        <v>314.2</v>
      </c>
      <c r="Q1215" s="106">
        <v>317.05</v>
      </c>
      <c r="R1215">
        <v>1517615</v>
      </c>
    </row>
    <row r="1216" spans="1:18" x14ac:dyDescent="0.25">
      <c r="A1216" s="143">
        <v>43798</v>
      </c>
      <c r="B1216" s="106">
        <v>318.5</v>
      </c>
      <c r="C1216" s="106">
        <v>312.14999999999998</v>
      </c>
      <c r="D1216" s="106">
        <v>310.95</v>
      </c>
      <c r="E1216" s="106">
        <v>316.95</v>
      </c>
      <c r="F1216" s="106">
        <v>312.14999999999998</v>
      </c>
      <c r="G1216">
        <v>19183</v>
      </c>
      <c r="H1216" s="106"/>
      <c r="I1216" s="106"/>
      <c r="L1216" s="143">
        <v>43798</v>
      </c>
      <c r="M1216" s="106">
        <v>312.14999999999998</v>
      </c>
      <c r="N1216" s="106">
        <v>318.89999999999998</v>
      </c>
      <c r="O1216" s="106">
        <v>310.8</v>
      </c>
      <c r="P1216" s="106">
        <v>318.89999999999998</v>
      </c>
      <c r="Q1216" s="106">
        <v>312.14999999999998</v>
      </c>
      <c r="R1216">
        <v>940105</v>
      </c>
    </row>
    <row r="1217" spans="1:18" x14ac:dyDescent="0.25">
      <c r="A1217" s="143">
        <v>43801</v>
      </c>
      <c r="B1217" s="106">
        <v>311.95</v>
      </c>
      <c r="C1217" s="106">
        <v>307.64999999999998</v>
      </c>
      <c r="D1217" s="106">
        <v>303.25</v>
      </c>
      <c r="E1217" s="106">
        <v>311.95</v>
      </c>
      <c r="F1217" s="106">
        <v>307.64999999999998</v>
      </c>
      <c r="G1217">
        <v>28214</v>
      </c>
      <c r="H1217" s="106"/>
      <c r="I1217" s="106"/>
      <c r="L1217" s="143">
        <v>43801</v>
      </c>
      <c r="M1217" s="106">
        <v>307.55</v>
      </c>
      <c r="N1217" s="106">
        <v>313.7</v>
      </c>
      <c r="O1217" s="106">
        <v>302.89999999999998</v>
      </c>
      <c r="P1217" s="106">
        <v>313.7</v>
      </c>
      <c r="Q1217" s="106">
        <v>307.55</v>
      </c>
      <c r="R1217">
        <v>1428809</v>
      </c>
    </row>
    <row r="1218" spans="1:18" x14ac:dyDescent="0.25">
      <c r="A1218" s="143">
        <v>43802</v>
      </c>
      <c r="B1218" s="106">
        <v>308.55</v>
      </c>
      <c r="C1218" s="106">
        <v>302.25</v>
      </c>
      <c r="D1218" s="106">
        <v>299.25</v>
      </c>
      <c r="E1218" s="106">
        <v>308.55</v>
      </c>
      <c r="F1218" s="106">
        <v>302.25</v>
      </c>
      <c r="G1218">
        <v>31180</v>
      </c>
      <c r="H1218" s="106"/>
      <c r="I1218" s="106"/>
      <c r="L1218" s="143">
        <v>43802</v>
      </c>
      <c r="M1218" s="106">
        <v>302</v>
      </c>
      <c r="N1218" s="106">
        <v>308.89999999999998</v>
      </c>
      <c r="O1218" s="106">
        <v>299</v>
      </c>
      <c r="P1218" s="106">
        <v>308.89999999999998</v>
      </c>
      <c r="Q1218" s="106">
        <v>302</v>
      </c>
      <c r="R1218">
        <v>2184410</v>
      </c>
    </row>
    <row r="1219" spans="1:18" x14ac:dyDescent="0.25">
      <c r="A1219" s="143">
        <v>43803</v>
      </c>
      <c r="B1219" s="106">
        <v>304.64999999999998</v>
      </c>
      <c r="C1219" s="106">
        <v>301.64999999999998</v>
      </c>
      <c r="D1219" s="106">
        <v>297.64999999999998</v>
      </c>
      <c r="E1219" s="106">
        <v>301.5</v>
      </c>
      <c r="F1219" s="106">
        <v>301.64999999999998</v>
      </c>
      <c r="G1219">
        <v>19932</v>
      </c>
      <c r="H1219" s="106"/>
      <c r="I1219" s="106"/>
      <c r="L1219" s="143">
        <v>43803</v>
      </c>
      <c r="M1219" s="106">
        <v>301.64999999999998</v>
      </c>
      <c r="N1219" s="106">
        <v>304.8</v>
      </c>
      <c r="O1219" s="106">
        <v>297.10000000000002</v>
      </c>
      <c r="P1219" s="106">
        <v>302.89999999999998</v>
      </c>
      <c r="Q1219" s="106">
        <v>301.64999999999998</v>
      </c>
      <c r="R1219">
        <v>999110</v>
      </c>
    </row>
    <row r="1220" spans="1:18" x14ac:dyDescent="0.25">
      <c r="A1220" s="143">
        <v>43804</v>
      </c>
      <c r="B1220" s="106">
        <v>304.75</v>
      </c>
      <c r="C1220" s="106">
        <v>301.10000000000002</v>
      </c>
      <c r="D1220" s="106">
        <v>295.60000000000002</v>
      </c>
      <c r="E1220" s="106">
        <v>295.60000000000002</v>
      </c>
      <c r="F1220" s="106">
        <v>301.10000000000002</v>
      </c>
      <c r="G1220">
        <v>18081</v>
      </c>
      <c r="H1220" s="106"/>
      <c r="I1220" s="106"/>
      <c r="L1220" s="143">
        <v>43804</v>
      </c>
      <c r="M1220" s="106">
        <v>301.25</v>
      </c>
      <c r="N1220" s="106">
        <v>304.75</v>
      </c>
      <c r="O1220" s="106">
        <v>297.05</v>
      </c>
      <c r="P1220" s="106">
        <v>303.45</v>
      </c>
      <c r="Q1220" s="106">
        <v>301.25</v>
      </c>
      <c r="R1220">
        <v>1556754</v>
      </c>
    </row>
    <row r="1221" spans="1:18" x14ac:dyDescent="0.25">
      <c r="A1221" s="143">
        <v>43805</v>
      </c>
      <c r="B1221" s="106">
        <v>303.3</v>
      </c>
      <c r="C1221" s="106">
        <v>299.64999999999998</v>
      </c>
      <c r="D1221" s="106">
        <v>296.3</v>
      </c>
      <c r="E1221" s="106">
        <v>302.7</v>
      </c>
      <c r="F1221" s="106">
        <v>299.64999999999998</v>
      </c>
      <c r="G1221">
        <v>11080</v>
      </c>
      <c r="H1221" s="106"/>
      <c r="I1221" s="106"/>
      <c r="L1221" s="143">
        <v>43805</v>
      </c>
      <c r="M1221" s="106">
        <v>300.45</v>
      </c>
      <c r="N1221" s="106">
        <v>303.2</v>
      </c>
      <c r="O1221" s="106">
        <v>296.2</v>
      </c>
      <c r="P1221" s="106">
        <v>301.60000000000002</v>
      </c>
      <c r="Q1221" s="106">
        <v>300.45</v>
      </c>
      <c r="R1221">
        <v>1225732</v>
      </c>
    </row>
    <row r="1222" spans="1:18" x14ac:dyDescent="0.25">
      <c r="A1222" s="143">
        <v>43808</v>
      </c>
      <c r="B1222" s="106">
        <v>311.55</v>
      </c>
      <c r="C1222" s="106">
        <v>306.14999999999998</v>
      </c>
      <c r="D1222" s="106">
        <v>296.95</v>
      </c>
      <c r="E1222" s="106">
        <v>301</v>
      </c>
      <c r="F1222" s="106">
        <v>306.14999999999998</v>
      </c>
      <c r="G1222">
        <v>33452</v>
      </c>
      <c r="H1222" s="106"/>
      <c r="I1222" s="106"/>
      <c r="L1222" s="143">
        <v>43808</v>
      </c>
      <c r="M1222" s="106">
        <v>306.2</v>
      </c>
      <c r="N1222" s="106">
        <v>311.5</v>
      </c>
      <c r="O1222" s="106">
        <v>296.75</v>
      </c>
      <c r="P1222" s="106">
        <v>301.7</v>
      </c>
      <c r="Q1222" s="106">
        <v>306.2</v>
      </c>
      <c r="R1222">
        <v>1860736</v>
      </c>
    </row>
    <row r="1223" spans="1:18" x14ac:dyDescent="0.25">
      <c r="A1223" s="143">
        <v>43809</v>
      </c>
      <c r="B1223" s="106">
        <v>307.14999999999998</v>
      </c>
      <c r="C1223" s="106">
        <v>303.8</v>
      </c>
      <c r="D1223" s="106">
        <v>302.39999999999998</v>
      </c>
      <c r="E1223" s="106">
        <v>306.7</v>
      </c>
      <c r="F1223" s="106">
        <v>303.8</v>
      </c>
      <c r="G1223">
        <v>10979</v>
      </c>
      <c r="H1223" s="106"/>
      <c r="I1223" s="106"/>
      <c r="L1223" s="143">
        <v>43809</v>
      </c>
      <c r="M1223" s="106">
        <v>303.85000000000002</v>
      </c>
      <c r="N1223" s="106">
        <v>307.7</v>
      </c>
      <c r="O1223" s="106">
        <v>302.25</v>
      </c>
      <c r="P1223" s="106">
        <v>305</v>
      </c>
      <c r="Q1223" s="106">
        <v>303.85000000000002</v>
      </c>
      <c r="R1223">
        <v>915175</v>
      </c>
    </row>
    <row r="1224" spans="1:18" x14ac:dyDescent="0.25">
      <c r="A1224" s="143">
        <v>43810</v>
      </c>
      <c r="B1224" s="106">
        <v>306</v>
      </c>
      <c r="C1224" s="106">
        <v>302.89999999999998</v>
      </c>
      <c r="D1224" s="106">
        <v>300.75</v>
      </c>
      <c r="E1224" s="106">
        <v>304.60000000000002</v>
      </c>
      <c r="F1224" s="106">
        <v>302.89999999999998</v>
      </c>
      <c r="G1224">
        <v>13483</v>
      </c>
      <c r="H1224" s="106"/>
      <c r="I1224" s="106"/>
      <c r="L1224" s="143">
        <v>43810</v>
      </c>
      <c r="M1224" s="106">
        <v>302.8</v>
      </c>
      <c r="N1224" s="106">
        <v>305.89999999999998</v>
      </c>
      <c r="O1224" s="106">
        <v>300.64999999999998</v>
      </c>
      <c r="P1224" s="106">
        <v>304.95</v>
      </c>
      <c r="Q1224" s="106">
        <v>302.8</v>
      </c>
      <c r="R1224">
        <v>845509</v>
      </c>
    </row>
    <row r="1225" spans="1:18" x14ac:dyDescent="0.25">
      <c r="A1225" s="143">
        <v>43811</v>
      </c>
      <c r="B1225" s="106">
        <v>315</v>
      </c>
      <c r="C1225" s="106">
        <v>312.89999999999998</v>
      </c>
      <c r="D1225" s="106">
        <v>301.60000000000002</v>
      </c>
      <c r="E1225" s="106">
        <v>303.8</v>
      </c>
      <c r="F1225" s="106">
        <v>312.89999999999998</v>
      </c>
      <c r="G1225">
        <v>93647</v>
      </c>
      <c r="H1225" s="106"/>
      <c r="I1225" s="106"/>
      <c r="L1225" s="143">
        <v>43811</v>
      </c>
      <c r="M1225" s="106">
        <v>313.05</v>
      </c>
      <c r="N1225" s="106">
        <v>315.2</v>
      </c>
      <c r="O1225" s="106">
        <v>301.35000000000002</v>
      </c>
      <c r="P1225" s="106">
        <v>304.60000000000002</v>
      </c>
      <c r="Q1225" s="106">
        <v>313.05</v>
      </c>
      <c r="R1225">
        <v>1837221</v>
      </c>
    </row>
    <row r="1226" spans="1:18" x14ac:dyDescent="0.25">
      <c r="A1226" s="143">
        <v>43812</v>
      </c>
      <c r="B1226" s="106">
        <v>318.60000000000002</v>
      </c>
      <c r="C1226" s="106">
        <v>316.35000000000002</v>
      </c>
      <c r="D1226" s="106">
        <v>311.64999999999998</v>
      </c>
      <c r="E1226" s="106">
        <v>317.85000000000002</v>
      </c>
      <c r="F1226" s="106">
        <v>316.35000000000002</v>
      </c>
      <c r="G1226">
        <v>50105</v>
      </c>
      <c r="H1226" s="106"/>
      <c r="I1226" s="106"/>
      <c r="L1226" s="143">
        <v>43812</v>
      </c>
      <c r="M1226" s="106">
        <v>316.5</v>
      </c>
      <c r="N1226" s="106">
        <v>318.7</v>
      </c>
      <c r="O1226" s="106">
        <v>311.35000000000002</v>
      </c>
      <c r="P1226" s="106">
        <v>314</v>
      </c>
      <c r="Q1226" s="106">
        <v>316.5</v>
      </c>
      <c r="R1226">
        <v>2118338</v>
      </c>
    </row>
    <row r="1227" spans="1:18" x14ac:dyDescent="0.25">
      <c r="A1227" s="143">
        <v>43815</v>
      </c>
      <c r="B1227" s="106">
        <v>317.64999999999998</v>
      </c>
      <c r="C1227" s="106">
        <v>309.14999999999998</v>
      </c>
      <c r="D1227" s="106">
        <v>308.55</v>
      </c>
      <c r="E1227" s="106">
        <v>317.05</v>
      </c>
      <c r="F1227" s="106">
        <v>309.14999999999998</v>
      </c>
      <c r="G1227">
        <v>24799</v>
      </c>
      <c r="H1227" s="106"/>
      <c r="I1227" s="106"/>
      <c r="L1227" s="143">
        <v>43815</v>
      </c>
      <c r="M1227" s="106">
        <v>309.10000000000002</v>
      </c>
      <c r="N1227" s="106">
        <v>318.75</v>
      </c>
      <c r="O1227" s="106">
        <v>308.25</v>
      </c>
      <c r="P1227" s="106">
        <v>316.75</v>
      </c>
      <c r="Q1227" s="106">
        <v>309.10000000000002</v>
      </c>
      <c r="R1227">
        <v>1293481</v>
      </c>
    </row>
    <row r="1228" spans="1:18" x14ac:dyDescent="0.25">
      <c r="A1228" s="143">
        <v>43816</v>
      </c>
      <c r="B1228" s="106">
        <v>312.10000000000002</v>
      </c>
      <c r="C1228" s="106">
        <v>310.64999999999998</v>
      </c>
      <c r="D1228" s="106">
        <v>306</v>
      </c>
      <c r="E1228" s="106">
        <v>306</v>
      </c>
      <c r="F1228" s="106">
        <v>310.64999999999998</v>
      </c>
      <c r="G1228">
        <v>15286</v>
      </c>
      <c r="H1228" s="106"/>
      <c r="I1228" s="106"/>
      <c r="L1228" s="143">
        <v>43816</v>
      </c>
      <c r="M1228" s="106">
        <v>310.75</v>
      </c>
      <c r="N1228" s="106">
        <v>312.5</v>
      </c>
      <c r="O1228" s="106">
        <v>305.64999999999998</v>
      </c>
      <c r="P1228" s="106">
        <v>311</v>
      </c>
      <c r="Q1228" s="106">
        <v>310.75</v>
      </c>
      <c r="R1228">
        <v>1205861</v>
      </c>
    </row>
    <row r="1229" spans="1:18" x14ac:dyDescent="0.25">
      <c r="A1229" s="143">
        <v>43817</v>
      </c>
      <c r="B1229" s="106">
        <v>313.8</v>
      </c>
      <c r="C1229" s="106">
        <v>308.8</v>
      </c>
      <c r="D1229" s="106">
        <v>308</v>
      </c>
      <c r="E1229" s="106">
        <v>309</v>
      </c>
      <c r="F1229" s="106">
        <v>308.8</v>
      </c>
      <c r="G1229">
        <v>10416</v>
      </c>
      <c r="H1229" s="106"/>
      <c r="I1229" s="106"/>
      <c r="L1229" s="143">
        <v>43817</v>
      </c>
      <c r="M1229" s="106">
        <v>308.85000000000002</v>
      </c>
      <c r="N1229" s="106">
        <v>313.95</v>
      </c>
      <c r="O1229" s="106">
        <v>308.10000000000002</v>
      </c>
      <c r="P1229" s="106">
        <v>311</v>
      </c>
      <c r="Q1229" s="106">
        <v>308.85000000000002</v>
      </c>
      <c r="R1229">
        <v>821108</v>
      </c>
    </row>
    <row r="1230" spans="1:18" x14ac:dyDescent="0.25">
      <c r="A1230" s="143">
        <v>43818</v>
      </c>
      <c r="B1230" s="106">
        <v>308.95</v>
      </c>
      <c r="C1230" s="106">
        <v>304.95</v>
      </c>
      <c r="D1230" s="106">
        <v>302.3</v>
      </c>
      <c r="E1230" s="106">
        <v>303.5</v>
      </c>
      <c r="F1230" s="106">
        <v>304.95</v>
      </c>
      <c r="G1230">
        <v>31209</v>
      </c>
      <c r="H1230" s="106"/>
      <c r="I1230" s="106"/>
      <c r="L1230" s="143">
        <v>43818</v>
      </c>
      <c r="M1230" s="106">
        <v>304.75</v>
      </c>
      <c r="N1230" s="106">
        <v>309.95</v>
      </c>
      <c r="O1230" s="106">
        <v>302.14999999999998</v>
      </c>
      <c r="P1230" s="106">
        <v>309.14999999999998</v>
      </c>
      <c r="Q1230" s="106">
        <v>304.75</v>
      </c>
      <c r="R1230">
        <v>1734398</v>
      </c>
    </row>
    <row r="1231" spans="1:18" x14ac:dyDescent="0.25">
      <c r="A1231" s="143">
        <v>43819</v>
      </c>
      <c r="B1231" s="106">
        <v>308.2</v>
      </c>
      <c r="C1231" s="106">
        <v>307</v>
      </c>
      <c r="D1231" s="106">
        <v>303.35000000000002</v>
      </c>
      <c r="E1231" s="106">
        <v>305.2</v>
      </c>
      <c r="F1231" s="106">
        <v>307</v>
      </c>
      <c r="G1231">
        <v>23032</v>
      </c>
      <c r="H1231" s="106"/>
      <c r="I1231" s="106"/>
      <c r="L1231" s="143">
        <v>43819</v>
      </c>
      <c r="M1231" s="106">
        <v>306.8</v>
      </c>
      <c r="N1231" s="106">
        <v>308</v>
      </c>
      <c r="O1231" s="106">
        <v>303.14999999999998</v>
      </c>
      <c r="P1231" s="106">
        <v>306</v>
      </c>
      <c r="Q1231" s="106">
        <v>306.8</v>
      </c>
      <c r="R1231">
        <v>1189112</v>
      </c>
    </row>
    <row r="1232" spans="1:18" x14ac:dyDescent="0.25">
      <c r="A1232" s="143">
        <v>43822</v>
      </c>
      <c r="B1232" s="106">
        <v>310.64999999999998</v>
      </c>
      <c r="C1232" s="106">
        <v>303.8</v>
      </c>
      <c r="D1232" s="106">
        <v>302.95</v>
      </c>
      <c r="E1232" s="106">
        <v>306.95</v>
      </c>
      <c r="F1232" s="106">
        <v>303.8</v>
      </c>
      <c r="G1232">
        <v>26100</v>
      </c>
      <c r="H1232" s="106"/>
      <c r="I1232" s="106"/>
      <c r="L1232" s="143">
        <v>43822</v>
      </c>
      <c r="M1232" s="106">
        <v>303.8</v>
      </c>
      <c r="N1232" s="106">
        <v>310.89999999999998</v>
      </c>
      <c r="O1232" s="106">
        <v>302.75</v>
      </c>
      <c r="P1232" s="106">
        <v>305.85000000000002</v>
      </c>
      <c r="Q1232" s="106">
        <v>303.8</v>
      </c>
      <c r="R1232">
        <v>729236</v>
      </c>
    </row>
    <row r="1233" spans="1:18" x14ac:dyDescent="0.25">
      <c r="A1233" s="143">
        <v>43823</v>
      </c>
      <c r="B1233" s="106">
        <v>306.2</v>
      </c>
      <c r="C1233" s="106">
        <v>301.89999999999998</v>
      </c>
      <c r="D1233" s="106">
        <v>301</v>
      </c>
      <c r="E1233" s="106">
        <v>306.2</v>
      </c>
      <c r="F1233" s="106">
        <v>301.89999999999998</v>
      </c>
      <c r="G1233">
        <v>19234</v>
      </c>
      <c r="H1233" s="106"/>
      <c r="I1233" s="106"/>
      <c r="L1233" s="143">
        <v>43823</v>
      </c>
      <c r="M1233" s="106">
        <v>301.85000000000002</v>
      </c>
      <c r="N1233" s="106">
        <v>306.45</v>
      </c>
      <c r="O1233" s="106">
        <v>301</v>
      </c>
      <c r="P1233" s="106">
        <v>304.60000000000002</v>
      </c>
      <c r="Q1233" s="106">
        <v>301.85000000000002</v>
      </c>
      <c r="R1233">
        <v>881377</v>
      </c>
    </row>
    <row r="1234" spans="1:18" x14ac:dyDescent="0.25">
      <c r="A1234" s="143">
        <v>43825</v>
      </c>
      <c r="B1234" s="106">
        <v>303.3</v>
      </c>
      <c r="C1234" s="106">
        <v>301.10000000000002</v>
      </c>
      <c r="D1234" s="106">
        <v>300</v>
      </c>
      <c r="E1234" s="106">
        <v>302.95</v>
      </c>
      <c r="F1234" s="106">
        <v>301.10000000000002</v>
      </c>
      <c r="G1234">
        <v>10703</v>
      </c>
      <c r="H1234" s="106"/>
      <c r="I1234" s="106"/>
      <c r="L1234" s="143">
        <v>43825</v>
      </c>
      <c r="M1234" s="106">
        <v>301.10000000000002</v>
      </c>
      <c r="N1234" s="106">
        <v>303.39999999999998</v>
      </c>
      <c r="O1234" s="106">
        <v>299.55</v>
      </c>
      <c r="P1234" s="106">
        <v>301.95</v>
      </c>
      <c r="Q1234" s="106">
        <v>301.10000000000002</v>
      </c>
      <c r="R1234">
        <v>673994</v>
      </c>
    </row>
    <row r="1235" spans="1:18" x14ac:dyDescent="0.25">
      <c r="A1235" s="143">
        <v>43826</v>
      </c>
      <c r="B1235" s="106">
        <v>305.85000000000002</v>
      </c>
      <c r="C1235" s="106">
        <v>304.45</v>
      </c>
      <c r="D1235" s="106">
        <v>301.14999999999998</v>
      </c>
      <c r="E1235" s="106">
        <v>302.5</v>
      </c>
      <c r="F1235" s="106">
        <v>304.45</v>
      </c>
      <c r="G1235">
        <v>13601</v>
      </c>
      <c r="H1235" s="106"/>
      <c r="I1235" s="106"/>
      <c r="L1235" s="143">
        <v>43826</v>
      </c>
      <c r="M1235" s="106">
        <v>304.39999999999998</v>
      </c>
      <c r="N1235" s="106">
        <v>305.89999999999998</v>
      </c>
      <c r="O1235" s="106">
        <v>301</v>
      </c>
      <c r="P1235" s="106">
        <v>301.64999999999998</v>
      </c>
      <c r="Q1235" s="106">
        <v>304.39999999999998</v>
      </c>
      <c r="R1235">
        <v>556194</v>
      </c>
    </row>
    <row r="1236" spans="1:18" x14ac:dyDescent="0.25">
      <c r="A1236" s="143">
        <v>43829</v>
      </c>
      <c r="B1236" s="106">
        <v>309.05</v>
      </c>
      <c r="C1236" s="106">
        <v>305.45</v>
      </c>
      <c r="D1236" s="106">
        <v>304.39999999999998</v>
      </c>
      <c r="E1236" s="106">
        <v>304.60000000000002</v>
      </c>
      <c r="F1236" s="106">
        <v>305.45</v>
      </c>
      <c r="G1236">
        <v>29443</v>
      </c>
      <c r="H1236" s="106"/>
      <c r="I1236" s="106"/>
      <c r="L1236" s="143">
        <v>43829</v>
      </c>
      <c r="M1236" s="106">
        <v>305.64999999999998</v>
      </c>
      <c r="N1236" s="106">
        <v>309.10000000000002</v>
      </c>
      <c r="O1236" s="106">
        <v>304.35000000000002</v>
      </c>
      <c r="P1236" s="106">
        <v>305.64999999999998</v>
      </c>
      <c r="Q1236" s="106">
        <v>305.64999999999998</v>
      </c>
      <c r="R1236">
        <v>1219062</v>
      </c>
    </row>
    <row r="1237" spans="1:18" x14ac:dyDescent="0.25">
      <c r="A1237" s="143">
        <v>43830</v>
      </c>
      <c r="B1237" s="106">
        <v>308.5</v>
      </c>
      <c r="C1237" s="106">
        <v>305.64999999999998</v>
      </c>
      <c r="D1237" s="106">
        <v>304.35000000000002</v>
      </c>
      <c r="E1237" s="106">
        <v>306.39999999999998</v>
      </c>
      <c r="F1237" s="106">
        <v>305.64999999999998</v>
      </c>
      <c r="G1237">
        <v>8680</v>
      </c>
      <c r="H1237" s="106"/>
      <c r="I1237" s="106"/>
      <c r="L1237" s="143">
        <v>43830</v>
      </c>
      <c r="M1237" s="106">
        <v>305.5</v>
      </c>
      <c r="N1237" s="106">
        <v>308.60000000000002</v>
      </c>
      <c r="O1237" s="106">
        <v>304.3</v>
      </c>
      <c r="P1237" s="106">
        <v>305.64999999999998</v>
      </c>
      <c r="Q1237" s="106">
        <v>305.5</v>
      </c>
      <c r="R1237">
        <v>788978</v>
      </c>
    </row>
    <row r="1238" spans="1:18" x14ac:dyDescent="0.25">
      <c r="A1238" s="143">
        <v>43831</v>
      </c>
      <c r="B1238" s="106">
        <v>308.10000000000002</v>
      </c>
      <c r="C1238" s="106">
        <v>302.89999999999998</v>
      </c>
      <c r="D1238" s="106">
        <v>302.5</v>
      </c>
      <c r="E1238" s="106">
        <v>306.10000000000002</v>
      </c>
      <c r="F1238" s="106">
        <v>302.89999999999998</v>
      </c>
      <c r="G1238">
        <v>9417</v>
      </c>
      <c r="H1238" s="106"/>
      <c r="I1238" s="106"/>
      <c r="L1238" s="143">
        <v>43831</v>
      </c>
      <c r="M1238" s="106">
        <v>302.85000000000002</v>
      </c>
      <c r="N1238" s="106">
        <v>308</v>
      </c>
      <c r="O1238" s="106">
        <v>302.10000000000002</v>
      </c>
      <c r="P1238" s="106">
        <v>306.64999999999998</v>
      </c>
      <c r="Q1238" s="106">
        <v>302.85000000000002</v>
      </c>
      <c r="R1238">
        <v>357891</v>
      </c>
    </row>
    <row r="1239" spans="1:18" x14ac:dyDescent="0.25">
      <c r="A1239" s="143">
        <v>43832</v>
      </c>
      <c r="B1239" s="106">
        <v>310.05</v>
      </c>
      <c r="C1239" s="106">
        <v>309.2</v>
      </c>
      <c r="D1239" s="106">
        <v>301.75</v>
      </c>
      <c r="E1239" s="106">
        <v>302.89999999999998</v>
      </c>
      <c r="F1239" s="106">
        <v>309.2</v>
      </c>
      <c r="G1239">
        <v>26881</v>
      </c>
      <c r="H1239" s="106"/>
      <c r="I1239" s="106"/>
      <c r="L1239" s="143">
        <v>43832</v>
      </c>
      <c r="M1239" s="106">
        <v>309.2</v>
      </c>
      <c r="N1239" s="106">
        <v>309.89999999999998</v>
      </c>
      <c r="O1239" s="106">
        <v>301.5</v>
      </c>
      <c r="P1239" s="106">
        <v>304.25</v>
      </c>
      <c r="Q1239" s="106">
        <v>309.2</v>
      </c>
      <c r="R1239">
        <v>1409338</v>
      </c>
    </row>
    <row r="1240" spans="1:18" x14ac:dyDescent="0.25">
      <c r="A1240" s="143">
        <v>43833</v>
      </c>
      <c r="B1240" s="106">
        <v>310.95</v>
      </c>
      <c r="C1240" s="106">
        <v>303</v>
      </c>
      <c r="D1240" s="106">
        <v>299.75</v>
      </c>
      <c r="E1240" s="106">
        <v>310.95</v>
      </c>
      <c r="F1240" s="106">
        <v>303</v>
      </c>
      <c r="G1240">
        <v>32022</v>
      </c>
      <c r="H1240" s="106"/>
      <c r="I1240" s="106"/>
      <c r="L1240" s="143">
        <v>43833</v>
      </c>
      <c r="M1240" s="106">
        <v>303.05</v>
      </c>
      <c r="N1240" s="106">
        <v>310.5</v>
      </c>
      <c r="O1240" s="106">
        <v>299.35000000000002</v>
      </c>
      <c r="P1240" s="106">
        <v>310.5</v>
      </c>
      <c r="Q1240" s="106">
        <v>303.05</v>
      </c>
      <c r="R1240">
        <v>1026261</v>
      </c>
    </row>
    <row r="1241" spans="1:18" x14ac:dyDescent="0.25">
      <c r="A1241" s="143">
        <v>43836</v>
      </c>
      <c r="B1241" s="106">
        <v>298.25</v>
      </c>
      <c r="C1241" s="106">
        <v>291.55</v>
      </c>
      <c r="D1241" s="106">
        <v>287.25</v>
      </c>
      <c r="E1241" s="106">
        <v>298.25</v>
      </c>
      <c r="F1241" s="106">
        <v>291.55</v>
      </c>
      <c r="G1241">
        <v>49920</v>
      </c>
      <c r="H1241" s="106"/>
      <c r="I1241" s="106"/>
      <c r="L1241" s="143">
        <v>43836</v>
      </c>
      <c r="M1241" s="106">
        <v>291.5</v>
      </c>
      <c r="N1241" s="106">
        <v>300.7</v>
      </c>
      <c r="O1241" s="106">
        <v>287.05</v>
      </c>
      <c r="P1241" s="106">
        <v>291.5</v>
      </c>
      <c r="Q1241" s="106">
        <v>291.5</v>
      </c>
      <c r="R1241">
        <v>2555741</v>
      </c>
    </row>
    <row r="1242" spans="1:18" x14ac:dyDescent="0.25">
      <c r="A1242" s="143">
        <v>43837</v>
      </c>
      <c r="B1242" s="106">
        <v>297.25</v>
      </c>
      <c r="C1242" s="106">
        <v>294.55</v>
      </c>
      <c r="D1242" s="106">
        <v>291.45</v>
      </c>
      <c r="E1242" s="106">
        <v>296.5</v>
      </c>
      <c r="F1242" s="106">
        <v>294.55</v>
      </c>
      <c r="G1242">
        <v>21356</v>
      </c>
      <c r="H1242" s="106"/>
      <c r="I1242" s="106"/>
      <c r="L1242" s="143">
        <v>43837</v>
      </c>
      <c r="M1242" s="106">
        <v>294.75</v>
      </c>
      <c r="N1242" s="106">
        <v>297.55</v>
      </c>
      <c r="O1242" s="106">
        <v>291.25</v>
      </c>
      <c r="P1242" s="106">
        <v>295.39999999999998</v>
      </c>
      <c r="Q1242" s="106">
        <v>294.75</v>
      </c>
      <c r="R1242">
        <v>1064029</v>
      </c>
    </row>
    <row r="1243" spans="1:18" x14ac:dyDescent="0.25">
      <c r="A1243" s="143">
        <v>43838</v>
      </c>
      <c r="B1243" s="106">
        <v>296.45</v>
      </c>
      <c r="C1243" s="106">
        <v>294.64999999999998</v>
      </c>
      <c r="D1243" s="106">
        <v>290.25</v>
      </c>
      <c r="E1243" s="106">
        <v>293.39999999999998</v>
      </c>
      <c r="F1243" s="106">
        <v>294.64999999999998</v>
      </c>
      <c r="G1243">
        <v>23182</v>
      </c>
      <c r="H1243" s="106"/>
      <c r="I1243" s="106"/>
      <c r="L1243" s="143">
        <v>43838</v>
      </c>
      <c r="M1243" s="106">
        <v>294.60000000000002</v>
      </c>
      <c r="N1243" s="106">
        <v>296.45</v>
      </c>
      <c r="O1243" s="106">
        <v>290.10000000000002</v>
      </c>
      <c r="P1243" s="106">
        <v>292</v>
      </c>
      <c r="Q1243" s="106">
        <v>294.60000000000002</v>
      </c>
      <c r="R1243">
        <v>1533409</v>
      </c>
    </row>
    <row r="1244" spans="1:18" x14ac:dyDescent="0.25">
      <c r="A1244" s="143">
        <v>43839</v>
      </c>
      <c r="B1244" s="106">
        <v>309.55</v>
      </c>
      <c r="C1244" s="106">
        <v>306.35000000000002</v>
      </c>
      <c r="D1244" s="106">
        <v>297</v>
      </c>
      <c r="E1244" s="106">
        <v>297</v>
      </c>
      <c r="F1244" s="106">
        <v>306.35000000000002</v>
      </c>
      <c r="G1244">
        <v>45555</v>
      </c>
      <c r="H1244" s="106"/>
      <c r="I1244" s="106"/>
      <c r="L1244" s="143">
        <v>43839</v>
      </c>
      <c r="M1244" s="106">
        <v>306.39999999999998</v>
      </c>
      <c r="N1244" s="106">
        <v>309.7</v>
      </c>
      <c r="O1244" s="106">
        <v>296.75</v>
      </c>
      <c r="P1244" s="106">
        <v>297.95</v>
      </c>
      <c r="Q1244" s="106">
        <v>306.39999999999998</v>
      </c>
      <c r="R1244">
        <v>1597360</v>
      </c>
    </row>
    <row r="1245" spans="1:18" x14ac:dyDescent="0.25">
      <c r="A1245" s="143">
        <v>43840</v>
      </c>
      <c r="B1245" s="106">
        <v>316</v>
      </c>
      <c r="C1245" s="106">
        <v>313.95</v>
      </c>
      <c r="D1245" s="106">
        <v>306.55</v>
      </c>
      <c r="E1245" s="106">
        <v>307</v>
      </c>
      <c r="F1245" s="106">
        <v>313.95</v>
      </c>
      <c r="G1245">
        <v>65043</v>
      </c>
      <c r="H1245" s="106"/>
      <c r="I1245" s="106"/>
      <c r="L1245" s="143">
        <v>43840</v>
      </c>
      <c r="M1245" s="106">
        <v>314.10000000000002</v>
      </c>
      <c r="N1245" s="106">
        <v>316</v>
      </c>
      <c r="O1245" s="106">
        <v>306</v>
      </c>
      <c r="P1245" s="106">
        <v>306</v>
      </c>
      <c r="Q1245" s="106">
        <v>314.10000000000002</v>
      </c>
      <c r="R1245">
        <v>1852886</v>
      </c>
    </row>
    <row r="1246" spans="1:18" x14ac:dyDescent="0.25">
      <c r="A1246" s="143">
        <v>43843</v>
      </c>
      <c r="B1246" s="106">
        <v>320.55</v>
      </c>
      <c r="C1246" s="106">
        <v>319.85000000000002</v>
      </c>
      <c r="D1246" s="106">
        <v>313</v>
      </c>
      <c r="E1246" s="106">
        <v>316.2</v>
      </c>
      <c r="F1246" s="106">
        <v>319.85000000000002</v>
      </c>
      <c r="G1246">
        <v>265693</v>
      </c>
      <c r="H1246" s="106"/>
      <c r="I1246" s="106"/>
      <c r="L1246" s="143">
        <v>43843</v>
      </c>
      <c r="M1246" s="106">
        <v>319.95</v>
      </c>
      <c r="N1246" s="106">
        <v>320.7</v>
      </c>
      <c r="O1246" s="106">
        <v>312.8</v>
      </c>
      <c r="P1246" s="106">
        <v>316.05</v>
      </c>
      <c r="Q1246" s="106">
        <v>319.95</v>
      </c>
      <c r="R1246">
        <v>1354842</v>
      </c>
    </row>
    <row r="1247" spans="1:18" x14ac:dyDescent="0.25">
      <c r="A1247" s="143">
        <v>43844</v>
      </c>
      <c r="B1247" s="106">
        <v>325.35000000000002</v>
      </c>
      <c r="C1247" s="106">
        <v>320.5</v>
      </c>
      <c r="D1247" s="106">
        <v>316.75</v>
      </c>
      <c r="E1247" s="106">
        <v>320</v>
      </c>
      <c r="F1247" s="106">
        <v>320.5</v>
      </c>
      <c r="G1247">
        <v>336093</v>
      </c>
      <c r="H1247" s="106"/>
      <c r="I1247" s="106"/>
      <c r="L1247" s="143">
        <v>43844</v>
      </c>
      <c r="M1247" s="106">
        <v>320.5</v>
      </c>
      <c r="N1247" s="106">
        <v>325.5</v>
      </c>
      <c r="O1247" s="106">
        <v>316.85000000000002</v>
      </c>
      <c r="P1247" s="106">
        <v>320</v>
      </c>
      <c r="Q1247" s="106">
        <v>320.5</v>
      </c>
      <c r="R1247">
        <v>1171343</v>
      </c>
    </row>
    <row r="1248" spans="1:18" x14ac:dyDescent="0.25">
      <c r="A1248" s="143">
        <v>43845</v>
      </c>
      <c r="B1248" s="106">
        <v>334.15</v>
      </c>
      <c r="C1248" s="106">
        <v>332.3</v>
      </c>
      <c r="D1248" s="106">
        <v>317.14999999999998</v>
      </c>
      <c r="E1248" s="106">
        <v>319.8</v>
      </c>
      <c r="F1248" s="106">
        <v>332.3</v>
      </c>
      <c r="G1248">
        <v>57655</v>
      </c>
      <c r="H1248" s="106"/>
      <c r="I1248" s="106"/>
      <c r="L1248" s="143">
        <v>43845</v>
      </c>
      <c r="M1248" s="106">
        <v>331.65</v>
      </c>
      <c r="N1248" s="106">
        <v>333.45</v>
      </c>
      <c r="O1248" s="106">
        <v>317</v>
      </c>
      <c r="P1248" s="106">
        <v>319.89999999999998</v>
      </c>
      <c r="Q1248" s="106">
        <v>331.65</v>
      </c>
      <c r="R1248">
        <v>1587871</v>
      </c>
    </row>
    <row r="1249" spans="1:18" x14ac:dyDescent="0.25">
      <c r="A1249" s="143">
        <v>43846</v>
      </c>
      <c r="B1249" s="106">
        <v>339.9</v>
      </c>
      <c r="C1249" s="106">
        <v>326.5</v>
      </c>
      <c r="D1249" s="106">
        <v>326.10000000000002</v>
      </c>
      <c r="E1249" s="106">
        <v>332.25</v>
      </c>
      <c r="F1249" s="106">
        <v>326.5</v>
      </c>
      <c r="G1249">
        <v>358334</v>
      </c>
      <c r="H1249" s="106"/>
      <c r="I1249" s="106"/>
      <c r="L1249" s="143">
        <v>43846</v>
      </c>
      <c r="M1249" s="106">
        <v>327.10000000000002</v>
      </c>
      <c r="N1249" s="106">
        <v>334.9</v>
      </c>
      <c r="O1249" s="106">
        <v>326</v>
      </c>
      <c r="P1249" s="106">
        <v>330.5</v>
      </c>
      <c r="Q1249" s="106">
        <v>327.10000000000002</v>
      </c>
      <c r="R1249">
        <v>2175032</v>
      </c>
    </row>
    <row r="1250" spans="1:18" x14ac:dyDescent="0.25">
      <c r="A1250" s="143">
        <v>43847</v>
      </c>
      <c r="B1250" s="106">
        <v>329.5</v>
      </c>
      <c r="C1250" s="106">
        <v>325.3</v>
      </c>
      <c r="D1250" s="106">
        <v>323.45</v>
      </c>
      <c r="E1250" s="106">
        <v>326</v>
      </c>
      <c r="F1250" s="106">
        <v>325.3</v>
      </c>
      <c r="G1250">
        <v>14433</v>
      </c>
      <c r="H1250" s="106"/>
      <c r="I1250" s="106"/>
      <c r="L1250" s="143">
        <v>43847</v>
      </c>
      <c r="M1250" s="106">
        <v>325.25</v>
      </c>
      <c r="N1250" s="106">
        <v>329.85</v>
      </c>
      <c r="O1250" s="106">
        <v>323.2</v>
      </c>
      <c r="P1250" s="106">
        <v>325</v>
      </c>
      <c r="Q1250" s="106">
        <v>325.25</v>
      </c>
      <c r="R1250">
        <v>931898</v>
      </c>
    </row>
    <row r="1251" spans="1:18" x14ac:dyDescent="0.25">
      <c r="A1251" s="143">
        <v>43850</v>
      </c>
      <c r="B1251" s="106">
        <v>326.45</v>
      </c>
      <c r="C1251" s="106">
        <v>319.14999999999998</v>
      </c>
      <c r="D1251" s="106">
        <v>318.2</v>
      </c>
      <c r="E1251" s="106">
        <v>326.45</v>
      </c>
      <c r="F1251" s="106">
        <v>319.14999999999998</v>
      </c>
      <c r="G1251">
        <v>13930</v>
      </c>
      <c r="H1251" s="106"/>
      <c r="I1251" s="106"/>
      <c r="L1251" s="143">
        <v>43850</v>
      </c>
      <c r="M1251" s="106">
        <v>319.2</v>
      </c>
      <c r="N1251" s="106">
        <v>327.25</v>
      </c>
      <c r="O1251" s="106">
        <v>318.25</v>
      </c>
      <c r="P1251" s="106">
        <v>327.25</v>
      </c>
      <c r="Q1251" s="106">
        <v>319.2</v>
      </c>
      <c r="R1251">
        <v>683308</v>
      </c>
    </row>
    <row r="1252" spans="1:18" x14ac:dyDescent="0.25">
      <c r="A1252" s="143">
        <v>43851</v>
      </c>
      <c r="B1252" s="106">
        <v>318.55</v>
      </c>
      <c r="C1252" s="106">
        <v>314.95</v>
      </c>
      <c r="D1252" s="106">
        <v>309.10000000000002</v>
      </c>
      <c r="E1252" s="106">
        <v>318.55</v>
      </c>
      <c r="F1252" s="106">
        <v>314.95</v>
      </c>
      <c r="G1252">
        <v>345046</v>
      </c>
      <c r="H1252" s="106"/>
      <c r="I1252" s="106"/>
      <c r="L1252" s="143">
        <v>43851</v>
      </c>
      <c r="M1252" s="106">
        <v>314.95</v>
      </c>
      <c r="N1252" s="106">
        <v>318.85000000000002</v>
      </c>
      <c r="O1252" s="106">
        <v>308.95</v>
      </c>
      <c r="P1252" s="106">
        <v>315.60000000000002</v>
      </c>
      <c r="Q1252" s="106">
        <v>314.95</v>
      </c>
      <c r="R1252">
        <v>2824500</v>
      </c>
    </row>
    <row r="1253" spans="1:18" x14ac:dyDescent="0.25">
      <c r="A1253" s="143">
        <v>43852</v>
      </c>
      <c r="B1253" s="106">
        <v>324.35000000000002</v>
      </c>
      <c r="C1253" s="106">
        <v>317.7</v>
      </c>
      <c r="D1253" s="106">
        <v>312.3</v>
      </c>
      <c r="E1253" s="106">
        <v>317</v>
      </c>
      <c r="F1253" s="106">
        <v>317.7</v>
      </c>
      <c r="G1253">
        <v>35651</v>
      </c>
      <c r="H1253" s="106"/>
      <c r="I1253" s="106"/>
      <c r="L1253" s="143">
        <v>43852</v>
      </c>
      <c r="M1253" s="106">
        <v>317.5</v>
      </c>
      <c r="N1253" s="106">
        <v>319.45</v>
      </c>
      <c r="O1253" s="106">
        <v>312</v>
      </c>
      <c r="P1253" s="106">
        <v>315.75</v>
      </c>
      <c r="Q1253" s="106">
        <v>317.5</v>
      </c>
      <c r="R1253">
        <v>2017725</v>
      </c>
    </row>
    <row r="1254" spans="1:18" x14ac:dyDescent="0.25">
      <c r="A1254" s="143">
        <v>43853</v>
      </c>
      <c r="B1254" s="106">
        <v>325</v>
      </c>
      <c r="C1254" s="106">
        <v>323.25</v>
      </c>
      <c r="D1254" s="106">
        <v>313.89999999999998</v>
      </c>
      <c r="E1254" s="106">
        <v>318.5</v>
      </c>
      <c r="F1254" s="106">
        <v>323.25</v>
      </c>
      <c r="G1254">
        <v>64196</v>
      </c>
      <c r="H1254" s="106"/>
      <c r="I1254" s="106"/>
      <c r="L1254" s="143">
        <v>43853</v>
      </c>
      <c r="M1254" s="106">
        <v>323.5</v>
      </c>
      <c r="N1254" s="106">
        <v>325</v>
      </c>
      <c r="O1254" s="106">
        <v>313.64999999999998</v>
      </c>
      <c r="P1254" s="106">
        <v>318.75</v>
      </c>
      <c r="Q1254" s="106">
        <v>323.5</v>
      </c>
      <c r="R1254">
        <v>4802353</v>
      </c>
    </row>
    <row r="1255" spans="1:18" x14ac:dyDescent="0.25">
      <c r="A1255" s="143">
        <v>43854</v>
      </c>
      <c r="B1255" s="106">
        <v>331.05</v>
      </c>
      <c r="C1255" s="106">
        <v>323.95</v>
      </c>
      <c r="D1255" s="106">
        <v>320.64999999999998</v>
      </c>
      <c r="E1255" s="106">
        <v>331.05</v>
      </c>
      <c r="F1255" s="106">
        <v>323.95</v>
      </c>
      <c r="G1255">
        <v>59123</v>
      </c>
      <c r="H1255" s="106"/>
      <c r="I1255" s="106"/>
      <c r="L1255" s="143">
        <v>43854</v>
      </c>
      <c r="M1255" s="106">
        <v>323.8</v>
      </c>
      <c r="N1255" s="106">
        <v>329</v>
      </c>
      <c r="O1255" s="106">
        <v>320.39999999999998</v>
      </c>
      <c r="P1255" s="106">
        <v>329</v>
      </c>
      <c r="Q1255" s="106">
        <v>323.8</v>
      </c>
      <c r="R1255">
        <v>3994678</v>
      </c>
    </row>
    <row r="1256" spans="1:18" x14ac:dyDescent="0.25">
      <c r="A1256" s="143">
        <v>43857</v>
      </c>
      <c r="B1256" s="106">
        <v>337.5</v>
      </c>
      <c r="C1256" s="106">
        <v>329.1</v>
      </c>
      <c r="D1256" s="106">
        <v>323.85000000000002</v>
      </c>
      <c r="E1256" s="106">
        <v>323.85000000000002</v>
      </c>
      <c r="F1256" s="106">
        <v>329.1</v>
      </c>
      <c r="G1256">
        <v>118539</v>
      </c>
      <c r="H1256" s="106"/>
      <c r="I1256" s="106"/>
      <c r="L1256" s="143">
        <v>43857</v>
      </c>
      <c r="M1256" s="106">
        <v>329.45</v>
      </c>
      <c r="N1256" s="106">
        <v>336.8</v>
      </c>
      <c r="O1256" s="106">
        <v>323.05</v>
      </c>
      <c r="P1256" s="106">
        <v>323.05</v>
      </c>
      <c r="Q1256" s="106">
        <v>329.45</v>
      </c>
      <c r="R1256">
        <v>4961789</v>
      </c>
    </row>
    <row r="1257" spans="1:18" x14ac:dyDescent="0.25">
      <c r="A1257" s="143">
        <v>43858</v>
      </c>
      <c r="B1257" s="106">
        <v>335.9</v>
      </c>
      <c r="C1257" s="106">
        <v>325.75</v>
      </c>
      <c r="D1257" s="106">
        <v>324.2</v>
      </c>
      <c r="E1257" s="106">
        <v>333.15</v>
      </c>
      <c r="F1257" s="106">
        <v>325.75</v>
      </c>
      <c r="G1257">
        <v>44345</v>
      </c>
      <c r="H1257" s="106"/>
      <c r="I1257" s="106"/>
      <c r="L1257" s="143">
        <v>43858</v>
      </c>
      <c r="M1257" s="106">
        <v>325.8</v>
      </c>
      <c r="N1257" s="106">
        <v>336</v>
      </c>
      <c r="O1257" s="106">
        <v>324</v>
      </c>
      <c r="P1257" s="106">
        <v>331.9</v>
      </c>
      <c r="Q1257" s="106">
        <v>325.8</v>
      </c>
      <c r="R1257">
        <v>4294074</v>
      </c>
    </row>
    <row r="1258" spans="1:18" x14ac:dyDescent="0.25">
      <c r="A1258" s="143">
        <v>43859</v>
      </c>
      <c r="B1258" s="106">
        <v>333.5</v>
      </c>
      <c r="C1258" s="106">
        <v>327.75</v>
      </c>
      <c r="D1258" s="106">
        <v>325</v>
      </c>
      <c r="E1258" s="106">
        <v>325.5</v>
      </c>
      <c r="F1258" s="106">
        <v>327.75</v>
      </c>
      <c r="G1258">
        <v>694771</v>
      </c>
      <c r="H1258" s="106"/>
      <c r="I1258" s="106"/>
      <c r="L1258" s="143">
        <v>43859</v>
      </c>
      <c r="M1258" s="106">
        <v>327.64999999999998</v>
      </c>
      <c r="N1258" s="106">
        <v>333.75</v>
      </c>
      <c r="O1258" s="106">
        <v>324</v>
      </c>
      <c r="P1258" s="106">
        <v>327</v>
      </c>
      <c r="Q1258" s="106">
        <v>327.64999999999998</v>
      </c>
      <c r="R1258">
        <v>6085725</v>
      </c>
    </row>
    <row r="1259" spans="1:18" x14ac:dyDescent="0.25">
      <c r="A1259" s="143">
        <v>43860</v>
      </c>
      <c r="B1259" s="106">
        <v>330.3</v>
      </c>
      <c r="C1259" s="106">
        <v>326.3</v>
      </c>
      <c r="D1259" s="106">
        <v>325.5</v>
      </c>
      <c r="E1259" s="106">
        <v>327.75</v>
      </c>
      <c r="F1259" s="106">
        <v>326.3</v>
      </c>
      <c r="G1259">
        <v>14270</v>
      </c>
      <c r="H1259" s="106"/>
      <c r="I1259" s="106"/>
      <c r="L1259" s="143">
        <v>43860</v>
      </c>
      <c r="M1259" s="106">
        <v>326.85000000000002</v>
      </c>
      <c r="N1259" s="106">
        <v>330.5</v>
      </c>
      <c r="O1259" s="106">
        <v>325</v>
      </c>
      <c r="P1259" s="106">
        <v>329.4</v>
      </c>
      <c r="Q1259" s="106">
        <v>326.85000000000002</v>
      </c>
      <c r="R1259">
        <v>1485564</v>
      </c>
    </row>
    <row r="1260" spans="1:18" x14ac:dyDescent="0.25">
      <c r="A1260" s="143">
        <v>43861</v>
      </c>
      <c r="B1260" s="106">
        <v>334.35</v>
      </c>
      <c r="C1260" s="106">
        <v>326.7</v>
      </c>
      <c r="D1260" s="106">
        <v>324.35000000000002</v>
      </c>
      <c r="E1260" s="106">
        <v>327.85</v>
      </c>
      <c r="F1260" s="106">
        <v>326.7</v>
      </c>
      <c r="G1260">
        <v>32348</v>
      </c>
      <c r="H1260" s="106"/>
      <c r="I1260" s="106"/>
      <c r="L1260" s="143">
        <v>43861</v>
      </c>
      <c r="M1260" s="106">
        <v>327.55</v>
      </c>
      <c r="N1260" s="106">
        <v>334.3</v>
      </c>
      <c r="O1260" s="106">
        <v>324.25</v>
      </c>
      <c r="P1260" s="106">
        <v>327.64999999999998</v>
      </c>
      <c r="Q1260" s="106">
        <v>327.55</v>
      </c>
      <c r="R1260">
        <v>1687153</v>
      </c>
    </row>
    <row r="1261" spans="1:18" x14ac:dyDescent="0.25">
      <c r="A1261" s="143">
        <v>43862</v>
      </c>
      <c r="B1261" s="106">
        <v>328.65</v>
      </c>
      <c r="C1261" s="106">
        <v>318.8</v>
      </c>
      <c r="D1261" s="106">
        <v>315.25</v>
      </c>
      <c r="E1261" s="106">
        <v>324.8</v>
      </c>
      <c r="F1261" s="106">
        <v>318.8</v>
      </c>
      <c r="G1261">
        <v>93192</v>
      </c>
      <c r="H1261" s="106"/>
      <c r="I1261" s="106"/>
      <c r="L1261" s="143">
        <v>43862</v>
      </c>
      <c r="M1261" s="106">
        <v>318.55</v>
      </c>
      <c r="N1261" s="106">
        <v>328.9</v>
      </c>
      <c r="O1261" s="106">
        <v>315</v>
      </c>
      <c r="P1261" s="106">
        <v>325</v>
      </c>
      <c r="Q1261" s="106">
        <v>318.55</v>
      </c>
      <c r="R1261">
        <v>1412660</v>
      </c>
    </row>
    <row r="1262" spans="1:18" x14ac:dyDescent="0.25">
      <c r="A1262" s="143">
        <v>43864</v>
      </c>
      <c r="B1262" s="106">
        <v>330.55</v>
      </c>
      <c r="C1262" s="106">
        <v>325.10000000000002</v>
      </c>
      <c r="D1262" s="106">
        <v>317.05</v>
      </c>
      <c r="E1262" s="106">
        <v>317.45</v>
      </c>
      <c r="F1262" s="106">
        <v>325.10000000000002</v>
      </c>
      <c r="G1262">
        <v>55591</v>
      </c>
      <c r="H1262" s="106"/>
      <c r="I1262" s="106"/>
      <c r="L1262" s="143">
        <v>43864</v>
      </c>
      <c r="M1262" s="106">
        <v>324.95</v>
      </c>
      <c r="N1262" s="106">
        <v>330.5</v>
      </c>
      <c r="O1262" s="106">
        <v>315.3</v>
      </c>
      <c r="P1262" s="106">
        <v>318</v>
      </c>
      <c r="Q1262" s="106">
        <v>324.95</v>
      </c>
      <c r="R1262">
        <v>1061299</v>
      </c>
    </row>
    <row r="1263" spans="1:18" x14ac:dyDescent="0.25">
      <c r="A1263" s="143">
        <v>43865</v>
      </c>
      <c r="B1263" s="106">
        <v>334.5</v>
      </c>
      <c r="C1263" s="106">
        <v>332.1</v>
      </c>
      <c r="D1263" s="106">
        <v>325.89999999999998</v>
      </c>
      <c r="E1263" s="106">
        <v>326.10000000000002</v>
      </c>
      <c r="F1263" s="106">
        <v>332.1</v>
      </c>
      <c r="G1263">
        <v>40917</v>
      </c>
      <c r="H1263" s="106"/>
      <c r="I1263" s="106"/>
      <c r="L1263" s="143">
        <v>43865</v>
      </c>
      <c r="M1263" s="106">
        <v>332.25</v>
      </c>
      <c r="N1263" s="106">
        <v>334.5</v>
      </c>
      <c r="O1263" s="106">
        <v>325.7</v>
      </c>
      <c r="P1263" s="106">
        <v>326</v>
      </c>
      <c r="Q1263" s="106">
        <v>332.25</v>
      </c>
      <c r="R1263">
        <v>1491701</v>
      </c>
    </row>
    <row r="1264" spans="1:18" x14ac:dyDescent="0.25">
      <c r="A1264" s="143">
        <v>43866</v>
      </c>
      <c r="B1264" s="106">
        <v>347.5</v>
      </c>
      <c r="C1264" s="106">
        <v>342.8</v>
      </c>
      <c r="D1264" s="106">
        <v>333.5</v>
      </c>
      <c r="E1264" s="106">
        <v>333.5</v>
      </c>
      <c r="F1264" s="106">
        <v>342.8</v>
      </c>
      <c r="G1264">
        <v>199149</v>
      </c>
      <c r="H1264" s="106"/>
      <c r="I1264" s="106"/>
      <c r="L1264" s="143">
        <v>43866</v>
      </c>
      <c r="M1264" s="106">
        <v>342.65</v>
      </c>
      <c r="N1264" s="106">
        <v>347.6</v>
      </c>
      <c r="O1264" s="106">
        <v>333.1</v>
      </c>
      <c r="P1264" s="106">
        <v>333.1</v>
      </c>
      <c r="Q1264" s="106">
        <v>342.65</v>
      </c>
      <c r="R1264">
        <v>7914829</v>
      </c>
    </row>
    <row r="1265" spans="1:18" x14ac:dyDescent="0.25">
      <c r="A1265" s="143">
        <v>43867</v>
      </c>
      <c r="B1265" s="106">
        <v>348.85</v>
      </c>
      <c r="C1265" s="106">
        <v>339.8</v>
      </c>
      <c r="D1265" s="106">
        <v>329.75</v>
      </c>
      <c r="E1265" s="106">
        <v>345</v>
      </c>
      <c r="F1265" s="106">
        <v>339.8</v>
      </c>
      <c r="G1265">
        <v>110085</v>
      </c>
      <c r="H1265" s="106"/>
      <c r="I1265" s="106"/>
      <c r="L1265" s="143">
        <v>43867</v>
      </c>
      <c r="M1265" s="106">
        <v>340.2</v>
      </c>
      <c r="N1265" s="106">
        <v>349</v>
      </c>
      <c r="O1265" s="106">
        <v>328.95</v>
      </c>
      <c r="P1265" s="106">
        <v>345.3</v>
      </c>
      <c r="Q1265" s="106">
        <v>340.2</v>
      </c>
      <c r="R1265">
        <v>4835953</v>
      </c>
    </row>
    <row r="1266" spans="1:18" x14ac:dyDescent="0.25">
      <c r="A1266" s="143">
        <v>43868</v>
      </c>
      <c r="B1266" s="106">
        <v>342.35</v>
      </c>
      <c r="C1266" s="106">
        <v>340.15</v>
      </c>
      <c r="D1266" s="106">
        <v>332.95</v>
      </c>
      <c r="E1266" s="106">
        <v>340</v>
      </c>
      <c r="F1266" s="106">
        <v>340.15</v>
      </c>
      <c r="G1266">
        <v>25159</v>
      </c>
      <c r="H1266" s="106"/>
      <c r="I1266" s="106"/>
      <c r="L1266" s="143">
        <v>43868</v>
      </c>
      <c r="M1266" s="106">
        <v>339.95</v>
      </c>
      <c r="N1266" s="106">
        <v>342.45</v>
      </c>
      <c r="O1266" s="106">
        <v>332.75</v>
      </c>
      <c r="P1266" s="106">
        <v>339.95</v>
      </c>
      <c r="Q1266" s="106">
        <v>339.95</v>
      </c>
      <c r="R1266">
        <v>1819012</v>
      </c>
    </row>
    <row r="1267" spans="1:18" x14ac:dyDescent="0.25">
      <c r="A1267" s="143">
        <v>43871</v>
      </c>
      <c r="B1267" s="106">
        <v>338.35</v>
      </c>
      <c r="C1267" s="106">
        <v>335.35</v>
      </c>
      <c r="D1267" s="106">
        <v>331</v>
      </c>
      <c r="E1267" s="106">
        <v>338</v>
      </c>
      <c r="F1267" s="106">
        <v>335.35</v>
      </c>
      <c r="G1267">
        <v>43358</v>
      </c>
      <c r="H1267" s="106"/>
      <c r="I1267" s="106"/>
      <c r="L1267" s="143">
        <v>43871</v>
      </c>
      <c r="M1267" s="106">
        <v>335.6</v>
      </c>
      <c r="N1267" s="106">
        <v>339.95</v>
      </c>
      <c r="O1267" s="106">
        <v>332.05</v>
      </c>
      <c r="P1267" s="106">
        <v>339.95</v>
      </c>
      <c r="Q1267" s="106">
        <v>335.6</v>
      </c>
      <c r="R1267">
        <v>835496</v>
      </c>
    </row>
    <row r="1268" spans="1:18" x14ac:dyDescent="0.25">
      <c r="A1268" s="143">
        <v>43872</v>
      </c>
      <c r="B1268" s="106">
        <v>341.25</v>
      </c>
      <c r="C1268" s="106">
        <v>333.6</v>
      </c>
      <c r="D1268" s="106">
        <v>332.7</v>
      </c>
      <c r="E1268" s="106">
        <v>339.3</v>
      </c>
      <c r="F1268" s="106">
        <v>333.6</v>
      </c>
      <c r="G1268">
        <v>15610</v>
      </c>
      <c r="H1268" s="106"/>
      <c r="I1268" s="106"/>
      <c r="L1268" s="143">
        <v>43872</v>
      </c>
      <c r="M1268" s="106">
        <v>333.3</v>
      </c>
      <c r="N1268" s="106">
        <v>341.75</v>
      </c>
      <c r="O1268" s="106">
        <v>332.25</v>
      </c>
      <c r="P1268" s="106">
        <v>336.5</v>
      </c>
      <c r="Q1268" s="106">
        <v>333.3</v>
      </c>
      <c r="R1268">
        <v>977759</v>
      </c>
    </row>
    <row r="1269" spans="1:18" x14ac:dyDescent="0.25">
      <c r="A1269" s="143">
        <v>43873</v>
      </c>
      <c r="B1269" s="106">
        <v>339.9</v>
      </c>
      <c r="C1269" s="106">
        <v>339.1</v>
      </c>
      <c r="D1269" s="106">
        <v>334.7</v>
      </c>
      <c r="E1269" s="106">
        <v>335.55</v>
      </c>
      <c r="F1269" s="106">
        <v>339.1</v>
      </c>
      <c r="G1269">
        <v>17947</v>
      </c>
      <c r="H1269" s="106"/>
      <c r="I1269" s="106"/>
      <c r="L1269" s="143">
        <v>43873</v>
      </c>
      <c r="M1269" s="106">
        <v>338.85</v>
      </c>
      <c r="N1269" s="106">
        <v>339.8</v>
      </c>
      <c r="O1269" s="106">
        <v>333.5</v>
      </c>
      <c r="P1269" s="106">
        <v>333.5</v>
      </c>
      <c r="Q1269" s="106">
        <v>338.85</v>
      </c>
      <c r="R1269">
        <v>1568078</v>
      </c>
    </row>
    <row r="1270" spans="1:18" x14ac:dyDescent="0.25">
      <c r="A1270" s="143">
        <v>43874</v>
      </c>
      <c r="B1270" s="106">
        <v>345</v>
      </c>
      <c r="C1270" s="106">
        <v>336.9</v>
      </c>
      <c r="D1270" s="106">
        <v>333.5</v>
      </c>
      <c r="E1270" s="106">
        <v>345</v>
      </c>
      <c r="F1270" s="106">
        <v>336.9</v>
      </c>
      <c r="G1270">
        <v>17847</v>
      </c>
      <c r="H1270" s="106"/>
      <c r="I1270" s="106"/>
      <c r="L1270" s="143">
        <v>43874</v>
      </c>
      <c r="M1270" s="106">
        <v>337</v>
      </c>
      <c r="N1270" s="106">
        <v>340.95</v>
      </c>
      <c r="O1270" s="106">
        <v>333.7</v>
      </c>
      <c r="P1270" s="106">
        <v>340</v>
      </c>
      <c r="Q1270" s="106">
        <v>337</v>
      </c>
      <c r="R1270">
        <v>571382</v>
      </c>
    </row>
    <row r="1271" spans="1:18" x14ac:dyDescent="0.25">
      <c r="A1271" s="143">
        <v>43875</v>
      </c>
      <c r="B1271" s="106">
        <v>338.85</v>
      </c>
      <c r="C1271" s="106">
        <v>332.75</v>
      </c>
      <c r="D1271" s="106">
        <v>330.8</v>
      </c>
      <c r="E1271" s="106">
        <v>337.9</v>
      </c>
      <c r="F1271" s="106">
        <v>332.75</v>
      </c>
      <c r="G1271">
        <v>14815</v>
      </c>
      <c r="H1271" s="106"/>
      <c r="I1271" s="106"/>
      <c r="L1271" s="143">
        <v>43875</v>
      </c>
      <c r="M1271" s="106">
        <v>332.75</v>
      </c>
      <c r="N1271" s="106">
        <v>338.95</v>
      </c>
      <c r="O1271" s="106">
        <v>330.6</v>
      </c>
      <c r="P1271" s="106">
        <v>338.5</v>
      </c>
      <c r="Q1271" s="106">
        <v>332.75</v>
      </c>
      <c r="R1271">
        <v>624421</v>
      </c>
    </row>
    <row r="1272" spans="1:18" x14ac:dyDescent="0.25">
      <c r="A1272" s="143">
        <v>43878</v>
      </c>
      <c r="B1272" s="106">
        <v>333.8</v>
      </c>
      <c r="C1272" s="106">
        <v>331.35</v>
      </c>
      <c r="D1272" s="106">
        <v>326.75</v>
      </c>
      <c r="E1272" s="106">
        <v>333.3</v>
      </c>
      <c r="F1272" s="106">
        <v>331.35</v>
      </c>
      <c r="G1272">
        <v>18720</v>
      </c>
      <c r="H1272" s="106"/>
      <c r="I1272" s="106"/>
      <c r="L1272" s="143">
        <v>43878</v>
      </c>
      <c r="M1272" s="106">
        <v>331.45</v>
      </c>
      <c r="N1272" s="106">
        <v>334.35</v>
      </c>
      <c r="O1272" s="106">
        <v>327</v>
      </c>
      <c r="P1272" s="106">
        <v>334.35</v>
      </c>
      <c r="Q1272" s="106">
        <v>331.45</v>
      </c>
      <c r="R1272">
        <v>803122</v>
      </c>
    </row>
    <row r="1273" spans="1:18" x14ac:dyDescent="0.25">
      <c r="A1273" s="143">
        <v>43879</v>
      </c>
      <c r="B1273" s="106">
        <v>332.25</v>
      </c>
      <c r="C1273" s="106">
        <v>327.95</v>
      </c>
      <c r="D1273" s="106">
        <v>322.25</v>
      </c>
      <c r="E1273" s="106">
        <v>332.25</v>
      </c>
      <c r="F1273" s="106">
        <v>327.95</v>
      </c>
      <c r="G1273">
        <v>9602</v>
      </c>
      <c r="H1273" s="106"/>
      <c r="I1273" s="106"/>
      <c r="L1273" s="143">
        <v>43879</v>
      </c>
      <c r="M1273" s="106">
        <v>327.9</v>
      </c>
      <c r="N1273" s="106">
        <v>331.45</v>
      </c>
      <c r="O1273" s="106">
        <v>322</v>
      </c>
      <c r="P1273" s="106">
        <v>331.45</v>
      </c>
      <c r="Q1273" s="106">
        <v>327.9</v>
      </c>
      <c r="R1273">
        <v>833069</v>
      </c>
    </row>
    <row r="1274" spans="1:18" x14ac:dyDescent="0.25">
      <c r="A1274" s="143">
        <v>43880</v>
      </c>
      <c r="B1274" s="106">
        <v>331.25</v>
      </c>
      <c r="C1274" s="106">
        <v>329.35</v>
      </c>
      <c r="D1274" s="106">
        <v>326.85000000000002</v>
      </c>
      <c r="E1274" s="106">
        <v>330.45</v>
      </c>
      <c r="F1274" s="106">
        <v>329.35</v>
      </c>
      <c r="G1274">
        <v>17136</v>
      </c>
      <c r="H1274" s="106"/>
      <c r="I1274" s="106"/>
      <c r="L1274" s="143">
        <v>43880</v>
      </c>
      <c r="M1274" s="106">
        <v>329.3</v>
      </c>
      <c r="N1274" s="106">
        <v>331.5</v>
      </c>
      <c r="O1274" s="106">
        <v>327.35000000000002</v>
      </c>
      <c r="P1274" s="106">
        <v>328.9</v>
      </c>
      <c r="Q1274" s="106">
        <v>329.3</v>
      </c>
      <c r="R1274">
        <v>756692</v>
      </c>
    </row>
    <row r="1275" spans="1:18" x14ac:dyDescent="0.25">
      <c r="A1275" s="143">
        <v>43881</v>
      </c>
      <c r="B1275" s="106">
        <v>334.5</v>
      </c>
      <c r="C1275" s="106">
        <v>331.95</v>
      </c>
      <c r="D1275" s="106">
        <v>327.25</v>
      </c>
      <c r="E1275" s="106">
        <v>330.45</v>
      </c>
      <c r="F1275" s="106">
        <v>331.95</v>
      </c>
      <c r="G1275">
        <v>23652</v>
      </c>
      <c r="H1275" s="106"/>
      <c r="I1275" s="106"/>
      <c r="L1275" s="143">
        <v>43881</v>
      </c>
      <c r="M1275" s="106">
        <v>332</v>
      </c>
      <c r="N1275" s="106">
        <v>334.75</v>
      </c>
      <c r="O1275" s="106">
        <v>327.05</v>
      </c>
      <c r="P1275" s="106">
        <v>328.9</v>
      </c>
      <c r="Q1275" s="106">
        <v>332</v>
      </c>
      <c r="R1275">
        <v>1549090</v>
      </c>
    </row>
    <row r="1276" spans="1:18" x14ac:dyDescent="0.25">
      <c r="A1276" s="143">
        <v>43885</v>
      </c>
      <c r="B1276" s="106">
        <v>332</v>
      </c>
      <c r="C1276" s="106">
        <v>323.35000000000002</v>
      </c>
      <c r="D1276" s="106">
        <v>322.10000000000002</v>
      </c>
      <c r="E1276" s="106">
        <v>332</v>
      </c>
      <c r="F1276" s="106">
        <v>323.35000000000002</v>
      </c>
      <c r="G1276">
        <v>22695</v>
      </c>
      <c r="H1276" s="106"/>
      <c r="I1276" s="106"/>
      <c r="L1276" s="143">
        <v>43885</v>
      </c>
      <c r="M1276" s="106">
        <v>323.25</v>
      </c>
      <c r="N1276" s="106">
        <v>332</v>
      </c>
      <c r="O1276" s="106">
        <v>321.89999999999998</v>
      </c>
      <c r="P1276" s="106">
        <v>332</v>
      </c>
      <c r="Q1276" s="106">
        <v>323.25</v>
      </c>
      <c r="R1276">
        <v>1356324</v>
      </c>
    </row>
    <row r="1277" spans="1:18" x14ac:dyDescent="0.25">
      <c r="A1277" s="143">
        <v>43886</v>
      </c>
      <c r="B1277" s="106">
        <v>327.5</v>
      </c>
      <c r="C1277" s="106">
        <v>325.45</v>
      </c>
      <c r="D1277" s="106">
        <v>321.5</v>
      </c>
      <c r="E1277" s="106">
        <v>323</v>
      </c>
      <c r="F1277" s="106">
        <v>325.45</v>
      </c>
      <c r="G1277">
        <v>9754</v>
      </c>
      <c r="H1277" s="106"/>
      <c r="I1277" s="106"/>
      <c r="L1277" s="143">
        <v>43886</v>
      </c>
      <c r="M1277" s="106">
        <v>325.35000000000002</v>
      </c>
      <c r="N1277" s="106">
        <v>327.60000000000002</v>
      </c>
      <c r="O1277" s="106">
        <v>321.14999999999998</v>
      </c>
      <c r="P1277" s="106">
        <v>324.05</v>
      </c>
      <c r="Q1277" s="106">
        <v>325.35000000000002</v>
      </c>
      <c r="R1277">
        <v>860974</v>
      </c>
    </row>
    <row r="1278" spans="1:18" x14ac:dyDescent="0.25">
      <c r="A1278" s="143">
        <v>43887</v>
      </c>
      <c r="B1278" s="106">
        <v>324.8</v>
      </c>
      <c r="C1278" s="106">
        <v>318.14999999999998</v>
      </c>
      <c r="D1278" s="106">
        <v>313</v>
      </c>
      <c r="E1278" s="106">
        <v>323.3</v>
      </c>
      <c r="F1278" s="106">
        <v>318.14999999999998</v>
      </c>
      <c r="G1278">
        <v>16065</v>
      </c>
      <c r="H1278" s="106"/>
      <c r="I1278" s="106"/>
      <c r="L1278" s="143">
        <v>43887</v>
      </c>
      <c r="M1278" s="106">
        <v>318.10000000000002</v>
      </c>
      <c r="N1278" s="106">
        <v>325.2</v>
      </c>
      <c r="O1278" s="106">
        <v>312.89999999999998</v>
      </c>
      <c r="P1278" s="106">
        <v>325</v>
      </c>
      <c r="Q1278" s="106">
        <v>318.10000000000002</v>
      </c>
      <c r="R1278">
        <v>1060934</v>
      </c>
    </row>
    <row r="1279" spans="1:18" x14ac:dyDescent="0.25">
      <c r="A1279" s="143">
        <v>43888</v>
      </c>
      <c r="B1279" s="106">
        <v>320</v>
      </c>
      <c r="C1279" s="106">
        <v>314.95</v>
      </c>
      <c r="D1279" s="106">
        <v>311.45</v>
      </c>
      <c r="E1279" s="106">
        <v>320</v>
      </c>
      <c r="F1279" s="106">
        <v>314.95</v>
      </c>
      <c r="G1279">
        <v>16456</v>
      </c>
      <c r="H1279" s="106"/>
      <c r="I1279" s="106"/>
      <c r="L1279" s="143">
        <v>43888</v>
      </c>
      <c r="M1279" s="106">
        <v>314.55</v>
      </c>
      <c r="N1279" s="106">
        <v>319.95</v>
      </c>
      <c r="O1279" s="106">
        <v>311</v>
      </c>
      <c r="P1279" s="106">
        <v>319.95</v>
      </c>
      <c r="Q1279" s="106">
        <v>314.55</v>
      </c>
      <c r="R1279">
        <v>1543557</v>
      </c>
    </row>
    <row r="1280" spans="1:18" x14ac:dyDescent="0.25">
      <c r="A1280" s="143">
        <v>43889</v>
      </c>
      <c r="B1280" s="106">
        <v>315.5</v>
      </c>
      <c r="C1280" s="106">
        <v>306.39999999999998</v>
      </c>
      <c r="D1280" s="106">
        <v>300.64999999999998</v>
      </c>
      <c r="E1280" s="106">
        <v>307</v>
      </c>
      <c r="F1280" s="106">
        <v>306.39999999999998</v>
      </c>
      <c r="G1280">
        <v>39550</v>
      </c>
      <c r="H1280" s="106"/>
      <c r="I1280" s="106"/>
      <c r="L1280" s="143">
        <v>43889</v>
      </c>
      <c r="M1280" s="106">
        <v>306.5</v>
      </c>
      <c r="N1280" s="106">
        <v>315.64999999999998</v>
      </c>
      <c r="O1280" s="106">
        <v>300.55</v>
      </c>
      <c r="P1280" s="106">
        <v>308.60000000000002</v>
      </c>
      <c r="Q1280" s="106">
        <v>306.5</v>
      </c>
      <c r="R1280">
        <v>2260806</v>
      </c>
    </row>
    <row r="1281" spans="1:18" x14ac:dyDescent="0.25">
      <c r="A1281" s="143">
        <v>43892</v>
      </c>
      <c r="B1281" s="106">
        <v>317</v>
      </c>
      <c r="C1281" s="106">
        <v>302.10000000000002</v>
      </c>
      <c r="D1281" s="106">
        <v>299.7</v>
      </c>
      <c r="E1281" s="106">
        <v>307</v>
      </c>
      <c r="F1281" s="106">
        <v>302.10000000000002</v>
      </c>
      <c r="G1281">
        <v>82960</v>
      </c>
      <c r="H1281" s="106"/>
      <c r="I1281" s="106"/>
      <c r="L1281" s="143">
        <v>43892</v>
      </c>
      <c r="M1281" s="106">
        <v>302</v>
      </c>
      <c r="N1281" s="106">
        <v>317</v>
      </c>
      <c r="O1281" s="106">
        <v>299.55</v>
      </c>
      <c r="P1281" s="106">
        <v>309</v>
      </c>
      <c r="Q1281" s="106">
        <v>302</v>
      </c>
      <c r="R1281">
        <v>1251381</v>
      </c>
    </row>
    <row r="1282" spans="1:18" x14ac:dyDescent="0.25">
      <c r="A1282" s="143">
        <v>43893</v>
      </c>
      <c r="B1282" s="106">
        <v>309.60000000000002</v>
      </c>
      <c r="C1282" s="106">
        <v>305.85000000000002</v>
      </c>
      <c r="D1282" s="106">
        <v>298.8</v>
      </c>
      <c r="E1282" s="106">
        <v>305.45</v>
      </c>
      <c r="F1282" s="106">
        <v>305.85000000000002</v>
      </c>
      <c r="G1282">
        <v>12387</v>
      </c>
      <c r="H1282" s="106"/>
      <c r="I1282" s="106"/>
      <c r="L1282" s="143">
        <v>43893</v>
      </c>
      <c r="M1282" s="106">
        <v>306.2</v>
      </c>
      <c r="N1282" s="106">
        <v>309.95</v>
      </c>
      <c r="O1282" s="106">
        <v>298.89999999999998</v>
      </c>
      <c r="P1282" s="106">
        <v>304.7</v>
      </c>
      <c r="Q1282" s="106">
        <v>306.2</v>
      </c>
      <c r="R1282">
        <v>1957857</v>
      </c>
    </row>
    <row r="1283" spans="1:18" x14ac:dyDescent="0.25">
      <c r="A1283" s="143">
        <v>43894</v>
      </c>
      <c r="B1283" s="106">
        <v>307.25</v>
      </c>
      <c r="C1283" s="106">
        <v>295.35000000000002</v>
      </c>
      <c r="D1283" s="106">
        <v>289.85000000000002</v>
      </c>
      <c r="E1283" s="106">
        <v>307.25</v>
      </c>
      <c r="F1283" s="106">
        <v>295.35000000000002</v>
      </c>
      <c r="G1283">
        <v>37902</v>
      </c>
      <c r="H1283" s="106"/>
      <c r="I1283" s="106"/>
      <c r="L1283" s="143">
        <v>43894</v>
      </c>
      <c r="M1283" s="106">
        <v>295.60000000000002</v>
      </c>
      <c r="N1283" s="106">
        <v>308</v>
      </c>
      <c r="O1283" s="106">
        <v>289.55</v>
      </c>
      <c r="P1283" s="106">
        <v>308</v>
      </c>
      <c r="Q1283" s="106">
        <v>295.60000000000002</v>
      </c>
      <c r="R1283">
        <v>2700726</v>
      </c>
    </row>
    <row r="1284" spans="1:18" x14ac:dyDescent="0.25">
      <c r="A1284" s="143">
        <v>43895</v>
      </c>
      <c r="B1284" s="106">
        <v>297.2</v>
      </c>
      <c r="C1284" s="106">
        <v>289.60000000000002</v>
      </c>
      <c r="D1284" s="106">
        <v>283.10000000000002</v>
      </c>
      <c r="E1284" s="106">
        <v>296.39999999999998</v>
      </c>
      <c r="F1284" s="106">
        <v>289.60000000000002</v>
      </c>
      <c r="G1284">
        <v>66859</v>
      </c>
      <c r="H1284" s="106"/>
      <c r="I1284" s="106"/>
      <c r="L1284" s="143">
        <v>43895</v>
      </c>
      <c r="M1284" s="106">
        <v>289.55</v>
      </c>
      <c r="N1284" s="106">
        <v>297.95</v>
      </c>
      <c r="O1284" s="106">
        <v>283</v>
      </c>
      <c r="P1284" s="106">
        <v>296</v>
      </c>
      <c r="Q1284" s="106">
        <v>289.55</v>
      </c>
      <c r="R1284">
        <v>5632169</v>
      </c>
    </row>
    <row r="1285" spans="1:18" x14ac:dyDescent="0.25">
      <c r="A1285" s="143">
        <v>43896</v>
      </c>
      <c r="B1285" s="106">
        <v>282.89999999999998</v>
      </c>
      <c r="C1285" s="106">
        <v>281.10000000000002</v>
      </c>
      <c r="D1285" s="106">
        <v>271.25</v>
      </c>
      <c r="E1285" s="106">
        <v>280</v>
      </c>
      <c r="F1285" s="106">
        <v>281.10000000000002</v>
      </c>
      <c r="G1285">
        <v>39689</v>
      </c>
      <c r="H1285" s="106"/>
      <c r="I1285" s="106"/>
      <c r="L1285" s="143">
        <v>43896</v>
      </c>
      <c r="M1285" s="106">
        <v>280.55</v>
      </c>
      <c r="N1285" s="106">
        <v>283</v>
      </c>
      <c r="O1285" s="106">
        <v>267</v>
      </c>
      <c r="P1285" s="106">
        <v>275</v>
      </c>
      <c r="Q1285" s="106">
        <v>280.55</v>
      </c>
      <c r="R1285">
        <v>2409257</v>
      </c>
    </row>
    <row r="1286" spans="1:18" x14ac:dyDescent="0.25">
      <c r="A1286" s="143">
        <v>43899</v>
      </c>
      <c r="B1286" s="106">
        <v>278.55</v>
      </c>
      <c r="C1286" s="106">
        <v>274.35000000000002</v>
      </c>
      <c r="D1286" s="106">
        <v>262.25</v>
      </c>
      <c r="E1286" s="106">
        <v>275</v>
      </c>
      <c r="F1286" s="106">
        <v>274.35000000000002</v>
      </c>
      <c r="G1286">
        <v>41014</v>
      </c>
      <c r="H1286" s="106"/>
      <c r="I1286" s="106"/>
      <c r="L1286" s="143">
        <v>43899</v>
      </c>
      <c r="M1286" s="106">
        <v>274</v>
      </c>
      <c r="N1286" s="106">
        <v>278.7</v>
      </c>
      <c r="O1286" s="106">
        <v>262</v>
      </c>
      <c r="P1286" s="106">
        <v>275.75</v>
      </c>
      <c r="Q1286" s="106">
        <v>274</v>
      </c>
      <c r="R1286">
        <v>3423344</v>
      </c>
    </row>
    <row r="1287" spans="1:18" x14ac:dyDescent="0.25">
      <c r="A1287" s="143">
        <v>43901</v>
      </c>
      <c r="B1287" s="106">
        <v>279.45</v>
      </c>
      <c r="C1287" s="106">
        <v>262.45</v>
      </c>
      <c r="D1287" s="106">
        <v>256.55</v>
      </c>
      <c r="E1287" s="106">
        <v>274.35000000000002</v>
      </c>
      <c r="F1287" s="106">
        <v>262.45</v>
      </c>
      <c r="G1287">
        <v>1043241</v>
      </c>
      <c r="H1287" s="106"/>
      <c r="I1287" s="106"/>
      <c r="L1287" s="143">
        <v>43901</v>
      </c>
      <c r="M1287" s="106">
        <v>262.10000000000002</v>
      </c>
      <c r="N1287" s="106">
        <v>279.55</v>
      </c>
      <c r="O1287" s="106">
        <v>256.10000000000002</v>
      </c>
      <c r="P1287" s="106">
        <v>275.64999999999998</v>
      </c>
      <c r="Q1287" s="106">
        <v>262.10000000000002</v>
      </c>
      <c r="R1287">
        <v>2520194</v>
      </c>
    </row>
    <row r="1288" spans="1:18" x14ac:dyDescent="0.25">
      <c r="A1288" s="143">
        <v>43902</v>
      </c>
      <c r="B1288" s="106">
        <v>253</v>
      </c>
      <c r="C1288" s="106">
        <v>243.75</v>
      </c>
      <c r="D1288" s="106">
        <v>233.15</v>
      </c>
      <c r="E1288" s="106">
        <v>253</v>
      </c>
      <c r="F1288" s="106">
        <v>243.75</v>
      </c>
      <c r="G1288">
        <v>82775</v>
      </c>
      <c r="H1288" s="106"/>
      <c r="I1288" s="106"/>
      <c r="L1288" s="143">
        <v>43902</v>
      </c>
      <c r="M1288" s="106">
        <v>243.15</v>
      </c>
      <c r="N1288" s="106">
        <v>255</v>
      </c>
      <c r="O1288" s="106">
        <v>233</v>
      </c>
      <c r="P1288" s="106">
        <v>250</v>
      </c>
      <c r="Q1288" s="106">
        <v>243.15</v>
      </c>
      <c r="R1288">
        <v>3641431</v>
      </c>
    </row>
    <row r="1289" spans="1:18" x14ac:dyDescent="0.25">
      <c r="A1289" s="143">
        <v>43903</v>
      </c>
      <c r="B1289" s="106">
        <v>263.7</v>
      </c>
      <c r="C1289" s="106">
        <v>242.8</v>
      </c>
      <c r="D1289" s="106">
        <v>210.05</v>
      </c>
      <c r="E1289" s="106">
        <v>237</v>
      </c>
      <c r="F1289" s="106">
        <v>242.8</v>
      </c>
      <c r="G1289">
        <v>3188089</v>
      </c>
      <c r="H1289" s="106"/>
      <c r="I1289" s="106"/>
      <c r="L1289" s="143">
        <v>43903</v>
      </c>
      <c r="M1289" s="106">
        <v>245.35</v>
      </c>
      <c r="N1289" s="106">
        <v>263.89999999999998</v>
      </c>
      <c r="O1289" s="106">
        <v>210.35</v>
      </c>
      <c r="P1289" s="106">
        <v>230</v>
      </c>
      <c r="Q1289" s="106">
        <v>245.35</v>
      </c>
      <c r="R1289">
        <v>10826629</v>
      </c>
    </row>
    <row r="1290" spans="1:18" x14ac:dyDescent="0.25">
      <c r="A1290" s="143">
        <v>43906</v>
      </c>
      <c r="B1290" s="106">
        <v>245</v>
      </c>
      <c r="C1290" s="106">
        <v>228.65</v>
      </c>
      <c r="D1290" s="106">
        <v>225.15</v>
      </c>
      <c r="E1290" s="106">
        <v>245</v>
      </c>
      <c r="F1290" s="106">
        <v>228.65</v>
      </c>
      <c r="G1290">
        <v>50504</v>
      </c>
      <c r="H1290" s="106"/>
      <c r="I1290" s="106"/>
      <c r="L1290" s="143">
        <v>43906</v>
      </c>
      <c r="M1290" s="106">
        <v>228.3</v>
      </c>
      <c r="N1290" s="106">
        <v>246.95</v>
      </c>
      <c r="O1290" s="106">
        <v>220.85</v>
      </c>
      <c r="P1290" s="106">
        <v>235</v>
      </c>
      <c r="Q1290" s="106">
        <v>228.3</v>
      </c>
      <c r="R1290">
        <v>2408003</v>
      </c>
    </row>
    <row r="1291" spans="1:18" x14ac:dyDescent="0.25">
      <c r="A1291" s="143">
        <v>43907</v>
      </c>
      <c r="B1291" s="106">
        <v>241.8</v>
      </c>
      <c r="C1291" s="106">
        <v>218.85</v>
      </c>
      <c r="D1291" s="106">
        <v>214.5</v>
      </c>
      <c r="E1291" s="106">
        <v>233.55</v>
      </c>
      <c r="F1291" s="106">
        <v>218.85</v>
      </c>
      <c r="G1291">
        <v>65934</v>
      </c>
      <c r="H1291" s="106"/>
      <c r="I1291" s="106"/>
      <c r="L1291" s="143">
        <v>43907</v>
      </c>
      <c r="M1291" s="106">
        <v>217.4</v>
      </c>
      <c r="N1291" s="106">
        <v>242</v>
      </c>
      <c r="O1291" s="106">
        <v>214.05</v>
      </c>
      <c r="P1291" s="106">
        <v>234.7</v>
      </c>
      <c r="Q1291" s="106">
        <v>217.4</v>
      </c>
      <c r="R1291">
        <v>3760442</v>
      </c>
    </row>
    <row r="1292" spans="1:18" x14ac:dyDescent="0.25">
      <c r="A1292" s="143">
        <v>43908</v>
      </c>
      <c r="B1292" s="106">
        <v>224.6</v>
      </c>
      <c r="C1292" s="106">
        <v>200.65</v>
      </c>
      <c r="D1292" s="106">
        <v>188.75</v>
      </c>
      <c r="E1292" s="106">
        <v>223</v>
      </c>
      <c r="F1292" s="106">
        <v>200.65</v>
      </c>
      <c r="G1292">
        <v>85248</v>
      </c>
      <c r="H1292" s="106"/>
      <c r="I1292" s="106"/>
      <c r="L1292" s="143">
        <v>43908</v>
      </c>
      <c r="M1292" s="106">
        <v>200.5</v>
      </c>
      <c r="N1292" s="106">
        <v>224.45</v>
      </c>
      <c r="O1292" s="106">
        <v>188.45</v>
      </c>
      <c r="P1292" s="106">
        <v>219.35</v>
      </c>
      <c r="Q1292" s="106">
        <v>200.5</v>
      </c>
      <c r="R1292">
        <v>4387979</v>
      </c>
    </row>
    <row r="1293" spans="1:18" x14ac:dyDescent="0.25">
      <c r="A1293" s="143">
        <v>43909</v>
      </c>
      <c r="B1293" s="106">
        <v>198</v>
      </c>
      <c r="C1293" s="106">
        <v>185.05</v>
      </c>
      <c r="D1293" s="106">
        <v>174</v>
      </c>
      <c r="E1293" s="106">
        <v>187</v>
      </c>
      <c r="F1293" s="106">
        <v>185.05</v>
      </c>
      <c r="G1293">
        <v>99925</v>
      </c>
      <c r="H1293" s="106"/>
      <c r="I1293" s="106"/>
      <c r="L1293" s="143">
        <v>43909</v>
      </c>
      <c r="M1293" s="106">
        <v>183.75</v>
      </c>
      <c r="N1293" s="106">
        <v>198.25</v>
      </c>
      <c r="O1293" s="106">
        <v>170.95</v>
      </c>
      <c r="P1293" s="106">
        <v>185</v>
      </c>
      <c r="Q1293" s="106">
        <v>183.75</v>
      </c>
      <c r="R1293">
        <v>4443978</v>
      </c>
    </row>
    <row r="1294" spans="1:18" x14ac:dyDescent="0.25">
      <c r="A1294" s="143">
        <v>43910</v>
      </c>
      <c r="B1294" s="106">
        <v>200.65</v>
      </c>
      <c r="C1294" s="106">
        <v>193.75</v>
      </c>
      <c r="D1294" s="106">
        <v>175.4</v>
      </c>
      <c r="E1294" s="106">
        <v>178.85</v>
      </c>
      <c r="F1294" s="106">
        <v>193.75</v>
      </c>
      <c r="G1294">
        <v>77106</v>
      </c>
      <c r="H1294" s="106"/>
      <c r="I1294" s="106"/>
      <c r="L1294" s="143">
        <v>43910</v>
      </c>
      <c r="M1294" s="106">
        <v>193.25</v>
      </c>
      <c r="N1294" s="106">
        <v>200.95</v>
      </c>
      <c r="O1294" s="106">
        <v>175.2</v>
      </c>
      <c r="P1294" s="106">
        <v>180.45</v>
      </c>
      <c r="Q1294" s="106">
        <v>193.25</v>
      </c>
      <c r="R1294">
        <v>3550622</v>
      </c>
    </row>
    <row r="1295" spans="1:18" x14ac:dyDescent="0.25">
      <c r="A1295" s="143">
        <v>43913</v>
      </c>
      <c r="B1295" s="106">
        <v>190</v>
      </c>
      <c r="C1295" s="106">
        <v>136.5</v>
      </c>
      <c r="D1295" s="106">
        <v>126.55</v>
      </c>
      <c r="E1295" s="106">
        <v>190</v>
      </c>
      <c r="F1295" s="106">
        <v>136.5</v>
      </c>
      <c r="G1295">
        <v>77556</v>
      </c>
      <c r="H1295" s="106"/>
      <c r="I1295" s="106"/>
      <c r="L1295" s="143">
        <v>43913</v>
      </c>
      <c r="M1295" s="106">
        <v>136.05000000000001</v>
      </c>
      <c r="N1295" s="106">
        <v>184</v>
      </c>
      <c r="O1295" s="106">
        <v>126.6</v>
      </c>
      <c r="P1295" s="106">
        <v>175</v>
      </c>
      <c r="Q1295" s="106">
        <v>136.05000000000001</v>
      </c>
      <c r="R1295">
        <v>3306915</v>
      </c>
    </row>
    <row r="1296" spans="1:18" x14ac:dyDescent="0.25">
      <c r="A1296" s="143">
        <v>43914</v>
      </c>
      <c r="B1296" s="106">
        <v>161</v>
      </c>
      <c r="C1296" s="106">
        <v>143.55000000000001</v>
      </c>
      <c r="D1296" s="106">
        <v>123.65</v>
      </c>
      <c r="E1296" s="106">
        <v>146.80000000000001</v>
      </c>
      <c r="F1296" s="106">
        <v>143.55000000000001</v>
      </c>
      <c r="G1296">
        <v>140910</v>
      </c>
      <c r="H1296" s="106"/>
      <c r="I1296" s="106"/>
      <c r="L1296" s="143">
        <v>43914</v>
      </c>
      <c r="M1296" s="106">
        <v>143.19999999999999</v>
      </c>
      <c r="N1296" s="106">
        <v>161.6</v>
      </c>
      <c r="O1296" s="106">
        <v>123.6</v>
      </c>
      <c r="P1296" s="106">
        <v>140.25</v>
      </c>
      <c r="Q1296" s="106">
        <v>143.19999999999999</v>
      </c>
      <c r="R1296">
        <v>4060463</v>
      </c>
    </row>
    <row r="1297" spans="1:18" x14ac:dyDescent="0.25">
      <c r="A1297" s="143">
        <v>43915</v>
      </c>
      <c r="B1297" s="106">
        <v>157.9</v>
      </c>
      <c r="C1297" s="106">
        <v>157.69999999999999</v>
      </c>
      <c r="D1297" s="106">
        <v>142.19999999999999</v>
      </c>
      <c r="E1297" s="106">
        <v>149.80000000000001</v>
      </c>
      <c r="F1297" s="106">
        <v>157.69999999999999</v>
      </c>
      <c r="G1297">
        <v>84416</v>
      </c>
      <c r="H1297" s="106"/>
      <c r="I1297" s="106"/>
      <c r="L1297" s="143">
        <v>43915</v>
      </c>
      <c r="M1297" s="106">
        <v>157.85</v>
      </c>
      <c r="N1297" s="106">
        <v>162</v>
      </c>
      <c r="O1297" s="106">
        <v>141.1</v>
      </c>
      <c r="P1297" s="106">
        <v>143.19999999999999</v>
      </c>
      <c r="Q1297" s="106">
        <v>157.85</v>
      </c>
      <c r="R1297">
        <v>4354542</v>
      </c>
    </row>
    <row r="1298" spans="1:18" x14ac:dyDescent="0.25">
      <c r="A1298" s="143">
        <v>43916</v>
      </c>
      <c r="B1298" s="106">
        <v>181.25</v>
      </c>
      <c r="C1298" s="106">
        <v>167.65</v>
      </c>
      <c r="D1298" s="106">
        <v>150.75</v>
      </c>
      <c r="E1298" s="106">
        <v>161</v>
      </c>
      <c r="F1298" s="106">
        <v>167.65</v>
      </c>
      <c r="G1298">
        <v>132294</v>
      </c>
      <c r="H1298" s="106"/>
      <c r="I1298" s="106"/>
      <c r="L1298" s="143">
        <v>43916</v>
      </c>
      <c r="M1298" s="106">
        <v>167.8</v>
      </c>
      <c r="N1298" s="106">
        <v>181.5</v>
      </c>
      <c r="O1298" s="106">
        <v>150.69999999999999</v>
      </c>
      <c r="P1298" s="106">
        <v>161</v>
      </c>
      <c r="Q1298" s="106">
        <v>167.8</v>
      </c>
      <c r="R1298">
        <v>6448246</v>
      </c>
    </row>
    <row r="1299" spans="1:18" x14ac:dyDescent="0.25">
      <c r="A1299" s="143">
        <v>43917</v>
      </c>
      <c r="B1299" s="106">
        <v>184.4</v>
      </c>
      <c r="C1299" s="106">
        <v>168.65</v>
      </c>
      <c r="D1299" s="106">
        <v>166.95</v>
      </c>
      <c r="E1299" s="106">
        <v>181.75</v>
      </c>
      <c r="F1299" s="106">
        <v>168.65</v>
      </c>
      <c r="G1299">
        <v>91125</v>
      </c>
      <c r="H1299" s="106"/>
      <c r="I1299" s="106"/>
      <c r="L1299" s="143">
        <v>43917</v>
      </c>
      <c r="M1299" s="106">
        <v>169.15</v>
      </c>
      <c r="N1299" s="106">
        <v>184</v>
      </c>
      <c r="O1299" s="106">
        <v>166.75</v>
      </c>
      <c r="P1299" s="106">
        <v>175.8</v>
      </c>
      <c r="Q1299" s="106">
        <v>169.15</v>
      </c>
      <c r="R1299">
        <v>4490909</v>
      </c>
    </row>
    <row r="1300" spans="1:18" x14ac:dyDescent="0.25">
      <c r="A1300" s="143">
        <v>43920</v>
      </c>
      <c r="B1300" s="106">
        <v>165</v>
      </c>
      <c r="C1300" s="106">
        <v>160.30000000000001</v>
      </c>
      <c r="D1300" s="106">
        <v>148.6</v>
      </c>
      <c r="E1300" s="106">
        <v>165</v>
      </c>
      <c r="F1300" s="106">
        <v>160.30000000000001</v>
      </c>
      <c r="G1300">
        <v>132503</v>
      </c>
      <c r="H1300" s="106"/>
      <c r="I1300" s="106"/>
      <c r="L1300" s="143">
        <v>43920</v>
      </c>
      <c r="M1300" s="106">
        <v>160.5</v>
      </c>
      <c r="N1300" s="106">
        <v>167</v>
      </c>
      <c r="O1300" s="106">
        <v>148.30000000000001</v>
      </c>
      <c r="P1300" s="106">
        <v>167</v>
      </c>
      <c r="Q1300" s="106">
        <v>160.5</v>
      </c>
      <c r="R1300">
        <v>4677802</v>
      </c>
    </row>
    <row r="1301" spans="1:18" x14ac:dyDescent="0.25">
      <c r="A1301" s="143">
        <v>43921</v>
      </c>
      <c r="B1301" s="106">
        <v>163</v>
      </c>
      <c r="C1301" s="106">
        <v>152.94999999999999</v>
      </c>
      <c r="D1301" s="106">
        <v>151</v>
      </c>
      <c r="E1301" s="106">
        <v>160</v>
      </c>
      <c r="F1301" s="106">
        <v>152.94999999999999</v>
      </c>
      <c r="G1301">
        <v>99177</v>
      </c>
      <c r="H1301" s="106"/>
      <c r="I1301" s="106"/>
      <c r="L1301" s="143">
        <v>43921</v>
      </c>
      <c r="M1301" s="106">
        <v>152.85</v>
      </c>
      <c r="N1301" s="106">
        <v>167.05</v>
      </c>
      <c r="O1301" s="106">
        <v>151</v>
      </c>
      <c r="P1301" s="106">
        <v>166.9</v>
      </c>
      <c r="Q1301" s="106">
        <v>152.85</v>
      </c>
      <c r="R1301">
        <v>3034121</v>
      </c>
    </row>
    <row r="1302" spans="1:18" x14ac:dyDescent="0.25">
      <c r="A1302" s="143">
        <v>43922</v>
      </c>
      <c r="B1302" s="106">
        <v>152</v>
      </c>
      <c r="C1302" s="106">
        <v>143.30000000000001</v>
      </c>
      <c r="D1302" s="106">
        <v>137.85</v>
      </c>
      <c r="E1302" s="106">
        <v>152</v>
      </c>
      <c r="F1302" s="106">
        <v>143.30000000000001</v>
      </c>
      <c r="G1302">
        <v>121648</v>
      </c>
      <c r="H1302" s="106"/>
      <c r="I1302" s="106"/>
      <c r="L1302" s="143">
        <v>43922</v>
      </c>
      <c r="M1302" s="106">
        <v>142.85</v>
      </c>
      <c r="N1302" s="106">
        <v>151</v>
      </c>
      <c r="O1302" s="106">
        <v>137.85</v>
      </c>
      <c r="P1302" s="106">
        <v>150.85</v>
      </c>
      <c r="Q1302" s="106">
        <v>142.85</v>
      </c>
      <c r="R1302">
        <v>3774330</v>
      </c>
    </row>
    <row r="1303" spans="1:18" x14ac:dyDescent="0.25">
      <c r="A1303" s="143">
        <v>43924</v>
      </c>
      <c r="B1303" s="106">
        <v>147.15</v>
      </c>
      <c r="C1303" s="106">
        <v>124.65</v>
      </c>
      <c r="D1303" s="106">
        <v>122.6</v>
      </c>
      <c r="E1303" s="106">
        <v>143</v>
      </c>
      <c r="F1303" s="106">
        <v>124.65</v>
      </c>
      <c r="G1303">
        <v>121436</v>
      </c>
      <c r="H1303" s="106"/>
      <c r="I1303" s="106"/>
      <c r="L1303" s="143">
        <v>43924</v>
      </c>
      <c r="M1303" s="106">
        <v>124.65</v>
      </c>
      <c r="N1303" s="106">
        <v>147</v>
      </c>
      <c r="O1303" s="106">
        <v>122.5</v>
      </c>
      <c r="P1303" s="106">
        <v>147</v>
      </c>
      <c r="Q1303" s="106">
        <v>124.65</v>
      </c>
      <c r="R1303">
        <v>4407286</v>
      </c>
    </row>
    <row r="1304" spans="1:18" x14ac:dyDescent="0.25">
      <c r="A1304" s="143">
        <v>43928</v>
      </c>
      <c r="B1304" s="106">
        <v>135</v>
      </c>
      <c r="C1304" s="106">
        <v>130.65</v>
      </c>
      <c r="D1304" s="106">
        <v>117.4</v>
      </c>
      <c r="E1304" s="106">
        <v>134.35</v>
      </c>
      <c r="F1304" s="106">
        <v>130.65</v>
      </c>
      <c r="G1304">
        <v>293933</v>
      </c>
      <c r="H1304" s="106"/>
      <c r="I1304" s="106"/>
      <c r="L1304" s="143">
        <v>43928</v>
      </c>
      <c r="M1304" s="106">
        <v>130.5</v>
      </c>
      <c r="N1304" s="106">
        <v>137</v>
      </c>
      <c r="O1304" s="106">
        <v>117.4</v>
      </c>
      <c r="P1304" s="106">
        <v>136.9</v>
      </c>
      <c r="Q1304" s="106">
        <v>130.5</v>
      </c>
      <c r="R1304">
        <v>10843810</v>
      </c>
    </row>
    <row r="1305" spans="1:18" x14ac:dyDescent="0.25">
      <c r="A1305" s="143">
        <v>43929</v>
      </c>
      <c r="B1305" s="106">
        <v>155</v>
      </c>
      <c r="C1305" s="106">
        <v>150.85</v>
      </c>
      <c r="D1305" s="106">
        <v>126.45</v>
      </c>
      <c r="E1305" s="106">
        <v>130</v>
      </c>
      <c r="F1305" s="106">
        <v>150.85</v>
      </c>
      <c r="G1305">
        <v>255366</v>
      </c>
      <c r="H1305" s="106"/>
      <c r="I1305" s="106"/>
      <c r="L1305" s="143">
        <v>43929</v>
      </c>
      <c r="M1305" s="106">
        <v>150.75</v>
      </c>
      <c r="N1305" s="106">
        <v>154.80000000000001</v>
      </c>
      <c r="O1305" s="106">
        <v>125.6</v>
      </c>
      <c r="P1305" s="106">
        <v>130.5</v>
      </c>
      <c r="Q1305" s="106">
        <v>150.75</v>
      </c>
      <c r="R1305">
        <v>7778145</v>
      </c>
    </row>
    <row r="1306" spans="1:18" x14ac:dyDescent="0.25">
      <c r="A1306" s="143">
        <v>43930</v>
      </c>
      <c r="B1306" s="106">
        <v>176.2</v>
      </c>
      <c r="C1306" s="106">
        <v>171.8</v>
      </c>
      <c r="D1306" s="106">
        <v>152</v>
      </c>
      <c r="E1306" s="106">
        <v>159.9</v>
      </c>
      <c r="F1306" s="106">
        <v>171.8</v>
      </c>
      <c r="G1306">
        <v>255986</v>
      </c>
      <c r="H1306" s="106"/>
      <c r="I1306" s="106"/>
      <c r="L1306" s="143">
        <v>43930</v>
      </c>
      <c r="M1306" s="106">
        <v>171.75</v>
      </c>
      <c r="N1306" s="106">
        <v>177.8</v>
      </c>
      <c r="O1306" s="106">
        <v>151.85</v>
      </c>
      <c r="P1306" s="106">
        <v>152.65</v>
      </c>
      <c r="Q1306" s="106">
        <v>171.75</v>
      </c>
      <c r="R1306">
        <v>8111940</v>
      </c>
    </row>
    <row r="1307" spans="1:18" x14ac:dyDescent="0.25">
      <c r="A1307" s="143">
        <v>43934</v>
      </c>
      <c r="B1307" s="106">
        <v>171.75</v>
      </c>
      <c r="C1307" s="106">
        <v>150.25</v>
      </c>
      <c r="D1307" s="106">
        <v>146.05000000000001</v>
      </c>
      <c r="E1307" s="106">
        <v>171.75</v>
      </c>
      <c r="F1307" s="106">
        <v>150.25</v>
      </c>
      <c r="G1307">
        <v>204456</v>
      </c>
      <c r="H1307" s="106"/>
      <c r="I1307" s="106"/>
      <c r="L1307" s="143">
        <v>43934</v>
      </c>
      <c r="M1307" s="106">
        <v>150.15</v>
      </c>
      <c r="N1307" s="106">
        <v>170.55</v>
      </c>
      <c r="O1307" s="106">
        <v>146</v>
      </c>
      <c r="P1307" s="106">
        <v>170</v>
      </c>
      <c r="Q1307" s="106">
        <v>150.15</v>
      </c>
      <c r="R1307">
        <v>7959997</v>
      </c>
    </row>
    <row r="1308" spans="1:18" x14ac:dyDescent="0.25">
      <c r="A1308" s="143">
        <v>43936</v>
      </c>
      <c r="B1308" s="106">
        <v>162.55000000000001</v>
      </c>
      <c r="C1308" s="106">
        <v>153.44999999999999</v>
      </c>
      <c r="D1308" s="106">
        <v>145.1</v>
      </c>
      <c r="E1308" s="106">
        <v>157</v>
      </c>
      <c r="F1308" s="106">
        <v>153.44999999999999</v>
      </c>
      <c r="G1308">
        <v>243112</v>
      </c>
      <c r="H1308" s="106"/>
      <c r="I1308" s="106"/>
      <c r="L1308" s="143">
        <v>43936</v>
      </c>
      <c r="M1308" s="106">
        <v>153.65</v>
      </c>
      <c r="N1308" s="106">
        <v>162.65</v>
      </c>
      <c r="O1308" s="106">
        <v>145</v>
      </c>
      <c r="P1308" s="106">
        <v>153</v>
      </c>
      <c r="Q1308" s="106">
        <v>153.65</v>
      </c>
      <c r="R1308">
        <v>5959935</v>
      </c>
    </row>
    <row r="1309" spans="1:18" x14ac:dyDescent="0.25">
      <c r="A1309" s="143">
        <v>43937</v>
      </c>
      <c r="B1309" s="106">
        <v>163.55000000000001</v>
      </c>
      <c r="C1309" s="106">
        <v>159.35</v>
      </c>
      <c r="D1309" s="106">
        <v>149</v>
      </c>
      <c r="E1309" s="106">
        <v>152.80000000000001</v>
      </c>
      <c r="F1309" s="106">
        <v>159.35</v>
      </c>
      <c r="G1309">
        <v>280781</v>
      </c>
      <c r="H1309" s="106"/>
      <c r="I1309" s="106"/>
      <c r="L1309" s="143">
        <v>43937</v>
      </c>
      <c r="M1309" s="106">
        <v>159.4</v>
      </c>
      <c r="N1309" s="106">
        <v>162.9</v>
      </c>
      <c r="O1309" s="106">
        <v>149</v>
      </c>
      <c r="P1309" s="106">
        <v>152.85</v>
      </c>
      <c r="Q1309" s="106">
        <v>159.4</v>
      </c>
      <c r="R1309">
        <v>8238477</v>
      </c>
    </row>
    <row r="1310" spans="1:18" x14ac:dyDescent="0.25">
      <c r="A1310" s="143">
        <v>43938</v>
      </c>
      <c r="B1310" s="106">
        <v>180.95</v>
      </c>
      <c r="C1310" s="106">
        <v>177.4</v>
      </c>
      <c r="D1310" s="106">
        <v>165.25</v>
      </c>
      <c r="E1310" s="106">
        <v>167.3</v>
      </c>
      <c r="F1310" s="106">
        <v>177.4</v>
      </c>
      <c r="G1310">
        <v>416352</v>
      </c>
      <c r="H1310" s="106"/>
      <c r="I1310" s="106"/>
      <c r="L1310" s="143">
        <v>43938</v>
      </c>
      <c r="M1310" s="106">
        <v>176.6</v>
      </c>
      <c r="N1310" s="106">
        <v>180.8</v>
      </c>
      <c r="O1310" s="106">
        <v>165</v>
      </c>
      <c r="P1310" s="106">
        <v>168.85</v>
      </c>
      <c r="Q1310" s="106">
        <v>176.6</v>
      </c>
      <c r="R1310">
        <v>11964947</v>
      </c>
    </row>
    <row r="1311" spans="1:18" x14ac:dyDescent="0.25">
      <c r="A1311" s="143">
        <v>43941</v>
      </c>
      <c r="B1311" s="106">
        <v>183</v>
      </c>
      <c r="C1311" s="106">
        <v>154.5</v>
      </c>
      <c r="D1311" s="106">
        <v>151.25</v>
      </c>
      <c r="E1311" s="106">
        <v>179.3</v>
      </c>
      <c r="F1311" s="106">
        <v>154.5</v>
      </c>
      <c r="G1311">
        <v>473403</v>
      </c>
      <c r="H1311" s="106"/>
      <c r="I1311" s="106"/>
      <c r="L1311" s="143">
        <v>43941</v>
      </c>
      <c r="M1311" s="106">
        <v>155.75</v>
      </c>
      <c r="N1311" s="106">
        <v>183.7</v>
      </c>
      <c r="O1311" s="106">
        <v>151</v>
      </c>
      <c r="P1311" s="106">
        <v>180</v>
      </c>
      <c r="Q1311" s="106">
        <v>155.75</v>
      </c>
      <c r="R1311">
        <v>10790371</v>
      </c>
    </row>
    <row r="1312" spans="1:18" x14ac:dyDescent="0.25">
      <c r="A1312" s="143">
        <v>43942</v>
      </c>
      <c r="B1312" s="106">
        <v>153</v>
      </c>
      <c r="C1312" s="106">
        <v>143.9</v>
      </c>
      <c r="D1312" s="106">
        <v>137.69999999999999</v>
      </c>
      <c r="E1312" s="106">
        <v>153</v>
      </c>
      <c r="F1312" s="106">
        <v>143.9</v>
      </c>
      <c r="G1312">
        <v>312942</v>
      </c>
      <c r="H1312" s="106"/>
      <c r="I1312" s="106"/>
      <c r="L1312" s="143">
        <v>43942</v>
      </c>
      <c r="M1312" s="106">
        <v>143.65</v>
      </c>
      <c r="N1312" s="106">
        <v>152</v>
      </c>
      <c r="O1312" s="106">
        <v>135.65</v>
      </c>
      <c r="P1312" s="106">
        <v>152</v>
      </c>
      <c r="Q1312" s="106">
        <v>143.65</v>
      </c>
      <c r="R1312">
        <v>9325938</v>
      </c>
    </row>
    <row r="1313" spans="1:18" x14ac:dyDescent="0.25">
      <c r="A1313" s="143">
        <v>43943</v>
      </c>
      <c r="B1313" s="106">
        <v>154.30000000000001</v>
      </c>
      <c r="C1313" s="106">
        <v>150.75</v>
      </c>
      <c r="D1313" s="106">
        <v>137.25</v>
      </c>
      <c r="E1313" s="106">
        <v>144</v>
      </c>
      <c r="F1313" s="106">
        <v>150.75</v>
      </c>
      <c r="G1313">
        <v>347770</v>
      </c>
      <c r="H1313" s="106"/>
      <c r="I1313" s="106"/>
      <c r="L1313" s="143">
        <v>43943</v>
      </c>
      <c r="M1313" s="106">
        <v>150.35</v>
      </c>
      <c r="N1313" s="106">
        <v>154.44999999999999</v>
      </c>
      <c r="O1313" s="106">
        <v>137</v>
      </c>
      <c r="P1313" s="106">
        <v>142.15</v>
      </c>
      <c r="Q1313" s="106">
        <v>150.35</v>
      </c>
      <c r="R1313">
        <v>8070184</v>
      </c>
    </row>
    <row r="1314" spans="1:18" x14ac:dyDescent="0.25">
      <c r="A1314" s="143">
        <v>43944</v>
      </c>
      <c r="B1314" s="106">
        <v>159.25</v>
      </c>
      <c r="C1314" s="106">
        <v>151.9</v>
      </c>
      <c r="D1314" s="106">
        <v>148.19999999999999</v>
      </c>
      <c r="E1314" s="106">
        <v>150.15</v>
      </c>
      <c r="F1314" s="106">
        <v>151.9</v>
      </c>
      <c r="G1314">
        <v>254115</v>
      </c>
      <c r="H1314" s="106"/>
      <c r="I1314" s="106"/>
      <c r="L1314" s="143">
        <v>43944</v>
      </c>
      <c r="M1314" s="106">
        <v>151.80000000000001</v>
      </c>
      <c r="N1314" s="106">
        <v>159.30000000000001</v>
      </c>
      <c r="O1314" s="106">
        <v>148.1</v>
      </c>
      <c r="P1314" s="106">
        <v>151</v>
      </c>
      <c r="Q1314" s="106">
        <v>151.80000000000001</v>
      </c>
      <c r="R1314">
        <v>7826250</v>
      </c>
    </row>
    <row r="1315" spans="1:18" x14ac:dyDescent="0.25">
      <c r="A1315" s="143">
        <v>43945</v>
      </c>
      <c r="B1315" s="106">
        <v>144.94999999999999</v>
      </c>
      <c r="C1315" s="106">
        <v>132.9</v>
      </c>
      <c r="D1315" s="106">
        <v>132.25</v>
      </c>
      <c r="E1315" s="106">
        <v>142.1</v>
      </c>
      <c r="F1315" s="106">
        <v>132.9</v>
      </c>
      <c r="G1315">
        <v>895588</v>
      </c>
      <c r="H1315" s="106"/>
      <c r="I1315" s="106"/>
      <c r="L1315" s="143">
        <v>43945</v>
      </c>
      <c r="M1315" s="106">
        <v>132.9</v>
      </c>
      <c r="N1315" s="106">
        <v>145.80000000000001</v>
      </c>
      <c r="O1315" s="106">
        <v>132.05000000000001</v>
      </c>
      <c r="P1315" s="106">
        <v>145</v>
      </c>
      <c r="Q1315" s="106">
        <v>132.9</v>
      </c>
      <c r="R1315">
        <v>16734283</v>
      </c>
    </row>
    <row r="1316" spans="1:18" x14ac:dyDescent="0.25">
      <c r="A1316" s="143">
        <v>43948</v>
      </c>
      <c r="B1316" s="106">
        <v>140.6</v>
      </c>
      <c r="C1316" s="106">
        <v>134.25</v>
      </c>
      <c r="D1316" s="106">
        <v>132.9</v>
      </c>
      <c r="E1316" s="106">
        <v>136.69999999999999</v>
      </c>
      <c r="F1316" s="106">
        <v>134.25</v>
      </c>
      <c r="G1316">
        <v>316910</v>
      </c>
      <c r="H1316" s="106"/>
      <c r="I1316" s="106"/>
      <c r="L1316" s="143">
        <v>43948</v>
      </c>
      <c r="M1316" s="106">
        <v>134.30000000000001</v>
      </c>
      <c r="N1316" s="106">
        <v>140.6</v>
      </c>
      <c r="O1316" s="106">
        <v>133</v>
      </c>
      <c r="P1316" s="106">
        <v>136.44999999999999</v>
      </c>
      <c r="Q1316" s="106">
        <v>134.30000000000001</v>
      </c>
      <c r="R1316">
        <v>10768278</v>
      </c>
    </row>
    <row r="1317" spans="1:18" x14ac:dyDescent="0.25">
      <c r="A1317" s="143">
        <v>43949</v>
      </c>
      <c r="B1317" s="106">
        <v>147.65</v>
      </c>
      <c r="C1317" s="106">
        <v>147.19999999999999</v>
      </c>
      <c r="D1317" s="106">
        <v>135.5</v>
      </c>
      <c r="E1317" s="106">
        <v>140</v>
      </c>
      <c r="F1317" s="106">
        <v>147.19999999999999</v>
      </c>
      <c r="G1317">
        <v>372988</v>
      </c>
      <c r="H1317" s="106"/>
      <c r="I1317" s="106"/>
      <c r="L1317" s="143">
        <v>43949</v>
      </c>
      <c r="M1317" s="106">
        <v>147.19999999999999</v>
      </c>
      <c r="N1317" s="106">
        <v>147.69999999999999</v>
      </c>
      <c r="O1317" s="106">
        <v>135.5</v>
      </c>
      <c r="P1317" s="106">
        <v>136.80000000000001</v>
      </c>
      <c r="Q1317" s="106">
        <v>147.19999999999999</v>
      </c>
      <c r="R1317">
        <v>13193551</v>
      </c>
    </row>
    <row r="1318" spans="1:18" x14ac:dyDescent="0.25">
      <c r="A1318" s="143">
        <v>43950</v>
      </c>
      <c r="B1318" s="106">
        <v>154</v>
      </c>
      <c r="C1318" s="106">
        <v>150.30000000000001</v>
      </c>
      <c r="D1318" s="106">
        <v>145.55000000000001</v>
      </c>
      <c r="E1318" s="106">
        <v>150.5</v>
      </c>
      <c r="F1318" s="106">
        <v>150.30000000000001</v>
      </c>
      <c r="G1318">
        <v>584479</v>
      </c>
      <c r="H1318" s="106"/>
      <c r="I1318" s="106"/>
      <c r="L1318" s="143">
        <v>43950</v>
      </c>
      <c r="M1318" s="106">
        <v>150.65</v>
      </c>
      <c r="N1318" s="106">
        <v>154</v>
      </c>
      <c r="O1318" s="106">
        <v>145.19999999999999</v>
      </c>
      <c r="P1318" s="106">
        <v>148.19999999999999</v>
      </c>
      <c r="Q1318" s="106">
        <v>150.65</v>
      </c>
      <c r="R1318">
        <v>12004183</v>
      </c>
    </row>
    <row r="1319" spans="1:18" x14ac:dyDescent="0.25">
      <c r="A1319" s="143">
        <v>43951</v>
      </c>
      <c r="B1319" s="106">
        <v>169.15</v>
      </c>
      <c r="C1319" s="106">
        <v>159.4</v>
      </c>
      <c r="D1319" s="106">
        <v>153.25</v>
      </c>
      <c r="E1319" s="106">
        <v>155</v>
      </c>
      <c r="F1319" s="106">
        <v>159.4</v>
      </c>
      <c r="G1319">
        <v>691659</v>
      </c>
      <c r="H1319" s="106"/>
      <c r="I1319" s="106"/>
      <c r="L1319" s="143">
        <v>43951</v>
      </c>
      <c r="M1319" s="106">
        <v>159.44999999999999</v>
      </c>
      <c r="N1319" s="106">
        <v>170.6</v>
      </c>
      <c r="O1319" s="106">
        <v>153.35</v>
      </c>
      <c r="P1319" s="106">
        <v>154.80000000000001</v>
      </c>
      <c r="Q1319" s="106">
        <v>159.44999999999999</v>
      </c>
      <c r="R1319">
        <v>18444012</v>
      </c>
    </row>
    <row r="1320" spans="1:18" x14ac:dyDescent="0.25">
      <c r="A1320" s="143">
        <v>43955</v>
      </c>
      <c r="B1320" s="106">
        <v>154.65</v>
      </c>
      <c r="C1320" s="106">
        <v>141.9</v>
      </c>
      <c r="D1320" s="106">
        <v>139.25</v>
      </c>
      <c r="E1320" s="106">
        <v>154.65</v>
      </c>
      <c r="F1320" s="106">
        <v>141.9</v>
      </c>
      <c r="G1320">
        <v>573298</v>
      </c>
      <c r="H1320" s="106"/>
      <c r="I1320" s="106"/>
      <c r="L1320" s="143">
        <v>43955</v>
      </c>
      <c r="M1320" s="106">
        <v>141.69999999999999</v>
      </c>
      <c r="N1320" s="106">
        <v>150.9</v>
      </c>
      <c r="O1320" s="106">
        <v>139.05000000000001</v>
      </c>
      <c r="P1320" s="106">
        <v>150</v>
      </c>
      <c r="Q1320" s="106">
        <v>141.69999999999999</v>
      </c>
      <c r="R1320">
        <v>11859044</v>
      </c>
    </row>
    <row r="1321" spans="1:18" x14ac:dyDescent="0.25">
      <c r="A1321" s="143">
        <v>43956</v>
      </c>
      <c r="B1321" s="106">
        <v>151.19999999999999</v>
      </c>
      <c r="C1321" s="106">
        <v>142</v>
      </c>
      <c r="D1321" s="106">
        <v>140.25</v>
      </c>
      <c r="E1321" s="106">
        <v>147</v>
      </c>
      <c r="F1321" s="106">
        <v>142</v>
      </c>
      <c r="G1321">
        <v>475141</v>
      </c>
      <c r="H1321" s="106"/>
      <c r="I1321" s="106"/>
      <c r="L1321" s="143">
        <v>43956</v>
      </c>
      <c r="M1321" s="106">
        <v>142.05000000000001</v>
      </c>
      <c r="N1321" s="106">
        <v>151.30000000000001</v>
      </c>
      <c r="O1321" s="106">
        <v>140.05000000000001</v>
      </c>
      <c r="P1321" s="106">
        <v>147.6</v>
      </c>
      <c r="Q1321" s="106">
        <v>142.05000000000001</v>
      </c>
      <c r="R1321">
        <v>12612405</v>
      </c>
    </row>
    <row r="1322" spans="1:18" x14ac:dyDescent="0.25">
      <c r="A1322" s="143">
        <v>43957</v>
      </c>
      <c r="B1322" s="106">
        <v>152.44999999999999</v>
      </c>
      <c r="C1322" s="106">
        <v>150.30000000000001</v>
      </c>
      <c r="D1322" s="106">
        <v>138.80000000000001</v>
      </c>
      <c r="E1322" s="106">
        <v>144.5</v>
      </c>
      <c r="F1322" s="106">
        <v>150.30000000000001</v>
      </c>
      <c r="G1322">
        <v>887266</v>
      </c>
      <c r="H1322" s="106"/>
      <c r="I1322" s="106"/>
      <c r="L1322" s="143">
        <v>43957</v>
      </c>
      <c r="M1322" s="106">
        <v>150.05000000000001</v>
      </c>
      <c r="N1322" s="106">
        <v>152.4</v>
      </c>
      <c r="O1322" s="106">
        <v>138.55000000000001</v>
      </c>
      <c r="P1322" s="106">
        <v>142.65</v>
      </c>
      <c r="Q1322" s="106">
        <v>150.05000000000001</v>
      </c>
      <c r="R1322">
        <v>21966200</v>
      </c>
    </row>
    <row r="1323" spans="1:18" x14ac:dyDescent="0.25">
      <c r="A1323" s="143">
        <v>43958</v>
      </c>
      <c r="B1323" s="106">
        <v>155.80000000000001</v>
      </c>
      <c r="C1323" s="106">
        <v>148.69999999999999</v>
      </c>
      <c r="D1323" s="106">
        <v>145.1</v>
      </c>
      <c r="E1323" s="106">
        <v>150.30000000000001</v>
      </c>
      <c r="F1323" s="106">
        <v>148.69999999999999</v>
      </c>
      <c r="G1323">
        <v>496331</v>
      </c>
      <c r="H1323" s="106"/>
      <c r="I1323" s="106"/>
      <c r="L1323" s="143">
        <v>43958</v>
      </c>
      <c r="M1323" s="106">
        <v>148.85</v>
      </c>
      <c r="N1323" s="106">
        <v>155.94999999999999</v>
      </c>
      <c r="O1323" s="106">
        <v>145</v>
      </c>
      <c r="P1323" s="106">
        <v>148.5</v>
      </c>
      <c r="Q1323" s="106">
        <v>148.85</v>
      </c>
      <c r="R1323">
        <v>15593429</v>
      </c>
    </row>
    <row r="1324" spans="1:18" x14ac:dyDescent="0.25">
      <c r="A1324" s="143">
        <v>43959</v>
      </c>
      <c r="B1324" s="106">
        <v>155.30000000000001</v>
      </c>
      <c r="C1324" s="106">
        <v>144.1</v>
      </c>
      <c r="D1324" s="106">
        <v>143</v>
      </c>
      <c r="E1324" s="106">
        <v>153.4</v>
      </c>
      <c r="F1324" s="106">
        <v>144.1</v>
      </c>
      <c r="G1324">
        <v>459891</v>
      </c>
      <c r="H1324" s="106"/>
      <c r="I1324" s="106"/>
      <c r="L1324" s="143">
        <v>43959</v>
      </c>
      <c r="M1324" s="106">
        <v>144.1</v>
      </c>
      <c r="N1324" s="106">
        <v>155.44999999999999</v>
      </c>
      <c r="O1324" s="106">
        <v>142.9</v>
      </c>
      <c r="P1324" s="106">
        <v>152.5</v>
      </c>
      <c r="Q1324" s="106">
        <v>144.1</v>
      </c>
      <c r="R1324">
        <v>12318025</v>
      </c>
    </row>
    <row r="1325" spans="1:18" x14ac:dyDescent="0.25">
      <c r="A1325" s="143">
        <v>43962</v>
      </c>
      <c r="B1325" s="106">
        <v>154.4</v>
      </c>
      <c r="C1325" s="106">
        <v>152.1</v>
      </c>
      <c r="D1325" s="106">
        <v>142.80000000000001</v>
      </c>
      <c r="E1325" s="106">
        <v>149</v>
      </c>
      <c r="F1325" s="106">
        <v>152.1</v>
      </c>
      <c r="G1325">
        <v>762865</v>
      </c>
      <c r="H1325" s="106"/>
      <c r="I1325" s="106"/>
      <c r="L1325" s="143">
        <v>43962</v>
      </c>
      <c r="M1325" s="106">
        <v>151.9</v>
      </c>
      <c r="N1325" s="106">
        <v>154.5</v>
      </c>
      <c r="O1325" s="106">
        <v>142.75</v>
      </c>
      <c r="P1325" s="106">
        <v>146.94999999999999</v>
      </c>
      <c r="Q1325" s="106">
        <v>151.9</v>
      </c>
      <c r="R1325">
        <v>18116072</v>
      </c>
    </row>
    <row r="1326" spans="1:18" x14ac:dyDescent="0.25">
      <c r="A1326" s="143">
        <v>43963</v>
      </c>
      <c r="B1326" s="106">
        <v>151.80000000000001</v>
      </c>
      <c r="C1326" s="106">
        <v>150.6</v>
      </c>
      <c r="D1326" s="106">
        <v>141.6</v>
      </c>
      <c r="E1326" s="106">
        <v>147.1</v>
      </c>
      <c r="F1326" s="106">
        <v>150.6</v>
      </c>
      <c r="G1326">
        <v>735014</v>
      </c>
      <c r="H1326" s="106"/>
      <c r="I1326" s="106"/>
      <c r="L1326" s="143">
        <v>43963</v>
      </c>
      <c r="M1326" s="106">
        <v>150.9</v>
      </c>
      <c r="N1326" s="106">
        <v>151.9</v>
      </c>
      <c r="O1326" s="106">
        <v>141.5</v>
      </c>
      <c r="P1326" s="106">
        <v>148</v>
      </c>
      <c r="Q1326" s="106">
        <v>150.9</v>
      </c>
      <c r="R1326">
        <v>18182112</v>
      </c>
    </row>
    <row r="1327" spans="1:18" x14ac:dyDescent="0.25">
      <c r="A1327" s="143">
        <v>43964</v>
      </c>
      <c r="B1327" s="106">
        <v>165.65</v>
      </c>
      <c r="C1327" s="106">
        <v>158.35</v>
      </c>
      <c r="D1327" s="106">
        <v>152.80000000000001</v>
      </c>
      <c r="E1327" s="106">
        <v>164.6</v>
      </c>
      <c r="F1327" s="106">
        <v>158.35</v>
      </c>
      <c r="G1327">
        <v>711049</v>
      </c>
      <c r="H1327" s="106"/>
      <c r="I1327" s="106"/>
      <c r="L1327" s="143">
        <v>43964</v>
      </c>
      <c r="M1327" s="106">
        <v>157.69999999999999</v>
      </c>
      <c r="N1327" s="106">
        <v>165.95</v>
      </c>
      <c r="O1327" s="106">
        <v>153.75</v>
      </c>
      <c r="P1327" s="106">
        <v>162.1</v>
      </c>
      <c r="Q1327" s="106">
        <v>157.69999999999999</v>
      </c>
      <c r="R1327">
        <v>14841950</v>
      </c>
    </row>
    <row r="1328" spans="1:18" x14ac:dyDescent="0.25">
      <c r="A1328" s="143">
        <v>43965</v>
      </c>
      <c r="B1328" s="106">
        <v>160.6</v>
      </c>
      <c r="C1328" s="106">
        <v>148.35</v>
      </c>
      <c r="D1328" s="106">
        <v>147.15</v>
      </c>
      <c r="E1328" s="106">
        <v>158</v>
      </c>
      <c r="F1328" s="106">
        <v>148.35</v>
      </c>
      <c r="G1328">
        <v>510628</v>
      </c>
      <c r="H1328" s="106"/>
      <c r="I1328" s="106"/>
      <c r="L1328" s="143">
        <v>43965</v>
      </c>
      <c r="M1328" s="106">
        <v>148.25</v>
      </c>
      <c r="N1328" s="106">
        <v>160.4</v>
      </c>
      <c r="O1328" s="106">
        <v>147.1</v>
      </c>
      <c r="P1328" s="106">
        <v>156.94999999999999</v>
      </c>
      <c r="Q1328" s="106">
        <v>148.25</v>
      </c>
      <c r="R1328">
        <v>12910908</v>
      </c>
    </row>
    <row r="1329" spans="1:18" x14ac:dyDescent="0.25">
      <c r="A1329" s="143">
        <v>43966</v>
      </c>
      <c r="B1329" s="106">
        <v>151.19999999999999</v>
      </c>
      <c r="C1329" s="106">
        <v>149.25</v>
      </c>
      <c r="D1329" s="106">
        <v>146.44999999999999</v>
      </c>
      <c r="E1329" s="106">
        <v>150.80000000000001</v>
      </c>
      <c r="F1329" s="106">
        <v>149.25</v>
      </c>
      <c r="G1329">
        <v>332677</v>
      </c>
      <c r="H1329" s="106"/>
      <c r="I1329" s="106"/>
      <c r="L1329" s="143">
        <v>43966</v>
      </c>
      <c r="M1329" s="106">
        <v>149.35</v>
      </c>
      <c r="N1329" s="106">
        <v>151.25</v>
      </c>
      <c r="O1329" s="106">
        <v>146.30000000000001</v>
      </c>
      <c r="P1329" s="106">
        <v>149.94999999999999</v>
      </c>
      <c r="Q1329" s="106">
        <v>149.35</v>
      </c>
      <c r="R1329">
        <v>6748261</v>
      </c>
    </row>
    <row r="1330" spans="1:18" x14ac:dyDescent="0.25">
      <c r="A1330" s="143">
        <v>43969</v>
      </c>
      <c r="B1330" s="106">
        <v>148.30000000000001</v>
      </c>
      <c r="C1330" s="106">
        <v>124.7</v>
      </c>
      <c r="D1330" s="106">
        <v>122.55</v>
      </c>
      <c r="E1330" s="106">
        <v>148.15</v>
      </c>
      <c r="F1330" s="106">
        <v>124.7</v>
      </c>
      <c r="G1330">
        <v>1053655</v>
      </c>
      <c r="H1330" s="106"/>
      <c r="I1330" s="106"/>
      <c r="L1330" s="143">
        <v>43969</v>
      </c>
      <c r="M1330" s="106">
        <v>125</v>
      </c>
      <c r="N1330" s="106">
        <v>149</v>
      </c>
      <c r="O1330" s="106">
        <v>122.5</v>
      </c>
      <c r="P1330" s="106">
        <v>149</v>
      </c>
      <c r="Q1330" s="106">
        <v>125</v>
      </c>
      <c r="R1330">
        <v>18614167</v>
      </c>
    </row>
    <row r="1331" spans="1:18" x14ac:dyDescent="0.25">
      <c r="A1331" s="143">
        <v>43970</v>
      </c>
      <c r="B1331" s="106">
        <v>132.19999999999999</v>
      </c>
      <c r="C1331" s="106">
        <v>127.2</v>
      </c>
      <c r="D1331" s="106">
        <v>126.3</v>
      </c>
      <c r="E1331" s="106">
        <v>128.05000000000001</v>
      </c>
      <c r="F1331" s="106">
        <v>127.2</v>
      </c>
      <c r="G1331">
        <v>447521</v>
      </c>
      <c r="H1331" s="106"/>
      <c r="I1331" s="106"/>
      <c r="L1331" s="143">
        <v>43970</v>
      </c>
      <c r="M1331" s="106">
        <v>127.1</v>
      </c>
      <c r="N1331" s="106">
        <v>132.35</v>
      </c>
      <c r="O1331" s="106">
        <v>126.35</v>
      </c>
      <c r="P1331" s="106">
        <v>129.69999999999999</v>
      </c>
      <c r="Q1331" s="106">
        <v>127.1</v>
      </c>
      <c r="R1331">
        <v>12230168</v>
      </c>
    </row>
    <row r="1332" spans="1:18" x14ac:dyDescent="0.25">
      <c r="A1332" s="143">
        <v>43971</v>
      </c>
      <c r="B1332" s="106">
        <v>136.69999999999999</v>
      </c>
      <c r="C1332" s="106">
        <v>135.1</v>
      </c>
      <c r="D1332" s="106">
        <v>125.3</v>
      </c>
      <c r="E1332" s="106">
        <v>126.45</v>
      </c>
      <c r="F1332" s="106">
        <v>135.1</v>
      </c>
      <c r="G1332">
        <v>404955</v>
      </c>
      <c r="H1332" s="106"/>
      <c r="I1332" s="106"/>
      <c r="L1332" s="143">
        <v>43971</v>
      </c>
      <c r="M1332" s="106">
        <v>135.15</v>
      </c>
      <c r="N1332" s="106">
        <v>136.80000000000001</v>
      </c>
      <c r="O1332" s="106">
        <v>125</v>
      </c>
      <c r="P1332" s="106">
        <v>127</v>
      </c>
      <c r="Q1332" s="106">
        <v>135.15</v>
      </c>
      <c r="R1332">
        <v>11693226</v>
      </c>
    </row>
    <row r="1333" spans="1:18" x14ac:dyDescent="0.25">
      <c r="A1333" s="143">
        <v>43972</v>
      </c>
      <c r="B1333" s="106">
        <v>138.80000000000001</v>
      </c>
      <c r="C1333" s="106">
        <v>129.9</v>
      </c>
      <c r="D1333" s="106">
        <v>128.85</v>
      </c>
      <c r="E1333" s="106">
        <v>137.80000000000001</v>
      </c>
      <c r="F1333" s="106">
        <v>129.9</v>
      </c>
      <c r="G1333">
        <v>555770</v>
      </c>
      <c r="H1333" s="106"/>
      <c r="I1333" s="106"/>
      <c r="L1333" s="143">
        <v>43972</v>
      </c>
      <c r="M1333" s="106">
        <v>129.85</v>
      </c>
      <c r="N1333" s="106">
        <v>138.75</v>
      </c>
      <c r="O1333" s="106">
        <v>128.69999999999999</v>
      </c>
      <c r="P1333" s="106">
        <v>137.15</v>
      </c>
      <c r="Q1333" s="106">
        <v>129.85</v>
      </c>
      <c r="R1333">
        <v>12926318</v>
      </c>
    </row>
    <row r="1334" spans="1:18" x14ac:dyDescent="0.25">
      <c r="A1334" s="143">
        <v>43973</v>
      </c>
      <c r="B1334" s="106">
        <v>133.05000000000001</v>
      </c>
      <c r="C1334" s="106">
        <v>123.25</v>
      </c>
      <c r="D1334" s="106">
        <v>121.2</v>
      </c>
      <c r="E1334" s="106">
        <v>130</v>
      </c>
      <c r="F1334" s="106">
        <v>123.25</v>
      </c>
      <c r="G1334">
        <v>632112</v>
      </c>
      <c r="H1334" s="106"/>
      <c r="I1334" s="106"/>
      <c r="L1334" s="143">
        <v>43973</v>
      </c>
      <c r="M1334" s="106">
        <v>123.2</v>
      </c>
      <c r="N1334" s="106">
        <v>133.19999999999999</v>
      </c>
      <c r="O1334" s="106">
        <v>121.2</v>
      </c>
      <c r="P1334" s="106">
        <v>130.30000000000001</v>
      </c>
      <c r="Q1334" s="106">
        <v>123.2</v>
      </c>
      <c r="R1334">
        <v>19823411</v>
      </c>
    </row>
    <row r="1335" spans="1:18" x14ac:dyDescent="0.25">
      <c r="A1335" s="143">
        <v>43977</v>
      </c>
      <c r="B1335" s="106">
        <v>127.8</v>
      </c>
      <c r="C1335" s="106">
        <v>122.15</v>
      </c>
      <c r="D1335" s="106">
        <v>120.55</v>
      </c>
      <c r="E1335" s="106">
        <v>127.8</v>
      </c>
      <c r="F1335" s="106">
        <v>122.15</v>
      </c>
      <c r="G1335">
        <v>379033</v>
      </c>
      <c r="H1335" s="106"/>
      <c r="I1335" s="106"/>
      <c r="L1335" s="143">
        <v>43977</v>
      </c>
      <c r="M1335" s="106">
        <v>122.1</v>
      </c>
      <c r="N1335" s="106">
        <v>126.9</v>
      </c>
      <c r="O1335" s="106">
        <v>120.5</v>
      </c>
      <c r="P1335" s="106">
        <v>126.55</v>
      </c>
      <c r="Q1335" s="106">
        <v>122.1</v>
      </c>
      <c r="R1335">
        <v>10894130</v>
      </c>
    </row>
    <row r="1336" spans="1:18" x14ac:dyDescent="0.25">
      <c r="A1336" s="143">
        <v>43978</v>
      </c>
      <c r="B1336" s="106">
        <v>138.69999999999999</v>
      </c>
      <c r="C1336" s="106">
        <v>135.15</v>
      </c>
      <c r="D1336" s="106">
        <v>120.2</v>
      </c>
      <c r="E1336" s="106">
        <v>122.6</v>
      </c>
      <c r="F1336" s="106">
        <v>135.15</v>
      </c>
      <c r="G1336">
        <v>678784</v>
      </c>
      <c r="H1336" s="106"/>
      <c r="I1336" s="106"/>
      <c r="L1336" s="143">
        <v>43978</v>
      </c>
      <c r="M1336" s="106">
        <v>135.30000000000001</v>
      </c>
      <c r="N1336" s="106">
        <v>140.4</v>
      </c>
      <c r="O1336" s="106">
        <v>120.1</v>
      </c>
      <c r="P1336" s="106">
        <v>122.55</v>
      </c>
      <c r="Q1336" s="106">
        <v>135.30000000000001</v>
      </c>
      <c r="R1336">
        <v>21892618</v>
      </c>
    </row>
    <row r="1337" spans="1:18" x14ac:dyDescent="0.25">
      <c r="A1337" s="143">
        <v>43979</v>
      </c>
      <c r="B1337" s="106">
        <v>137.5</v>
      </c>
      <c r="C1337" s="106">
        <v>135</v>
      </c>
      <c r="D1337" s="106">
        <v>129.9</v>
      </c>
      <c r="E1337" s="106">
        <v>135.9</v>
      </c>
      <c r="F1337" s="106">
        <v>135</v>
      </c>
      <c r="G1337">
        <v>582199</v>
      </c>
      <c r="H1337" s="106"/>
      <c r="I1337" s="106"/>
      <c r="L1337" s="143">
        <v>43979</v>
      </c>
      <c r="M1337" s="106">
        <v>135.1</v>
      </c>
      <c r="N1337" s="106">
        <v>137.55000000000001</v>
      </c>
      <c r="O1337" s="106">
        <v>129.6</v>
      </c>
      <c r="P1337" s="106">
        <v>135</v>
      </c>
      <c r="Q1337" s="106">
        <v>135.1</v>
      </c>
      <c r="R1337">
        <v>17517968</v>
      </c>
    </row>
    <row r="1338" spans="1:18" x14ac:dyDescent="0.25">
      <c r="A1338" s="143">
        <v>43980</v>
      </c>
      <c r="B1338" s="106">
        <v>143.15</v>
      </c>
      <c r="C1338" s="106">
        <v>141.69999999999999</v>
      </c>
      <c r="D1338" s="106">
        <v>131.80000000000001</v>
      </c>
      <c r="E1338" s="106">
        <v>132</v>
      </c>
      <c r="F1338" s="106">
        <v>141.69999999999999</v>
      </c>
      <c r="G1338">
        <v>467708</v>
      </c>
      <c r="H1338" s="106"/>
      <c r="I1338" s="106"/>
      <c r="L1338" s="143">
        <v>43980</v>
      </c>
      <c r="M1338" s="106">
        <v>141.69999999999999</v>
      </c>
      <c r="N1338" s="106">
        <v>143.19999999999999</v>
      </c>
      <c r="O1338" s="106">
        <v>131.15</v>
      </c>
      <c r="P1338" s="106">
        <v>132.25</v>
      </c>
      <c r="Q1338" s="106">
        <v>141.69999999999999</v>
      </c>
      <c r="R1338">
        <v>16719953</v>
      </c>
    </row>
    <row r="1339" spans="1:18" x14ac:dyDescent="0.25">
      <c r="A1339" s="143">
        <v>43983</v>
      </c>
      <c r="B1339" s="106">
        <v>153.19999999999999</v>
      </c>
      <c r="C1339" s="106">
        <v>152.15</v>
      </c>
      <c r="D1339" s="106">
        <v>144.5</v>
      </c>
      <c r="E1339" s="106">
        <v>144.5</v>
      </c>
      <c r="F1339" s="106">
        <v>152.15</v>
      </c>
      <c r="G1339">
        <v>720624</v>
      </c>
      <c r="H1339" s="106"/>
      <c r="I1339" s="106"/>
      <c r="L1339" s="143">
        <v>43983</v>
      </c>
      <c r="M1339" s="106">
        <v>152.1</v>
      </c>
      <c r="N1339" s="106">
        <v>153.19999999999999</v>
      </c>
      <c r="O1339" s="106">
        <v>144.6</v>
      </c>
      <c r="P1339" s="106">
        <v>145</v>
      </c>
      <c r="Q1339" s="106">
        <v>152.1</v>
      </c>
      <c r="R1339">
        <v>16054843</v>
      </c>
    </row>
    <row r="1340" spans="1:18" x14ac:dyDescent="0.25">
      <c r="A1340" s="143">
        <v>43984</v>
      </c>
      <c r="B1340" s="106">
        <v>159.69999999999999</v>
      </c>
      <c r="C1340" s="106">
        <v>157.85</v>
      </c>
      <c r="D1340" s="106">
        <v>153.05000000000001</v>
      </c>
      <c r="E1340" s="106">
        <v>154</v>
      </c>
      <c r="F1340" s="106">
        <v>157.85</v>
      </c>
      <c r="G1340">
        <v>1110280</v>
      </c>
      <c r="H1340" s="106"/>
      <c r="I1340" s="106"/>
      <c r="L1340" s="143">
        <v>43984</v>
      </c>
      <c r="M1340" s="106">
        <v>157.9</v>
      </c>
      <c r="N1340" s="106">
        <v>159.75</v>
      </c>
      <c r="O1340" s="106">
        <v>153</v>
      </c>
      <c r="P1340" s="106">
        <v>154.25</v>
      </c>
      <c r="Q1340" s="106">
        <v>157.9</v>
      </c>
      <c r="R1340">
        <v>16246033</v>
      </c>
    </row>
    <row r="1341" spans="1:18" x14ac:dyDescent="0.25">
      <c r="A1341" s="143">
        <v>43985</v>
      </c>
      <c r="B1341" s="106">
        <v>164</v>
      </c>
      <c r="C1341" s="106">
        <v>155.75</v>
      </c>
      <c r="D1341" s="106">
        <v>154.4</v>
      </c>
      <c r="E1341" s="106">
        <v>160</v>
      </c>
      <c r="F1341" s="106">
        <v>155.75</v>
      </c>
      <c r="G1341">
        <v>551908</v>
      </c>
      <c r="H1341" s="106"/>
      <c r="I1341" s="106"/>
      <c r="L1341" s="143">
        <v>43985</v>
      </c>
      <c r="M1341" s="106">
        <v>155.85</v>
      </c>
      <c r="N1341" s="106">
        <v>164</v>
      </c>
      <c r="O1341" s="106">
        <v>154.35</v>
      </c>
      <c r="P1341" s="106">
        <v>160</v>
      </c>
      <c r="Q1341" s="106">
        <v>155.85</v>
      </c>
      <c r="R1341">
        <v>13811294</v>
      </c>
    </row>
    <row r="1342" spans="1:18" x14ac:dyDescent="0.25">
      <c r="A1342" s="143">
        <v>43986</v>
      </c>
      <c r="B1342" s="106">
        <v>158.44999999999999</v>
      </c>
      <c r="C1342" s="106">
        <v>142.65</v>
      </c>
      <c r="D1342" s="106">
        <v>141.65</v>
      </c>
      <c r="E1342" s="106">
        <v>155.75</v>
      </c>
      <c r="F1342" s="106">
        <v>142.65</v>
      </c>
      <c r="G1342">
        <v>1117552</v>
      </c>
      <c r="H1342" s="106"/>
      <c r="I1342" s="106"/>
      <c r="L1342" s="143">
        <v>43986</v>
      </c>
      <c r="M1342" s="106">
        <v>142.6</v>
      </c>
      <c r="N1342" s="106">
        <v>158.6</v>
      </c>
      <c r="O1342" s="106">
        <v>141.4</v>
      </c>
      <c r="P1342" s="106">
        <v>156</v>
      </c>
      <c r="Q1342" s="106">
        <v>142.6</v>
      </c>
      <c r="R1342">
        <v>24104883</v>
      </c>
    </row>
    <row r="1343" spans="1:18" x14ac:dyDescent="0.25">
      <c r="A1343" s="143">
        <v>43987</v>
      </c>
      <c r="B1343" s="106">
        <v>147.25</v>
      </c>
      <c r="C1343" s="106">
        <v>145.35</v>
      </c>
      <c r="D1343" s="106">
        <v>140.35</v>
      </c>
      <c r="E1343" s="106">
        <v>145.44999999999999</v>
      </c>
      <c r="F1343" s="106">
        <v>145.35</v>
      </c>
      <c r="G1343">
        <v>624719</v>
      </c>
      <c r="H1343" s="106"/>
      <c r="I1343" s="106"/>
      <c r="L1343" s="143">
        <v>43987</v>
      </c>
      <c r="M1343" s="106">
        <v>145.4</v>
      </c>
      <c r="N1343" s="106">
        <v>147.30000000000001</v>
      </c>
      <c r="O1343" s="106">
        <v>140.30000000000001</v>
      </c>
      <c r="P1343" s="106">
        <v>145</v>
      </c>
      <c r="Q1343" s="106">
        <v>145.4</v>
      </c>
      <c r="R1343">
        <v>17141514</v>
      </c>
    </row>
    <row r="1344" spans="1:18" x14ac:dyDescent="0.25">
      <c r="A1344" s="143">
        <v>43990</v>
      </c>
      <c r="B1344" s="106">
        <v>153.75</v>
      </c>
      <c r="C1344" s="106">
        <v>146.65</v>
      </c>
      <c r="D1344" s="106">
        <v>144.6</v>
      </c>
      <c r="E1344" s="106">
        <v>150</v>
      </c>
      <c r="F1344" s="106">
        <v>146.65</v>
      </c>
      <c r="G1344">
        <v>746540</v>
      </c>
      <c r="H1344" s="106"/>
      <c r="I1344" s="106"/>
      <c r="L1344" s="143">
        <v>43990</v>
      </c>
      <c r="M1344" s="106">
        <v>146.65</v>
      </c>
      <c r="N1344" s="106">
        <v>153.85</v>
      </c>
      <c r="O1344" s="106">
        <v>144.5</v>
      </c>
      <c r="P1344" s="106">
        <v>150</v>
      </c>
      <c r="Q1344" s="106">
        <v>146.65</v>
      </c>
      <c r="R1344">
        <v>17151428</v>
      </c>
    </row>
    <row r="1345" spans="1:18" x14ac:dyDescent="0.25">
      <c r="A1345" s="143">
        <v>43991</v>
      </c>
      <c r="B1345" s="106">
        <v>157.5</v>
      </c>
      <c r="C1345" s="106">
        <v>150.4</v>
      </c>
      <c r="D1345" s="106">
        <v>146.35</v>
      </c>
      <c r="E1345" s="106">
        <v>149.44999999999999</v>
      </c>
      <c r="F1345" s="106">
        <v>150.4</v>
      </c>
      <c r="G1345">
        <v>931034</v>
      </c>
      <c r="H1345" s="106"/>
      <c r="I1345" s="106"/>
      <c r="L1345" s="143">
        <v>43991</v>
      </c>
      <c r="M1345" s="106">
        <v>150.4</v>
      </c>
      <c r="N1345" s="106">
        <v>157.5</v>
      </c>
      <c r="O1345" s="106">
        <v>146.19999999999999</v>
      </c>
      <c r="P1345" s="106">
        <v>148.5</v>
      </c>
      <c r="Q1345" s="106">
        <v>150.4</v>
      </c>
      <c r="R1345">
        <v>23273951</v>
      </c>
    </row>
    <row r="1346" spans="1:18" x14ac:dyDescent="0.25">
      <c r="A1346" s="143">
        <v>43992</v>
      </c>
      <c r="B1346" s="106">
        <v>157.69999999999999</v>
      </c>
      <c r="C1346" s="106">
        <v>155.9</v>
      </c>
      <c r="D1346" s="106">
        <v>150.05000000000001</v>
      </c>
      <c r="E1346" s="106">
        <v>151.69999999999999</v>
      </c>
      <c r="F1346" s="106">
        <v>155.9</v>
      </c>
      <c r="G1346">
        <v>573727</v>
      </c>
      <c r="H1346" s="106"/>
      <c r="I1346" s="106"/>
      <c r="L1346" s="143">
        <v>43992</v>
      </c>
      <c r="M1346" s="106">
        <v>155.69999999999999</v>
      </c>
      <c r="N1346" s="106">
        <v>158</v>
      </c>
      <c r="O1346" s="106">
        <v>150.19999999999999</v>
      </c>
      <c r="P1346" s="106">
        <v>151</v>
      </c>
      <c r="Q1346" s="106">
        <v>155.69999999999999</v>
      </c>
      <c r="R1346">
        <v>16033901</v>
      </c>
    </row>
    <row r="1347" spans="1:18" x14ac:dyDescent="0.25">
      <c r="A1347" s="143">
        <v>43993</v>
      </c>
      <c r="B1347" s="106">
        <v>165.1</v>
      </c>
      <c r="C1347" s="106">
        <v>150.9</v>
      </c>
      <c r="D1347" s="106">
        <v>150</v>
      </c>
      <c r="E1347" s="106">
        <v>152.55000000000001</v>
      </c>
      <c r="F1347" s="106">
        <v>150.9</v>
      </c>
      <c r="G1347">
        <v>1032908</v>
      </c>
      <c r="H1347" s="106"/>
      <c r="I1347" s="106"/>
      <c r="L1347" s="143">
        <v>43993</v>
      </c>
      <c r="M1347" s="106">
        <v>150.94999999999999</v>
      </c>
      <c r="N1347" s="106">
        <v>165</v>
      </c>
      <c r="O1347" s="106">
        <v>150</v>
      </c>
      <c r="P1347" s="106">
        <v>156.94999999999999</v>
      </c>
      <c r="Q1347" s="106">
        <v>150.94999999999999</v>
      </c>
      <c r="R1347">
        <v>24326077</v>
      </c>
    </row>
    <row r="1348" spans="1:18" x14ac:dyDescent="0.25">
      <c r="A1348" s="143">
        <v>43994</v>
      </c>
      <c r="B1348" s="106">
        <v>161.35</v>
      </c>
      <c r="C1348" s="106">
        <v>160.1</v>
      </c>
      <c r="D1348" s="106">
        <v>140</v>
      </c>
      <c r="E1348" s="106">
        <v>140</v>
      </c>
      <c r="F1348" s="106">
        <v>160.1</v>
      </c>
      <c r="G1348">
        <v>886539</v>
      </c>
      <c r="H1348" s="106"/>
      <c r="I1348" s="106"/>
      <c r="L1348" s="143">
        <v>43994</v>
      </c>
      <c r="M1348" s="106">
        <v>160.05000000000001</v>
      </c>
      <c r="N1348" s="106">
        <v>161.5</v>
      </c>
      <c r="O1348" s="106">
        <v>139</v>
      </c>
      <c r="P1348" s="106">
        <v>139</v>
      </c>
      <c r="Q1348" s="106">
        <v>160.05000000000001</v>
      </c>
      <c r="R1348">
        <v>22227409</v>
      </c>
    </row>
    <row r="1349" spans="1:18" x14ac:dyDescent="0.25">
      <c r="A1349" s="143">
        <v>43997</v>
      </c>
      <c r="B1349" s="106">
        <v>163.05000000000001</v>
      </c>
      <c r="C1349" s="106">
        <v>155.35</v>
      </c>
      <c r="D1349" s="106">
        <v>152.1</v>
      </c>
      <c r="E1349" s="106">
        <v>160</v>
      </c>
      <c r="F1349" s="106">
        <v>155.35</v>
      </c>
      <c r="G1349">
        <v>1043243</v>
      </c>
      <c r="H1349" s="106"/>
      <c r="I1349" s="106"/>
      <c r="L1349" s="143">
        <v>43997</v>
      </c>
      <c r="M1349" s="106">
        <v>155.30000000000001</v>
      </c>
      <c r="N1349" s="106">
        <v>163.1</v>
      </c>
      <c r="O1349" s="106">
        <v>152.1</v>
      </c>
      <c r="P1349" s="106">
        <v>160.05000000000001</v>
      </c>
      <c r="Q1349" s="106">
        <v>155.30000000000001</v>
      </c>
      <c r="R1349">
        <v>24109673</v>
      </c>
    </row>
    <row r="1350" spans="1:18" x14ac:dyDescent="0.25">
      <c r="A1350" s="143">
        <v>43998</v>
      </c>
      <c r="B1350" s="106">
        <v>162.5</v>
      </c>
      <c r="C1350" s="106">
        <v>155.5</v>
      </c>
      <c r="D1350" s="106">
        <v>151.35</v>
      </c>
      <c r="E1350" s="106">
        <v>160</v>
      </c>
      <c r="F1350" s="106">
        <v>155.5</v>
      </c>
      <c r="G1350">
        <v>1436065</v>
      </c>
      <c r="H1350" s="106"/>
      <c r="I1350" s="106"/>
      <c r="L1350" s="143">
        <v>43998</v>
      </c>
      <c r="M1350" s="106">
        <v>155.44999999999999</v>
      </c>
      <c r="N1350" s="106">
        <v>162.4</v>
      </c>
      <c r="O1350" s="106">
        <v>151.19999999999999</v>
      </c>
      <c r="P1350" s="106">
        <v>161</v>
      </c>
      <c r="Q1350" s="106">
        <v>155.44999999999999</v>
      </c>
      <c r="R1350">
        <v>17577175</v>
      </c>
    </row>
    <row r="1351" spans="1:18" x14ac:dyDescent="0.25">
      <c r="A1351" s="143">
        <v>43999</v>
      </c>
      <c r="B1351" s="106">
        <v>170.6</v>
      </c>
      <c r="C1351" s="106">
        <v>168.4</v>
      </c>
      <c r="D1351" s="106">
        <v>150.55000000000001</v>
      </c>
      <c r="E1351" s="106">
        <v>155</v>
      </c>
      <c r="F1351" s="106">
        <v>168.4</v>
      </c>
      <c r="G1351">
        <v>2446250</v>
      </c>
      <c r="H1351" s="106"/>
      <c r="I1351" s="106"/>
      <c r="L1351" s="143">
        <v>43999</v>
      </c>
      <c r="M1351" s="106">
        <v>168.2</v>
      </c>
      <c r="N1351" s="106">
        <v>170.5</v>
      </c>
      <c r="O1351" s="106">
        <v>153.19999999999999</v>
      </c>
      <c r="P1351" s="106">
        <v>155</v>
      </c>
      <c r="Q1351" s="106">
        <v>168.2</v>
      </c>
      <c r="R1351">
        <v>39970309</v>
      </c>
    </row>
    <row r="1352" spans="1:18" x14ac:dyDescent="0.25">
      <c r="A1352" s="143">
        <v>44000</v>
      </c>
      <c r="B1352" s="106">
        <v>179</v>
      </c>
      <c r="C1352" s="106">
        <v>178.05</v>
      </c>
      <c r="D1352" s="106">
        <v>168.5</v>
      </c>
      <c r="E1352" s="106">
        <v>168.6</v>
      </c>
      <c r="F1352" s="106">
        <v>178.05</v>
      </c>
      <c r="G1352">
        <v>2374641</v>
      </c>
      <c r="H1352" s="106"/>
      <c r="I1352" s="106"/>
      <c r="L1352" s="143">
        <v>44000</v>
      </c>
      <c r="M1352" s="106">
        <v>178</v>
      </c>
      <c r="N1352" s="106">
        <v>178.8</v>
      </c>
      <c r="O1352" s="106">
        <v>168.2</v>
      </c>
      <c r="P1352" s="106">
        <v>168.2</v>
      </c>
      <c r="Q1352" s="106">
        <v>178</v>
      </c>
      <c r="R1352">
        <v>26257427</v>
      </c>
    </row>
    <row r="1353" spans="1:18" x14ac:dyDescent="0.25">
      <c r="A1353" s="143">
        <v>44001</v>
      </c>
      <c r="B1353" s="106">
        <v>203.6</v>
      </c>
      <c r="C1353" s="106">
        <v>197.65</v>
      </c>
      <c r="D1353" s="106">
        <v>179.2</v>
      </c>
      <c r="E1353" s="106">
        <v>179.8</v>
      </c>
      <c r="F1353" s="106">
        <v>197.65</v>
      </c>
      <c r="G1353">
        <v>1976409</v>
      </c>
      <c r="H1353" s="106"/>
      <c r="I1353" s="106"/>
      <c r="L1353" s="143">
        <v>44001</v>
      </c>
      <c r="M1353" s="106">
        <v>196.8</v>
      </c>
      <c r="N1353" s="106">
        <v>204.7</v>
      </c>
      <c r="O1353" s="106">
        <v>179</v>
      </c>
      <c r="P1353" s="106">
        <v>179</v>
      </c>
      <c r="Q1353" s="106">
        <v>196.8</v>
      </c>
      <c r="R1353">
        <v>36815093</v>
      </c>
    </row>
    <row r="1354" spans="1:18" x14ac:dyDescent="0.25">
      <c r="A1354" s="143">
        <v>44004</v>
      </c>
      <c r="B1354" s="106">
        <v>216.85</v>
      </c>
      <c r="C1354" s="106">
        <v>204.35</v>
      </c>
      <c r="D1354" s="106">
        <v>199.75</v>
      </c>
      <c r="E1354" s="106">
        <v>201</v>
      </c>
      <c r="F1354" s="106">
        <v>204.35</v>
      </c>
      <c r="G1354">
        <v>2033948</v>
      </c>
      <c r="H1354" s="106"/>
      <c r="I1354" s="106"/>
      <c r="L1354" s="143">
        <v>44004</v>
      </c>
      <c r="M1354" s="106">
        <v>204.7</v>
      </c>
      <c r="N1354" s="106">
        <v>216.45</v>
      </c>
      <c r="O1354" s="106">
        <v>199.5</v>
      </c>
      <c r="P1354" s="106">
        <v>201</v>
      </c>
      <c r="Q1354" s="106">
        <v>204.7</v>
      </c>
      <c r="R1354">
        <v>41613534</v>
      </c>
    </row>
    <row r="1355" spans="1:18" x14ac:dyDescent="0.25">
      <c r="A1355" s="143">
        <v>44005</v>
      </c>
      <c r="B1355" s="106">
        <v>211.2</v>
      </c>
      <c r="C1355" s="106">
        <v>204.25</v>
      </c>
      <c r="D1355" s="106">
        <v>196.65</v>
      </c>
      <c r="E1355" s="106">
        <v>205</v>
      </c>
      <c r="F1355" s="106">
        <v>204.25</v>
      </c>
      <c r="G1355">
        <v>784552</v>
      </c>
      <c r="H1355" s="106"/>
      <c r="I1355" s="106"/>
      <c r="L1355" s="143">
        <v>44005</v>
      </c>
      <c r="M1355" s="106">
        <v>204.15</v>
      </c>
      <c r="N1355" s="106">
        <v>211.45</v>
      </c>
      <c r="O1355" s="106">
        <v>196.55</v>
      </c>
      <c r="P1355" s="106">
        <v>206.45</v>
      </c>
      <c r="Q1355" s="106">
        <v>204.15</v>
      </c>
      <c r="R1355">
        <v>20317673</v>
      </c>
    </row>
    <row r="1356" spans="1:18" x14ac:dyDescent="0.25">
      <c r="A1356" s="143">
        <v>44006</v>
      </c>
      <c r="B1356" s="106">
        <v>208.9</v>
      </c>
      <c r="C1356" s="106">
        <v>196.6</v>
      </c>
      <c r="D1356" s="106">
        <v>194.6</v>
      </c>
      <c r="E1356" s="106">
        <v>208.9</v>
      </c>
      <c r="F1356" s="106">
        <v>196.6</v>
      </c>
      <c r="G1356">
        <v>1033367</v>
      </c>
      <c r="H1356" s="106"/>
      <c r="I1356" s="106"/>
      <c r="L1356" s="143">
        <v>44006</v>
      </c>
      <c r="M1356" s="106">
        <v>196.8</v>
      </c>
      <c r="N1356" s="106">
        <v>209.15</v>
      </c>
      <c r="O1356" s="106">
        <v>194.55</v>
      </c>
      <c r="P1356" s="106">
        <v>209.15</v>
      </c>
      <c r="Q1356" s="106">
        <v>196.8</v>
      </c>
      <c r="R1356">
        <v>21457595</v>
      </c>
    </row>
    <row r="1357" spans="1:18" x14ac:dyDescent="0.25">
      <c r="A1357" s="143">
        <v>44007</v>
      </c>
      <c r="B1357" s="106">
        <v>208.2</v>
      </c>
      <c r="C1357" s="106">
        <v>206.2</v>
      </c>
      <c r="D1357" s="106">
        <v>190.2</v>
      </c>
      <c r="E1357" s="106">
        <v>191.2</v>
      </c>
      <c r="F1357" s="106">
        <v>206.2</v>
      </c>
      <c r="G1357">
        <v>1068201</v>
      </c>
      <c r="H1357" s="106"/>
      <c r="I1357" s="106"/>
      <c r="L1357" s="143">
        <v>44007</v>
      </c>
      <c r="M1357" s="106">
        <v>205.95</v>
      </c>
      <c r="N1357" s="106">
        <v>208.4</v>
      </c>
      <c r="O1357" s="106">
        <v>190.1</v>
      </c>
      <c r="P1357" s="106">
        <v>192.7</v>
      </c>
      <c r="Q1357" s="106">
        <v>205.95</v>
      </c>
      <c r="R1357">
        <v>22336542</v>
      </c>
    </row>
    <row r="1358" spans="1:18" x14ac:dyDescent="0.25">
      <c r="A1358" s="143">
        <v>44008</v>
      </c>
      <c r="B1358" s="106">
        <v>211.85</v>
      </c>
      <c r="C1358" s="106">
        <v>201.5</v>
      </c>
      <c r="D1358" s="106">
        <v>200</v>
      </c>
      <c r="E1358" s="106">
        <v>209.05</v>
      </c>
      <c r="F1358" s="106">
        <v>201.5</v>
      </c>
      <c r="G1358">
        <v>967851</v>
      </c>
      <c r="H1358" s="106"/>
      <c r="I1358" s="106"/>
      <c r="L1358" s="143">
        <v>44008</v>
      </c>
      <c r="M1358" s="106">
        <v>201.8</v>
      </c>
      <c r="N1358" s="106">
        <v>211.75</v>
      </c>
      <c r="O1358" s="106">
        <v>200</v>
      </c>
      <c r="P1358" s="106">
        <v>210</v>
      </c>
      <c r="Q1358" s="106">
        <v>201.8</v>
      </c>
      <c r="R1358">
        <v>16997483</v>
      </c>
    </row>
    <row r="1359" spans="1:18" x14ac:dyDescent="0.25">
      <c r="A1359" s="143">
        <v>44011</v>
      </c>
      <c r="B1359" s="106">
        <v>201.5</v>
      </c>
      <c r="C1359" s="106">
        <v>193.05</v>
      </c>
      <c r="D1359" s="106">
        <v>188.65</v>
      </c>
      <c r="E1359" s="106">
        <v>201.5</v>
      </c>
      <c r="F1359" s="106">
        <v>193.05</v>
      </c>
      <c r="G1359">
        <v>675448</v>
      </c>
      <c r="H1359" s="106"/>
      <c r="I1359" s="106"/>
      <c r="L1359" s="143">
        <v>44011</v>
      </c>
      <c r="M1359" s="106">
        <v>193</v>
      </c>
      <c r="N1359" s="106">
        <v>200</v>
      </c>
      <c r="O1359" s="106">
        <v>188.5</v>
      </c>
      <c r="P1359" s="106">
        <v>200</v>
      </c>
      <c r="Q1359" s="106">
        <v>193</v>
      </c>
      <c r="R1359">
        <v>14791621</v>
      </c>
    </row>
    <row r="1360" spans="1:18" x14ac:dyDescent="0.25">
      <c r="A1360" s="143">
        <v>44012</v>
      </c>
      <c r="B1360" s="106">
        <v>199</v>
      </c>
      <c r="C1360" s="106">
        <v>189.1</v>
      </c>
      <c r="D1360" s="106">
        <v>187.5</v>
      </c>
      <c r="E1360" s="106">
        <v>198</v>
      </c>
      <c r="F1360" s="106">
        <v>189.1</v>
      </c>
      <c r="G1360">
        <v>568659</v>
      </c>
      <c r="H1360" s="106"/>
      <c r="I1360" s="106"/>
      <c r="L1360" s="143">
        <v>44012</v>
      </c>
      <c r="M1360" s="106">
        <v>189.4</v>
      </c>
      <c r="N1360" s="106">
        <v>199.15</v>
      </c>
      <c r="O1360" s="106">
        <v>187.8</v>
      </c>
      <c r="P1360" s="106">
        <v>197.7</v>
      </c>
      <c r="Q1360" s="106">
        <v>189.4</v>
      </c>
      <c r="R1360">
        <v>10329029</v>
      </c>
    </row>
    <row r="1361" spans="1:18" x14ac:dyDescent="0.25">
      <c r="A1361" s="143">
        <v>44013</v>
      </c>
      <c r="B1361" s="106">
        <v>199.65</v>
      </c>
      <c r="C1361" s="106">
        <v>196.9</v>
      </c>
      <c r="D1361" s="106">
        <v>187.05</v>
      </c>
      <c r="E1361" s="106">
        <v>190.9</v>
      </c>
      <c r="F1361" s="106">
        <v>196.9</v>
      </c>
      <c r="G1361">
        <v>619095</v>
      </c>
      <c r="H1361" s="106"/>
      <c r="I1361" s="106"/>
      <c r="L1361" s="143">
        <v>44013</v>
      </c>
      <c r="M1361" s="106">
        <v>197</v>
      </c>
      <c r="N1361" s="106">
        <v>199.75</v>
      </c>
      <c r="O1361" s="106">
        <v>187</v>
      </c>
      <c r="P1361" s="106">
        <v>190</v>
      </c>
      <c r="Q1361" s="106">
        <v>197</v>
      </c>
      <c r="R1361">
        <v>18253804</v>
      </c>
    </row>
    <row r="1362" spans="1:18" x14ac:dyDescent="0.25">
      <c r="A1362" s="143">
        <v>44014</v>
      </c>
      <c r="B1362" s="106">
        <v>201.7</v>
      </c>
      <c r="C1362" s="106">
        <v>197.2</v>
      </c>
      <c r="D1362" s="106">
        <v>192.25</v>
      </c>
      <c r="E1362" s="106">
        <v>199.95</v>
      </c>
      <c r="F1362" s="106">
        <v>197.2</v>
      </c>
      <c r="G1362">
        <v>550900</v>
      </c>
      <c r="H1362" s="106"/>
      <c r="I1362" s="106"/>
      <c r="L1362" s="143">
        <v>44014</v>
      </c>
      <c r="M1362" s="106">
        <v>197.1</v>
      </c>
      <c r="N1362" s="106">
        <v>201.95</v>
      </c>
      <c r="O1362" s="106">
        <v>192.1</v>
      </c>
      <c r="P1362" s="106">
        <v>199.9</v>
      </c>
      <c r="Q1362" s="106">
        <v>197.1</v>
      </c>
      <c r="R1362">
        <v>15051576</v>
      </c>
    </row>
    <row r="1363" spans="1:18" x14ac:dyDescent="0.25">
      <c r="A1363" s="143">
        <v>44015</v>
      </c>
      <c r="B1363" s="106">
        <v>204.75</v>
      </c>
      <c r="C1363" s="106">
        <v>196.7</v>
      </c>
      <c r="D1363" s="106">
        <v>194.4</v>
      </c>
      <c r="E1363" s="106">
        <v>199</v>
      </c>
      <c r="F1363" s="106">
        <v>196.7</v>
      </c>
      <c r="G1363">
        <v>1297748</v>
      </c>
      <c r="H1363" s="106"/>
      <c r="I1363" s="106"/>
      <c r="L1363" s="143">
        <v>44015</v>
      </c>
      <c r="M1363" s="106">
        <v>196.7</v>
      </c>
      <c r="N1363" s="106">
        <v>204.7</v>
      </c>
      <c r="O1363" s="106">
        <v>194.4</v>
      </c>
      <c r="P1363" s="106">
        <v>198</v>
      </c>
      <c r="Q1363" s="106">
        <v>196.7</v>
      </c>
      <c r="R1363">
        <v>23043297</v>
      </c>
    </row>
    <row r="1364" spans="1:18" x14ac:dyDescent="0.25">
      <c r="A1364" s="143">
        <v>44018</v>
      </c>
      <c r="B1364" s="106">
        <v>202</v>
      </c>
      <c r="C1364" s="106">
        <v>201.05</v>
      </c>
      <c r="D1364" s="106">
        <v>196.75</v>
      </c>
      <c r="E1364" s="106">
        <v>201.5</v>
      </c>
      <c r="F1364" s="106">
        <v>201.05</v>
      </c>
      <c r="G1364">
        <v>537283</v>
      </c>
      <c r="H1364" s="106"/>
      <c r="I1364" s="106"/>
      <c r="L1364" s="143">
        <v>44018</v>
      </c>
      <c r="M1364" s="106">
        <v>201.1</v>
      </c>
      <c r="N1364" s="106">
        <v>202</v>
      </c>
      <c r="O1364" s="106">
        <v>196.65</v>
      </c>
      <c r="P1364" s="106">
        <v>200</v>
      </c>
      <c r="Q1364" s="106">
        <v>201.1</v>
      </c>
      <c r="R1364">
        <v>11027733</v>
      </c>
    </row>
    <row r="1365" spans="1:18" x14ac:dyDescent="0.25">
      <c r="A1365" s="143">
        <v>44019</v>
      </c>
      <c r="B1365" s="106">
        <v>215</v>
      </c>
      <c r="C1365" s="106">
        <v>212.9</v>
      </c>
      <c r="D1365" s="106">
        <v>200.3</v>
      </c>
      <c r="E1365" s="106">
        <v>202</v>
      </c>
      <c r="F1365" s="106">
        <v>212.9</v>
      </c>
      <c r="G1365">
        <v>968280</v>
      </c>
      <c r="H1365" s="106"/>
      <c r="I1365" s="106"/>
      <c r="L1365" s="143">
        <v>44019</v>
      </c>
      <c r="M1365" s="106">
        <v>213.1</v>
      </c>
      <c r="N1365" s="106">
        <v>215</v>
      </c>
      <c r="O1365" s="106">
        <v>200.15</v>
      </c>
      <c r="P1365" s="106">
        <v>202</v>
      </c>
      <c r="Q1365" s="106">
        <v>213.1</v>
      </c>
      <c r="R1365">
        <v>24006710</v>
      </c>
    </row>
    <row r="1366" spans="1:18" x14ac:dyDescent="0.25">
      <c r="A1366" s="143">
        <v>44020</v>
      </c>
      <c r="B1366" s="106">
        <v>218</v>
      </c>
      <c r="C1366" s="106">
        <v>205.35</v>
      </c>
      <c r="D1366" s="106">
        <v>203.6</v>
      </c>
      <c r="E1366" s="106">
        <v>215</v>
      </c>
      <c r="F1366" s="106">
        <v>205.35</v>
      </c>
      <c r="G1366">
        <v>613605</v>
      </c>
      <c r="H1366" s="106"/>
      <c r="I1366" s="106"/>
      <c r="L1366" s="143">
        <v>44020</v>
      </c>
      <c r="M1366" s="106">
        <v>205.3</v>
      </c>
      <c r="N1366" s="106">
        <v>218</v>
      </c>
      <c r="O1366" s="106">
        <v>203.5</v>
      </c>
      <c r="P1366" s="106">
        <v>214.8</v>
      </c>
      <c r="Q1366" s="106">
        <v>205.3</v>
      </c>
      <c r="R1366">
        <v>14665711</v>
      </c>
    </row>
    <row r="1367" spans="1:18" x14ac:dyDescent="0.25">
      <c r="A1367" s="143">
        <v>44021</v>
      </c>
      <c r="B1367" s="106">
        <v>211</v>
      </c>
      <c r="C1367" s="106">
        <v>209</v>
      </c>
      <c r="D1367" s="106">
        <v>204.75</v>
      </c>
      <c r="E1367" s="106">
        <v>209</v>
      </c>
      <c r="F1367" s="106">
        <v>209</v>
      </c>
      <c r="G1367">
        <v>487447</v>
      </c>
      <c r="H1367" s="106"/>
      <c r="I1367" s="106"/>
      <c r="L1367" s="143">
        <v>44021</v>
      </c>
      <c r="M1367" s="106">
        <v>208.9</v>
      </c>
      <c r="N1367" s="106">
        <v>211.2</v>
      </c>
      <c r="O1367" s="106">
        <v>204.7</v>
      </c>
      <c r="P1367" s="106">
        <v>208.85</v>
      </c>
      <c r="Q1367" s="106">
        <v>208.9</v>
      </c>
      <c r="R1367">
        <v>8810982</v>
      </c>
    </row>
    <row r="1368" spans="1:18" x14ac:dyDescent="0.25">
      <c r="A1368" s="143">
        <v>44022</v>
      </c>
      <c r="B1368" s="106">
        <v>214.35</v>
      </c>
      <c r="C1368" s="106">
        <v>208.35</v>
      </c>
      <c r="D1368" s="106">
        <v>205.55</v>
      </c>
      <c r="E1368" s="106">
        <v>207.65</v>
      </c>
      <c r="F1368" s="106">
        <v>208.35</v>
      </c>
      <c r="G1368">
        <v>869060</v>
      </c>
      <c r="H1368" s="106"/>
      <c r="I1368" s="106"/>
      <c r="L1368" s="143">
        <v>44022</v>
      </c>
      <c r="M1368" s="106">
        <v>208.45</v>
      </c>
      <c r="N1368" s="106">
        <v>214.35</v>
      </c>
      <c r="O1368" s="106">
        <v>206</v>
      </c>
      <c r="P1368" s="106">
        <v>208</v>
      </c>
      <c r="Q1368" s="106">
        <v>208.45</v>
      </c>
      <c r="R1368">
        <v>11878127</v>
      </c>
    </row>
    <row r="1369" spans="1:18" x14ac:dyDescent="0.25">
      <c r="A1369" s="143">
        <v>44025</v>
      </c>
      <c r="B1369" s="106">
        <v>212.55</v>
      </c>
      <c r="C1369" s="106">
        <v>205.15</v>
      </c>
      <c r="D1369" s="106">
        <v>204.5</v>
      </c>
      <c r="E1369" s="106">
        <v>212</v>
      </c>
      <c r="F1369" s="106">
        <v>205.15</v>
      </c>
      <c r="G1369">
        <v>261386</v>
      </c>
      <c r="H1369" s="106"/>
      <c r="I1369" s="106"/>
      <c r="L1369" s="143">
        <v>44025</v>
      </c>
      <c r="M1369" s="106">
        <v>205.25</v>
      </c>
      <c r="N1369" s="106">
        <v>212.9</v>
      </c>
      <c r="O1369" s="106">
        <v>204.35</v>
      </c>
      <c r="P1369" s="106">
        <v>210</v>
      </c>
      <c r="Q1369" s="106">
        <v>205.25</v>
      </c>
      <c r="R1369">
        <v>5681014</v>
      </c>
    </row>
    <row r="1370" spans="1:18" x14ac:dyDescent="0.25">
      <c r="A1370" s="143">
        <v>44026</v>
      </c>
      <c r="B1370" s="106">
        <v>203.2</v>
      </c>
      <c r="C1370" s="106">
        <v>198.65</v>
      </c>
      <c r="D1370" s="106">
        <v>195.95</v>
      </c>
      <c r="E1370" s="106">
        <v>203.2</v>
      </c>
      <c r="F1370" s="106">
        <v>198.65</v>
      </c>
      <c r="G1370">
        <v>426190</v>
      </c>
      <c r="H1370" s="106"/>
      <c r="I1370" s="106"/>
      <c r="L1370" s="143">
        <v>44026</v>
      </c>
      <c r="M1370" s="106">
        <v>199</v>
      </c>
      <c r="N1370" s="106">
        <v>203.5</v>
      </c>
      <c r="O1370" s="106">
        <v>195.8</v>
      </c>
      <c r="P1370" s="106">
        <v>200</v>
      </c>
      <c r="Q1370" s="106">
        <v>199</v>
      </c>
      <c r="R1370">
        <v>7388425</v>
      </c>
    </row>
    <row r="1371" spans="1:18" x14ac:dyDescent="0.25">
      <c r="A1371" s="143">
        <v>44027</v>
      </c>
      <c r="B1371" s="106">
        <v>207.85</v>
      </c>
      <c r="C1371" s="106">
        <v>202.15</v>
      </c>
      <c r="D1371" s="106">
        <v>200.55</v>
      </c>
      <c r="E1371" s="106">
        <v>202.85</v>
      </c>
      <c r="F1371" s="106">
        <v>202.15</v>
      </c>
      <c r="G1371">
        <v>491050</v>
      </c>
      <c r="H1371" s="106"/>
      <c r="I1371" s="106"/>
      <c r="L1371" s="143">
        <v>44027</v>
      </c>
      <c r="M1371" s="106">
        <v>202.2</v>
      </c>
      <c r="N1371" s="106">
        <v>207.95</v>
      </c>
      <c r="O1371" s="106">
        <v>200.6</v>
      </c>
      <c r="P1371" s="106">
        <v>203</v>
      </c>
      <c r="Q1371" s="106">
        <v>202.2</v>
      </c>
      <c r="R1371">
        <v>9959302</v>
      </c>
    </row>
    <row r="1372" spans="1:18" x14ac:dyDescent="0.25">
      <c r="A1372" s="143">
        <v>44028</v>
      </c>
      <c r="B1372" s="106">
        <v>210.8</v>
      </c>
      <c r="C1372" s="106">
        <v>209.7</v>
      </c>
      <c r="D1372" s="106">
        <v>198.1</v>
      </c>
      <c r="E1372" s="106">
        <v>204</v>
      </c>
      <c r="F1372" s="106">
        <v>209.7</v>
      </c>
      <c r="G1372">
        <v>439295</v>
      </c>
      <c r="H1372" s="106"/>
      <c r="I1372" s="106"/>
      <c r="L1372" s="143">
        <v>44028</v>
      </c>
      <c r="M1372" s="106">
        <v>209.65</v>
      </c>
      <c r="N1372" s="106">
        <v>210.85</v>
      </c>
      <c r="O1372" s="106">
        <v>198</v>
      </c>
      <c r="P1372" s="106">
        <v>205</v>
      </c>
      <c r="Q1372" s="106">
        <v>209.65</v>
      </c>
      <c r="R1372">
        <v>10210682</v>
      </c>
    </row>
    <row r="1373" spans="1:18" x14ac:dyDescent="0.25">
      <c r="A1373" s="143">
        <v>44029</v>
      </c>
      <c r="B1373" s="106">
        <v>210.9</v>
      </c>
      <c r="C1373" s="106">
        <v>207.1</v>
      </c>
      <c r="D1373" s="106">
        <v>204.15</v>
      </c>
      <c r="E1373" s="106">
        <v>209.7</v>
      </c>
      <c r="F1373" s="106">
        <v>207.1</v>
      </c>
      <c r="G1373">
        <v>414446</v>
      </c>
      <c r="H1373" s="106"/>
      <c r="I1373" s="106"/>
      <c r="L1373" s="143">
        <v>44029</v>
      </c>
      <c r="M1373" s="106">
        <v>207.2</v>
      </c>
      <c r="N1373" s="106">
        <v>210.95</v>
      </c>
      <c r="O1373" s="106">
        <v>204.2</v>
      </c>
      <c r="P1373" s="106">
        <v>210</v>
      </c>
      <c r="Q1373" s="106">
        <v>207.2</v>
      </c>
      <c r="R1373">
        <v>6669571</v>
      </c>
    </row>
    <row r="1374" spans="1:18" x14ac:dyDescent="0.25">
      <c r="A1374" s="143">
        <v>44032</v>
      </c>
      <c r="B1374" s="106">
        <v>218.35</v>
      </c>
      <c r="C1374" s="106">
        <v>215.1</v>
      </c>
      <c r="D1374" s="106">
        <v>207.5</v>
      </c>
      <c r="E1374" s="106">
        <v>208.35</v>
      </c>
      <c r="F1374" s="106">
        <v>215.1</v>
      </c>
      <c r="G1374">
        <v>1015191</v>
      </c>
      <c r="H1374" s="106"/>
      <c r="I1374" s="106"/>
      <c r="L1374" s="143">
        <v>44032</v>
      </c>
      <c r="M1374" s="106">
        <v>215.2</v>
      </c>
      <c r="N1374" s="106">
        <v>218.6</v>
      </c>
      <c r="O1374" s="106">
        <v>207.05</v>
      </c>
      <c r="P1374" s="106">
        <v>207.2</v>
      </c>
      <c r="Q1374" s="106">
        <v>215.2</v>
      </c>
      <c r="R1374">
        <v>14158051</v>
      </c>
    </row>
    <row r="1375" spans="1:18" x14ac:dyDescent="0.25">
      <c r="A1375" s="143">
        <v>44033</v>
      </c>
      <c r="B1375" s="106">
        <v>220.5</v>
      </c>
      <c r="C1375" s="106">
        <v>212.4</v>
      </c>
      <c r="D1375" s="106">
        <v>211.75</v>
      </c>
      <c r="E1375" s="106">
        <v>217.8</v>
      </c>
      <c r="F1375" s="106">
        <v>212.4</v>
      </c>
      <c r="G1375">
        <v>402784</v>
      </c>
      <c r="H1375" s="106"/>
      <c r="I1375" s="106"/>
      <c r="L1375" s="143">
        <v>44033</v>
      </c>
      <c r="M1375" s="106">
        <v>212.55</v>
      </c>
      <c r="N1375" s="106">
        <v>220.5</v>
      </c>
      <c r="O1375" s="106">
        <v>211.55</v>
      </c>
      <c r="P1375" s="106">
        <v>216.75</v>
      </c>
      <c r="Q1375" s="106">
        <v>212.55</v>
      </c>
      <c r="R1375">
        <v>10686516</v>
      </c>
    </row>
    <row r="1376" spans="1:18" x14ac:dyDescent="0.25">
      <c r="A1376" s="143">
        <v>44034</v>
      </c>
      <c r="B1376" s="106">
        <v>224.05</v>
      </c>
      <c r="C1376" s="106">
        <v>220.4</v>
      </c>
      <c r="D1376" s="106">
        <v>207.1</v>
      </c>
      <c r="E1376" s="106">
        <v>212.2</v>
      </c>
      <c r="F1376" s="106">
        <v>220.4</v>
      </c>
      <c r="G1376">
        <v>593330</v>
      </c>
      <c r="H1376" s="106"/>
      <c r="I1376" s="106"/>
      <c r="L1376" s="143">
        <v>44034</v>
      </c>
      <c r="M1376" s="106">
        <v>220.9</v>
      </c>
      <c r="N1376" s="106">
        <v>224.2</v>
      </c>
      <c r="O1376" s="106">
        <v>207.05</v>
      </c>
      <c r="P1376" s="106">
        <v>212</v>
      </c>
      <c r="Q1376" s="106">
        <v>220.9</v>
      </c>
      <c r="R1376">
        <v>16591574</v>
      </c>
    </row>
    <row r="1377" spans="1:18" x14ac:dyDescent="0.25">
      <c r="A1377" s="143">
        <v>44035</v>
      </c>
      <c r="B1377" s="106">
        <v>224.45</v>
      </c>
      <c r="C1377" s="106">
        <v>222.45</v>
      </c>
      <c r="D1377" s="106">
        <v>218.5</v>
      </c>
      <c r="E1377" s="106">
        <v>220</v>
      </c>
      <c r="F1377" s="106">
        <v>222.45</v>
      </c>
      <c r="G1377">
        <v>403676</v>
      </c>
      <c r="H1377" s="106"/>
      <c r="I1377" s="106"/>
      <c r="L1377" s="143">
        <v>44035</v>
      </c>
      <c r="M1377" s="106">
        <v>222.55</v>
      </c>
      <c r="N1377" s="106">
        <v>224.55</v>
      </c>
      <c r="O1377" s="106">
        <v>218.5</v>
      </c>
      <c r="P1377" s="106">
        <v>221.3</v>
      </c>
      <c r="Q1377" s="106">
        <v>222.55</v>
      </c>
      <c r="R1377">
        <v>9687694</v>
      </c>
    </row>
    <row r="1378" spans="1:18" x14ac:dyDescent="0.25">
      <c r="A1378" s="143">
        <v>44036</v>
      </c>
      <c r="B1378" s="106">
        <v>219.85</v>
      </c>
      <c r="C1378" s="106">
        <v>212.65</v>
      </c>
      <c r="D1378" s="106">
        <v>212</v>
      </c>
      <c r="E1378" s="106">
        <v>219</v>
      </c>
      <c r="F1378" s="106">
        <v>212.65</v>
      </c>
      <c r="G1378">
        <v>329576</v>
      </c>
      <c r="H1378" s="106"/>
      <c r="I1378" s="106"/>
      <c r="L1378" s="143">
        <v>44036</v>
      </c>
      <c r="M1378" s="106">
        <v>212.35</v>
      </c>
      <c r="N1378" s="106">
        <v>219.95</v>
      </c>
      <c r="O1378" s="106">
        <v>212</v>
      </c>
      <c r="P1378" s="106">
        <v>218.05</v>
      </c>
      <c r="Q1378" s="106">
        <v>212.35</v>
      </c>
      <c r="R1378">
        <v>7771221</v>
      </c>
    </row>
    <row r="1379" spans="1:18" x14ac:dyDescent="0.25">
      <c r="A1379" s="143">
        <v>44039</v>
      </c>
      <c r="B1379" s="106">
        <v>214.4</v>
      </c>
      <c r="C1379" s="106">
        <v>208.95</v>
      </c>
      <c r="D1379" s="106">
        <v>207.05</v>
      </c>
      <c r="E1379" s="106">
        <v>212.05</v>
      </c>
      <c r="F1379" s="106">
        <v>208.95</v>
      </c>
      <c r="G1379">
        <v>405427</v>
      </c>
      <c r="H1379" s="106"/>
      <c r="I1379" s="106"/>
      <c r="L1379" s="143">
        <v>44039</v>
      </c>
      <c r="M1379" s="106">
        <v>208.8</v>
      </c>
      <c r="N1379" s="106">
        <v>214.4</v>
      </c>
      <c r="O1379" s="106">
        <v>207</v>
      </c>
      <c r="P1379" s="106">
        <v>213</v>
      </c>
      <c r="Q1379" s="106">
        <v>208.8</v>
      </c>
      <c r="R1379">
        <v>6443370</v>
      </c>
    </row>
    <row r="1380" spans="1:18" x14ac:dyDescent="0.25">
      <c r="A1380" s="143">
        <v>44040</v>
      </c>
      <c r="B1380" s="106">
        <v>217.2</v>
      </c>
      <c r="C1380" s="106">
        <v>215.25</v>
      </c>
      <c r="D1380" s="106">
        <v>209.55</v>
      </c>
      <c r="E1380" s="106">
        <v>209.55</v>
      </c>
      <c r="F1380" s="106">
        <v>215.25</v>
      </c>
      <c r="G1380">
        <v>317181</v>
      </c>
      <c r="H1380" s="106"/>
      <c r="I1380" s="106"/>
      <c r="L1380" s="143">
        <v>44040</v>
      </c>
      <c r="M1380" s="106">
        <v>215.65</v>
      </c>
      <c r="N1380" s="106">
        <v>217.25</v>
      </c>
      <c r="O1380" s="106">
        <v>209.5</v>
      </c>
      <c r="P1380" s="106">
        <v>210.9</v>
      </c>
      <c r="Q1380" s="106">
        <v>215.65</v>
      </c>
      <c r="R1380">
        <v>5420404</v>
      </c>
    </row>
    <row r="1381" spans="1:18" x14ac:dyDescent="0.25">
      <c r="A1381" s="143">
        <v>44041</v>
      </c>
      <c r="B1381" s="106">
        <v>223.25</v>
      </c>
      <c r="C1381" s="106">
        <v>221.3</v>
      </c>
      <c r="D1381" s="106">
        <v>213.7</v>
      </c>
      <c r="E1381" s="106">
        <v>215.5</v>
      </c>
      <c r="F1381" s="106">
        <v>221.3</v>
      </c>
      <c r="G1381">
        <v>316290</v>
      </c>
      <c r="H1381" s="106"/>
      <c r="I1381" s="106"/>
      <c r="L1381" s="143">
        <v>44041</v>
      </c>
      <c r="M1381" s="106">
        <v>221.4</v>
      </c>
      <c r="N1381" s="106">
        <v>223.35</v>
      </c>
      <c r="O1381" s="106">
        <v>213.6</v>
      </c>
      <c r="P1381" s="106">
        <v>214.7</v>
      </c>
      <c r="Q1381" s="106">
        <v>221.4</v>
      </c>
      <c r="R1381">
        <v>8270898</v>
      </c>
    </row>
    <row r="1382" spans="1:18" x14ac:dyDescent="0.25">
      <c r="A1382" s="143">
        <v>44042</v>
      </c>
      <c r="B1382" s="106">
        <v>222.5</v>
      </c>
      <c r="C1382" s="106">
        <v>214.1</v>
      </c>
      <c r="D1382" s="106">
        <v>209.65</v>
      </c>
      <c r="E1382" s="106">
        <v>221</v>
      </c>
      <c r="F1382" s="106">
        <v>214.1</v>
      </c>
      <c r="G1382">
        <v>446785</v>
      </c>
      <c r="H1382" s="106"/>
      <c r="I1382" s="106"/>
      <c r="L1382" s="143">
        <v>44042</v>
      </c>
      <c r="M1382" s="106">
        <v>214.2</v>
      </c>
      <c r="N1382" s="106">
        <v>222.8</v>
      </c>
      <c r="O1382" s="106">
        <v>209.55</v>
      </c>
      <c r="P1382" s="106">
        <v>220.9</v>
      </c>
      <c r="Q1382" s="106">
        <v>214.2</v>
      </c>
      <c r="R1382">
        <v>9165526</v>
      </c>
    </row>
    <row r="1383" spans="1:18" x14ac:dyDescent="0.25">
      <c r="A1383" s="143">
        <v>44043</v>
      </c>
      <c r="B1383" s="106">
        <v>217.95</v>
      </c>
      <c r="C1383" s="106">
        <v>202.5</v>
      </c>
      <c r="D1383" s="106">
        <v>200.65</v>
      </c>
      <c r="E1383" s="106">
        <v>217.95</v>
      </c>
      <c r="F1383" s="106">
        <v>202.5</v>
      </c>
      <c r="G1383">
        <v>450596</v>
      </c>
      <c r="H1383" s="106"/>
      <c r="I1383" s="106"/>
      <c r="L1383" s="143">
        <v>44043</v>
      </c>
      <c r="M1383" s="106">
        <v>202.5</v>
      </c>
      <c r="N1383" s="106">
        <v>216.9</v>
      </c>
      <c r="O1383" s="106">
        <v>200.5</v>
      </c>
      <c r="P1383" s="106">
        <v>216.2</v>
      </c>
      <c r="Q1383" s="106">
        <v>202.5</v>
      </c>
      <c r="R1383">
        <v>12415404</v>
      </c>
    </row>
    <row r="1384" spans="1:18" x14ac:dyDescent="0.25">
      <c r="A1384" s="143">
        <v>44046</v>
      </c>
      <c r="B1384" s="106">
        <v>206.45</v>
      </c>
      <c r="C1384" s="106">
        <v>201.25</v>
      </c>
      <c r="D1384" s="106">
        <v>196.95</v>
      </c>
      <c r="E1384" s="106">
        <v>200.9</v>
      </c>
      <c r="F1384" s="106">
        <v>201.25</v>
      </c>
      <c r="G1384">
        <v>324230</v>
      </c>
      <c r="H1384" s="106"/>
      <c r="I1384" s="106"/>
      <c r="L1384" s="143">
        <v>44046</v>
      </c>
      <c r="M1384" s="106">
        <v>201</v>
      </c>
      <c r="N1384" s="106">
        <v>206.5</v>
      </c>
      <c r="O1384" s="106">
        <v>197.5</v>
      </c>
      <c r="P1384" s="106">
        <v>200.95</v>
      </c>
      <c r="Q1384" s="106">
        <v>201</v>
      </c>
      <c r="R1384">
        <v>9877641</v>
      </c>
    </row>
    <row r="1385" spans="1:18" x14ac:dyDescent="0.25">
      <c r="A1385" s="143">
        <v>44047</v>
      </c>
      <c r="B1385" s="106">
        <v>205.5</v>
      </c>
      <c r="C1385" s="106">
        <v>200.65</v>
      </c>
      <c r="D1385" s="106">
        <v>198.5</v>
      </c>
      <c r="E1385" s="106">
        <v>202.35</v>
      </c>
      <c r="F1385" s="106">
        <v>200.65</v>
      </c>
      <c r="G1385">
        <v>373278</v>
      </c>
      <c r="H1385" s="106"/>
      <c r="I1385" s="106"/>
      <c r="L1385" s="143">
        <v>44047</v>
      </c>
      <c r="M1385" s="106">
        <v>200.55</v>
      </c>
      <c r="N1385" s="106">
        <v>205.6</v>
      </c>
      <c r="O1385" s="106">
        <v>198.7</v>
      </c>
      <c r="P1385" s="106">
        <v>203</v>
      </c>
      <c r="Q1385" s="106">
        <v>200.55</v>
      </c>
      <c r="R1385">
        <v>7460348</v>
      </c>
    </row>
    <row r="1386" spans="1:18" x14ac:dyDescent="0.25">
      <c r="A1386" s="143">
        <v>44048</v>
      </c>
      <c r="B1386" s="106">
        <v>207.15</v>
      </c>
      <c r="C1386" s="106">
        <v>204.4</v>
      </c>
      <c r="D1386" s="106">
        <v>202.05</v>
      </c>
      <c r="E1386" s="106">
        <v>202.8</v>
      </c>
      <c r="F1386" s="106">
        <v>204.4</v>
      </c>
      <c r="G1386">
        <v>359716</v>
      </c>
      <c r="H1386" s="106"/>
      <c r="I1386" s="106"/>
      <c r="L1386" s="143">
        <v>44048</v>
      </c>
      <c r="M1386" s="106">
        <v>204.4</v>
      </c>
      <c r="N1386" s="106">
        <v>207.35</v>
      </c>
      <c r="O1386" s="106">
        <v>202.05</v>
      </c>
      <c r="P1386" s="106">
        <v>202.4</v>
      </c>
      <c r="Q1386" s="106">
        <v>204.4</v>
      </c>
      <c r="R1386">
        <v>7426100</v>
      </c>
    </row>
    <row r="1387" spans="1:18" x14ac:dyDescent="0.25">
      <c r="A1387" s="143">
        <v>44049</v>
      </c>
      <c r="B1387" s="106">
        <v>208.35</v>
      </c>
      <c r="C1387" s="106">
        <v>205.6</v>
      </c>
      <c r="D1387" s="106">
        <v>202.05</v>
      </c>
      <c r="E1387" s="106">
        <v>207</v>
      </c>
      <c r="F1387" s="106">
        <v>205.6</v>
      </c>
      <c r="G1387">
        <v>209804</v>
      </c>
      <c r="H1387" s="106"/>
      <c r="I1387" s="106"/>
      <c r="L1387" s="143">
        <v>44049</v>
      </c>
      <c r="M1387" s="106">
        <v>205.65</v>
      </c>
      <c r="N1387" s="106">
        <v>208.3</v>
      </c>
      <c r="O1387" s="106">
        <v>202.05</v>
      </c>
      <c r="P1387" s="106">
        <v>206</v>
      </c>
      <c r="Q1387" s="106">
        <v>205.65</v>
      </c>
      <c r="R1387">
        <v>8134995</v>
      </c>
    </row>
    <row r="1388" spans="1:18" x14ac:dyDescent="0.25">
      <c r="A1388" s="143">
        <v>44050</v>
      </c>
      <c r="B1388" s="106">
        <v>209.8</v>
      </c>
      <c r="C1388" s="106">
        <v>208.95</v>
      </c>
      <c r="D1388" s="106">
        <v>203.15</v>
      </c>
      <c r="E1388" s="106">
        <v>204.8</v>
      </c>
      <c r="F1388" s="106">
        <v>208.95</v>
      </c>
      <c r="G1388">
        <v>132498</v>
      </c>
      <c r="H1388" s="106"/>
      <c r="I1388" s="106"/>
      <c r="L1388" s="143">
        <v>44050</v>
      </c>
      <c r="M1388" s="106">
        <v>208.75</v>
      </c>
      <c r="N1388" s="106">
        <v>209.7</v>
      </c>
      <c r="O1388" s="106">
        <v>202.6</v>
      </c>
      <c r="P1388" s="106">
        <v>205.5</v>
      </c>
      <c r="Q1388" s="106">
        <v>208.75</v>
      </c>
      <c r="R1388">
        <v>7378626</v>
      </c>
    </row>
    <row r="1389" spans="1:18" x14ac:dyDescent="0.25">
      <c r="A1389" s="143">
        <v>44053</v>
      </c>
      <c r="B1389" s="106">
        <v>213.25</v>
      </c>
      <c r="C1389" s="106">
        <v>209.5</v>
      </c>
      <c r="D1389" s="106">
        <v>207.4</v>
      </c>
      <c r="E1389" s="106">
        <v>209.05</v>
      </c>
      <c r="F1389" s="106">
        <v>209.5</v>
      </c>
      <c r="G1389">
        <v>250396</v>
      </c>
      <c r="H1389" s="106"/>
      <c r="I1389" s="106"/>
      <c r="L1389" s="143">
        <v>44053</v>
      </c>
      <c r="M1389" s="106">
        <v>209.55</v>
      </c>
      <c r="N1389" s="106">
        <v>213.4</v>
      </c>
      <c r="O1389" s="106">
        <v>207.5</v>
      </c>
      <c r="P1389" s="106">
        <v>210.9</v>
      </c>
      <c r="Q1389" s="106">
        <v>209.55</v>
      </c>
      <c r="R1389">
        <v>6079582</v>
      </c>
    </row>
    <row r="1390" spans="1:18" x14ac:dyDescent="0.25">
      <c r="A1390" s="143">
        <v>44054</v>
      </c>
      <c r="B1390" s="106">
        <v>212</v>
      </c>
      <c r="C1390" s="106">
        <v>207.1</v>
      </c>
      <c r="D1390" s="106">
        <v>206.15</v>
      </c>
      <c r="E1390" s="106">
        <v>209.1</v>
      </c>
      <c r="F1390" s="106">
        <v>207.1</v>
      </c>
      <c r="G1390">
        <v>109012</v>
      </c>
      <c r="H1390" s="106"/>
      <c r="I1390" s="106"/>
      <c r="L1390" s="143">
        <v>44054</v>
      </c>
      <c r="M1390" s="106">
        <v>207.15</v>
      </c>
      <c r="N1390" s="106">
        <v>212.05</v>
      </c>
      <c r="O1390" s="106">
        <v>206.4</v>
      </c>
      <c r="P1390" s="106">
        <v>209.6</v>
      </c>
      <c r="Q1390" s="106">
        <v>207.15</v>
      </c>
      <c r="R1390">
        <v>4260187</v>
      </c>
    </row>
    <row r="1391" spans="1:18" x14ac:dyDescent="0.25">
      <c r="A1391" s="143">
        <v>44055</v>
      </c>
      <c r="B1391" s="106">
        <v>211.3</v>
      </c>
      <c r="C1391" s="106">
        <v>209.4</v>
      </c>
      <c r="D1391" s="106">
        <v>202.55</v>
      </c>
      <c r="E1391" s="106">
        <v>208</v>
      </c>
      <c r="F1391" s="106">
        <v>209.4</v>
      </c>
      <c r="G1391">
        <v>167595</v>
      </c>
      <c r="H1391" s="106"/>
      <c r="I1391" s="106"/>
      <c r="L1391" s="143">
        <v>44055</v>
      </c>
      <c r="M1391" s="106">
        <v>209.4</v>
      </c>
      <c r="N1391" s="106">
        <v>211.5</v>
      </c>
      <c r="O1391" s="106">
        <v>202.15</v>
      </c>
      <c r="P1391" s="106">
        <v>207</v>
      </c>
      <c r="Q1391" s="106">
        <v>209.4</v>
      </c>
      <c r="R1391">
        <v>5640087</v>
      </c>
    </row>
    <row r="1392" spans="1:18" x14ac:dyDescent="0.25">
      <c r="A1392" s="143">
        <v>44056</v>
      </c>
      <c r="B1392" s="106">
        <v>227</v>
      </c>
      <c r="C1392" s="106">
        <v>225.35</v>
      </c>
      <c r="D1392" s="106">
        <v>210.15</v>
      </c>
      <c r="E1392" s="106">
        <v>211.4</v>
      </c>
      <c r="F1392" s="106">
        <v>225.35</v>
      </c>
      <c r="G1392">
        <v>467167</v>
      </c>
      <c r="H1392" s="106"/>
      <c r="I1392" s="106"/>
      <c r="L1392" s="143">
        <v>44056</v>
      </c>
      <c r="M1392" s="106">
        <v>225.15</v>
      </c>
      <c r="N1392" s="106">
        <v>227.3</v>
      </c>
      <c r="O1392" s="106">
        <v>210.1</v>
      </c>
      <c r="P1392" s="106">
        <v>211</v>
      </c>
      <c r="Q1392" s="106">
        <v>225.15</v>
      </c>
      <c r="R1392">
        <v>13776888</v>
      </c>
    </row>
    <row r="1393" spans="1:18" x14ac:dyDescent="0.25">
      <c r="A1393" s="143">
        <v>44057</v>
      </c>
      <c r="B1393" s="106">
        <v>230.95</v>
      </c>
      <c r="C1393" s="106">
        <v>218.05</v>
      </c>
      <c r="D1393" s="106">
        <v>216.85</v>
      </c>
      <c r="E1393" s="106">
        <v>225.6</v>
      </c>
      <c r="F1393" s="106">
        <v>218.05</v>
      </c>
      <c r="G1393">
        <v>466762</v>
      </c>
      <c r="H1393" s="106"/>
      <c r="I1393" s="106"/>
      <c r="L1393" s="143">
        <v>44057</v>
      </c>
      <c r="M1393" s="106">
        <v>218.1</v>
      </c>
      <c r="N1393" s="106">
        <v>231</v>
      </c>
      <c r="O1393" s="106">
        <v>216.2</v>
      </c>
      <c r="P1393" s="106">
        <v>226.35</v>
      </c>
      <c r="Q1393" s="106">
        <v>218.1</v>
      </c>
      <c r="R1393">
        <v>12286626</v>
      </c>
    </row>
    <row r="1394" spans="1:18" x14ac:dyDescent="0.25">
      <c r="A1394" s="143">
        <v>44060</v>
      </c>
      <c r="B1394" s="106">
        <v>222.5</v>
      </c>
      <c r="C1394" s="106">
        <v>212.3</v>
      </c>
      <c r="D1394" s="106">
        <v>210.5</v>
      </c>
      <c r="E1394" s="106">
        <v>221</v>
      </c>
      <c r="F1394" s="106">
        <v>212.3</v>
      </c>
      <c r="G1394">
        <v>252646</v>
      </c>
      <c r="H1394" s="106"/>
      <c r="I1394" s="106"/>
      <c r="L1394" s="143">
        <v>44060</v>
      </c>
      <c r="M1394" s="106">
        <v>212.3</v>
      </c>
      <c r="N1394" s="106">
        <v>222.4</v>
      </c>
      <c r="O1394" s="106">
        <v>210.35</v>
      </c>
      <c r="P1394" s="106">
        <v>221</v>
      </c>
      <c r="Q1394" s="106">
        <v>212.3</v>
      </c>
      <c r="R1394">
        <v>6112589</v>
      </c>
    </row>
    <row r="1395" spans="1:18" x14ac:dyDescent="0.25">
      <c r="A1395" s="143">
        <v>44061</v>
      </c>
      <c r="B1395" s="106">
        <v>232.85</v>
      </c>
      <c r="C1395" s="106">
        <v>231.75</v>
      </c>
      <c r="D1395" s="106">
        <v>212.1</v>
      </c>
      <c r="E1395" s="106">
        <v>230</v>
      </c>
      <c r="F1395" s="106">
        <v>231.75</v>
      </c>
      <c r="G1395">
        <v>625227</v>
      </c>
      <c r="H1395" s="106"/>
      <c r="I1395" s="106"/>
      <c r="L1395" s="143">
        <v>44061</v>
      </c>
      <c r="M1395" s="106">
        <v>231.8</v>
      </c>
      <c r="N1395" s="106">
        <v>233</v>
      </c>
      <c r="O1395" s="106">
        <v>212.1</v>
      </c>
      <c r="P1395" s="106">
        <v>213.5</v>
      </c>
      <c r="Q1395" s="106">
        <v>231.8</v>
      </c>
      <c r="R1395">
        <v>15751512</v>
      </c>
    </row>
    <row r="1396" spans="1:18" x14ac:dyDescent="0.25">
      <c r="A1396" s="143">
        <v>44062</v>
      </c>
      <c r="B1396" s="106">
        <v>234.6</v>
      </c>
      <c r="C1396" s="106">
        <v>226.4</v>
      </c>
      <c r="D1396" s="106">
        <v>225.6</v>
      </c>
      <c r="E1396" s="106">
        <v>232</v>
      </c>
      <c r="F1396" s="106">
        <v>226.4</v>
      </c>
      <c r="G1396">
        <v>421606</v>
      </c>
      <c r="H1396" s="106"/>
      <c r="I1396" s="106"/>
      <c r="L1396" s="143">
        <v>44062</v>
      </c>
      <c r="M1396" s="106">
        <v>226.65</v>
      </c>
      <c r="N1396" s="106">
        <v>234.55</v>
      </c>
      <c r="O1396" s="106">
        <v>225.5</v>
      </c>
      <c r="P1396" s="106">
        <v>231.8</v>
      </c>
      <c r="Q1396" s="106">
        <v>226.65</v>
      </c>
      <c r="R1396">
        <v>9870113</v>
      </c>
    </row>
    <row r="1397" spans="1:18" x14ac:dyDescent="0.25">
      <c r="A1397" s="143">
        <v>44063</v>
      </c>
      <c r="B1397" s="106">
        <v>234.35</v>
      </c>
      <c r="C1397" s="106">
        <v>226.6</v>
      </c>
      <c r="D1397" s="106">
        <v>220.8</v>
      </c>
      <c r="E1397" s="106">
        <v>225</v>
      </c>
      <c r="F1397" s="106">
        <v>226.6</v>
      </c>
      <c r="G1397">
        <v>361234</v>
      </c>
      <c r="H1397" s="106"/>
      <c r="I1397" s="106"/>
      <c r="L1397" s="143">
        <v>44063</v>
      </c>
      <c r="M1397" s="106">
        <v>226.7</v>
      </c>
      <c r="N1397" s="106">
        <v>234.4</v>
      </c>
      <c r="O1397" s="106">
        <v>220.4</v>
      </c>
      <c r="P1397" s="106">
        <v>223.9</v>
      </c>
      <c r="Q1397" s="106">
        <v>226.7</v>
      </c>
      <c r="R1397">
        <v>7286162</v>
      </c>
    </row>
    <row r="1398" spans="1:18" x14ac:dyDescent="0.25">
      <c r="A1398" s="143">
        <v>44064</v>
      </c>
      <c r="B1398" s="106">
        <v>230.9</v>
      </c>
      <c r="C1398" s="106">
        <v>227.35</v>
      </c>
      <c r="D1398" s="106">
        <v>223.25</v>
      </c>
      <c r="E1398" s="106">
        <v>228.5</v>
      </c>
      <c r="F1398" s="106">
        <v>227.35</v>
      </c>
      <c r="G1398">
        <v>477610</v>
      </c>
      <c r="H1398" s="106"/>
      <c r="I1398" s="106"/>
      <c r="L1398" s="143">
        <v>44064</v>
      </c>
      <c r="M1398" s="106">
        <v>227.35</v>
      </c>
      <c r="N1398" s="106">
        <v>231</v>
      </c>
      <c r="O1398" s="106">
        <v>223.2</v>
      </c>
      <c r="P1398" s="106">
        <v>229.8</v>
      </c>
      <c r="Q1398" s="106">
        <v>227.35</v>
      </c>
      <c r="R1398">
        <v>8607419</v>
      </c>
    </row>
    <row r="1399" spans="1:18" x14ac:dyDescent="0.25">
      <c r="A1399" s="143">
        <v>44067</v>
      </c>
      <c r="B1399" s="106">
        <v>232.85</v>
      </c>
      <c r="C1399" s="106">
        <v>231.45</v>
      </c>
      <c r="D1399" s="106">
        <v>227.35</v>
      </c>
      <c r="E1399" s="106">
        <v>227.35</v>
      </c>
      <c r="F1399" s="106">
        <v>231.45</v>
      </c>
      <c r="G1399">
        <v>612911</v>
      </c>
      <c r="H1399" s="106"/>
      <c r="I1399" s="106"/>
      <c r="L1399" s="143">
        <v>44067</v>
      </c>
      <c r="M1399" s="106">
        <v>231.75</v>
      </c>
      <c r="N1399" s="106">
        <v>233</v>
      </c>
      <c r="O1399" s="106">
        <v>227.35</v>
      </c>
      <c r="P1399" s="106">
        <v>229.9</v>
      </c>
      <c r="Q1399" s="106">
        <v>231.75</v>
      </c>
      <c r="R1399">
        <v>8088119</v>
      </c>
    </row>
    <row r="1400" spans="1:18" x14ac:dyDescent="0.25">
      <c r="A1400" s="143">
        <v>44068</v>
      </c>
      <c r="B1400" s="106">
        <v>243.6</v>
      </c>
      <c r="C1400" s="106">
        <v>242.3</v>
      </c>
      <c r="D1400" s="106">
        <v>233</v>
      </c>
      <c r="E1400" s="106">
        <v>233.4</v>
      </c>
      <c r="F1400" s="106">
        <v>242.3</v>
      </c>
      <c r="G1400">
        <v>536525</v>
      </c>
      <c r="H1400" s="106"/>
      <c r="I1400" s="106"/>
      <c r="L1400" s="143">
        <v>44068</v>
      </c>
      <c r="M1400" s="106">
        <v>242.15</v>
      </c>
      <c r="N1400" s="106">
        <v>243.65</v>
      </c>
      <c r="O1400" s="106">
        <v>232.75</v>
      </c>
      <c r="P1400" s="106">
        <v>233.95</v>
      </c>
      <c r="Q1400" s="106">
        <v>242.15</v>
      </c>
      <c r="R1400">
        <v>14935084</v>
      </c>
    </row>
    <row r="1401" spans="1:18" x14ac:dyDescent="0.25">
      <c r="A1401" s="143">
        <v>44069</v>
      </c>
      <c r="B1401" s="106">
        <v>248.05</v>
      </c>
      <c r="C1401" s="106">
        <v>245.35</v>
      </c>
      <c r="D1401" s="106">
        <v>242.3</v>
      </c>
      <c r="E1401" s="106">
        <v>243</v>
      </c>
      <c r="F1401" s="106">
        <v>245.35</v>
      </c>
      <c r="G1401">
        <v>316608</v>
      </c>
      <c r="H1401" s="106"/>
      <c r="I1401" s="106"/>
      <c r="L1401" s="143">
        <v>44069</v>
      </c>
      <c r="M1401" s="106">
        <v>245.3</v>
      </c>
      <c r="N1401" s="106">
        <v>248.2</v>
      </c>
      <c r="O1401" s="106">
        <v>242.15</v>
      </c>
      <c r="P1401" s="106">
        <v>243.4</v>
      </c>
      <c r="Q1401" s="106">
        <v>245.3</v>
      </c>
      <c r="R1401">
        <v>7997338</v>
      </c>
    </row>
    <row r="1402" spans="1:18" x14ac:dyDescent="0.25">
      <c r="A1402" s="143">
        <v>44070</v>
      </c>
      <c r="B1402" s="106">
        <v>247.85</v>
      </c>
      <c r="C1402" s="106">
        <v>240.75</v>
      </c>
      <c r="D1402" s="106">
        <v>239.5</v>
      </c>
      <c r="E1402" s="106">
        <v>247</v>
      </c>
      <c r="F1402" s="106">
        <v>240.75</v>
      </c>
      <c r="G1402">
        <v>203828</v>
      </c>
      <c r="H1402" s="106"/>
      <c r="I1402" s="106"/>
      <c r="L1402" s="143">
        <v>44070</v>
      </c>
      <c r="M1402" s="106">
        <v>240.9</v>
      </c>
      <c r="N1402" s="106">
        <v>247.15</v>
      </c>
      <c r="O1402" s="106">
        <v>239.05</v>
      </c>
      <c r="P1402" s="106">
        <v>246</v>
      </c>
      <c r="Q1402" s="106">
        <v>240.9</v>
      </c>
      <c r="R1402">
        <v>3695410</v>
      </c>
    </row>
    <row r="1403" spans="1:18" x14ac:dyDescent="0.25">
      <c r="A1403" s="143">
        <v>44071</v>
      </c>
      <c r="B1403" s="106">
        <v>258.89999999999998</v>
      </c>
      <c r="C1403" s="106">
        <v>249.75</v>
      </c>
      <c r="D1403" s="106">
        <v>240.75</v>
      </c>
      <c r="E1403" s="106">
        <v>242</v>
      </c>
      <c r="F1403" s="106">
        <v>249.75</v>
      </c>
      <c r="G1403">
        <v>526561</v>
      </c>
      <c r="H1403" s="106"/>
      <c r="I1403" s="106"/>
      <c r="L1403" s="143">
        <v>44071</v>
      </c>
      <c r="M1403" s="106">
        <v>249.75</v>
      </c>
      <c r="N1403" s="106">
        <v>259</v>
      </c>
      <c r="O1403" s="106">
        <v>240.35</v>
      </c>
      <c r="P1403" s="106">
        <v>240.85</v>
      </c>
      <c r="Q1403" s="106">
        <v>249.75</v>
      </c>
      <c r="R1403">
        <v>17783814</v>
      </c>
    </row>
    <row r="1404" spans="1:18" x14ac:dyDescent="0.25">
      <c r="A1404" s="143">
        <v>44074</v>
      </c>
      <c r="B1404" s="106">
        <v>255.5</v>
      </c>
      <c r="C1404" s="106">
        <v>232.3</v>
      </c>
      <c r="D1404" s="106">
        <v>230.95</v>
      </c>
      <c r="E1404" s="106">
        <v>249.8</v>
      </c>
      <c r="F1404" s="106">
        <v>232.3</v>
      </c>
      <c r="G1404">
        <v>414022</v>
      </c>
      <c r="H1404" s="106"/>
      <c r="I1404" s="106"/>
      <c r="L1404" s="143">
        <v>44074</v>
      </c>
      <c r="M1404" s="106">
        <v>232.2</v>
      </c>
      <c r="N1404" s="106">
        <v>255.6</v>
      </c>
      <c r="O1404" s="106">
        <v>230.75</v>
      </c>
      <c r="P1404" s="106">
        <v>252</v>
      </c>
      <c r="Q1404" s="106">
        <v>232.2</v>
      </c>
      <c r="R1404">
        <v>9080285</v>
      </c>
    </row>
    <row r="1405" spans="1:18" x14ac:dyDescent="0.25">
      <c r="A1405" s="143">
        <v>44075</v>
      </c>
      <c r="B1405" s="106">
        <v>242.45</v>
      </c>
      <c r="C1405" s="106">
        <v>241.6</v>
      </c>
      <c r="D1405" s="106">
        <v>229.05</v>
      </c>
      <c r="E1405" s="106">
        <v>231</v>
      </c>
      <c r="F1405" s="106">
        <v>241.6</v>
      </c>
      <c r="G1405">
        <v>362781</v>
      </c>
      <c r="H1405" s="106"/>
      <c r="I1405" s="106"/>
      <c r="L1405" s="143">
        <v>44075</v>
      </c>
      <c r="M1405" s="106">
        <v>241.45</v>
      </c>
      <c r="N1405" s="106">
        <v>242.9</v>
      </c>
      <c r="O1405" s="106">
        <v>228.85</v>
      </c>
      <c r="P1405" s="106">
        <v>233</v>
      </c>
      <c r="Q1405" s="106">
        <v>241.45</v>
      </c>
      <c r="R1405">
        <v>7331908</v>
      </c>
    </row>
    <row r="1406" spans="1:18" x14ac:dyDescent="0.25">
      <c r="A1406" s="143">
        <v>44076</v>
      </c>
      <c r="B1406" s="106">
        <v>243.9</v>
      </c>
      <c r="C1406" s="106">
        <v>242.65</v>
      </c>
      <c r="D1406" s="106">
        <v>236.5</v>
      </c>
      <c r="E1406" s="106">
        <v>243.3</v>
      </c>
      <c r="F1406" s="106">
        <v>242.65</v>
      </c>
      <c r="G1406">
        <v>141512</v>
      </c>
      <c r="H1406" s="106"/>
      <c r="I1406" s="106"/>
      <c r="L1406" s="143">
        <v>44076</v>
      </c>
      <c r="M1406" s="106">
        <v>242.7</v>
      </c>
      <c r="N1406" s="106">
        <v>244</v>
      </c>
      <c r="O1406" s="106">
        <v>236.15</v>
      </c>
      <c r="P1406" s="106">
        <v>242.85</v>
      </c>
      <c r="Q1406" s="106">
        <v>242.7</v>
      </c>
      <c r="R1406">
        <v>2901774</v>
      </c>
    </row>
    <row r="1407" spans="1:18" x14ac:dyDescent="0.25">
      <c r="A1407" s="143">
        <v>44077</v>
      </c>
      <c r="B1407" s="106">
        <v>249.8</v>
      </c>
      <c r="C1407" s="106">
        <v>244.3</v>
      </c>
      <c r="D1407" s="106">
        <v>240.8</v>
      </c>
      <c r="E1407" s="106">
        <v>243.75</v>
      </c>
      <c r="F1407" s="106">
        <v>244.3</v>
      </c>
      <c r="G1407">
        <v>68828</v>
      </c>
      <c r="H1407" s="106"/>
      <c r="I1407" s="106"/>
      <c r="L1407" s="143">
        <v>44077</v>
      </c>
      <c r="M1407" s="106">
        <v>244.1</v>
      </c>
      <c r="N1407" s="106">
        <v>249.75</v>
      </c>
      <c r="O1407" s="106">
        <v>240.75</v>
      </c>
      <c r="P1407" s="106">
        <v>243.1</v>
      </c>
      <c r="Q1407" s="106">
        <v>244.1</v>
      </c>
      <c r="R1407">
        <v>3577745</v>
      </c>
    </row>
    <row r="1408" spans="1:18" x14ac:dyDescent="0.25">
      <c r="A1408" s="143">
        <v>44078</v>
      </c>
      <c r="B1408" s="106">
        <v>239.1</v>
      </c>
      <c r="C1408" s="106">
        <v>234.2</v>
      </c>
      <c r="D1408" s="106">
        <v>232.2</v>
      </c>
      <c r="E1408" s="106">
        <v>235.05</v>
      </c>
      <c r="F1408" s="106">
        <v>234.2</v>
      </c>
      <c r="G1408">
        <v>226306</v>
      </c>
      <c r="H1408" s="106"/>
      <c r="I1408" s="106"/>
      <c r="L1408" s="143">
        <v>44078</v>
      </c>
      <c r="M1408" s="106">
        <v>234.05</v>
      </c>
      <c r="N1408" s="106">
        <v>239.45</v>
      </c>
      <c r="O1408" s="106">
        <v>232.2</v>
      </c>
      <c r="P1408" s="106">
        <v>236.05</v>
      </c>
      <c r="Q1408" s="106">
        <v>234.05</v>
      </c>
      <c r="R1408">
        <v>5680924</v>
      </c>
    </row>
    <row r="1409" spans="1:18" x14ac:dyDescent="0.25">
      <c r="A1409" s="143">
        <v>44081</v>
      </c>
      <c r="B1409" s="106">
        <v>238</v>
      </c>
      <c r="C1409" s="106">
        <v>226.2</v>
      </c>
      <c r="D1409" s="106">
        <v>222.2</v>
      </c>
      <c r="E1409" s="106">
        <v>232.15</v>
      </c>
      <c r="F1409" s="106">
        <v>226.2</v>
      </c>
      <c r="G1409">
        <v>220361</v>
      </c>
      <c r="H1409" s="106"/>
      <c r="I1409" s="106"/>
      <c r="L1409" s="143">
        <v>44081</v>
      </c>
      <c r="M1409" s="106">
        <v>226.45</v>
      </c>
      <c r="N1409" s="106">
        <v>238.2</v>
      </c>
      <c r="O1409" s="106">
        <v>222.4</v>
      </c>
      <c r="P1409" s="106">
        <v>236.1</v>
      </c>
      <c r="Q1409" s="106">
        <v>226.45</v>
      </c>
      <c r="R1409">
        <v>6325386</v>
      </c>
    </row>
    <row r="1410" spans="1:18" x14ac:dyDescent="0.25">
      <c r="A1410" s="143">
        <v>44082</v>
      </c>
      <c r="B1410" s="106">
        <v>229.85</v>
      </c>
      <c r="C1410" s="106">
        <v>222.15</v>
      </c>
      <c r="D1410" s="106">
        <v>220.8</v>
      </c>
      <c r="E1410" s="106">
        <v>226.55</v>
      </c>
      <c r="F1410" s="106">
        <v>222.15</v>
      </c>
      <c r="G1410">
        <v>97111</v>
      </c>
      <c r="H1410" s="106"/>
      <c r="I1410" s="106"/>
      <c r="L1410" s="143">
        <v>44082</v>
      </c>
      <c r="M1410" s="106">
        <v>222.15</v>
      </c>
      <c r="N1410" s="106">
        <v>230</v>
      </c>
      <c r="O1410" s="106">
        <v>220.8</v>
      </c>
      <c r="P1410" s="106">
        <v>227.95</v>
      </c>
      <c r="Q1410" s="106">
        <v>222.15</v>
      </c>
      <c r="R1410">
        <v>3875681</v>
      </c>
    </row>
    <row r="1411" spans="1:18" x14ac:dyDescent="0.25">
      <c r="A1411" s="143">
        <v>44083</v>
      </c>
      <c r="B1411" s="106">
        <v>223.5</v>
      </c>
      <c r="C1411" s="106">
        <v>220.9</v>
      </c>
      <c r="D1411" s="106">
        <v>215.6</v>
      </c>
      <c r="E1411" s="106">
        <v>221</v>
      </c>
      <c r="F1411" s="106">
        <v>220.9</v>
      </c>
      <c r="G1411">
        <v>111455</v>
      </c>
      <c r="H1411" s="106"/>
      <c r="I1411" s="106"/>
      <c r="L1411" s="143">
        <v>44083</v>
      </c>
      <c r="M1411" s="106">
        <v>220.55</v>
      </c>
      <c r="N1411" s="106">
        <v>223.55</v>
      </c>
      <c r="O1411" s="106">
        <v>215.6</v>
      </c>
      <c r="P1411" s="106">
        <v>220.5</v>
      </c>
      <c r="Q1411" s="106">
        <v>220.55</v>
      </c>
      <c r="R1411">
        <v>4342244</v>
      </c>
    </row>
    <row r="1412" spans="1:18" x14ac:dyDescent="0.25">
      <c r="A1412" s="143">
        <v>44084</v>
      </c>
      <c r="B1412" s="106">
        <v>225.7</v>
      </c>
      <c r="C1412" s="106">
        <v>221.6</v>
      </c>
      <c r="D1412" s="106">
        <v>217.4</v>
      </c>
      <c r="E1412" s="106">
        <v>225.7</v>
      </c>
      <c r="F1412" s="106">
        <v>221.6</v>
      </c>
      <c r="G1412">
        <v>140088</v>
      </c>
      <c r="H1412" s="106"/>
      <c r="I1412" s="106"/>
      <c r="L1412" s="143">
        <v>44084</v>
      </c>
      <c r="M1412" s="106">
        <v>221.25</v>
      </c>
      <c r="N1412" s="106">
        <v>225.85</v>
      </c>
      <c r="O1412" s="106">
        <v>217.05</v>
      </c>
      <c r="P1412" s="106">
        <v>222</v>
      </c>
      <c r="Q1412" s="106">
        <v>221.25</v>
      </c>
      <c r="R1412">
        <v>3321211</v>
      </c>
    </row>
    <row r="1413" spans="1:18" x14ac:dyDescent="0.25">
      <c r="A1413" s="143">
        <v>44085</v>
      </c>
      <c r="B1413" s="106">
        <v>226.4</v>
      </c>
      <c r="C1413" s="106">
        <v>224.5</v>
      </c>
      <c r="D1413" s="106">
        <v>220.5</v>
      </c>
      <c r="E1413" s="106">
        <v>220.5</v>
      </c>
      <c r="F1413" s="106">
        <v>224.5</v>
      </c>
      <c r="G1413">
        <v>92167</v>
      </c>
      <c r="H1413" s="106"/>
      <c r="I1413" s="106"/>
      <c r="L1413" s="143">
        <v>44085</v>
      </c>
      <c r="M1413" s="106">
        <v>224.45</v>
      </c>
      <c r="N1413" s="106">
        <v>226.45</v>
      </c>
      <c r="O1413" s="106">
        <v>221.35</v>
      </c>
      <c r="P1413" s="106">
        <v>222.6</v>
      </c>
      <c r="Q1413" s="106">
        <v>224.45</v>
      </c>
      <c r="R1413">
        <v>3603421</v>
      </c>
    </row>
    <row r="1414" spans="1:18" x14ac:dyDescent="0.25">
      <c r="A1414" s="143">
        <v>44088</v>
      </c>
      <c r="B1414" s="106">
        <v>236.05</v>
      </c>
      <c r="C1414" s="106">
        <v>232.2</v>
      </c>
      <c r="D1414" s="106">
        <v>226.9</v>
      </c>
      <c r="E1414" s="106">
        <v>229</v>
      </c>
      <c r="F1414" s="106">
        <v>232.2</v>
      </c>
      <c r="G1414">
        <v>365086</v>
      </c>
      <c r="H1414" s="106"/>
      <c r="I1414" s="106"/>
      <c r="L1414" s="143">
        <v>44088</v>
      </c>
      <c r="M1414" s="106">
        <v>232.1</v>
      </c>
      <c r="N1414" s="106">
        <v>236.2</v>
      </c>
      <c r="O1414" s="106">
        <v>226.5</v>
      </c>
      <c r="P1414" s="106">
        <v>230</v>
      </c>
      <c r="Q1414" s="106">
        <v>232.1</v>
      </c>
      <c r="R1414">
        <v>10305644</v>
      </c>
    </row>
    <row r="1415" spans="1:18" x14ac:dyDescent="0.25">
      <c r="A1415" s="143">
        <v>44089</v>
      </c>
      <c r="B1415" s="106">
        <v>235</v>
      </c>
      <c r="C1415" s="106">
        <v>232.75</v>
      </c>
      <c r="D1415" s="106">
        <v>229.7</v>
      </c>
      <c r="E1415" s="106">
        <v>232.35</v>
      </c>
      <c r="F1415" s="106">
        <v>232.75</v>
      </c>
      <c r="G1415">
        <v>262605</v>
      </c>
      <c r="H1415" s="106"/>
      <c r="I1415" s="106"/>
      <c r="L1415" s="143">
        <v>44089</v>
      </c>
      <c r="M1415" s="106">
        <v>232.9</v>
      </c>
      <c r="N1415" s="106">
        <v>235.2</v>
      </c>
      <c r="O1415" s="106">
        <v>229.75</v>
      </c>
      <c r="P1415" s="106">
        <v>234.5</v>
      </c>
      <c r="Q1415" s="106">
        <v>232.9</v>
      </c>
      <c r="R1415">
        <v>4772035</v>
      </c>
    </row>
    <row r="1416" spans="1:18" x14ac:dyDescent="0.25">
      <c r="A1416" s="143">
        <v>44090</v>
      </c>
      <c r="B1416" s="106">
        <v>239.4</v>
      </c>
      <c r="C1416" s="106">
        <v>238.7</v>
      </c>
      <c r="D1416" s="106">
        <v>232.75</v>
      </c>
      <c r="E1416" s="106">
        <v>233</v>
      </c>
      <c r="F1416" s="106">
        <v>238.7</v>
      </c>
      <c r="G1416">
        <v>200000</v>
      </c>
      <c r="H1416" s="106"/>
      <c r="I1416" s="106"/>
      <c r="L1416" s="143">
        <v>44090</v>
      </c>
      <c r="M1416" s="106">
        <v>238.6</v>
      </c>
      <c r="N1416" s="106">
        <v>239.4</v>
      </c>
      <c r="O1416" s="106">
        <v>232.7</v>
      </c>
      <c r="P1416" s="106">
        <v>234.7</v>
      </c>
      <c r="Q1416" s="106">
        <v>238.6</v>
      </c>
      <c r="R1416">
        <v>9428703</v>
      </c>
    </row>
    <row r="1417" spans="1:18" x14ac:dyDescent="0.25">
      <c r="A1417" s="143">
        <v>44091</v>
      </c>
      <c r="B1417" s="106">
        <v>243.15</v>
      </c>
      <c r="C1417" s="106">
        <v>239.15</v>
      </c>
      <c r="D1417" s="106">
        <v>237.5</v>
      </c>
      <c r="E1417" s="106">
        <v>238</v>
      </c>
      <c r="F1417" s="106">
        <v>239.15</v>
      </c>
      <c r="G1417">
        <v>198226</v>
      </c>
      <c r="H1417" s="106"/>
      <c r="I1417" s="106"/>
      <c r="L1417" s="143">
        <v>44091</v>
      </c>
      <c r="M1417" s="106">
        <v>239.55</v>
      </c>
      <c r="N1417" s="106">
        <v>243.4</v>
      </c>
      <c r="O1417" s="106">
        <v>237.1</v>
      </c>
      <c r="P1417" s="106">
        <v>239.5</v>
      </c>
      <c r="Q1417" s="106">
        <v>239.55</v>
      </c>
      <c r="R1417">
        <v>7042129</v>
      </c>
    </row>
    <row r="1418" spans="1:18" x14ac:dyDescent="0.25">
      <c r="A1418" s="143">
        <v>44092</v>
      </c>
      <c r="B1418" s="106">
        <v>244</v>
      </c>
      <c r="C1418" s="106">
        <v>240.9</v>
      </c>
      <c r="D1418" s="106">
        <v>237.5</v>
      </c>
      <c r="E1418" s="106">
        <v>240</v>
      </c>
      <c r="F1418" s="106">
        <v>240.9</v>
      </c>
      <c r="G1418">
        <v>82954</v>
      </c>
      <c r="H1418" s="106"/>
      <c r="I1418" s="106"/>
      <c r="L1418" s="143">
        <v>44092</v>
      </c>
      <c r="M1418" s="106">
        <v>240.65</v>
      </c>
      <c r="N1418" s="106">
        <v>243.95</v>
      </c>
      <c r="O1418" s="106">
        <v>237.25</v>
      </c>
      <c r="P1418" s="106">
        <v>240.95</v>
      </c>
      <c r="Q1418" s="106">
        <v>240.65</v>
      </c>
      <c r="R1418">
        <v>5329430</v>
      </c>
    </row>
    <row r="1419" spans="1:18" x14ac:dyDescent="0.25">
      <c r="A1419" s="143">
        <v>44095</v>
      </c>
      <c r="B1419" s="106">
        <v>242.15</v>
      </c>
      <c r="C1419" s="106">
        <v>231.3</v>
      </c>
      <c r="D1419" s="106">
        <v>228.85</v>
      </c>
      <c r="E1419" s="106">
        <v>241.15</v>
      </c>
      <c r="F1419" s="106">
        <v>231.3</v>
      </c>
      <c r="G1419">
        <v>158961</v>
      </c>
      <c r="H1419" s="106"/>
      <c r="I1419" s="106"/>
      <c r="L1419" s="143">
        <v>44095</v>
      </c>
      <c r="M1419" s="106">
        <v>231.25</v>
      </c>
      <c r="N1419" s="106">
        <v>242.9</v>
      </c>
      <c r="O1419" s="106">
        <v>228.25</v>
      </c>
      <c r="P1419" s="106">
        <v>242.9</v>
      </c>
      <c r="Q1419" s="106">
        <v>231.25</v>
      </c>
      <c r="R1419">
        <v>4128528</v>
      </c>
    </row>
    <row r="1420" spans="1:18" x14ac:dyDescent="0.25">
      <c r="A1420" s="143">
        <v>44096</v>
      </c>
      <c r="B1420" s="106">
        <v>235</v>
      </c>
      <c r="C1420" s="106">
        <v>231.4</v>
      </c>
      <c r="D1420" s="106">
        <v>221</v>
      </c>
      <c r="E1420" s="106">
        <v>229.6</v>
      </c>
      <c r="F1420" s="106">
        <v>231.4</v>
      </c>
      <c r="G1420">
        <v>2656318</v>
      </c>
      <c r="H1420" s="106"/>
      <c r="I1420" s="106"/>
      <c r="L1420" s="143">
        <v>44096</v>
      </c>
      <c r="M1420" s="106">
        <v>231.05</v>
      </c>
      <c r="N1420" s="106">
        <v>234.75</v>
      </c>
      <c r="O1420" s="106">
        <v>220.75</v>
      </c>
      <c r="P1420" s="106">
        <v>231.25</v>
      </c>
      <c r="Q1420" s="106">
        <v>231.05</v>
      </c>
      <c r="R1420">
        <v>4621739</v>
      </c>
    </row>
    <row r="1421" spans="1:18" x14ac:dyDescent="0.25">
      <c r="A1421" s="143">
        <v>44097</v>
      </c>
      <c r="B1421" s="106">
        <v>236.45</v>
      </c>
      <c r="C1421" s="106">
        <v>229.8</v>
      </c>
      <c r="D1421" s="106">
        <v>226.55</v>
      </c>
      <c r="E1421" s="106">
        <v>233.5</v>
      </c>
      <c r="F1421" s="106">
        <v>229.8</v>
      </c>
      <c r="G1421">
        <v>100106</v>
      </c>
      <c r="H1421" s="106"/>
      <c r="I1421" s="106"/>
      <c r="L1421" s="143">
        <v>44097</v>
      </c>
      <c r="M1421" s="106">
        <v>229.95</v>
      </c>
      <c r="N1421" s="106">
        <v>236.5</v>
      </c>
      <c r="O1421" s="106">
        <v>226.5</v>
      </c>
      <c r="P1421" s="106">
        <v>234.9</v>
      </c>
      <c r="Q1421" s="106">
        <v>229.95</v>
      </c>
      <c r="R1421">
        <v>4880070</v>
      </c>
    </row>
    <row r="1422" spans="1:18" x14ac:dyDescent="0.25">
      <c r="A1422" s="143">
        <v>44098</v>
      </c>
      <c r="B1422" s="106">
        <v>239.25</v>
      </c>
      <c r="C1422" s="106">
        <v>229.2</v>
      </c>
      <c r="D1422" s="106">
        <v>222.05</v>
      </c>
      <c r="E1422" s="106">
        <v>225.5</v>
      </c>
      <c r="F1422" s="106">
        <v>229.2</v>
      </c>
      <c r="G1422">
        <v>224779</v>
      </c>
      <c r="H1422" s="106"/>
      <c r="I1422" s="106"/>
      <c r="L1422" s="143">
        <v>44098</v>
      </c>
      <c r="M1422" s="106">
        <v>229.8</v>
      </c>
      <c r="N1422" s="106">
        <v>239.2</v>
      </c>
      <c r="O1422" s="106">
        <v>221.95</v>
      </c>
      <c r="P1422" s="106">
        <v>228</v>
      </c>
      <c r="Q1422" s="106">
        <v>229.8</v>
      </c>
      <c r="R1422">
        <v>9666063</v>
      </c>
    </row>
    <row r="1423" spans="1:18" x14ac:dyDescent="0.25">
      <c r="A1423" s="143">
        <v>44099</v>
      </c>
      <c r="B1423" s="106">
        <v>239.85</v>
      </c>
      <c r="C1423" s="106">
        <v>238.55</v>
      </c>
      <c r="D1423" s="106">
        <v>227.75</v>
      </c>
      <c r="E1423" s="106">
        <v>230.8</v>
      </c>
      <c r="F1423" s="106">
        <v>238.55</v>
      </c>
      <c r="G1423">
        <v>111793</v>
      </c>
      <c r="H1423" s="106"/>
      <c r="I1423" s="106"/>
      <c r="L1423" s="143">
        <v>44099</v>
      </c>
      <c r="M1423" s="106">
        <v>238.7</v>
      </c>
      <c r="N1423" s="106">
        <v>240</v>
      </c>
      <c r="O1423" s="106">
        <v>227.35</v>
      </c>
      <c r="P1423" s="106">
        <v>232.05</v>
      </c>
      <c r="Q1423" s="106">
        <v>238.7</v>
      </c>
      <c r="R1423">
        <v>5326944</v>
      </c>
    </row>
    <row r="1424" spans="1:18" x14ac:dyDescent="0.25">
      <c r="A1424" s="143">
        <v>44102</v>
      </c>
      <c r="B1424" s="106">
        <v>249.8</v>
      </c>
      <c r="C1424" s="106">
        <v>248.75</v>
      </c>
      <c r="D1424" s="106">
        <v>238.5</v>
      </c>
      <c r="E1424" s="106">
        <v>238.55</v>
      </c>
      <c r="F1424" s="106">
        <v>248.75</v>
      </c>
      <c r="G1424">
        <v>264956</v>
      </c>
      <c r="H1424" s="106"/>
      <c r="I1424" s="106"/>
      <c r="L1424" s="143">
        <v>44102</v>
      </c>
      <c r="M1424" s="106">
        <v>248.85</v>
      </c>
      <c r="N1424" s="106">
        <v>249.85</v>
      </c>
      <c r="O1424" s="106">
        <v>238</v>
      </c>
      <c r="P1424" s="106">
        <v>240.5</v>
      </c>
      <c r="Q1424" s="106">
        <v>248.85</v>
      </c>
      <c r="R1424">
        <v>6419447</v>
      </c>
    </row>
    <row r="1425" spans="1:18" x14ac:dyDescent="0.25">
      <c r="A1425" s="143">
        <v>44103</v>
      </c>
      <c r="B1425" s="106">
        <v>254.1</v>
      </c>
      <c r="C1425" s="106">
        <v>251.75</v>
      </c>
      <c r="D1425" s="106">
        <v>246.3</v>
      </c>
      <c r="E1425" s="106">
        <v>249.5</v>
      </c>
      <c r="F1425" s="106">
        <v>251.75</v>
      </c>
      <c r="G1425">
        <v>166933</v>
      </c>
      <c r="H1425" s="106"/>
      <c r="I1425" s="106"/>
      <c r="L1425" s="143">
        <v>44103</v>
      </c>
      <c r="M1425" s="106">
        <v>251.8</v>
      </c>
      <c r="N1425" s="106">
        <v>254.1</v>
      </c>
      <c r="O1425" s="106">
        <v>246.3</v>
      </c>
      <c r="P1425" s="106">
        <v>249.6</v>
      </c>
      <c r="Q1425" s="106">
        <v>251.8</v>
      </c>
      <c r="R1425">
        <v>5355356</v>
      </c>
    </row>
    <row r="1426" spans="1:18" x14ac:dyDescent="0.25">
      <c r="A1426" s="143">
        <v>44104</v>
      </c>
      <c r="B1426" s="106">
        <v>256.35000000000002</v>
      </c>
      <c r="C1426" s="106">
        <v>248.85</v>
      </c>
      <c r="D1426" s="106">
        <v>247.55</v>
      </c>
      <c r="E1426" s="106">
        <v>251.25</v>
      </c>
      <c r="F1426" s="106">
        <v>248.85</v>
      </c>
      <c r="G1426">
        <v>148241</v>
      </c>
      <c r="H1426" s="106"/>
      <c r="I1426" s="106"/>
      <c r="L1426" s="143">
        <v>44104</v>
      </c>
      <c r="M1426" s="106">
        <v>249.15</v>
      </c>
      <c r="N1426" s="106">
        <v>256.55</v>
      </c>
      <c r="O1426" s="106">
        <v>247.7</v>
      </c>
      <c r="P1426" s="106">
        <v>252</v>
      </c>
      <c r="Q1426" s="106">
        <v>249.15</v>
      </c>
      <c r="R1426">
        <v>4977764</v>
      </c>
    </row>
    <row r="1427" spans="1:18" x14ac:dyDescent="0.25">
      <c r="A1427" s="143">
        <v>44105</v>
      </c>
      <c r="B1427" s="106">
        <v>259.89999999999998</v>
      </c>
      <c r="C1427" s="106">
        <v>257.3</v>
      </c>
      <c r="D1427" s="106">
        <v>249.3</v>
      </c>
      <c r="E1427" s="106">
        <v>249.3</v>
      </c>
      <c r="F1427" s="106">
        <v>257.3</v>
      </c>
      <c r="G1427">
        <v>151902</v>
      </c>
      <c r="H1427" s="106"/>
      <c r="I1427" s="106"/>
      <c r="L1427" s="143">
        <v>44105</v>
      </c>
      <c r="M1427" s="106">
        <v>257.5</v>
      </c>
      <c r="N1427" s="106">
        <v>260</v>
      </c>
      <c r="O1427" s="106">
        <v>249.95</v>
      </c>
      <c r="P1427" s="106">
        <v>250.3</v>
      </c>
      <c r="Q1427" s="106">
        <v>257.5</v>
      </c>
      <c r="R1427">
        <v>6258481</v>
      </c>
    </row>
    <row r="1428" spans="1:18" x14ac:dyDescent="0.25">
      <c r="A1428" s="143">
        <v>44109</v>
      </c>
      <c r="B1428" s="106">
        <v>263.45</v>
      </c>
      <c r="C1428" s="106">
        <v>252.35</v>
      </c>
      <c r="D1428" s="106">
        <v>251</v>
      </c>
      <c r="E1428" s="106">
        <v>259.05</v>
      </c>
      <c r="F1428" s="106">
        <v>252.35</v>
      </c>
      <c r="G1428">
        <v>152601</v>
      </c>
      <c r="H1428" s="106"/>
      <c r="I1428" s="106"/>
      <c r="L1428" s="143">
        <v>44109</v>
      </c>
      <c r="M1428" s="106">
        <v>252.4</v>
      </c>
      <c r="N1428" s="106">
        <v>263.60000000000002</v>
      </c>
      <c r="O1428" s="106">
        <v>250.85</v>
      </c>
      <c r="P1428" s="106">
        <v>259.39999999999998</v>
      </c>
      <c r="Q1428" s="106">
        <v>252.4</v>
      </c>
      <c r="R1428">
        <v>5329977</v>
      </c>
    </row>
    <row r="1429" spans="1:18" x14ac:dyDescent="0.25">
      <c r="A1429" s="143">
        <v>44110</v>
      </c>
      <c r="B1429" s="106">
        <v>264.8</v>
      </c>
      <c r="C1429" s="106">
        <v>260.60000000000002</v>
      </c>
      <c r="D1429" s="106">
        <v>249.55</v>
      </c>
      <c r="E1429" s="106">
        <v>254.8</v>
      </c>
      <c r="F1429" s="106">
        <v>260.60000000000002</v>
      </c>
      <c r="G1429">
        <v>206455</v>
      </c>
      <c r="H1429" s="106"/>
      <c r="I1429" s="106"/>
      <c r="L1429" s="143">
        <v>44110</v>
      </c>
      <c r="M1429" s="106">
        <v>261</v>
      </c>
      <c r="N1429" s="106">
        <v>265</v>
      </c>
      <c r="O1429" s="106">
        <v>249.5</v>
      </c>
      <c r="P1429" s="106">
        <v>255.25</v>
      </c>
      <c r="Q1429" s="106">
        <v>261</v>
      </c>
      <c r="R1429">
        <v>7060452</v>
      </c>
    </row>
    <row r="1430" spans="1:18" x14ac:dyDescent="0.25">
      <c r="A1430" s="143">
        <v>44111</v>
      </c>
      <c r="B1430" s="106">
        <v>261</v>
      </c>
      <c r="C1430" s="106">
        <v>254.25</v>
      </c>
      <c r="D1430" s="106">
        <v>250.55</v>
      </c>
      <c r="E1430" s="106">
        <v>260.2</v>
      </c>
      <c r="F1430" s="106">
        <v>254.25</v>
      </c>
      <c r="G1430">
        <v>153202</v>
      </c>
      <c r="H1430" s="106"/>
      <c r="I1430" s="106"/>
      <c r="L1430" s="143">
        <v>44111</v>
      </c>
      <c r="M1430" s="106">
        <v>254.35</v>
      </c>
      <c r="N1430" s="106">
        <v>261.60000000000002</v>
      </c>
      <c r="O1430" s="106">
        <v>250.55</v>
      </c>
      <c r="P1430" s="106">
        <v>261</v>
      </c>
      <c r="Q1430" s="106">
        <v>254.35</v>
      </c>
      <c r="R1430">
        <v>5497957</v>
      </c>
    </row>
    <row r="1431" spans="1:18" x14ac:dyDescent="0.25">
      <c r="A1431" s="143">
        <v>44112</v>
      </c>
      <c r="B1431" s="106">
        <v>258.25</v>
      </c>
      <c r="C1431" s="106">
        <v>251.65</v>
      </c>
      <c r="D1431" s="106">
        <v>248</v>
      </c>
      <c r="E1431" s="106">
        <v>254.2</v>
      </c>
      <c r="F1431" s="106">
        <v>251.65</v>
      </c>
      <c r="G1431">
        <v>91057</v>
      </c>
      <c r="H1431" s="106"/>
      <c r="I1431" s="106"/>
      <c r="L1431" s="143">
        <v>44112</v>
      </c>
      <c r="M1431" s="106">
        <v>251.45</v>
      </c>
      <c r="N1431" s="106">
        <v>259.45</v>
      </c>
      <c r="O1431" s="106">
        <v>248.05</v>
      </c>
      <c r="P1431" s="106">
        <v>255.05</v>
      </c>
      <c r="Q1431" s="106">
        <v>251.45</v>
      </c>
      <c r="R1431">
        <v>3720720</v>
      </c>
    </row>
    <row r="1432" spans="1:18" x14ac:dyDescent="0.25">
      <c r="A1432" s="143">
        <v>44113</v>
      </c>
      <c r="B1432" s="106">
        <v>258.2</v>
      </c>
      <c r="C1432" s="106">
        <v>253.35</v>
      </c>
      <c r="D1432" s="106">
        <v>250.85</v>
      </c>
      <c r="E1432" s="106">
        <v>251.2</v>
      </c>
      <c r="F1432" s="106">
        <v>253.35</v>
      </c>
      <c r="G1432">
        <v>136679</v>
      </c>
      <c r="H1432" s="106"/>
      <c r="I1432" s="106"/>
      <c r="L1432" s="143">
        <v>44113</v>
      </c>
      <c r="M1432" s="106">
        <v>253.75</v>
      </c>
      <c r="N1432" s="106">
        <v>258.2</v>
      </c>
      <c r="O1432" s="106">
        <v>251</v>
      </c>
      <c r="P1432" s="106">
        <v>252.35</v>
      </c>
      <c r="Q1432" s="106">
        <v>253.75</v>
      </c>
      <c r="R1432">
        <v>3886632</v>
      </c>
    </row>
    <row r="1433" spans="1:18" x14ac:dyDescent="0.25">
      <c r="A1433" s="143">
        <v>44116</v>
      </c>
      <c r="B1433" s="106">
        <v>258</v>
      </c>
      <c r="C1433" s="106">
        <v>248.85</v>
      </c>
      <c r="D1433" s="106">
        <v>246.35</v>
      </c>
      <c r="E1433" s="106">
        <v>258</v>
      </c>
      <c r="F1433" s="106">
        <v>248.85</v>
      </c>
      <c r="G1433">
        <v>98516</v>
      </c>
      <c r="H1433" s="106"/>
      <c r="I1433" s="106"/>
      <c r="L1433" s="143">
        <v>44116</v>
      </c>
      <c r="M1433" s="106">
        <v>248.95</v>
      </c>
      <c r="N1433" s="106">
        <v>257.05</v>
      </c>
      <c r="O1433" s="106">
        <v>246.2</v>
      </c>
      <c r="P1433" s="106">
        <v>255.2</v>
      </c>
      <c r="Q1433" s="106">
        <v>248.95</v>
      </c>
      <c r="R1433">
        <v>3472273</v>
      </c>
    </row>
    <row r="1434" spans="1:18" x14ac:dyDescent="0.25">
      <c r="A1434" s="143">
        <v>44117</v>
      </c>
      <c r="B1434" s="106">
        <v>249</v>
      </c>
      <c r="C1434" s="106">
        <v>242.45</v>
      </c>
      <c r="D1434" s="106">
        <v>240.5</v>
      </c>
      <c r="E1434" s="106">
        <v>249</v>
      </c>
      <c r="F1434" s="106">
        <v>242.45</v>
      </c>
      <c r="G1434">
        <v>69976</v>
      </c>
      <c r="H1434" s="106"/>
      <c r="I1434" s="106"/>
      <c r="L1434" s="143">
        <v>44117</v>
      </c>
      <c r="M1434" s="106">
        <v>242.65</v>
      </c>
      <c r="N1434" s="106">
        <v>249.9</v>
      </c>
      <c r="O1434" s="106">
        <v>240.25</v>
      </c>
      <c r="P1434" s="106">
        <v>249.85</v>
      </c>
      <c r="Q1434" s="106">
        <v>242.65</v>
      </c>
      <c r="R1434">
        <v>4031503</v>
      </c>
    </row>
    <row r="1435" spans="1:18" x14ac:dyDescent="0.25">
      <c r="A1435" s="143">
        <v>44118</v>
      </c>
      <c r="B1435" s="106">
        <v>251</v>
      </c>
      <c r="C1435" s="106">
        <v>249.65</v>
      </c>
      <c r="D1435" s="106">
        <v>239.6</v>
      </c>
      <c r="E1435" s="106">
        <v>243</v>
      </c>
      <c r="F1435" s="106">
        <v>249.65</v>
      </c>
      <c r="G1435">
        <v>133833</v>
      </c>
      <c r="H1435" s="106"/>
      <c r="I1435" s="106"/>
      <c r="L1435" s="143">
        <v>44118</v>
      </c>
      <c r="M1435" s="106">
        <v>249.55</v>
      </c>
      <c r="N1435" s="106">
        <v>251.85</v>
      </c>
      <c r="O1435" s="106">
        <v>239.5</v>
      </c>
      <c r="P1435" s="106">
        <v>243.45</v>
      </c>
      <c r="Q1435" s="106">
        <v>249.55</v>
      </c>
      <c r="R1435">
        <v>4851028</v>
      </c>
    </row>
    <row r="1436" spans="1:18" x14ac:dyDescent="0.25">
      <c r="A1436" s="143">
        <v>44119</v>
      </c>
      <c r="B1436" s="106">
        <v>251</v>
      </c>
      <c r="C1436" s="106">
        <v>237.05</v>
      </c>
      <c r="D1436" s="106">
        <v>235.5</v>
      </c>
      <c r="E1436" s="106">
        <v>250.15</v>
      </c>
      <c r="F1436" s="106">
        <v>237.05</v>
      </c>
      <c r="G1436">
        <v>146183</v>
      </c>
      <c r="H1436" s="106"/>
      <c r="I1436" s="106"/>
      <c r="L1436" s="143">
        <v>44119</v>
      </c>
      <c r="M1436" s="106">
        <v>237.3</v>
      </c>
      <c r="N1436" s="106">
        <v>251.6</v>
      </c>
      <c r="O1436" s="106">
        <v>235.3</v>
      </c>
      <c r="P1436" s="106">
        <v>250.95</v>
      </c>
      <c r="Q1436" s="106">
        <v>237.3</v>
      </c>
      <c r="R1436">
        <v>4757990</v>
      </c>
    </row>
    <row r="1437" spans="1:18" x14ac:dyDescent="0.25">
      <c r="A1437" s="143">
        <v>44120</v>
      </c>
      <c r="B1437" s="106">
        <v>240</v>
      </c>
      <c r="C1437" s="106">
        <v>236.95</v>
      </c>
      <c r="D1437" s="106">
        <v>233.1</v>
      </c>
      <c r="E1437" s="106">
        <v>238</v>
      </c>
      <c r="F1437" s="106">
        <v>236.95</v>
      </c>
      <c r="G1437">
        <v>106034</v>
      </c>
      <c r="H1437" s="106"/>
      <c r="I1437" s="106"/>
      <c r="L1437" s="143">
        <v>44120</v>
      </c>
      <c r="M1437" s="106">
        <v>237.25</v>
      </c>
      <c r="N1437" s="106">
        <v>240.9</v>
      </c>
      <c r="O1437" s="106">
        <v>233</v>
      </c>
      <c r="P1437" s="106">
        <v>238.95</v>
      </c>
      <c r="Q1437" s="106">
        <v>237.25</v>
      </c>
      <c r="R1437">
        <v>5319385</v>
      </c>
    </row>
    <row r="1438" spans="1:18" x14ac:dyDescent="0.25">
      <c r="A1438" s="143">
        <v>44123</v>
      </c>
      <c r="B1438" s="106">
        <v>241</v>
      </c>
      <c r="C1438" s="106">
        <v>240.3</v>
      </c>
      <c r="D1438" s="106">
        <v>233.95</v>
      </c>
      <c r="E1438" s="106">
        <v>237</v>
      </c>
      <c r="F1438" s="106">
        <v>240.3</v>
      </c>
      <c r="G1438">
        <v>69591</v>
      </c>
      <c r="H1438" s="106"/>
      <c r="I1438" s="106"/>
      <c r="L1438" s="143">
        <v>44123</v>
      </c>
      <c r="M1438" s="106">
        <v>239.9</v>
      </c>
      <c r="N1438" s="106">
        <v>240.95</v>
      </c>
      <c r="O1438" s="106">
        <v>233.9</v>
      </c>
      <c r="P1438" s="106">
        <v>237.85</v>
      </c>
      <c r="Q1438" s="106">
        <v>239.9</v>
      </c>
      <c r="R1438">
        <v>4656147</v>
      </c>
    </row>
    <row r="1439" spans="1:18" x14ac:dyDescent="0.25">
      <c r="A1439" s="143">
        <v>44124</v>
      </c>
      <c r="B1439" s="106">
        <v>242.2</v>
      </c>
      <c r="C1439" s="106">
        <v>239.95</v>
      </c>
      <c r="D1439" s="106">
        <v>235</v>
      </c>
      <c r="E1439" s="106">
        <v>235</v>
      </c>
      <c r="F1439" s="106">
        <v>239.95</v>
      </c>
      <c r="G1439">
        <v>91408</v>
      </c>
      <c r="H1439" s="106"/>
      <c r="I1439" s="106"/>
      <c r="L1439" s="143">
        <v>44124</v>
      </c>
      <c r="M1439" s="106">
        <v>240.2</v>
      </c>
      <c r="N1439" s="106">
        <v>242.3</v>
      </c>
      <c r="O1439" s="106">
        <v>236.8</v>
      </c>
      <c r="P1439" s="106">
        <v>240</v>
      </c>
      <c r="Q1439" s="106">
        <v>240.2</v>
      </c>
      <c r="R1439">
        <v>3580468</v>
      </c>
    </row>
    <row r="1440" spans="1:18" x14ac:dyDescent="0.25">
      <c r="A1440" s="143">
        <v>44125</v>
      </c>
      <c r="B1440" s="106">
        <v>248</v>
      </c>
      <c r="C1440" s="106">
        <v>242.55</v>
      </c>
      <c r="D1440" s="106">
        <v>238</v>
      </c>
      <c r="E1440" s="106">
        <v>240</v>
      </c>
      <c r="F1440" s="106">
        <v>242.55</v>
      </c>
      <c r="G1440">
        <v>127662</v>
      </c>
      <c r="H1440" s="106"/>
      <c r="I1440" s="106"/>
      <c r="L1440" s="143">
        <v>44125</v>
      </c>
      <c r="M1440" s="106">
        <v>242.55</v>
      </c>
      <c r="N1440" s="106">
        <v>248.15</v>
      </c>
      <c r="O1440" s="106">
        <v>236.65</v>
      </c>
      <c r="P1440" s="106">
        <v>236.65</v>
      </c>
      <c r="Q1440" s="106">
        <v>242.55</v>
      </c>
      <c r="R1440">
        <v>5203743</v>
      </c>
    </row>
    <row r="1441" spans="1:18" x14ac:dyDescent="0.25">
      <c r="A1441" s="143">
        <v>44126</v>
      </c>
      <c r="B1441" s="106">
        <v>245.55</v>
      </c>
      <c r="C1441" s="106">
        <v>242.8</v>
      </c>
      <c r="D1441" s="106">
        <v>241.3</v>
      </c>
      <c r="E1441" s="106">
        <v>243.5</v>
      </c>
      <c r="F1441" s="106">
        <v>242.8</v>
      </c>
      <c r="G1441">
        <v>87760</v>
      </c>
      <c r="H1441" s="106"/>
      <c r="I1441" s="106"/>
      <c r="L1441" s="143">
        <v>44126</v>
      </c>
      <c r="M1441" s="106">
        <v>243.1</v>
      </c>
      <c r="N1441" s="106">
        <v>245.8</v>
      </c>
      <c r="O1441" s="106">
        <v>241.05</v>
      </c>
      <c r="P1441" s="106">
        <v>242.55</v>
      </c>
      <c r="Q1441" s="106">
        <v>243.1</v>
      </c>
      <c r="R1441">
        <v>2637818</v>
      </c>
    </row>
    <row r="1442" spans="1:18" x14ac:dyDescent="0.25">
      <c r="A1442" s="143">
        <v>44127</v>
      </c>
      <c r="B1442" s="106">
        <v>257.2</v>
      </c>
      <c r="C1442" s="106">
        <v>251.2</v>
      </c>
      <c r="D1442" s="106">
        <v>243.2</v>
      </c>
      <c r="E1442" s="106">
        <v>245</v>
      </c>
      <c r="F1442" s="106">
        <v>251.2</v>
      </c>
      <c r="G1442">
        <v>165098</v>
      </c>
      <c r="H1442" s="106"/>
      <c r="I1442" s="106"/>
      <c r="L1442" s="143">
        <v>44127</v>
      </c>
      <c r="M1442" s="106">
        <v>251.5</v>
      </c>
      <c r="N1442" s="106">
        <v>257.3</v>
      </c>
      <c r="O1442" s="106">
        <v>243</v>
      </c>
      <c r="P1442" s="106">
        <v>243.35</v>
      </c>
      <c r="Q1442" s="106">
        <v>251.5</v>
      </c>
      <c r="R1442">
        <v>7921808</v>
      </c>
    </row>
    <row r="1443" spans="1:18" x14ac:dyDescent="0.25">
      <c r="A1443" s="143">
        <v>44130</v>
      </c>
      <c r="B1443" s="106">
        <v>252</v>
      </c>
      <c r="C1443" s="106">
        <v>246.8</v>
      </c>
      <c r="D1443" s="106">
        <v>243.75</v>
      </c>
      <c r="E1443" s="106">
        <v>252</v>
      </c>
      <c r="F1443" s="106">
        <v>246.8</v>
      </c>
      <c r="G1443">
        <v>64341</v>
      </c>
      <c r="H1443" s="106"/>
      <c r="I1443" s="106"/>
      <c r="L1443" s="143">
        <v>44130</v>
      </c>
      <c r="M1443" s="106">
        <v>246.9</v>
      </c>
      <c r="N1443" s="106">
        <v>251.8</v>
      </c>
      <c r="O1443" s="106">
        <v>243.5</v>
      </c>
      <c r="P1443" s="106">
        <v>250.55</v>
      </c>
      <c r="Q1443" s="106">
        <v>246.9</v>
      </c>
      <c r="R1443">
        <v>2990672</v>
      </c>
    </row>
    <row r="1444" spans="1:18" x14ac:dyDescent="0.25">
      <c r="A1444" s="143">
        <v>44131</v>
      </c>
      <c r="B1444" s="106">
        <v>250.55</v>
      </c>
      <c r="C1444" s="106">
        <v>248.5</v>
      </c>
      <c r="D1444" s="106">
        <v>243.35</v>
      </c>
      <c r="E1444" s="106">
        <v>244</v>
      </c>
      <c r="F1444" s="106">
        <v>248.5</v>
      </c>
      <c r="G1444">
        <v>112124</v>
      </c>
      <c r="H1444" s="106"/>
      <c r="I1444" s="106"/>
      <c r="L1444" s="143">
        <v>44131</v>
      </c>
      <c r="M1444" s="106">
        <v>248.75</v>
      </c>
      <c r="N1444" s="106">
        <v>250.65</v>
      </c>
      <c r="O1444" s="106">
        <v>243.15</v>
      </c>
      <c r="P1444" s="106">
        <v>245.6</v>
      </c>
      <c r="Q1444" s="106">
        <v>248.75</v>
      </c>
      <c r="R1444">
        <v>2919343</v>
      </c>
    </row>
    <row r="1445" spans="1:18" x14ac:dyDescent="0.25">
      <c r="A1445" s="143">
        <v>44132</v>
      </c>
      <c r="B1445" s="106">
        <v>251</v>
      </c>
      <c r="C1445" s="106">
        <v>243.25</v>
      </c>
      <c r="D1445" s="106">
        <v>241.1</v>
      </c>
      <c r="E1445" s="106">
        <v>248.95</v>
      </c>
      <c r="F1445" s="106">
        <v>243.25</v>
      </c>
      <c r="G1445">
        <v>60207</v>
      </c>
      <c r="H1445" s="106"/>
      <c r="I1445" s="106"/>
      <c r="L1445" s="143">
        <v>44132</v>
      </c>
      <c r="M1445" s="106">
        <v>243.25</v>
      </c>
      <c r="N1445" s="106">
        <v>250.75</v>
      </c>
      <c r="O1445" s="106">
        <v>241.05</v>
      </c>
      <c r="P1445" s="106">
        <v>248.95</v>
      </c>
      <c r="Q1445" s="106">
        <v>243.25</v>
      </c>
      <c r="R1445">
        <v>2571646</v>
      </c>
    </row>
    <row r="1446" spans="1:18" x14ac:dyDescent="0.25">
      <c r="A1446" s="143">
        <v>44133</v>
      </c>
      <c r="B1446" s="106">
        <v>251.25</v>
      </c>
      <c r="C1446" s="106">
        <v>250.1</v>
      </c>
      <c r="D1446" s="106">
        <v>236.7</v>
      </c>
      <c r="E1446" s="106">
        <v>239</v>
      </c>
      <c r="F1446" s="106">
        <v>250.1</v>
      </c>
      <c r="G1446">
        <v>202693</v>
      </c>
      <c r="H1446" s="106"/>
      <c r="I1446" s="106"/>
      <c r="L1446" s="143">
        <v>44133</v>
      </c>
      <c r="M1446" s="106">
        <v>250.1</v>
      </c>
      <c r="N1446" s="106">
        <v>251.45</v>
      </c>
      <c r="O1446" s="106">
        <v>234.5</v>
      </c>
      <c r="P1446" s="106">
        <v>241.5</v>
      </c>
      <c r="Q1446" s="106">
        <v>250.1</v>
      </c>
      <c r="R1446">
        <v>3797428</v>
      </c>
    </row>
    <row r="1447" spans="1:18" x14ac:dyDescent="0.25">
      <c r="A1447" s="143">
        <v>44134</v>
      </c>
      <c r="B1447" s="106">
        <v>280.3</v>
      </c>
      <c r="C1447" s="106">
        <v>273.10000000000002</v>
      </c>
      <c r="D1447" s="106">
        <v>248.6</v>
      </c>
      <c r="E1447" s="106">
        <v>250.5</v>
      </c>
      <c r="F1447" s="106">
        <v>273.10000000000002</v>
      </c>
      <c r="G1447">
        <v>1194918</v>
      </c>
      <c r="H1447" s="106"/>
      <c r="I1447" s="106"/>
      <c r="L1447" s="143">
        <v>44134</v>
      </c>
      <c r="M1447" s="106">
        <v>273.25</v>
      </c>
      <c r="N1447" s="106">
        <v>280.35000000000002</v>
      </c>
      <c r="O1447" s="106">
        <v>248</v>
      </c>
      <c r="P1447" s="106">
        <v>250.05</v>
      </c>
      <c r="Q1447" s="106">
        <v>273.25</v>
      </c>
      <c r="R1447">
        <v>24234206</v>
      </c>
    </row>
    <row r="1448" spans="1:18" x14ac:dyDescent="0.25">
      <c r="A1448" s="143">
        <v>44137</v>
      </c>
      <c r="B1448" s="106">
        <v>294.95</v>
      </c>
      <c r="C1448" s="106">
        <v>292.75</v>
      </c>
      <c r="D1448" s="106">
        <v>268.64999999999998</v>
      </c>
      <c r="E1448" s="106">
        <v>271</v>
      </c>
      <c r="F1448" s="106">
        <v>292.75</v>
      </c>
      <c r="G1448">
        <v>390179</v>
      </c>
      <c r="H1448" s="106"/>
      <c r="I1448" s="106"/>
      <c r="L1448" s="143">
        <v>44137</v>
      </c>
      <c r="M1448" s="106">
        <v>293.05</v>
      </c>
      <c r="N1448" s="106">
        <v>294.89999999999998</v>
      </c>
      <c r="O1448" s="106">
        <v>268.64999999999998</v>
      </c>
      <c r="P1448" s="106">
        <v>271</v>
      </c>
      <c r="Q1448" s="106">
        <v>293.05</v>
      </c>
      <c r="R1448">
        <v>13380533</v>
      </c>
    </row>
    <row r="1449" spans="1:18" x14ac:dyDescent="0.25">
      <c r="A1449" s="143">
        <v>44138</v>
      </c>
      <c r="B1449" s="106">
        <v>299.5</v>
      </c>
      <c r="C1449" s="106">
        <v>296.8</v>
      </c>
      <c r="D1449" s="106">
        <v>287.64999999999998</v>
      </c>
      <c r="E1449" s="106">
        <v>292.75</v>
      </c>
      <c r="F1449" s="106">
        <v>296.8</v>
      </c>
      <c r="G1449">
        <v>195398</v>
      </c>
      <c r="H1449" s="106"/>
      <c r="I1449" s="106"/>
      <c r="L1449" s="143">
        <v>44138</v>
      </c>
      <c r="M1449" s="106">
        <v>296.55</v>
      </c>
      <c r="N1449" s="106">
        <v>299.7</v>
      </c>
      <c r="O1449" s="106">
        <v>287.64999999999998</v>
      </c>
      <c r="P1449" s="106">
        <v>293.05</v>
      </c>
      <c r="Q1449" s="106">
        <v>296.55</v>
      </c>
      <c r="R1449">
        <v>6956759</v>
      </c>
    </row>
    <row r="1450" spans="1:18" x14ac:dyDescent="0.25">
      <c r="A1450" s="143">
        <v>44139</v>
      </c>
      <c r="B1450" s="106">
        <v>301.7</v>
      </c>
      <c r="C1450" s="106">
        <v>293.55</v>
      </c>
      <c r="D1450" s="106">
        <v>290.10000000000002</v>
      </c>
      <c r="E1450" s="106">
        <v>295.7</v>
      </c>
      <c r="F1450" s="106">
        <v>293.55</v>
      </c>
      <c r="G1450">
        <v>289741</v>
      </c>
      <c r="H1450" s="106"/>
      <c r="I1450" s="106"/>
      <c r="L1450" s="143">
        <v>44139</v>
      </c>
      <c r="M1450" s="106">
        <v>293.64999999999998</v>
      </c>
      <c r="N1450" s="106">
        <v>302</v>
      </c>
      <c r="O1450" s="106">
        <v>290.10000000000002</v>
      </c>
      <c r="P1450" s="106">
        <v>297</v>
      </c>
      <c r="Q1450" s="106">
        <v>293.64999999999998</v>
      </c>
      <c r="R1450">
        <v>6560345</v>
      </c>
    </row>
    <row r="1451" spans="1:18" x14ac:dyDescent="0.25">
      <c r="A1451" s="143">
        <v>44140</v>
      </c>
      <c r="B1451" s="106">
        <v>308.10000000000002</v>
      </c>
      <c r="C1451" s="106">
        <v>306.60000000000002</v>
      </c>
      <c r="D1451" s="106">
        <v>291.45</v>
      </c>
      <c r="E1451" s="106">
        <v>293.2</v>
      </c>
      <c r="F1451" s="106">
        <v>306.60000000000002</v>
      </c>
      <c r="G1451">
        <v>137128</v>
      </c>
      <c r="H1451" s="106"/>
      <c r="I1451" s="106"/>
      <c r="L1451" s="143">
        <v>44140</v>
      </c>
      <c r="M1451" s="106">
        <v>306.05</v>
      </c>
      <c r="N1451" s="106">
        <v>308.3</v>
      </c>
      <c r="O1451" s="106">
        <v>291.3</v>
      </c>
      <c r="P1451" s="106">
        <v>295</v>
      </c>
      <c r="Q1451" s="106">
        <v>306.05</v>
      </c>
      <c r="R1451">
        <v>5915412</v>
      </c>
    </row>
    <row r="1452" spans="1:18" x14ac:dyDescent="0.25">
      <c r="A1452" s="143">
        <v>44141</v>
      </c>
      <c r="B1452" s="106">
        <v>307.45</v>
      </c>
      <c r="C1452" s="106">
        <v>303.14999999999998</v>
      </c>
      <c r="D1452" s="106">
        <v>298.3</v>
      </c>
      <c r="E1452" s="106">
        <v>303.2</v>
      </c>
      <c r="F1452" s="106">
        <v>303.14999999999998</v>
      </c>
      <c r="G1452">
        <v>150697</v>
      </c>
      <c r="H1452" s="106"/>
      <c r="I1452" s="106"/>
      <c r="L1452" s="143">
        <v>44141</v>
      </c>
      <c r="M1452" s="106">
        <v>303.60000000000002</v>
      </c>
      <c r="N1452" s="106">
        <v>307.5</v>
      </c>
      <c r="O1452" s="106">
        <v>298.2</v>
      </c>
      <c r="P1452" s="106">
        <v>305</v>
      </c>
      <c r="Q1452" s="106">
        <v>303.60000000000002</v>
      </c>
      <c r="R1452">
        <v>5227334</v>
      </c>
    </row>
    <row r="1453" spans="1:18" x14ac:dyDescent="0.25">
      <c r="A1453" s="143">
        <v>44144</v>
      </c>
      <c r="B1453" s="106">
        <v>310</v>
      </c>
      <c r="C1453" s="106">
        <v>305</v>
      </c>
      <c r="D1453" s="106">
        <v>303</v>
      </c>
      <c r="E1453" s="106">
        <v>309</v>
      </c>
      <c r="F1453" s="106">
        <v>305</v>
      </c>
      <c r="G1453">
        <v>89964</v>
      </c>
      <c r="H1453" s="106"/>
      <c r="I1453" s="106"/>
      <c r="L1453" s="143">
        <v>44144</v>
      </c>
      <c r="M1453" s="106">
        <v>305.39999999999998</v>
      </c>
      <c r="N1453" s="106">
        <v>310</v>
      </c>
      <c r="O1453" s="106">
        <v>303.10000000000002</v>
      </c>
      <c r="P1453" s="106">
        <v>306.05</v>
      </c>
      <c r="Q1453" s="106">
        <v>305.39999999999998</v>
      </c>
      <c r="R1453">
        <v>4231352</v>
      </c>
    </row>
    <row r="1454" spans="1:18" x14ac:dyDescent="0.25">
      <c r="A1454" s="143">
        <v>44145</v>
      </c>
      <c r="B1454" s="106">
        <v>322.10000000000002</v>
      </c>
      <c r="C1454" s="106">
        <v>312.35000000000002</v>
      </c>
      <c r="D1454" s="106">
        <v>304</v>
      </c>
      <c r="E1454" s="106">
        <v>311</v>
      </c>
      <c r="F1454" s="106">
        <v>312.35000000000002</v>
      </c>
      <c r="G1454">
        <v>216363</v>
      </c>
      <c r="H1454" s="106"/>
      <c r="I1454" s="106"/>
      <c r="L1454" s="143">
        <v>44145</v>
      </c>
      <c r="M1454" s="106">
        <v>312.5</v>
      </c>
      <c r="N1454" s="106">
        <v>322.45</v>
      </c>
      <c r="O1454" s="106">
        <v>303.75</v>
      </c>
      <c r="P1454" s="106">
        <v>308</v>
      </c>
      <c r="Q1454" s="106">
        <v>312.5</v>
      </c>
      <c r="R1454">
        <v>7253811</v>
      </c>
    </row>
    <row r="1455" spans="1:18" x14ac:dyDescent="0.25">
      <c r="A1455" s="143">
        <v>44146</v>
      </c>
      <c r="B1455" s="106">
        <v>315.14999999999998</v>
      </c>
      <c r="C1455" s="106">
        <v>303.89999999999998</v>
      </c>
      <c r="D1455" s="106">
        <v>299.14999999999998</v>
      </c>
      <c r="E1455" s="106">
        <v>313</v>
      </c>
      <c r="F1455" s="106">
        <v>303.89999999999998</v>
      </c>
      <c r="G1455">
        <v>128575</v>
      </c>
      <c r="H1455" s="106"/>
      <c r="I1455" s="106"/>
      <c r="L1455" s="143">
        <v>44146</v>
      </c>
      <c r="M1455" s="106">
        <v>304.35000000000002</v>
      </c>
      <c r="N1455" s="106">
        <v>315.45</v>
      </c>
      <c r="O1455" s="106">
        <v>299</v>
      </c>
      <c r="P1455" s="106">
        <v>314.89999999999998</v>
      </c>
      <c r="Q1455" s="106">
        <v>304.35000000000002</v>
      </c>
      <c r="R1455">
        <v>6290798</v>
      </c>
    </row>
    <row r="1456" spans="1:18" x14ac:dyDescent="0.25">
      <c r="A1456" s="143">
        <v>44147</v>
      </c>
      <c r="B1456" s="106">
        <v>320.7</v>
      </c>
      <c r="C1456" s="106">
        <v>316.35000000000002</v>
      </c>
      <c r="D1456" s="106">
        <v>303.5</v>
      </c>
      <c r="E1456" s="106">
        <v>303.5</v>
      </c>
      <c r="F1456" s="106">
        <v>316.35000000000002</v>
      </c>
      <c r="G1456">
        <v>258087</v>
      </c>
      <c r="H1456" s="106"/>
      <c r="I1456" s="106"/>
      <c r="L1456" s="143">
        <v>44147</v>
      </c>
      <c r="M1456" s="106">
        <v>316.5</v>
      </c>
      <c r="N1456" s="106">
        <v>320.95</v>
      </c>
      <c r="O1456" s="106">
        <v>302.25</v>
      </c>
      <c r="P1456" s="106">
        <v>305</v>
      </c>
      <c r="Q1456" s="106">
        <v>316.5</v>
      </c>
      <c r="R1456">
        <v>8666139</v>
      </c>
    </row>
    <row r="1457" spans="1:18" x14ac:dyDescent="0.25">
      <c r="A1457" s="143">
        <v>44148</v>
      </c>
      <c r="B1457" s="106">
        <v>316.2</v>
      </c>
      <c r="C1457" s="106">
        <v>309.45</v>
      </c>
      <c r="D1457" s="106">
        <v>308.60000000000002</v>
      </c>
      <c r="E1457" s="106">
        <v>314.5</v>
      </c>
      <c r="F1457" s="106">
        <v>309.45</v>
      </c>
      <c r="G1457">
        <v>93862</v>
      </c>
      <c r="H1457" s="106"/>
      <c r="I1457" s="106"/>
      <c r="L1457" s="143">
        <v>44148</v>
      </c>
      <c r="M1457" s="106">
        <v>309.75</v>
      </c>
      <c r="N1457" s="106">
        <v>316.35000000000002</v>
      </c>
      <c r="O1457" s="106">
        <v>308.60000000000002</v>
      </c>
      <c r="P1457" s="106">
        <v>313.95</v>
      </c>
      <c r="Q1457" s="106">
        <v>309.75</v>
      </c>
      <c r="R1457">
        <v>5820864</v>
      </c>
    </row>
    <row r="1458" spans="1:18" x14ac:dyDescent="0.25">
      <c r="A1458" s="143">
        <v>44149</v>
      </c>
      <c r="B1458" s="106">
        <v>315.89999999999998</v>
      </c>
      <c r="C1458" s="106">
        <v>312.14999999999998</v>
      </c>
      <c r="D1458" s="106">
        <v>311.3</v>
      </c>
      <c r="E1458" s="106">
        <v>315.89999999999998</v>
      </c>
      <c r="F1458" s="106">
        <v>312.14999999999998</v>
      </c>
      <c r="G1458">
        <v>14854</v>
      </c>
      <c r="H1458" s="106"/>
      <c r="I1458" s="106"/>
      <c r="L1458" s="143">
        <v>44149</v>
      </c>
      <c r="M1458" s="106">
        <v>312.3</v>
      </c>
      <c r="N1458" s="106">
        <v>314.64999999999998</v>
      </c>
      <c r="O1458" s="106">
        <v>311.10000000000002</v>
      </c>
      <c r="P1458" s="106">
        <v>312.7</v>
      </c>
      <c r="Q1458" s="106">
        <v>312.3</v>
      </c>
      <c r="R1458">
        <v>435095</v>
      </c>
    </row>
    <row r="1459" spans="1:18" x14ac:dyDescent="0.25">
      <c r="A1459" s="143">
        <v>44152</v>
      </c>
      <c r="B1459" s="106">
        <v>324.2</v>
      </c>
      <c r="C1459" s="106">
        <v>322.45</v>
      </c>
      <c r="D1459" s="106">
        <v>310</v>
      </c>
      <c r="E1459" s="106">
        <v>313.5</v>
      </c>
      <c r="F1459" s="106">
        <v>322.45</v>
      </c>
      <c r="G1459">
        <v>94516</v>
      </c>
      <c r="H1459" s="106"/>
      <c r="I1459" s="106"/>
      <c r="L1459" s="143">
        <v>44152</v>
      </c>
      <c r="M1459" s="106">
        <v>322.5</v>
      </c>
      <c r="N1459" s="106">
        <v>324.5</v>
      </c>
      <c r="O1459" s="106">
        <v>309.7</v>
      </c>
      <c r="P1459" s="106">
        <v>314</v>
      </c>
      <c r="Q1459" s="106">
        <v>322.5</v>
      </c>
      <c r="R1459">
        <v>4944101</v>
      </c>
    </row>
    <row r="1460" spans="1:18" x14ac:dyDescent="0.25">
      <c r="A1460" s="143">
        <v>44153</v>
      </c>
      <c r="B1460" s="106">
        <v>340</v>
      </c>
      <c r="C1460" s="106">
        <v>334.8</v>
      </c>
      <c r="D1460" s="106">
        <v>317.14999999999998</v>
      </c>
      <c r="E1460" s="106">
        <v>323.7</v>
      </c>
      <c r="F1460" s="106">
        <v>334.8</v>
      </c>
      <c r="G1460">
        <v>160670</v>
      </c>
      <c r="H1460" s="106"/>
      <c r="I1460" s="106"/>
      <c r="L1460" s="143">
        <v>44153</v>
      </c>
      <c r="M1460" s="106">
        <v>334.7</v>
      </c>
      <c r="N1460" s="106">
        <v>340</v>
      </c>
      <c r="O1460" s="106">
        <v>317.3</v>
      </c>
      <c r="P1460" s="106">
        <v>321.95</v>
      </c>
      <c r="Q1460" s="106">
        <v>334.7</v>
      </c>
      <c r="R1460">
        <v>9121056</v>
      </c>
    </row>
    <row r="1461" spans="1:18" x14ac:dyDescent="0.25">
      <c r="A1461" s="143">
        <v>44154</v>
      </c>
      <c r="B1461" s="106">
        <v>342.85</v>
      </c>
      <c r="C1461" s="106">
        <v>332.1</v>
      </c>
      <c r="D1461" s="106">
        <v>330.4</v>
      </c>
      <c r="E1461" s="106">
        <v>331</v>
      </c>
      <c r="F1461" s="106">
        <v>332.1</v>
      </c>
      <c r="G1461">
        <v>169187</v>
      </c>
      <c r="H1461" s="106"/>
      <c r="I1461" s="106"/>
      <c r="L1461" s="143">
        <v>44154</v>
      </c>
      <c r="M1461" s="106">
        <v>332.4</v>
      </c>
      <c r="N1461" s="106">
        <v>343</v>
      </c>
      <c r="O1461" s="106">
        <v>328.35</v>
      </c>
      <c r="P1461" s="106">
        <v>334.45</v>
      </c>
      <c r="Q1461" s="106">
        <v>332.4</v>
      </c>
      <c r="R1461">
        <v>7803220</v>
      </c>
    </row>
    <row r="1462" spans="1:18" x14ac:dyDescent="0.25">
      <c r="A1462" s="143">
        <v>44155</v>
      </c>
      <c r="B1462" s="106">
        <v>344.5</v>
      </c>
      <c r="C1462" s="106">
        <v>338.75</v>
      </c>
      <c r="D1462" s="106">
        <v>334.3</v>
      </c>
      <c r="E1462" s="106">
        <v>334.3</v>
      </c>
      <c r="F1462" s="106">
        <v>338.75</v>
      </c>
      <c r="G1462">
        <v>166325</v>
      </c>
      <c r="H1462" s="106"/>
      <c r="I1462" s="106"/>
      <c r="L1462" s="143">
        <v>44155</v>
      </c>
      <c r="M1462" s="106">
        <v>338.95</v>
      </c>
      <c r="N1462" s="106">
        <v>344.6</v>
      </c>
      <c r="O1462" s="106">
        <v>334</v>
      </c>
      <c r="P1462" s="106">
        <v>334.35</v>
      </c>
      <c r="Q1462" s="106">
        <v>338.95</v>
      </c>
      <c r="R1462">
        <v>6569386</v>
      </c>
    </row>
    <row r="1463" spans="1:18" x14ac:dyDescent="0.25">
      <c r="A1463" s="143">
        <v>44158</v>
      </c>
      <c r="B1463" s="106">
        <v>355.05</v>
      </c>
      <c r="C1463" s="106">
        <v>351.5</v>
      </c>
      <c r="D1463" s="106">
        <v>338.75</v>
      </c>
      <c r="E1463" s="106">
        <v>338.75</v>
      </c>
      <c r="F1463" s="106">
        <v>351.5</v>
      </c>
      <c r="G1463">
        <v>209003</v>
      </c>
      <c r="H1463" s="106"/>
      <c r="I1463" s="106"/>
      <c r="L1463" s="143">
        <v>44158</v>
      </c>
      <c r="M1463" s="106">
        <v>351.7</v>
      </c>
      <c r="N1463" s="106">
        <v>355.2</v>
      </c>
      <c r="O1463" s="106">
        <v>340</v>
      </c>
      <c r="P1463" s="106">
        <v>340</v>
      </c>
      <c r="Q1463" s="106">
        <v>351.7</v>
      </c>
      <c r="R1463">
        <v>7941918</v>
      </c>
    </row>
    <row r="1464" spans="1:18" x14ac:dyDescent="0.25">
      <c r="A1464" s="143">
        <v>44159</v>
      </c>
      <c r="B1464" s="106">
        <v>363.6</v>
      </c>
      <c r="C1464" s="106">
        <v>360.55</v>
      </c>
      <c r="D1464" s="106">
        <v>352.1</v>
      </c>
      <c r="E1464" s="106">
        <v>352.1</v>
      </c>
      <c r="F1464" s="106">
        <v>360.55</v>
      </c>
      <c r="G1464">
        <v>191776</v>
      </c>
      <c r="H1464" s="106"/>
      <c r="I1464" s="106"/>
      <c r="L1464" s="143">
        <v>44159</v>
      </c>
      <c r="M1464" s="106">
        <v>360.2</v>
      </c>
      <c r="N1464" s="106">
        <v>363.85</v>
      </c>
      <c r="O1464" s="106">
        <v>351.1</v>
      </c>
      <c r="P1464" s="106">
        <v>353.65</v>
      </c>
      <c r="Q1464" s="106">
        <v>360.2</v>
      </c>
      <c r="R1464">
        <v>5854352</v>
      </c>
    </row>
    <row r="1465" spans="1:18" x14ac:dyDescent="0.25">
      <c r="A1465" s="143">
        <v>44160</v>
      </c>
      <c r="B1465" s="106">
        <v>366.6</v>
      </c>
      <c r="C1465" s="106">
        <v>352.9</v>
      </c>
      <c r="D1465" s="106">
        <v>351.9</v>
      </c>
      <c r="E1465" s="106">
        <v>361.25</v>
      </c>
      <c r="F1465" s="106">
        <v>352.9</v>
      </c>
      <c r="G1465">
        <v>215186</v>
      </c>
      <c r="H1465" s="106"/>
      <c r="I1465" s="106"/>
      <c r="L1465" s="143">
        <v>44160</v>
      </c>
      <c r="M1465" s="106">
        <v>352.85</v>
      </c>
      <c r="N1465" s="106">
        <v>366.9</v>
      </c>
      <c r="O1465" s="106">
        <v>351.55</v>
      </c>
      <c r="P1465" s="106">
        <v>364.4</v>
      </c>
      <c r="Q1465" s="106">
        <v>352.85</v>
      </c>
      <c r="R1465">
        <v>7347086</v>
      </c>
    </row>
    <row r="1466" spans="1:18" x14ac:dyDescent="0.25">
      <c r="A1466" s="143">
        <v>44161</v>
      </c>
      <c r="B1466" s="106">
        <v>361.35</v>
      </c>
      <c r="C1466" s="106">
        <v>360.3</v>
      </c>
      <c r="D1466" s="106">
        <v>350.65</v>
      </c>
      <c r="E1466" s="106">
        <v>356</v>
      </c>
      <c r="F1466" s="106">
        <v>360.3</v>
      </c>
      <c r="G1466">
        <v>153989</v>
      </c>
      <c r="H1466" s="106"/>
      <c r="I1466" s="106"/>
      <c r="L1466" s="143">
        <v>44161</v>
      </c>
      <c r="M1466" s="106">
        <v>360.2</v>
      </c>
      <c r="N1466" s="106">
        <v>361.5</v>
      </c>
      <c r="O1466" s="106">
        <v>350.5</v>
      </c>
      <c r="P1466" s="106">
        <v>355.05</v>
      </c>
      <c r="Q1466" s="106">
        <v>360.2</v>
      </c>
      <c r="R1466">
        <v>6076161</v>
      </c>
    </row>
    <row r="1467" spans="1:18" x14ac:dyDescent="0.25">
      <c r="A1467" s="143">
        <v>44162</v>
      </c>
      <c r="B1467" s="106">
        <v>394.3</v>
      </c>
      <c r="C1467" s="106">
        <v>389.5</v>
      </c>
      <c r="D1467" s="106">
        <v>359</v>
      </c>
      <c r="E1467" s="106">
        <v>364</v>
      </c>
      <c r="F1467" s="106">
        <v>389.5</v>
      </c>
      <c r="G1467">
        <v>335250</v>
      </c>
      <c r="H1467" s="106"/>
      <c r="I1467" s="106"/>
      <c r="L1467" s="143">
        <v>44162</v>
      </c>
      <c r="M1467" s="106">
        <v>388.7</v>
      </c>
      <c r="N1467" s="106">
        <v>394.9</v>
      </c>
      <c r="O1467" s="106">
        <v>358.9</v>
      </c>
      <c r="P1467" s="106">
        <v>360.5</v>
      </c>
      <c r="Q1467" s="106">
        <v>388.7</v>
      </c>
      <c r="R1467">
        <v>13549479</v>
      </c>
    </row>
    <row r="1468" spans="1:18" x14ac:dyDescent="0.25">
      <c r="A1468" s="143">
        <v>44166</v>
      </c>
      <c r="B1468" s="106">
        <v>389.5</v>
      </c>
      <c r="C1468" s="106">
        <v>374.95</v>
      </c>
      <c r="D1468" s="106">
        <v>371.5</v>
      </c>
      <c r="E1468" s="106">
        <v>389.5</v>
      </c>
      <c r="F1468" s="106">
        <v>374.95</v>
      </c>
      <c r="G1468">
        <v>177447</v>
      </c>
      <c r="H1468" s="106"/>
      <c r="I1468" s="106"/>
      <c r="L1468" s="143">
        <v>44166</v>
      </c>
      <c r="M1468" s="106">
        <v>374.8</v>
      </c>
      <c r="N1468" s="106">
        <v>389.65</v>
      </c>
      <c r="O1468" s="106">
        <v>371.35</v>
      </c>
      <c r="P1468" s="106">
        <v>389.65</v>
      </c>
      <c r="Q1468" s="106">
        <v>374.8</v>
      </c>
      <c r="R1468">
        <v>7531640</v>
      </c>
    </row>
    <row r="1469" spans="1:18" x14ac:dyDescent="0.25">
      <c r="A1469" s="143">
        <v>44167</v>
      </c>
      <c r="B1469" s="106">
        <v>382.5</v>
      </c>
      <c r="C1469" s="106">
        <v>374.7</v>
      </c>
      <c r="D1469" s="106">
        <v>368</v>
      </c>
      <c r="E1469" s="106">
        <v>368</v>
      </c>
      <c r="F1469" s="106">
        <v>374.7</v>
      </c>
      <c r="G1469">
        <v>184489</v>
      </c>
      <c r="H1469" s="106"/>
      <c r="I1469" s="106"/>
      <c r="L1469" s="143">
        <v>44167</v>
      </c>
      <c r="M1469" s="106">
        <v>374.9</v>
      </c>
      <c r="N1469" s="106">
        <v>382.85</v>
      </c>
      <c r="O1469" s="106">
        <v>371</v>
      </c>
      <c r="P1469" s="106">
        <v>376</v>
      </c>
      <c r="Q1469" s="106">
        <v>374.9</v>
      </c>
      <c r="R1469">
        <v>4970169</v>
      </c>
    </row>
    <row r="1470" spans="1:18" x14ac:dyDescent="0.25">
      <c r="A1470" s="143">
        <v>44168</v>
      </c>
      <c r="B1470" s="106">
        <v>381.15</v>
      </c>
      <c r="C1470" s="106">
        <v>370.7</v>
      </c>
      <c r="D1470" s="106">
        <v>368.7</v>
      </c>
      <c r="E1470" s="106">
        <v>378</v>
      </c>
      <c r="F1470" s="106">
        <v>370.7</v>
      </c>
      <c r="G1470">
        <v>95754</v>
      </c>
      <c r="H1470" s="106"/>
      <c r="I1470" s="106"/>
      <c r="L1470" s="143">
        <v>44168</v>
      </c>
      <c r="M1470" s="106">
        <v>370.7</v>
      </c>
      <c r="N1470" s="106">
        <v>381.5</v>
      </c>
      <c r="O1470" s="106">
        <v>368.4</v>
      </c>
      <c r="P1470" s="106">
        <v>377.95</v>
      </c>
      <c r="Q1470" s="106">
        <v>370.7</v>
      </c>
      <c r="R1470">
        <v>5027299</v>
      </c>
    </row>
    <row r="1471" spans="1:18" x14ac:dyDescent="0.25">
      <c r="A1471" s="143">
        <v>44169</v>
      </c>
      <c r="B1471" s="106">
        <v>375.3</v>
      </c>
      <c r="C1471" s="106">
        <v>369.65</v>
      </c>
      <c r="D1471" s="106">
        <v>361.7</v>
      </c>
      <c r="E1471" s="106">
        <v>373.5</v>
      </c>
      <c r="F1471" s="106">
        <v>369.65</v>
      </c>
      <c r="G1471">
        <v>1050661</v>
      </c>
      <c r="H1471" s="106"/>
      <c r="I1471" s="106"/>
      <c r="L1471" s="143">
        <v>44169</v>
      </c>
      <c r="M1471" s="106">
        <v>369.75</v>
      </c>
      <c r="N1471" s="106">
        <v>375.5</v>
      </c>
      <c r="O1471" s="106">
        <v>361.25</v>
      </c>
      <c r="P1471" s="106">
        <v>373.9</v>
      </c>
      <c r="Q1471" s="106">
        <v>369.75</v>
      </c>
      <c r="R1471">
        <v>5683929</v>
      </c>
    </row>
    <row r="1472" spans="1:18" x14ac:dyDescent="0.25">
      <c r="A1472" s="143">
        <v>44172</v>
      </c>
      <c r="B1472" s="106">
        <v>374.8</v>
      </c>
      <c r="C1472" s="106">
        <v>364.55</v>
      </c>
      <c r="D1472" s="106">
        <v>363.7</v>
      </c>
      <c r="E1472" s="106">
        <v>374</v>
      </c>
      <c r="F1472" s="106">
        <v>364.55</v>
      </c>
      <c r="G1472">
        <v>106232</v>
      </c>
      <c r="H1472" s="106"/>
      <c r="I1472" s="106"/>
      <c r="L1472" s="143">
        <v>44172</v>
      </c>
      <c r="M1472" s="106">
        <v>364.5</v>
      </c>
      <c r="N1472" s="106">
        <v>375</v>
      </c>
      <c r="O1472" s="106">
        <v>363.4</v>
      </c>
      <c r="P1472" s="106">
        <v>373.5</v>
      </c>
      <c r="Q1472" s="106">
        <v>364.5</v>
      </c>
      <c r="R1472">
        <v>7661279</v>
      </c>
    </row>
    <row r="1473" spans="1:18" x14ac:dyDescent="0.25">
      <c r="A1473" s="143">
        <v>44173</v>
      </c>
      <c r="B1473" s="106">
        <v>377.8</v>
      </c>
      <c r="C1473" s="106">
        <v>373.05</v>
      </c>
      <c r="D1473" s="106">
        <v>362.3</v>
      </c>
      <c r="E1473" s="106">
        <v>365.75</v>
      </c>
      <c r="F1473" s="106">
        <v>373.05</v>
      </c>
      <c r="G1473">
        <v>360898</v>
      </c>
      <c r="H1473" s="106"/>
      <c r="I1473" s="106"/>
      <c r="L1473" s="143">
        <v>44173</v>
      </c>
      <c r="M1473" s="106">
        <v>373.05</v>
      </c>
      <c r="N1473" s="106">
        <v>378</v>
      </c>
      <c r="O1473" s="106">
        <v>362.2</v>
      </c>
      <c r="P1473" s="106">
        <v>367.35</v>
      </c>
      <c r="Q1473" s="106">
        <v>373.05</v>
      </c>
      <c r="R1473">
        <v>6112009</v>
      </c>
    </row>
    <row r="1474" spans="1:18" x14ac:dyDescent="0.25">
      <c r="A1474" s="143">
        <v>44174</v>
      </c>
      <c r="B1474" s="106">
        <v>376.55</v>
      </c>
      <c r="C1474" s="106">
        <v>369.85</v>
      </c>
      <c r="D1474" s="106">
        <v>367.75</v>
      </c>
      <c r="E1474" s="106">
        <v>373.6</v>
      </c>
      <c r="F1474" s="106">
        <v>369.85</v>
      </c>
      <c r="G1474">
        <v>86856</v>
      </c>
      <c r="H1474" s="106"/>
      <c r="I1474" s="106"/>
      <c r="L1474" s="143">
        <v>44174</v>
      </c>
      <c r="M1474" s="106">
        <v>369.95</v>
      </c>
      <c r="N1474" s="106">
        <v>376.75</v>
      </c>
      <c r="O1474" s="106">
        <v>367.5</v>
      </c>
      <c r="P1474" s="106">
        <v>375.8</v>
      </c>
      <c r="Q1474" s="106">
        <v>369.95</v>
      </c>
      <c r="R1474">
        <v>3367707</v>
      </c>
    </row>
    <row r="1475" spans="1:18" x14ac:dyDescent="0.25">
      <c r="A1475" s="143">
        <v>44175</v>
      </c>
      <c r="B1475" s="106">
        <v>369.6</v>
      </c>
      <c r="C1475" s="106">
        <v>366.6</v>
      </c>
      <c r="D1475" s="106">
        <v>362.3</v>
      </c>
      <c r="E1475" s="106">
        <v>369.6</v>
      </c>
      <c r="F1475" s="106">
        <v>366.6</v>
      </c>
      <c r="G1475">
        <v>79984</v>
      </c>
      <c r="H1475" s="106"/>
      <c r="I1475" s="106"/>
      <c r="L1475" s="143">
        <v>44175</v>
      </c>
      <c r="M1475" s="106">
        <v>366.35</v>
      </c>
      <c r="N1475" s="106">
        <v>369.9</v>
      </c>
      <c r="O1475" s="106">
        <v>362.1</v>
      </c>
      <c r="P1475" s="106">
        <v>369</v>
      </c>
      <c r="Q1475" s="106">
        <v>366.35</v>
      </c>
      <c r="R1475">
        <v>2568628</v>
      </c>
    </row>
    <row r="1476" spans="1:18" x14ac:dyDescent="0.25">
      <c r="A1476" s="143">
        <v>44176</v>
      </c>
      <c r="B1476" s="106">
        <v>375.2</v>
      </c>
      <c r="C1476" s="106">
        <v>368.9</v>
      </c>
      <c r="D1476" s="106">
        <v>365.1</v>
      </c>
      <c r="E1476" s="106">
        <v>367.2</v>
      </c>
      <c r="F1476" s="106">
        <v>368.9</v>
      </c>
      <c r="G1476">
        <v>196693</v>
      </c>
      <c r="H1476" s="106"/>
      <c r="I1476" s="106"/>
      <c r="L1476" s="143">
        <v>44176</v>
      </c>
      <c r="M1476" s="106">
        <v>369.3</v>
      </c>
      <c r="N1476" s="106">
        <v>375.5</v>
      </c>
      <c r="O1476" s="106">
        <v>364.95</v>
      </c>
      <c r="P1476" s="106">
        <v>368</v>
      </c>
      <c r="Q1476" s="106">
        <v>369.3</v>
      </c>
      <c r="R1476">
        <v>4991079</v>
      </c>
    </row>
    <row r="1477" spans="1:18" x14ac:dyDescent="0.25">
      <c r="A1477" s="143">
        <v>44179</v>
      </c>
      <c r="B1477" s="106">
        <v>374.45</v>
      </c>
      <c r="C1477" s="106">
        <v>371.65</v>
      </c>
      <c r="D1477" s="106">
        <v>366.75</v>
      </c>
      <c r="E1477" s="106">
        <v>371</v>
      </c>
      <c r="F1477" s="106">
        <v>371.65</v>
      </c>
      <c r="G1477">
        <v>154001</v>
      </c>
      <c r="H1477" s="106"/>
      <c r="I1477" s="106"/>
      <c r="L1477" s="143">
        <v>44179</v>
      </c>
      <c r="M1477" s="106">
        <v>371.75</v>
      </c>
      <c r="N1477" s="106">
        <v>374.7</v>
      </c>
      <c r="O1477" s="106">
        <v>366.7</v>
      </c>
      <c r="P1477" s="106">
        <v>370</v>
      </c>
      <c r="Q1477" s="106">
        <v>371.75</v>
      </c>
      <c r="R1477">
        <v>2862937</v>
      </c>
    </row>
    <row r="1478" spans="1:18" x14ac:dyDescent="0.25">
      <c r="A1478" s="143">
        <v>44180</v>
      </c>
      <c r="B1478" s="106">
        <v>378.35</v>
      </c>
      <c r="C1478" s="106">
        <v>377.05</v>
      </c>
      <c r="D1478" s="106">
        <v>362.95</v>
      </c>
      <c r="E1478" s="106">
        <v>372.65</v>
      </c>
      <c r="F1478" s="106">
        <v>377.05</v>
      </c>
      <c r="G1478">
        <v>110167</v>
      </c>
      <c r="H1478" s="106"/>
      <c r="I1478" s="106"/>
      <c r="L1478" s="143">
        <v>44180</v>
      </c>
      <c r="M1478" s="106">
        <v>377.25</v>
      </c>
      <c r="N1478" s="106">
        <v>378.35</v>
      </c>
      <c r="O1478" s="106">
        <v>362.9</v>
      </c>
      <c r="P1478" s="106">
        <v>372</v>
      </c>
      <c r="Q1478" s="106">
        <v>377.25</v>
      </c>
      <c r="R1478">
        <v>3384031</v>
      </c>
    </row>
    <row r="1479" spans="1:18" x14ac:dyDescent="0.25">
      <c r="A1479" s="143">
        <v>44181</v>
      </c>
      <c r="B1479" s="106">
        <v>386.05</v>
      </c>
      <c r="C1479" s="106">
        <v>377.55</v>
      </c>
      <c r="D1479" s="106">
        <v>375.25</v>
      </c>
      <c r="E1479" s="106">
        <v>381</v>
      </c>
      <c r="F1479" s="106">
        <v>377.55</v>
      </c>
      <c r="G1479">
        <v>175738</v>
      </c>
      <c r="H1479" s="106"/>
      <c r="I1479" s="106"/>
      <c r="L1479" s="143">
        <v>44181</v>
      </c>
      <c r="M1479" s="106">
        <v>377.5</v>
      </c>
      <c r="N1479" s="106">
        <v>386.25</v>
      </c>
      <c r="O1479" s="106">
        <v>374.9</v>
      </c>
      <c r="P1479" s="106">
        <v>380.9</v>
      </c>
      <c r="Q1479" s="106">
        <v>377.5</v>
      </c>
      <c r="R1479">
        <v>6207977</v>
      </c>
    </row>
    <row r="1480" spans="1:18" x14ac:dyDescent="0.25">
      <c r="A1480" s="143">
        <v>44182</v>
      </c>
      <c r="B1480" s="106">
        <v>380.8</v>
      </c>
      <c r="C1480" s="106">
        <v>374.25</v>
      </c>
      <c r="D1480" s="106">
        <v>372.45</v>
      </c>
      <c r="E1480" s="106">
        <v>376</v>
      </c>
      <c r="F1480" s="106">
        <v>374.25</v>
      </c>
      <c r="G1480">
        <v>86478</v>
      </c>
      <c r="H1480" s="106"/>
      <c r="I1480" s="106"/>
      <c r="L1480" s="143">
        <v>44182</v>
      </c>
      <c r="M1480" s="106">
        <v>374.45</v>
      </c>
      <c r="N1480" s="106">
        <v>380.95</v>
      </c>
      <c r="O1480" s="106">
        <v>372.55</v>
      </c>
      <c r="P1480" s="106">
        <v>377.4</v>
      </c>
      <c r="Q1480" s="106">
        <v>374.45</v>
      </c>
      <c r="R1480">
        <v>2029421</v>
      </c>
    </row>
    <row r="1481" spans="1:18" x14ac:dyDescent="0.25">
      <c r="A1481" s="143">
        <v>44183</v>
      </c>
      <c r="B1481" s="106">
        <v>377.6</v>
      </c>
      <c r="C1481" s="106">
        <v>375.35</v>
      </c>
      <c r="D1481" s="106">
        <v>362.8</v>
      </c>
      <c r="E1481" s="106">
        <v>377</v>
      </c>
      <c r="F1481" s="106">
        <v>375.35</v>
      </c>
      <c r="G1481">
        <v>82940</v>
      </c>
      <c r="H1481" s="106"/>
      <c r="I1481" s="106"/>
      <c r="L1481" s="143">
        <v>44183</v>
      </c>
      <c r="M1481" s="106">
        <v>375.1</v>
      </c>
      <c r="N1481" s="106">
        <v>377.45</v>
      </c>
      <c r="O1481" s="106">
        <v>362.7</v>
      </c>
      <c r="P1481" s="106">
        <v>375.35</v>
      </c>
      <c r="Q1481" s="106">
        <v>375.1</v>
      </c>
      <c r="R1481">
        <v>4505413</v>
      </c>
    </row>
    <row r="1482" spans="1:18" x14ac:dyDescent="0.25">
      <c r="A1482" s="143">
        <v>44186</v>
      </c>
      <c r="B1482" s="106">
        <v>374.75</v>
      </c>
      <c r="C1482" s="106">
        <v>354.5</v>
      </c>
      <c r="D1482" s="106">
        <v>347.8</v>
      </c>
      <c r="E1482" s="106">
        <v>372</v>
      </c>
      <c r="F1482" s="106">
        <v>354.5</v>
      </c>
      <c r="G1482">
        <v>233543</v>
      </c>
      <c r="H1482" s="106"/>
      <c r="I1482" s="106"/>
      <c r="L1482" s="143">
        <v>44186</v>
      </c>
      <c r="M1482" s="106">
        <v>354.85</v>
      </c>
      <c r="N1482" s="106">
        <v>374.8</v>
      </c>
      <c r="O1482" s="106">
        <v>347.5</v>
      </c>
      <c r="P1482" s="106">
        <v>372.65</v>
      </c>
      <c r="Q1482" s="106">
        <v>354.85</v>
      </c>
      <c r="R1482">
        <v>4642486</v>
      </c>
    </row>
    <row r="1483" spans="1:18" x14ac:dyDescent="0.25">
      <c r="A1483" s="143">
        <v>44187</v>
      </c>
      <c r="B1483" s="106">
        <v>363.8</v>
      </c>
      <c r="C1483" s="106">
        <v>360.45</v>
      </c>
      <c r="D1483" s="106">
        <v>345.2</v>
      </c>
      <c r="E1483" s="106">
        <v>352</v>
      </c>
      <c r="F1483" s="106">
        <v>360.45</v>
      </c>
      <c r="G1483">
        <v>127249</v>
      </c>
      <c r="H1483" s="106"/>
      <c r="I1483" s="106"/>
      <c r="L1483" s="143">
        <v>44187</v>
      </c>
      <c r="M1483" s="106">
        <v>360.8</v>
      </c>
      <c r="N1483" s="106">
        <v>363.9</v>
      </c>
      <c r="O1483" s="106">
        <v>345.15</v>
      </c>
      <c r="P1483" s="106">
        <v>355.4</v>
      </c>
      <c r="Q1483" s="106">
        <v>360.8</v>
      </c>
      <c r="R1483">
        <v>3386376</v>
      </c>
    </row>
    <row r="1484" spans="1:18" x14ac:dyDescent="0.25">
      <c r="A1484" s="143">
        <v>44188</v>
      </c>
      <c r="B1484" s="106">
        <v>378</v>
      </c>
      <c r="C1484" s="106">
        <v>376.15</v>
      </c>
      <c r="D1484" s="106">
        <v>358.65</v>
      </c>
      <c r="E1484" s="106">
        <v>365.95</v>
      </c>
      <c r="F1484" s="106">
        <v>376.15</v>
      </c>
      <c r="G1484">
        <v>76521</v>
      </c>
      <c r="H1484" s="106"/>
      <c r="I1484" s="106"/>
      <c r="L1484" s="143">
        <v>44188</v>
      </c>
      <c r="M1484" s="106">
        <v>376.25</v>
      </c>
      <c r="N1484" s="106">
        <v>378</v>
      </c>
      <c r="O1484" s="106">
        <v>358.3</v>
      </c>
      <c r="P1484" s="106">
        <v>361.4</v>
      </c>
      <c r="Q1484" s="106">
        <v>376.25</v>
      </c>
      <c r="R1484">
        <v>2616831</v>
      </c>
    </row>
    <row r="1485" spans="1:18" x14ac:dyDescent="0.25">
      <c r="A1485" s="143">
        <v>44189</v>
      </c>
      <c r="B1485" s="106">
        <v>383</v>
      </c>
      <c r="C1485" s="106">
        <v>375.85</v>
      </c>
      <c r="D1485" s="106">
        <v>374.2</v>
      </c>
      <c r="E1485" s="106">
        <v>377</v>
      </c>
      <c r="F1485" s="106">
        <v>375.85</v>
      </c>
      <c r="G1485">
        <v>91523</v>
      </c>
      <c r="H1485" s="106"/>
      <c r="I1485" s="106"/>
      <c r="L1485" s="143">
        <v>44189</v>
      </c>
      <c r="M1485" s="106">
        <v>376.35</v>
      </c>
      <c r="N1485" s="106">
        <v>383.05</v>
      </c>
      <c r="O1485" s="106">
        <v>374.25</v>
      </c>
      <c r="P1485" s="106">
        <v>378.3</v>
      </c>
      <c r="Q1485" s="106">
        <v>376.35</v>
      </c>
      <c r="R1485">
        <v>3098846</v>
      </c>
    </row>
    <row r="1486" spans="1:18" x14ac:dyDescent="0.25">
      <c r="A1486" s="143">
        <v>44193</v>
      </c>
      <c r="B1486" s="106">
        <v>392.75</v>
      </c>
      <c r="C1486" s="106">
        <v>386.8</v>
      </c>
      <c r="D1486" s="106">
        <v>376.35</v>
      </c>
      <c r="E1486" s="106">
        <v>377.05</v>
      </c>
      <c r="F1486" s="106">
        <v>386.8</v>
      </c>
      <c r="G1486">
        <v>183541</v>
      </c>
      <c r="H1486" s="106"/>
      <c r="I1486" s="106"/>
      <c r="L1486" s="143">
        <v>44193</v>
      </c>
      <c r="M1486" s="106">
        <v>386.35</v>
      </c>
      <c r="N1486" s="106">
        <v>393.05</v>
      </c>
      <c r="O1486" s="106">
        <v>375.75</v>
      </c>
      <c r="P1486" s="106">
        <v>376.35</v>
      </c>
      <c r="Q1486" s="106">
        <v>386.35</v>
      </c>
      <c r="R1486">
        <v>5039946</v>
      </c>
    </row>
    <row r="1487" spans="1:18" x14ac:dyDescent="0.25">
      <c r="A1487" s="143">
        <v>44194</v>
      </c>
      <c r="B1487" s="106">
        <v>392</v>
      </c>
      <c r="C1487" s="106">
        <v>382.9</v>
      </c>
      <c r="D1487" s="106">
        <v>380.5</v>
      </c>
      <c r="E1487" s="106">
        <v>389</v>
      </c>
      <c r="F1487" s="106">
        <v>382.9</v>
      </c>
      <c r="G1487">
        <v>272918</v>
      </c>
      <c r="H1487" s="106"/>
      <c r="I1487" s="106"/>
      <c r="L1487" s="143">
        <v>44194</v>
      </c>
      <c r="M1487" s="106">
        <v>383.15</v>
      </c>
      <c r="N1487" s="106">
        <v>392</v>
      </c>
      <c r="O1487" s="106">
        <v>380.45</v>
      </c>
      <c r="P1487" s="106">
        <v>389.45</v>
      </c>
      <c r="Q1487" s="106">
        <v>383.15</v>
      </c>
      <c r="R1487">
        <v>3923113</v>
      </c>
    </row>
    <row r="1488" spans="1:18" x14ac:dyDescent="0.25">
      <c r="A1488" s="143">
        <v>44195</v>
      </c>
      <c r="B1488" s="106">
        <v>386</v>
      </c>
      <c r="C1488" s="106">
        <v>384.75</v>
      </c>
      <c r="D1488" s="106">
        <v>376.35</v>
      </c>
      <c r="E1488" s="106">
        <v>383</v>
      </c>
      <c r="F1488" s="106">
        <v>384.75</v>
      </c>
      <c r="G1488">
        <v>79238</v>
      </c>
      <c r="H1488" s="106"/>
      <c r="I1488" s="106"/>
      <c r="L1488" s="143">
        <v>44195</v>
      </c>
      <c r="M1488" s="106">
        <v>384.9</v>
      </c>
      <c r="N1488" s="106">
        <v>386.05</v>
      </c>
      <c r="O1488" s="106">
        <v>376.35</v>
      </c>
      <c r="P1488" s="106">
        <v>383.85</v>
      </c>
      <c r="Q1488" s="106">
        <v>384.9</v>
      </c>
      <c r="R1488">
        <v>2218568</v>
      </c>
    </row>
    <row r="1489" spans="1:18" x14ac:dyDescent="0.25">
      <c r="A1489" s="143">
        <v>44196</v>
      </c>
      <c r="B1489" s="106">
        <v>390.4</v>
      </c>
      <c r="C1489" s="106">
        <v>387.85</v>
      </c>
      <c r="D1489" s="106">
        <v>380</v>
      </c>
      <c r="E1489" s="106">
        <v>380.55</v>
      </c>
      <c r="F1489" s="106">
        <v>387.85</v>
      </c>
      <c r="G1489">
        <v>45767</v>
      </c>
      <c r="H1489" s="106"/>
      <c r="I1489" s="106"/>
      <c r="L1489" s="143">
        <v>44196</v>
      </c>
      <c r="M1489" s="106">
        <v>387.65</v>
      </c>
      <c r="N1489" s="106">
        <v>390.7</v>
      </c>
      <c r="O1489" s="106">
        <v>380</v>
      </c>
      <c r="P1489" s="106">
        <v>384.9</v>
      </c>
      <c r="Q1489" s="106">
        <v>387.65</v>
      </c>
      <c r="R1489">
        <v>2778110</v>
      </c>
    </row>
    <row r="1490" spans="1:18" x14ac:dyDescent="0.25">
      <c r="A1490" s="143">
        <v>44197</v>
      </c>
      <c r="B1490" s="106">
        <v>416</v>
      </c>
      <c r="C1490" s="106">
        <v>411.6</v>
      </c>
      <c r="D1490" s="106">
        <v>387.2</v>
      </c>
      <c r="E1490" s="106">
        <v>387.2</v>
      </c>
      <c r="F1490" s="106">
        <v>411.6</v>
      </c>
      <c r="G1490">
        <v>365568</v>
      </c>
      <c r="H1490" s="106"/>
      <c r="I1490" s="106"/>
      <c r="L1490" s="143">
        <v>44197</v>
      </c>
      <c r="M1490" s="106">
        <v>411.35</v>
      </c>
      <c r="N1490" s="106">
        <v>415.9</v>
      </c>
      <c r="O1490" s="106">
        <v>387.65</v>
      </c>
      <c r="P1490" s="106">
        <v>387.65</v>
      </c>
      <c r="Q1490" s="106">
        <v>411.35</v>
      </c>
      <c r="R1490">
        <v>9520939</v>
      </c>
    </row>
    <row r="1491" spans="1:18" x14ac:dyDescent="0.25">
      <c r="A1491" s="143">
        <v>44200</v>
      </c>
      <c r="B1491" s="106">
        <v>446.05</v>
      </c>
      <c r="C1491" s="106">
        <v>443.25</v>
      </c>
      <c r="D1491" s="106">
        <v>414.45</v>
      </c>
      <c r="E1491" s="106">
        <v>414.45</v>
      </c>
      <c r="F1491" s="106">
        <v>443.25</v>
      </c>
      <c r="G1491">
        <v>424343</v>
      </c>
      <c r="H1491" s="106"/>
      <c r="I1491" s="106"/>
      <c r="L1491" s="143">
        <v>44200</v>
      </c>
      <c r="M1491" s="106">
        <v>443.25</v>
      </c>
      <c r="N1491" s="106">
        <v>446.55</v>
      </c>
      <c r="O1491" s="106">
        <v>414.2</v>
      </c>
      <c r="P1491" s="106">
        <v>415</v>
      </c>
      <c r="Q1491" s="106">
        <v>443.25</v>
      </c>
      <c r="R1491">
        <v>15940056</v>
      </c>
    </row>
    <row r="1492" spans="1:18" x14ac:dyDescent="0.25">
      <c r="A1492" s="143">
        <v>44201</v>
      </c>
      <c r="B1492" s="106">
        <v>438.9</v>
      </c>
      <c r="C1492" s="106">
        <v>437.25</v>
      </c>
      <c r="D1492" s="106">
        <v>430</v>
      </c>
      <c r="E1492" s="106">
        <v>432.65</v>
      </c>
      <c r="F1492" s="106">
        <v>437.25</v>
      </c>
      <c r="G1492">
        <v>200908</v>
      </c>
      <c r="H1492" s="106"/>
      <c r="I1492" s="106"/>
      <c r="L1492" s="143">
        <v>44201</v>
      </c>
      <c r="M1492" s="106">
        <v>437.25</v>
      </c>
      <c r="N1492" s="106">
        <v>439</v>
      </c>
      <c r="O1492" s="106">
        <v>430</v>
      </c>
      <c r="P1492" s="106">
        <v>432</v>
      </c>
      <c r="Q1492" s="106">
        <v>437.25</v>
      </c>
      <c r="R1492">
        <v>5502895</v>
      </c>
    </row>
    <row r="1493" spans="1:18" x14ac:dyDescent="0.25">
      <c r="A1493" s="143">
        <v>44202</v>
      </c>
      <c r="B1493" s="106">
        <v>446.1</v>
      </c>
      <c r="C1493" s="106">
        <v>435.55</v>
      </c>
      <c r="D1493" s="106">
        <v>430.6</v>
      </c>
      <c r="E1493" s="106">
        <v>437</v>
      </c>
      <c r="F1493" s="106">
        <v>435.55</v>
      </c>
      <c r="G1493">
        <v>218519</v>
      </c>
      <c r="H1493" s="106"/>
      <c r="I1493" s="106"/>
      <c r="L1493" s="143">
        <v>44202</v>
      </c>
      <c r="M1493" s="106">
        <v>434.85</v>
      </c>
      <c r="N1493" s="106">
        <v>446.4</v>
      </c>
      <c r="O1493" s="106">
        <v>430.45</v>
      </c>
      <c r="P1493" s="106">
        <v>438.95</v>
      </c>
      <c r="Q1493" s="106">
        <v>434.85</v>
      </c>
      <c r="R1493">
        <v>5684264</v>
      </c>
    </row>
    <row r="1494" spans="1:18" x14ac:dyDescent="0.25">
      <c r="A1494" s="143">
        <v>44203</v>
      </c>
      <c r="B1494" s="106">
        <v>440.1</v>
      </c>
      <c r="C1494" s="106">
        <v>431.4</v>
      </c>
      <c r="D1494" s="106">
        <v>428.85</v>
      </c>
      <c r="E1494" s="106">
        <v>437.1</v>
      </c>
      <c r="F1494" s="106">
        <v>431.4</v>
      </c>
      <c r="G1494">
        <v>221150</v>
      </c>
      <c r="H1494" s="106"/>
      <c r="I1494" s="106"/>
      <c r="L1494" s="143">
        <v>44203</v>
      </c>
      <c r="M1494" s="106">
        <v>431.35</v>
      </c>
      <c r="N1494" s="106">
        <v>440.25</v>
      </c>
      <c r="O1494" s="106">
        <v>428.8</v>
      </c>
      <c r="P1494" s="106">
        <v>437.85</v>
      </c>
      <c r="Q1494" s="106">
        <v>431.35</v>
      </c>
      <c r="R1494">
        <v>4227651</v>
      </c>
    </row>
    <row r="1495" spans="1:18" x14ac:dyDescent="0.25">
      <c r="A1495" s="143">
        <v>44204</v>
      </c>
      <c r="B1495" s="106">
        <v>437.4</v>
      </c>
      <c r="C1495" s="106">
        <v>431.45</v>
      </c>
      <c r="D1495" s="106">
        <v>427.55</v>
      </c>
      <c r="E1495" s="106">
        <v>435</v>
      </c>
      <c r="F1495" s="106">
        <v>431.45</v>
      </c>
      <c r="G1495">
        <v>182729</v>
      </c>
      <c r="H1495" s="106"/>
      <c r="I1495" s="106"/>
      <c r="L1495" s="143">
        <v>44204</v>
      </c>
      <c r="M1495" s="106">
        <v>431.8</v>
      </c>
      <c r="N1495" s="106">
        <v>437.45</v>
      </c>
      <c r="O1495" s="106">
        <v>427.7</v>
      </c>
      <c r="P1495" s="106">
        <v>435.05</v>
      </c>
      <c r="Q1495" s="106">
        <v>431.8</v>
      </c>
      <c r="R1495">
        <v>3344933</v>
      </c>
    </row>
    <row r="1496" spans="1:18" x14ac:dyDescent="0.25">
      <c r="A1496" s="143">
        <v>44207</v>
      </c>
      <c r="B1496" s="106">
        <v>434</v>
      </c>
      <c r="C1496" s="106">
        <v>427.05</v>
      </c>
      <c r="D1496" s="106">
        <v>423.9</v>
      </c>
      <c r="E1496" s="106">
        <v>433.05</v>
      </c>
      <c r="F1496" s="106">
        <v>427.05</v>
      </c>
      <c r="G1496">
        <v>99488</v>
      </c>
      <c r="H1496" s="106"/>
      <c r="I1496" s="106"/>
      <c r="L1496" s="143">
        <v>44207</v>
      </c>
      <c r="M1496" s="106">
        <v>426.8</v>
      </c>
      <c r="N1496" s="106">
        <v>434.8</v>
      </c>
      <c r="O1496" s="106">
        <v>423.6</v>
      </c>
      <c r="P1496" s="106">
        <v>434.8</v>
      </c>
      <c r="Q1496" s="106">
        <v>426.8</v>
      </c>
      <c r="R1496">
        <v>2062482</v>
      </c>
    </row>
    <row r="1497" spans="1:18" x14ac:dyDescent="0.25">
      <c r="A1497" s="143">
        <v>44208</v>
      </c>
      <c r="B1497" s="106">
        <v>450.8</v>
      </c>
      <c r="C1497" s="106">
        <v>443.45</v>
      </c>
      <c r="D1497" s="106">
        <v>418</v>
      </c>
      <c r="E1497" s="106">
        <v>421.35</v>
      </c>
      <c r="F1497" s="106">
        <v>443.45</v>
      </c>
      <c r="G1497">
        <v>411787</v>
      </c>
      <c r="H1497" s="106"/>
      <c r="I1497" s="106"/>
      <c r="L1497" s="143">
        <v>44208</v>
      </c>
      <c r="M1497" s="106">
        <v>443.05</v>
      </c>
      <c r="N1497" s="106">
        <v>451</v>
      </c>
      <c r="O1497" s="106">
        <v>418.1</v>
      </c>
      <c r="P1497" s="106">
        <v>425.1</v>
      </c>
      <c r="Q1497" s="106">
        <v>443.05</v>
      </c>
      <c r="R1497">
        <v>6187578</v>
      </c>
    </row>
    <row r="1498" spans="1:18" x14ac:dyDescent="0.25">
      <c r="A1498" s="143">
        <v>44209</v>
      </c>
      <c r="B1498" s="106">
        <v>449</v>
      </c>
      <c r="C1498" s="106">
        <v>427.6</v>
      </c>
      <c r="D1498" s="106">
        <v>419.85</v>
      </c>
      <c r="E1498" s="106">
        <v>445.05</v>
      </c>
      <c r="F1498" s="106">
        <v>427.6</v>
      </c>
      <c r="G1498">
        <v>271712</v>
      </c>
      <c r="H1498" s="106"/>
      <c r="I1498" s="106"/>
      <c r="L1498" s="143">
        <v>44209</v>
      </c>
      <c r="M1498" s="106">
        <v>427.9</v>
      </c>
      <c r="N1498" s="106">
        <v>448.75</v>
      </c>
      <c r="O1498" s="106">
        <v>419.7</v>
      </c>
      <c r="P1498" s="106">
        <v>447.4</v>
      </c>
      <c r="Q1498" s="106">
        <v>427.9</v>
      </c>
      <c r="R1498">
        <v>5255513</v>
      </c>
    </row>
    <row r="1499" spans="1:18" x14ac:dyDescent="0.25">
      <c r="A1499" s="143">
        <v>44210</v>
      </c>
      <c r="B1499" s="106">
        <v>441.4</v>
      </c>
      <c r="C1499" s="106">
        <v>426.15</v>
      </c>
      <c r="D1499" s="106">
        <v>423.7</v>
      </c>
      <c r="E1499" s="106">
        <v>428</v>
      </c>
      <c r="F1499" s="106">
        <v>426.15</v>
      </c>
      <c r="G1499">
        <v>212851</v>
      </c>
      <c r="H1499" s="106"/>
      <c r="I1499" s="106"/>
      <c r="L1499" s="143">
        <v>44210</v>
      </c>
      <c r="M1499" s="106">
        <v>426.15</v>
      </c>
      <c r="N1499" s="106">
        <v>441.35</v>
      </c>
      <c r="O1499" s="106">
        <v>423.35</v>
      </c>
      <c r="P1499" s="106">
        <v>431.25</v>
      </c>
      <c r="Q1499" s="106">
        <v>426.15</v>
      </c>
      <c r="R1499">
        <v>4779868</v>
      </c>
    </row>
    <row r="1500" spans="1:18" x14ac:dyDescent="0.25">
      <c r="A1500" s="143">
        <v>44211</v>
      </c>
      <c r="B1500" s="106">
        <v>430.2</v>
      </c>
      <c r="C1500" s="106">
        <v>423.95</v>
      </c>
      <c r="D1500" s="106">
        <v>417.4</v>
      </c>
      <c r="E1500" s="106">
        <v>429.7</v>
      </c>
      <c r="F1500" s="106">
        <v>423.95</v>
      </c>
      <c r="G1500">
        <v>150617</v>
      </c>
      <c r="H1500" s="106"/>
      <c r="I1500" s="106"/>
      <c r="L1500" s="143">
        <v>44211</v>
      </c>
      <c r="M1500" s="106">
        <v>424.1</v>
      </c>
      <c r="N1500" s="106">
        <v>430.05</v>
      </c>
      <c r="O1500" s="106">
        <v>417.4</v>
      </c>
      <c r="P1500" s="106">
        <v>427.1</v>
      </c>
      <c r="Q1500" s="106">
        <v>424.1</v>
      </c>
      <c r="R1500">
        <v>2959135</v>
      </c>
    </row>
    <row r="1501" spans="1:18" x14ac:dyDescent="0.25">
      <c r="A1501" s="143">
        <v>44214</v>
      </c>
      <c r="B1501" s="106">
        <v>424.15</v>
      </c>
      <c r="C1501" s="106">
        <v>409.2</v>
      </c>
      <c r="D1501" s="106">
        <v>402.5</v>
      </c>
      <c r="E1501" s="106">
        <v>424</v>
      </c>
      <c r="F1501" s="106">
        <v>409.2</v>
      </c>
      <c r="G1501">
        <v>148717</v>
      </c>
      <c r="H1501" s="106"/>
      <c r="I1501" s="106"/>
      <c r="L1501" s="143">
        <v>44214</v>
      </c>
      <c r="M1501" s="106">
        <v>409.25</v>
      </c>
      <c r="N1501" s="106">
        <v>426.65</v>
      </c>
      <c r="O1501" s="106">
        <v>402.55</v>
      </c>
      <c r="P1501" s="106">
        <v>426.65</v>
      </c>
      <c r="Q1501" s="106">
        <v>409.25</v>
      </c>
      <c r="R1501">
        <v>5385397</v>
      </c>
    </row>
    <row r="1502" spans="1:18" x14ac:dyDescent="0.25">
      <c r="A1502" s="143">
        <v>44215</v>
      </c>
      <c r="B1502" s="106">
        <v>446.85</v>
      </c>
      <c r="C1502" s="106">
        <v>437.85</v>
      </c>
      <c r="D1502" s="106">
        <v>413.7</v>
      </c>
      <c r="E1502" s="106">
        <v>413.9</v>
      </c>
      <c r="F1502" s="106">
        <v>437.85</v>
      </c>
      <c r="G1502">
        <v>711972</v>
      </c>
      <c r="H1502" s="106"/>
      <c r="I1502" s="106"/>
      <c r="L1502" s="143">
        <v>44215</v>
      </c>
      <c r="M1502" s="106">
        <v>437.95</v>
      </c>
      <c r="N1502" s="106">
        <v>447</v>
      </c>
      <c r="O1502" s="106">
        <v>410.7</v>
      </c>
      <c r="P1502" s="106">
        <v>410.7</v>
      </c>
      <c r="Q1502" s="106">
        <v>437.95</v>
      </c>
      <c r="R1502">
        <v>13734366</v>
      </c>
    </row>
    <row r="1503" spans="1:18" x14ac:dyDescent="0.25">
      <c r="A1503" s="143">
        <v>44216</v>
      </c>
      <c r="B1503" s="106">
        <v>459</v>
      </c>
      <c r="C1503" s="106">
        <v>457.55</v>
      </c>
      <c r="D1503" s="106">
        <v>434.95</v>
      </c>
      <c r="E1503" s="106">
        <v>440</v>
      </c>
      <c r="F1503" s="106">
        <v>457.55</v>
      </c>
      <c r="G1503">
        <v>198668</v>
      </c>
      <c r="H1503" s="106"/>
      <c r="I1503" s="106"/>
      <c r="L1503" s="143">
        <v>44216</v>
      </c>
      <c r="M1503" s="106">
        <v>457.45</v>
      </c>
      <c r="N1503" s="106">
        <v>458.9</v>
      </c>
      <c r="O1503" s="106">
        <v>432.05</v>
      </c>
      <c r="P1503" s="106">
        <v>441.05</v>
      </c>
      <c r="Q1503" s="106">
        <v>457.45</v>
      </c>
      <c r="R1503">
        <v>9187097</v>
      </c>
    </row>
    <row r="1504" spans="1:18" x14ac:dyDescent="0.25">
      <c r="A1504" s="143">
        <v>44217</v>
      </c>
      <c r="B1504" s="106">
        <v>464.9</v>
      </c>
      <c r="C1504" s="106">
        <v>431.4</v>
      </c>
      <c r="D1504" s="106">
        <v>428.1</v>
      </c>
      <c r="E1504" s="106">
        <v>457</v>
      </c>
      <c r="F1504" s="106">
        <v>431.4</v>
      </c>
      <c r="G1504">
        <v>381061</v>
      </c>
      <c r="H1504" s="106"/>
      <c r="I1504" s="106"/>
      <c r="L1504" s="143">
        <v>44217</v>
      </c>
      <c r="M1504" s="106">
        <v>431.7</v>
      </c>
      <c r="N1504" s="106">
        <v>464.85</v>
      </c>
      <c r="O1504" s="106">
        <v>427.8</v>
      </c>
      <c r="P1504" s="106">
        <v>459</v>
      </c>
      <c r="Q1504" s="106">
        <v>431.7</v>
      </c>
      <c r="R1504">
        <v>9421726</v>
      </c>
    </row>
    <row r="1505" spans="1:18" x14ac:dyDescent="0.25">
      <c r="A1505" s="143">
        <v>44218</v>
      </c>
      <c r="B1505" s="106">
        <v>443.5</v>
      </c>
      <c r="C1505" s="106">
        <v>421.7</v>
      </c>
      <c r="D1505" s="106">
        <v>420.45</v>
      </c>
      <c r="E1505" s="106">
        <v>436.6</v>
      </c>
      <c r="F1505" s="106">
        <v>421.7</v>
      </c>
      <c r="G1505">
        <v>228125</v>
      </c>
      <c r="H1505" s="106"/>
      <c r="I1505" s="106"/>
      <c r="L1505" s="143">
        <v>44218</v>
      </c>
      <c r="M1505" s="106">
        <v>422.15</v>
      </c>
      <c r="N1505" s="106">
        <v>443.85</v>
      </c>
      <c r="O1505" s="106">
        <v>420.2</v>
      </c>
      <c r="P1505" s="106">
        <v>434.35</v>
      </c>
      <c r="Q1505" s="106">
        <v>422.15</v>
      </c>
      <c r="R1505">
        <v>9357221</v>
      </c>
    </row>
    <row r="1506" spans="1:18" x14ac:dyDescent="0.25">
      <c r="A1506" s="143">
        <v>44221</v>
      </c>
      <c r="B1506" s="106">
        <v>449.4</v>
      </c>
      <c r="C1506" s="106">
        <v>421.75</v>
      </c>
      <c r="D1506" s="106">
        <v>416.35</v>
      </c>
      <c r="E1506" s="106">
        <v>435</v>
      </c>
      <c r="F1506" s="106">
        <v>421.75</v>
      </c>
      <c r="G1506">
        <v>283805</v>
      </c>
      <c r="H1506" s="106"/>
      <c r="I1506" s="106"/>
      <c r="L1506" s="143">
        <v>44221</v>
      </c>
      <c r="M1506" s="106">
        <v>420.6</v>
      </c>
      <c r="N1506" s="106">
        <v>449.5</v>
      </c>
      <c r="O1506" s="106">
        <v>416.2</v>
      </c>
      <c r="P1506" s="106">
        <v>435</v>
      </c>
      <c r="Q1506" s="106">
        <v>420.6</v>
      </c>
      <c r="R1506">
        <v>9914676</v>
      </c>
    </row>
    <row r="1507" spans="1:18" x14ac:dyDescent="0.25">
      <c r="A1507" s="143">
        <v>44223</v>
      </c>
      <c r="B1507" s="106">
        <v>430.45</v>
      </c>
      <c r="C1507" s="106">
        <v>410.5</v>
      </c>
      <c r="D1507" s="106">
        <v>408.6</v>
      </c>
      <c r="E1507" s="106">
        <v>421.5</v>
      </c>
      <c r="F1507" s="106">
        <v>410.5</v>
      </c>
      <c r="G1507">
        <v>153822</v>
      </c>
      <c r="H1507" s="106"/>
      <c r="I1507" s="106"/>
      <c r="L1507" s="143">
        <v>44223</v>
      </c>
      <c r="M1507" s="106">
        <v>410.5</v>
      </c>
      <c r="N1507" s="106">
        <v>430.75</v>
      </c>
      <c r="O1507" s="106">
        <v>408.7</v>
      </c>
      <c r="P1507" s="106">
        <v>422.45</v>
      </c>
      <c r="Q1507" s="106">
        <v>410.5</v>
      </c>
      <c r="R1507">
        <v>5084464</v>
      </c>
    </row>
    <row r="1508" spans="1:18" x14ac:dyDescent="0.25">
      <c r="A1508" s="143">
        <v>44224</v>
      </c>
      <c r="B1508" s="106">
        <v>414</v>
      </c>
      <c r="C1508" s="106">
        <v>405.05</v>
      </c>
      <c r="D1508" s="106">
        <v>397.5</v>
      </c>
      <c r="E1508" s="106">
        <v>397.5</v>
      </c>
      <c r="F1508" s="106">
        <v>405.05</v>
      </c>
      <c r="G1508">
        <v>162242</v>
      </c>
      <c r="H1508" s="106"/>
      <c r="I1508" s="106"/>
      <c r="L1508" s="143">
        <v>44224</v>
      </c>
      <c r="M1508" s="106">
        <v>405.25</v>
      </c>
      <c r="N1508" s="106">
        <v>414.2</v>
      </c>
      <c r="O1508" s="106">
        <v>397.5</v>
      </c>
      <c r="P1508" s="106">
        <v>401</v>
      </c>
      <c r="Q1508" s="106">
        <v>405.25</v>
      </c>
      <c r="R1508">
        <v>3748093</v>
      </c>
    </row>
    <row r="1509" spans="1:18" x14ac:dyDescent="0.25">
      <c r="A1509" s="143">
        <v>44225</v>
      </c>
      <c r="B1509" s="106">
        <v>426.25</v>
      </c>
      <c r="C1509" s="106">
        <v>397.3</v>
      </c>
      <c r="D1509" s="106">
        <v>391</v>
      </c>
      <c r="E1509" s="106">
        <v>409</v>
      </c>
      <c r="F1509" s="106">
        <v>397.3</v>
      </c>
      <c r="G1509">
        <v>302881</v>
      </c>
      <c r="H1509" s="106"/>
      <c r="I1509" s="106"/>
      <c r="L1509" s="143">
        <v>44225</v>
      </c>
      <c r="M1509" s="106">
        <v>397.85</v>
      </c>
      <c r="N1509" s="106">
        <v>427.25</v>
      </c>
      <c r="O1509" s="106">
        <v>390.65</v>
      </c>
      <c r="P1509" s="106">
        <v>413</v>
      </c>
      <c r="Q1509" s="106">
        <v>397.85</v>
      </c>
      <c r="R1509">
        <v>7562596</v>
      </c>
    </row>
    <row r="1510" spans="1:18" x14ac:dyDescent="0.25">
      <c r="A1510" s="143">
        <v>44228</v>
      </c>
      <c r="B1510" s="106">
        <v>448.35</v>
      </c>
      <c r="C1510" s="106">
        <v>443.5</v>
      </c>
      <c r="D1510" s="106">
        <v>401.55</v>
      </c>
      <c r="E1510" s="106">
        <v>403</v>
      </c>
      <c r="F1510" s="106">
        <v>443.5</v>
      </c>
      <c r="G1510">
        <v>382010</v>
      </c>
      <c r="H1510" s="106"/>
      <c r="I1510" s="106"/>
      <c r="L1510" s="143">
        <v>44228</v>
      </c>
      <c r="M1510" s="106">
        <v>442.95</v>
      </c>
      <c r="N1510" s="106">
        <v>448.9</v>
      </c>
      <c r="O1510" s="106">
        <v>402</v>
      </c>
      <c r="P1510" s="106">
        <v>402</v>
      </c>
      <c r="Q1510" s="106">
        <v>442.95</v>
      </c>
      <c r="R1510">
        <v>10811519</v>
      </c>
    </row>
    <row r="1511" spans="1:18" x14ac:dyDescent="0.25">
      <c r="A1511" s="143">
        <v>44229</v>
      </c>
      <c r="B1511" s="106">
        <v>475</v>
      </c>
      <c r="C1511" s="106">
        <v>439.15</v>
      </c>
      <c r="D1511" s="106">
        <v>434.1</v>
      </c>
      <c r="E1511" s="106">
        <v>445.5</v>
      </c>
      <c r="F1511" s="106">
        <v>439.15</v>
      </c>
      <c r="G1511">
        <v>494792</v>
      </c>
      <c r="H1511" s="106"/>
      <c r="I1511" s="106"/>
      <c r="L1511" s="143">
        <v>44229</v>
      </c>
      <c r="M1511" s="106">
        <v>439.1</v>
      </c>
      <c r="N1511" s="106">
        <v>475</v>
      </c>
      <c r="O1511" s="106">
        <v>434</v>
      </c>
      <c r="P1511" s="106">
        <v>447.05</v>
      </c>
      <c r="Q1511" s="106">
        <v>439.1</v>
      </c>
      <c r="R1511">
        <v>10099741</v>
      </c>
    </row>
    <row r="1512" spans="1:18" x14ac:dyDescent="0.25">
      <c r="A1512" s="143">
        <v>44230</v>
      </c>
      <c r="B1512" s="106">
        <v>467</v>
      </c>
      <c r="C1512" s="106">
        <v>460.25</v>
      </c>
      <c r="D1512" s="106">
        <v>438</v>
      </c>
      <c r="E1512" s="106">
        <v>446.5</v>
      </c>
      <c r="F1512" s="106">
        <v>460.25</v>
      </c>
      <c r="G1512">
        <v>430503</v>
      </c>
      <c r="H1512" s="106"/>
      <c r="I1512" s="106"/>
      <c r="L1512" s="143">
        <v>44230</v>
      </c>
      <c r="M1512" s="106">
        <v>459.85</v>
      </c>
      <c r="N1512" s="106">
        <v>467.25</v>
      </c>
      <c r="O1512" s="106">
        <v>438.05</v>
      </c>
      <c r="P1512" s="106">
        <v>444.75</v>
      </c>
      <c r="Q1512" s="106">
        <v>459.85</v>
      </c>
      <c r="R1512">
        <v>9972466</v>
      </c>
    </row>
    <row r="1513" spans="1:18" x14ac:dyDescent="0.25">
      <c r="A1513" s="143">
        <v>44231</v>
      </c>
      <c r="B1513" s="106">
        <v>471</v>
      </c>
      <c r="C1513" s="106">
        <v>464.35</v>
      </c>
      <c r="D1513" s="106">
        <v>458.7</v>
      </c>
      <c r="E1513" s="106">
        <v>460.25</v>
      </c>
      <c r="F1513" s="106">
        <v>464.35</v>
      </c>
      <c r="G1513">
        <v>242894</v>
      </c>
      <c r="H1513" s="106"/>
      <c r="I1513" s="106"/>
      <c r="L1513" s="143">
        <v>44231</v>
      </c>
      <c r="M1513" s="106">
        <v>464.4</v>
      </c>
      <c r="N1513" s="106">
        <v>471</v>
      </c>
      <c r="O1513" s="106">
        <v>457.8</v>
      </c>
      <c r="P1513" s="106">
        <v>463</v>
      </c>
      <c r="Q1513" s="106">
        <v>464.4</v>
      </c>
      <c r="R1513">
        <v>4931739</v>
      </c>
    </row>
    <row r="1514" spans="1:18" x14ac:dyDescent="0.25">
      <c r="A1514" s="143">
        <v>44232</v>
      </c>
      <c r="B1514" s="106">
        <v>473.95</v>
      </c>
      <c r="C1514" s="106">
        <v>451.1</v>
      </c>
      <c r="D1514" s="106">
        <v>449.5</v>
      </c>
      <c r="E1514" s="106">
        <v>465.55</v>
      </c>
      <c r="F1514" s="106">
        <v>451.1</v>
      </c>
      <c r="G1514">
        <v>158902</v>
      </c>
      <c r="H1514" s="106"/>
      <c r="I1514" s="106"/>
      <c r="L1514" s="143">
        <v>44232</v>
      </c>
      <c r="M1514" s="106">
        <v>451.1</v>
      </c>
      <c r="N1514" s="106">
        <v>473.95</v>
      </c>
      <c r="O1514" s="106">
        <v>449.25</v>
      </c>
      <c r="P1514" s="106">
        <v>468</v>
      </c>
      <c r="Q1514" s="106">
        <v>451.1</v>
      </c>
      <c r="R1514">
        <v>4324685</v>
      </c>
    </row>
    <row r="1515" spans="1:18" x14ac:dyDescent="0.25">
      <c r="A1515" s="143">
        <v>44235</v>
      </c>
      <c r="B1515" s="106">
        <v>468.4</v>
      </c>
      <c r="C1515" s="106">
        <v>460.3</v>
      </c>
      <c r="D1515" s="106">
        <v>455.05</v>
      </c>
      <c r="E1515" s="106">
        <v>456</v>
      </c>
      <c r="F1515" s="106">
        <v>460.3</v>
      </c>
      <c r="G1515">
        <v>83282</v>
      </c>
      <c r="H1515" s="106"/>
      <c r="I1515" s="106"/>
      <c r="L1515" s="143">
        <v>44235</v>
      </c>
      <c r="M1515" s="106">
        <v>460.6</v>
      </c>
      <c r="N1515" s="106">
        <v>468.55</v>
      </c>
      <c r="O1515" s="106">
        <v>454</v>
      </c>
      <c r="P1515" s="106">
        <v>455</v>
      </c>
      <c r="Q1515" s="106">
        <v>460.6</v>
      </c>
      <c r="R1515">
        <v>2478180</v>
      </c>
    </row>
    <row r="1516" spans="1:18" x14ac:dyDescent="0.25">
      <c r="A1516" s="143">
        <v>44236</v>
      </c>
      <c r="B1516" s="106">
        <v>470.7</v>
      </c>
      <c r="C1516" s="106">
        <v>458.95</v>
      </c>
      <c r="D1516" s="106">
        <v>455.2</v>
      </c>
      <c r="E1516" s="106">
        <v>460.2</v>
      </c>
      <c r="F1516" s="106">
        <v>458.95</v>
      </c>
      <c r="G1516">
        <v>135314</v>
      </c>
      <c r="H1516" s="106"/>
      <c r="I1516" s="106"/>
      <c r="L1516" s="143">
        <v>44236</v>
      </c>
      <c r="M1516" s="106">
        <v>459.05</v>
      </c>
      <c r="N1516" s="106">
        <v>470.9</v>
      </c>
      <c r="O1516" s="106">
        <v>455</v>
      </c>
      <c r="P1516" s="106">
        <v>464</v>
      </c>
      <c r="Q1516" s="106">
        <v>459.05</v>
      </c>
      <c r="R1516">
        <v>4083298</v>
      </c>
    </row>
    <row r="1517" spans="1:18" x14ac:dyDescent="0.25">
      <c r="A1517" s="143">
        <v>44237</v>
      </c>
      <c r="B1517" s="106">
        <v>470.85</v>
      </c>
      <c r="C1517" s="106">
        <v>467.7</v>
      </c>
      <c r="D1517" s="106">
        <v>454.9</v>
      </c>
      <c r="E1517" s="106">
        <v>461</v>
      </c>
      <c r="F1517" s="106">
        <v>467.7</v>
      </c>
      <c r="G1517">
        <v>174578</v>
      </c>
      <c r="H1517" s="106"/>
      <c r="I1517" s="106"/>
      <c r="L1517" s="143">
        <v>44237</v>
      </c>
      <c r="M1517" s="106">
        <v>467.75</v>
      </c>
      <c r="N1517" s="106">
        <v>470.9</v>
      </c>
      <c r="O1517" s="106">
        <v>454.5</v>
      </c>
      <c r="P1517" s="106">
        <v>460.1</v>
      </c>
      <c r="Q1517" s="106">
        <v>467.75</v>
      </c>
      <c r="R1517">
        <v>4986969</v>
      </c>
    </row>
    <row r="1518" spans="1:18" x14ac:dyDescent="0.25">
      <c r="A1518" s="143">
        <v>44238</v>
      </c>
      <c r="B1518" s="106">
        <v>478.65</v>
      </c>
      <c r="C1518" s="106">
        <v>471.4</v>
      </c>
      <c r="D1518" s="106">
        <v>465</v>
      </c>
      <c r="E1518" s="106">
        <v>465</v>
      </c>
      <c r="F1518" s="106">
        <v>471.4</v>
      </c>
      <c r="G1518">
        <v>208833</v>
      </c>
      <c r="H1518" s="106"/>
      <c r="I1518" s="106"/>
      <c r="L1518" s="143">
        <v>44238</v>
      </c>
      <c r="M1518" s="106">
        <v>471.6</v>
      </c>
      <c r="N1518" s="106">
        <v>478.5</v>
      </c>
      <c r="O1518" s="106">
        <v>464.2</v>
      </c>
      <c r="P1518" s="106">
        <v>469.95</v>
      </c>
      <c r="Q1518" s="106">
        <v>471.6</v>
      </c>
      <c r="R1518">
        <v>5781855</v>
      </c>
    </row>
    <row r="1519" spans="1:18" x14ac:dyDescent="0.25">
      <c r="A1519" s="143">
        <v>44239</v>
      </c>
      <c r="B1519" s="106">
        <v>477.4</v>
      </c>
      <c r="C1519" s="106">
        <v>468.55</v>
      </c>
      <c r="D1519" s="106">
        <v>465.8</v>
      </c>
      <c r="E1519" s="106">
        <v>472.8</v>
      </c>
      <c r="F1519" s="106">
        <v>468.55</v>
      </c>
      <c r="G1519">
        <v>99968</v>
      </c>
      <c r="H1519" s="106"/>
      <c r="I1519" s="106"/>
      <c r="L1519" s="143">
        <v>44239</v>
      </c>
      <c r="M1519" s="106">
        <v>468.55</v>
      </c>
      <c r="N1519" s="106">
        <v>477.8</v>
      </c>
      <c r="O1519" s="106">
        <v>465.35</v>
      </c>
      <c r="P1519" s="106">
        <v>471.7</v>
      </c>
      <c r="Q1519" s="106">
        <v>468.55</v>
      </c>
      <c r="R1519">
        <v>2572633</v>
      </c>
    </row>
    <row r="1520" spans="1:18" x14ac:dyDescent="0.25">
      <c r="A1520" s="143">
        <v>44242</v>
      </c>
      <c r="B1520" s="106">
        <v>537.9</v>
      </c>
      <c r="C1520" s="106">
        <v>531.54999999999995</v>
      </c>
      <c r="D1520" s="106">
        <v>471</v>
      </c>
      <c r="E1520" s="106">
        <v>471</v>
      </c>
      <c r="F1520" s="106">
        <v>531.54999999999995</v>
      </c>
      <c r="G1520">
        <v>755965</v>
      </c>
      <c r="H1520" s="106"/>
      <c r="I1520" s="106"/>
      <c r="L1520" s="143">
        <v>44242</v>
      </c>
      <c r="M1520" s="106">
        <v>532.75</v>
      </c>
      <c r="N1520" s="106">
        <v>538</v>
      </c>
      <c r="O1520" s="106">
        <v>472.05</v>
      </c>
      <c r="P1520" s="106">
        <v>472.05</v>
      </c>
      <c r="Q1520" s="106">
        <v>532.75</v>
      </c>
      <c r="R1520">
        <v>31359318</v>
      </c>
    </row>
    <row r="1521" spans="1:18" x14ac:dyDescent="0.25">
      <c r="A1521" s="143">
        <v>44243</v>
      </c>
      <c r="B1521" s="106">
        <v>537.25</v>
      </c>
      <c r="C1521" s="106">
        <v>528.45000000000005</v>
      </c>
      <c r="D1521" s="106">
        <v>517.35</v>
      </c>
      <c r="E1521" s="106">
        <v>529.65</v>
      </c>
      <c r="F1521" s="106">
        <v>528.45000000000005</v>
      </c>
      <c r="G1521">
        <v>351448</v>
      </c>
      <c r="H1521" s="106"/>
      <c r="I1521" s="106"/>
      <c r="L1521" s="143">
        <v>44243</v>
      </c>
      <c r="M1521" s="106">
        <v>528.04999999999995</v>
      </c>
      <c r="N1521" s="106">
        <v>537</v>
      </c>
      <c r="O1521" s="106">
        <v>517.04999999999995</v>
      </c>
      <c r="P1521" s="106">
        <v>528.5</v>
      </c>
      <c r="Q1521" s="106">
        <v>528.04999999999995</v>
      </c>
      <c r="R1521">
        <v>10486006</v>
      </c>
    </row>
    <row r="1522" spans="1:18" x14ac:dyDescent="0.25">
      <c r="A1522" s="143">
        <v>44244</v>
      </c>
      <c r="B1522" s="106">
        <v>534</v>
      </c>
      <c r="C1522" s="106">
        <v>527.75</v>
      </c>
      <c r="D1522" s="106">
        <v>523.25</v>
      </c>
      <c r="E1522" s="106">
        <v>534</v>
      </c>
      <c r="F1522" s="106">
        <v>527.75</v>
      </c>
      <c r="G1522">
        <v>177059</v>
      </c>
      <c r="H1522" s="106"/>
      <c r="I1522" s="106"/>
      <c r="L1522" s="143">
        <v>44244</v>
      </c>
      <c r="M1522" s="106">
        <v>528</v>
      </c>
      <c r="N1522" s="106">
        <v>533.79999999999995</v>
      </c>
      <c r="O1522" s="106">
        <v>522.1</v>
      </c>
      <c r="P1522" s="106">
        <v>522.1</v>
      </c>
      <c r="Q1522" s="106">
        <v>528</v>
      </c>
      <c r="R1522">
        <v>3658655</v>
      </c>
    </row>
    <row r="1523" spans="1:18" x14ac:dyDescent="0.25">
      <c r="A1523" s="143">
        <v>44245</v>
      </c>
      <c r="B1523" s="106">
        <v>536.20000000000005</v>
      </c>
      <c r="C1523" s="106">
        <v>527.54999999999995</v>
      </c>
      <c r="D1523" s="106">
        <v>525.54999999999995</v>
      </c>
      <c r="E1523" s="106">
        <v>528.75</v>
      </c>
      <c r="F1523" s="106">
        <v>527.54999999999995</v>
      </c>
      <c r="G1523">
        <v>191129</v>
      </c>
      <c r="H1523" s="106"/>
      <c r="I1523" s="106"/>
      <c r="L1523" s="143">
        <v>44245</v>
      </c>
      <c r="M1523" s="106">
        <v>527.70000000000005</v>
      </c>
      <c r="N1523" s="106">
        <v>536.54999999999995</v>
      </c>
      <c r="O1523" s="106">
        <v>526.1</v>
      </c>
      <c r="P1523" s="106">
        <v>530</v>
      </c>
      <c r="Q1523" s="106">
        <v>527.70000000000005</v>
      </c>
      <c r="R1523">
        <v>5128060</v>
      </c>
    </row>
    <row r="1524" spans="1:18" x14ac:dyDescent="0.25">
      <c r="A1524" s="143">
        <v>44246</v>
      </c>
      <c r="B1524" s="106">
        <v>536</v>
      </c>
      <c r="C1524" s="106">
        <v>529.75</v>
      </c>
      <c r="D1524" s="106">
        <v>517.95000000000005</v>
      </c>
      <c r="E1524" s="106">
        <v>522</v>
      </c>
      <c r="F1524" s="106">
        <v>529.75</v>
      </c>
      <c r="G1524">
        <v>259960</v>
      </c>
      <c r="H1524" s="106"/>
      <c r="I1524" s="106"/>
      <c r="L1524" s="143">
        <v>44246</v>
      </c>
      <c r="M1524" s="106">
        <v>530.35</v>
      </c>
      <c r="N1524" s="106">
        <v>535.6</v>
      </c>
      <c r="O1524" s="106">
        <v>517.79999999999995</v>
      </c>
      <c r="P1524" s="106">
        <v>526.79999999999995</v>
      </c>
      <c r="Q1524" s="106">
        <v>530.35</v>
      </c>
      <c r="R1524">
        <v>8654199</v>
      </c>
    </row>
    <row r="1525" spans="1:18" x14ac:dyDescent="0.25">
      <c r="A1525" s="143">
        <v>44249</v>
      </c>
      <c r="B1525" s="106">
        <v>551.4</v>
      </c>
      <c r="C1525" s="106">
        <v>528.65</v>
      </c>
      <c r="D1525" s="106">
        <v>519.04999999999995</v>
      </c>
      <c r="E1525" s="106">
        <v>533</v>
      </c>
      <c r="F1525" s="106">
        <v>528.65</v>
      </c>
      <c r="G1525">
        <v>351343</v>
      </c>
      <c r="H1525" s="106"/>
      <c r="I1525" s="106"/>
      <c r="L1525" s="143">
        <v>44249</v>
      </c>
      <c r="M1525" s="106">
        <v>528.65</v>
      </c>
      <c r="N1525" s="106">
        <v>550.95000000000005</v>
      </c>
      <c r="O1525" s="106">
        <v>519</v>
      </c>
      <c r="P1525" s="106">
        <v>534.4</v>
      </c>
      <c r="Q1525" s="106">
        <v>528.65</v>
      </c>
      <c r="R1525">
        <v>16351139</v>
      </c>
    </row>
    <row r="1526" spans="1:18" x14ac:dyDescent="0.25">
      <c r="A1526" s="143">
        <v>44250</v>
      </c>
      <c r="B1526" s="106">
        <v>536</v>
      </c>
      <c r="C1526" s="106">
        <v>518.65</v>
      </c>
      <c r="D1526" s="106">
        <v>510.5</v>
      </c>
      <c r="E1526" s="106">
        <v>527</v>
      </c>
      <c r="F1526" s="106">
        <v>518.65</v>
      </c>
      <c r="G1526">
        <v>213404</v>
      </c>
      <c r="H1526" s="106"/>
      <c r="I1526" s="106"/>
      <c r="L1526" s="143">
        <v>44250</v>
      </c>
      <c r="M1526" s="106">
        <v>517.79999999999995</v>
      </c>
      <c r="N1526" s="106">
        <v>538</v>
      </c>
      <c r="O1526" s="106">
        <v>510.65</v>
      </c>
      <c r="P1526" s="106">
        <v>526.45000000000005</v>
      </c>
      <c r="Q1526" s="106">
        <v>517.79999999999995</v>
      </c>
      <c r="R1526">
        <v>5512994</v>
      </c>
    </row>
    <row r="1527" spans="1:18" x14ac:dyDescent="0.25">
      <c r="A1527" s="143">
        <v>44251</v>
      </c>
      <c r="B1527" s="106">
        <v>523.15</v>
      </c>
      <c r="C1527" s="106">
        <v>505.25</v>
      </c>
      <c r="D1527" s="106">
        <v>466.8</v>
      </c>
      <c r="E1527" s="106">
        <v>523.15</v>
      </c>
      <c r="F1527" s="106">
        <v>505.25</v>
      </c>
      <c r="G1527">
        <v>1016567</v>
      </c>
      <c r="H1527" s="106"/>
      <c r="I1527" s="106"/>
      <c r="L1527" s="143">
        <v>44251</v>
      </c>
      <c r="M1527" s="106">
        <v>504.5</v>
      </c>
      <c r="N1527" s="106">
        <v>522.15</v>
      </c>
      <c r="O1527" s="106">
        <v>487.35</v>
      </c>
      <c r="P1527" s="106">
        <v>519.95000000000005</v>
      </c>
      <c r="Q1527" s="106">
        <v>504.5</v>
      </c>
      <c r="R1527">
        <v>5523946</v>
      </c>
    </row>
    <row r="1528" spans="1:18" x14ac:dyDescent="0.25">
      <c r="A1528" s="143">
        <v>44252</v>
      </c>
      <c r="B1528" s="106">
        <v>537.95000000000005</v>
      </c>
      <c r="C1528" s="106">
        <v>525.95000000000005</v>
      </c>
      <c r="D1528" s="106">
        <v>509.3</v>
      </c>
      <c r="E1528" s="106">
        <v>511.9</v>
      </c>
      <c r="F1528" s="106">
        <v>525.95000000000005</v>
      </c>
      <c r="G1528">
        <v>329866</v>
      </c>
      <c r="H1528" s="106"/>
      <c r="I1528" s="106"/>
      <c r="L1528" s="143">
        <v>44252</v>
      </c>
      <c r="M1528" s="106">
        <v>526.04999999999995</v>
      </c>
      <c r="N1528" s="106">
        <v>538</v>
      </c>
      <c r="O1528" s="106">
        <v>510</v>
      </c>
      <c r="P1528" s="106">
        <v>511</v>
      </c>
      <c r="Q1528" s="106">
        <v>526.04999999999995</v>
      </c>
      <c r="R1528">
        <v>6224603</v>
      </c>
    </row>
    <row r="1529" spans="1:18" x14ac:dyDescent="0.25">
      <c r="A1529" s="143">
        <v>44253</v>
      </c>
      <c r="B1529" s="106">
        <v>522.85</v>
      </c>
      <c r="C1529" s="106">
        <v>518.95000000000005</v>
      </c>
      <c r="D1529" s="106">
        <v>500.45</v>
      </c>
      <c r="E1529" s="106">
        <v>516.9</v>
      </c>
      <c r="F1529" s="106">
        <v>518.95000000000005</v>
      </c>
      <c r="G1529">
        <v>211328</v>
      </c>
      <c r="H1529" s="106"/>
      <c r="I1529" s="106"/>
      <c r="L1529" s="143">
        <v>44253</v>
      </c>
      <c r="M1529" s="106">
        <v>518.9</v>
      </c>
      <c r="N1529" s="106">
        <v>523</v>
      </c>
      <c r="O1529" s="106">
        <v>500.1</v>
      </c>
      <c r="P1529" s="106">
        <v>513.04999999999995</v>
      </c>
      <c r="Q1529" s="106">
        <v>518.9</v>
      </c>
      <c r="R1529">
        <v>4171821</v>
      </c>
    </row>
    <row r="1530" spans="1:18" x14ac:dyDescent="0.25">
      <c r="A1530" s="143">
        <v>44256</v>
      </c>
      <c r="B1530" s="106">
        <v>557.95000000000005</v>
      </c>
      <c r="C1530" s="106">
        <v>522.15</v>
      </c>
      <c r="D1530" s="106">
        <v>518.95000000000005</v>
      </c>
      <c r="E1530" s="106">
        <v>525</v>
      </c>
      <c r="F1530" s="106">
        <v>522.15</v>
      </c>
      <c r="G1530">
        <v>516402</v>
      </c>
      <c r="H1530" s="106"/>
      <c r="I1530" s="106"/>
      <c r="L1530" s="143">
        <v>44256</v>
      </c>
      <c r="M1530" s="106">
        <v>522.29999999999995</v>
      </c>
      <c r="N1530" s="106">
        <v>558</v>
      </c>
      <c r="O1530" s="106">
        <v>519.5</v>
      </c>
      <c r="P1530" s="106">
        <v>524.5</v>
      </c>
      <c r="Q1530" s="106">
        <v>522.29999999999995</v>
      </c>
      <c r="R1530">
        <v>8234542</v>
      </c>
    </row>
    <row r="1531" spans="1:18" x14ac:dyDescent="0.25">
      <c r="A1531" s="143">
        <v>44257</v>
      </c>
      <c r="B1531" s="106">
        <v>540.15</v>
      </c>
      <c r="C1531" s="106">
        <v>538.65</v>
      </c>
      <c r="D1531" s="106">
        <v>524</v>
      </c>
      <c r="E1531" s="106">
        <v>528.9</v>
      </c>
      <c r="F1531" s="106">
        <v>538.65</v>
      </c>
      <c r="G1531">
        <v>154966</v>
      </c>
      <c r="H1531" s="106"/>
      <c r="I1531" s="106"/>
      <c r="L1531" s="143">
        <v>44257</v>
      </c>
      <c r="M1531" s="106">
        <v>538.54999999999995</v>
      </c>
      <c r="N1531" s="106">
        <v>539.95000000000005</v>
      </c>
      <c r="O1531" s="106">
        <v>523.79999999999995</v>
      </c>
      <c r="P1531" s="106">
        <v>527.79999999999995</v>
      </c>
      <c r="Q1531" s="106">
        <v>538.54999999999995</v>
      </c>
      <c r="R1531">
        <v>3164565</v>
      </c>
    </row>
    <row r="1532" spans="1:18" x14ac:dyDescent="0.25">
      <c r="A1532" s="143">
        <v>44258</v>
      </c>
      <c r="B1532" s="106">
        <v>551.20000000000005</v>
      </c>
      <c r="C1532" s="106">
        <v>540.54999999999995</v>
      </c>
      <c r="D1532" s="106">
        <v>534.35</v>
      </c>
      <c r="E1532" s="106">
        <v>540.20000000000005</v>
      </c>
      <c r="F1532" s="106">
        <v>540.54999999999995</v>
      </c>
      <c r="G1532">
        <v>165452</v>
      </c>
      <c r="H1532" s="106"/>
      <c r="I1532" s="106"/>
      <c r="L1532" s="143">
        <v>44258</v>
      </c>
      <c r="M1532" s="106">
        <v>540.65</v>
      </c>
      <c r="N1532" s="106">
        <v>551.79999999999995</v>
      </c>
      <c r="O1532" s="106">
        <v>534</v>
      </c>
      <c r="P1532" s="106">
        <v>542.6</v>
      </c>
      <c r="Q1532" s="106">
        <v>540.65</v>
      </c>
      <c r="R1532">
        <v>3014438</v>
      </c>
    </row>
    <row r="1533" spans="1:18" x14ac:dyDescent="0.25">
      <c r="A1533" s="143">
        <v>44259</v>
      </c>
      <c r="B1533" s="106">
        <v>546.70000000000005</v>
      </c>
      <c r="C1533" s="106">
        <v>535.15</v>
      </c>
      <c r="D1533" s="106">
        <v>533.5</v>
      </c>
      <c r="E1533" s="106">
        <v>542.5</v>
      </c>
      <c r="F1533" s="106">
        <v>535.15</v>
      </c>
      <c r="G1533">
        <v>114523</v>
      </c>
      <c r="H1533" s="106"/>
      <c r="I1533" s="106"/>
      <c r="L1533" s="143">
        <v>44259</v>
      </c>
      <c r="M1533" s="106">
        <v>535.1</v>
      </c>
      <c r="N1533" s="106">
        <v>546.54999999999995</v>
      </c>
      <c r="O1533" s="106">
        <v>533.15</v>
      </c>
      <c r="P1533" s="106">
        <v>537</v>
      </c>
      <c r="Q1533" s="106">
        <v>535.1</v>
      </c>
      <c r="R1533">
        <v>2756879</v>
      </c>
    </row>
    <row r="1534" spans="1:18" x14ac:dyDescent="0.25">
      <c r="A1534" s="143">
        <v>44260</v>
      </c>
      <c r="B1534" s="106">
        <v>535</v>
      </c>
      <c r="C1534" s="106">
        <v>526.65</v>
      </c>
      <c r="D1534" s="106">
        <v>515.45000000000005</v>
      </c>
      <c r="E1534" s="106">
        <v>535</v>
      </c>
      <c r="F1534" s="106">
        <v>526.65</v>
      </c>
      <c r="G1534">
        <v>194462</v>
      </c>
      <c r="H1534" s="106"/>
      <c r="I1534" s="106"/>
      <c r="L1534" s="143">
        <v>44260</v>
      </c>
      <c r="M1534" s="106">
        <v>526.79999999999995</v>
      </c>
      <c r="N1534" s="106">
        <v>533.9</v>
      </c>
      <c r="O1534" s="106">
        <v>515.65</v>
      </c>
      <c r="P1534" s="106">
        <v>533.9</v>
      </c>
      <c r="Q1534" s="106">
        <v>526.79999999999995</v>
      </c>
      <c r="R1534">
        <v>2704745</v>
      </c>
    </row>
    <row r="1535" spans="1:18" x14ac:dyDescent="0.25">
      <c r="A1535" s="143">
        <v>44263</v>
      </c>
      <c r="B1535" s="106">
        <v>539</v>
      </c>
      <c r="C1535" s="106">
        <v>534.20000000000005</v>
      </c>
      <c r="D1535" s="106">
        <v>526.29999999999995</v>
      </c>
      <c r="E1535" s="106">
        <v>534.70000000000005</v>
      </c>
      <c r="F1535" s="106">
        <v>534.20000000000005</v>
      </c>
      <c r="G1535">
        <v>110472</v>
      </c>
      <c r="H1535" s="106"/>
      <c r="I1535" s="106"/>
      <c r="L1535" s="143">
        <v>44263</v>
      </c>
      <c r="M1535" s="106">
        <v>534.15</v>
      </c>
      <c r="N1535" s="106">
        <v>539.29999999999995</v>
      </c>
      <c r="O1535" s="106">
        <v>526.54999999999995</v>
      </c>
      <c r="P1535" s="106">
        <v>532</v>
      </c>
      <c r="Q1535" s="106">
        <v>534.15</v>
      </c>
      <c r="R1535">
        <v>3061065</v>
      </c>
    </row>
    <row r="1536" spans="1:18" x14ac:dyDescent="0.25">
      <c r="A1536" s="143">
        <v>44264</v>
      </c>
      <c r="B1536" s="106">
        <v>548.5</v>
      </c>
      <c r="C1536" s="106">
        <v>544.4</v>
      </c>
      <c r="D1536" s="106">
        <v>534.6</v>
      </c>
      <c r="E1536" s="106">
        <v>536</v>
      </c>
      <c r="F1536" s="106">
        <v>544.4</v>
      </c>
      <c r="G1536">
        <v>199560</v>
      </c>
      <c r="H1536" s="106"/>
      <c r="I1536" s="106"/>
      <c r="L1536" s="143">
        <v>44264</v>
      </c>
      <c r="M1536" s="106">
        <v>544.4</v>
      </c>
      <c r="N1536" s="106">
        <v>548.9</v>
      </c>
      <c r="O1536" s="106">
        <v>525</v>
      </c>
      <c r="P1536" s="106">
        <v>536.54999999999995</v>
      </c>
      <c r="Q1536" s="106">
        <v>544.4</v>
      </c>
      <c r="R1536">
        <v>4781356</v>
      </c>
    </row>
    <row r="1537" spans="1:18" x14ac:dyDescent="0.25">
      <c r="A1537" s="143">
        <v>44265</v>
      </c>
      <c r="B1537" s="106">
        <v>558</v>
      </c>
      <c r="C1537" s="106">
        <v>539.20000000000005</v>
      </c>
      <c r="D1537" s="106">
        <v>530.29999999999995</v>
      </c>
      <c r="E1537" s="106">
        <v>549.95000000000005</v>
      </c>
      <c r="F1537" s="106">
        <v>539.20000000000005</v>
      </c>
      <c r="G1537">
        <v>171213</v>
      </c>
      <c r="H1537" s="106"/>
      <c r="I1537" s="106"/>
      <c r="L1537" s="143">
        <v>44265</v>
      </c>
      <c r="M1537" s="106">
        <v>539.4</v>
      </c>
      <c r="N1537" s="106">
        <v>556.79999999999995</v>
      </c>
      <c r="O1537" s="106">
        <v>530.04999999999995</v>
      </c>
      <c r="P1537" s="106">
        <v>549.9</v>
      </c>
      <c r="Q1537" s="106">
        <v>539.4</v>
      </c>
      <c r="R1537">
        <v>5035581</v>
      </c>
    </row>
    <row r="1538" spans="1:18" x14ac:dyDescent="0.25">
      <c r="A1538" s="143">
        <v>44267</v>
      </c>
      <c r="B1538" s="106">
        <v>549.70000000000005</v>
      </c>
      <c r="C1538" s="106">
        <v>531.9</v>
      </c>
      <c r="D1538" s="106">
        <v>529.54999999999995</v>
      </c>
      <c r="E1538" s="106">
        <v>549</v>
      </c>
      <c r="F1538" s="106">
        <v>531.9</v>
      </c>
      <c r="G1538">
        <v>101461</v>
      </c>
      <c r="H1538" s="106"/>
      <c r="I1538" s="106"/>
      <c r="L1538" s="143">
        <v>44267</v>
      </c>
      <c r="M1538" s="106">
        <v>531.79999999999995</v>
      </c>
      <c r="N1538" s="106">
        <v>549.9</v>
      </c>
      <c r="O1538" s="106">
        <v>529.4</v>
      </c>
      <c r="P1538" s="106">
        <v>544.29999999999995</v>
      </c>
      <c r="Q1538" s="106">
        <v>531.79999999999995</v>
      </c>
      <c r="R1538">
        <v>2659575</v>
      </c>
    </row>
    <row r="1539" spans="1:18" x14ac:dyDescent="0.25">
      <c r="A1539" s="143">
        <v>44270</v>
      </c>
      <c r="B1539" s="106">
        <v>537.95000000000005</v>
      </c>
      <c r="C1539" s="106">
        <v>534.70000000000005</v>
      </c>
      <c r="D1539" s="106">
        <v>513.79999999999995</v>
      </c>
      <c r="E1539" s="106">
        <v>537</v>
      </c>
      <c r="F1539" s="106">
        <v>534.70000000000005</v>
      </c>
      <c r="G1539">
        <v>168373</v>
      </c>
      <c r="H1539" s="106"/>
      <c r="I1539" s="106"/>
      <c r="L1539" s="143">
        <v>44270</v>
      </c>
      <c r="M1539" s="106">
        <v>534.95000000000005</v>
      </c>
      <c r="N1539" s="106">
        <v>537.85</v>
      </c>
      <c r="O1539" s="106">
        <v>514.04999999999995</v>
      </c>
      <c r="P1539" s="106">
        <v>536</v>
      </c>
      <c r="Q1539" s="106">
        <v>534.95000000000005</v>
      </c>
      <c r="R1539">
        <v>3189930</v>
      </c>
    </row>
    <row r="1540" spans="1:18" x14ac:dyDescent="0.25">
      <c r="A1540" s="143">
        <v>44271</v>
      </c>
      <c r="B1540" s="106">
        <v>544</v>
      </c>
      <c r="C1540" s="106">
        <v>541.15</v>
      </c>
      <c r="D1540" s="106">
        <v>530.35</v>
      </c>
      <c r="E1540" s="106">
        <v>537</v>
      </c>
      <c r="F1540" s="106">
        <v>541.15</v>
      </c>
      <c r="G1540">
        <v>107730</v>
      </c>
      <c r="H1540" s="106"/>
      <c r="I1540" s="106"/>
      <c r="L1540" s="143">
        <v>44271</v>
      </c>
      <c r="M1540" s="106">
        <v>540.65</v>
      </c>
      <c r="N1540" s="106">
        <v>544.35</v>
      </c>
      <c r="O1540" s="106">
        <v>530.20000000000005</v>
      </c>
      <c r="P1540" s="106">
        <v>537.95000000000005</v>
      </c>
      <c r="Q1540" s="106">
        <v>540.65</v>
      </c>
      <c r="R1540">
        <v>3577095</v>
      </c>
    </row>
    <row r="1541" spans="1:18" x14ac:dyDescent="0.25">
      <c r="A1541" s="143">
        <v>44272</v>
      </c>
      <c r="B1541" s="106">
        <v>544</v>
      </c>
      <c r="C1541" s="106">
        <v>529.04999999999995</v>
      </c>
      <c r="D1541" s="106">
        <v>525.54999999999995</v>
      </c>
      <c r="E1541" s="106">
        <v>541.4</v>
      </c>
      <c r="F1541" s="106">
        <v>529.04999999999995</v>
      </c>
      <c r="G1541">
        <v>100308</v>
      </c>
      <c r="H1541" s="106"/>
      <c r="I1541" s="106"/>
      <c r="L1541" s="143">
        <v>44272</v>
      </c>
      <c r="M1541" s="106">
        <v>529.6</v>
      </c>
      <c r="N1541" s="106">
        <v>544.04999999999995</v>
      </c>
      <c r="O1541" s="106">
        <v>526.04999999999995</v>
      </c>
      <c r="P1541" s="106">
        <v>541.9</v>
      </c>
      <c r="Q1541" s="106">
        <v>529.6</v>
      </c>
      <c r="R1541">
        <v>2235033</v>
      </c>
    </row>
    <row r="1542" spans="1:18" x14ac:dyDescent="0.25">
      <c r="A1542" s="143">
        <v>44273</v>
      </c>
      <c r="B1542" s="106">
        <v>539.79999999999995</v>
      </c>
      <c r="C1542" s="106">
        <v>526.95000000000005</v>
      </c>
      <c r="D1542" s="106">
        <v>516.85</v>
      </c>
      <c r="E1542" s="106">
        <v>528.79999999999995</v>
      </c>
      <c r="F1542" s="106">
        <v>526.95000000000005</v>
      </c>
      <c r="G1542">
        <v>86782</v>
      </c>
      <c r="H1542" s="106"/>
      <c r="I1542" s="106"/>
      <c r="L1542" s="143">
        <v>44273</v>
      </c>
      <c r="M1542" s="106">
        <v>527.65</v>
      </c>
      <c r="N1542" s="106">
        <v>539.95000000000005</v>
      </c>
      <c r="O1542" s="106">
        <v>516.4</v>
      </c>
      <c r="P1542" s="106">
        <v>534.5</v>
      </c>
      <c r="Q1542" s="106">
        <v>527.65</v>
      </c>
      <c r="R1542">
        <v>2318387</v>
      </c>
    </row>
    <row r="1543" spans="1:18" x14ac:dyDescent="0.25">
      <c r="A1543" s="143">
        <v>44274</v>
      </c>
      <c r="B1543" s="106">
        <v>558.85</v>
      </c>
      <c r="C1543" s="106">
        <v>552.70000000000005</v>
      </c>
      <c r="D1543" s="106">
        <v>519</v>
      </c>
      <c r="E1543" s="106">
        <v>528</v>
      </c>
      <c r="F1543" s="106">
        <v>552.70000000000005</v>
      </c>
      <c r="G1543">
        <v>178481</v>
      </c>
      <c r="H1543" s="106"/>
      <c r="I1543" s="106"/>
      <c r="L1543" s="143">
        <v>44274</v>
      </c>
      <c r="M1543" s="106">
        <v>552.85</v>
      </c>
      <c r="N1543" s="106">
        <v>558.95000000000005</v>
      </c>
      <c r="O1543" s="106">
        <v>518.5</v>
      </c>
      <c r="P1543" s="106">
        <v>525.04999999999995</v>
      </c>
      <c r="Q1543" s="106">
        <v>552.85</v>
      </c>
      <c r="R1543">
        <v>6000233</v>
      </c>
    </row>
    <row r="1544" spans="1:18" x14ac:dyDescent="0.25">
      <c r="A1544" s="143">
        <v>44277</v>
      </c>
      <c r="B1544" s="106">
        <v>579.45000000000005</v>
      </c>
      <c r="C1544" s="106">
        <v>570.54999999999995</v>
      </c>
      <c r="D1544" s="106">
        <v>545.25</v>
      </c>
      <c r="E1544" s="106">
        <v>558</v>
      </c>
      <c r="F1544" s="106">
        <v>570.54999999999995</v>
      </c>
      <c r="G1544">
        <v>459428</v>
      </c>
      <c r="H1544" s="106"/>
      <c r="I1544" s="106"/>
      <c r="L1544" s="143">
        <v>44277</v>
      </c>
      <c r="M1544" s="106">
        <v>570.4</v>
      </c>
      <c r="N1544" s="106">
        <v>579.6</v>
      </c>
      <c r="O1544" s="106">
        <v>545.04999999999995</v>
      </c>
      <c r="P1544" s="106">
        <v>558</v>
      </c>
      <c r="Q1544" s="106">
        <v>570.4</v>
      </c>
      <c r="R1544">
        <v>9087183</v>
      </c>
    </row>
    <row r="1545" spans="1:18" x14ac:dyDescent="0.25">
      <c r="A1545" s="143">
        <v>44278</v>
      </c>
      <c r="B1545" s="106">
        <v>574.5</v>
      </c>
      <c r="C1545" s="106">
        <v>559.29999999999995</v>
      </c>
      <c r="D1545" s="106">
        <v>554.20000000000005</v>
      </c>
      <c r="E1545" s="106">
        <v>570</v>
      </c>
      <c r="F1545" s="106">
        <v>559.29999999999995</v>
      </c>
      <c r="G1545">
        <v>141035</v>
      </c>
      <c r="H1545" s="106"/>
      <c r="I1545" s="106"/>
      <c r="L1545" s="143">
        <v>44278</v>
      </c>
      <c r="M1545" s="106">
        <v>559.70000000000005</v>
      </c>
      <c r="N1545" s="106">
        <v>574.79999999999995</v>
      </c>
      <c r="O1545" s="106">
        <v>556.45000000000005</v>
      </c>
      <c r="P1545" s="106">
        <v>571.65</v>
      </c>
      <c r="Q1545" s="106">
        <v>559.70000000000005</v>
      </c>
      <c r="R1545">
        <v>3437253</v>
      </c>
    </row>
    <row r="1546" spans="1:18" x14ac:dyDescent="0.25">
      <c r="A1546" s="143">
        <v>44279</v>
      </c>
      <c r="B1546" s="106">
        <v>569.20000000000005</v>
      </c>
      <c r="C1546" s="106">
        <v>549.9</v>
      </c>
      <c r="D1546" s="106">
        <v>545.54999999999995</v>
      </c>
      <c r="E1546" s="106">
        <v>553</v>
      </c>
      <c r="F1546" s="106">
        <v>549.9</v>
      </c>
      <c r="G1546">
        <v>129706</v>
      </c>
      <c r="H1546" s="106"/>
      <c r="I1546" s="106"/>
      <c r="L1546" s="143">
        <v>44279</v>
      </c>
      <c r="M1546" s="106">
        <v>548.5</v>
      </c>
      <c r="N1546" s="106">
        <v>569.45000000000005</v>
      </c>
      <c r="O1546" s="106">
        <v>545.4</v>
      </c>
      <c r="P1546" s="106">
        <v>551.79999999999995</v>
      </c>
      <c r="Q1546" s="106">
        <v>548.5</v>
      </c>
      <c r="R1546">
        <v>3517690</v>
      </c>
    </row>
    <row r="1547" spans="1:18" x14ac:dyDescent="0.25">
      <c r="A1547" s="143">
        <v>44280</v>
      </c>
      <c r="B1547" s="106">
        <v>555.79999999999995</v>
      </c>
      <c r="C1547" s="106">
        <v>537.95000000000005</v>
      </c>
      <c r="D1547" s="106">
        <v>525.5</v>
      </c>
      <c r="E1547" s="106">
        <v>555.79999999999995</v>
      </c>
      <c r="F1547" s="106">
        <v>537.95000000000005</v>
      </c>
      <c r="G1547">
        <v>169247</v>
      </c>
      <c r="H1547" s="106"/>
      <c r="I1547" s="106"/>
      <c r="L1547" s="143">
        <v>44280</v>
      </c>
      <c r="M1547" s="106">
        <v>537.5</v>
      </c>
      <c r="N1547" s="106">
        <v>552.79999999999995</v>
      </c>
      <c r="O1547" s="106">
        <v>525.5</v>
      </c>
      <c r="P1547" s="106">
        <v>551</v>
      </c>
      <c r="Q1547" s="106">
        <v>537.5</v>
      </c>
      <c r="R1547">
        <v>3387697</v>
      </c>
    </row>
    <row r="1548" spans="1:18" x14ac:dyDescent="0.25">
      <c r="A1548" s="143">
        <v>44281</v>
      </c>
      <c r="B1548" s="106">
        <v>564.35</v>
      </c>
      <c r="C1548" s="106">
        <v>554.95000000000005</v>
      </c>
      <c r="D1548" s="106">
        <v>544.25</v>
      </c>
      <c r="E1548" s="106">
        <v>545</v>
      </c>
      <c r="F1548" s="106">
        <v>554.95000000000005</v>
      </c>
      <c r="G1548">
        <v>222453</v>
      </c>
      <c r="H1548" s="106"/>
      <c r="I1548" s="106"/>
      <c r="L1548" s="143">
        <v>44281</v>
      </c>
      <c r="M1548" s="106">
        <v>554.65</v>
      </c>
      <c r="N1548" s="106">
        <v>564.65</v>
      </c>
      <c r="O1548" s="106">
        <v>543.20000000000005</v>
      </c>
      <c r="P1548" s="106">
        <v>545.79999999999995</v>
      </c>
      <c r="Q1548" s="106">
        <v>554.65</v>
      </c>
      <c r="R1548">
        <v>5648327</v>
      </c>
    </row>
    <row r="1549" spans="1:18" x14ac:dyDescent="0.25">
      <c r="A1549" s="143">
        <v>44285</v>
      </c>
      <c r="B1549" s="106">
        <v>564.29999999999995</v>
      </c>
      <c r="C1549" s="106">
        <v>555.6</v>
      </c>
      <c r="D1549" s="106">
        <v>549.65</v>
      </c>
      <c r="E1549" s="106">
        <v>562.45000000000005</v>
      </c>
      <c r="F1549" s="106">
        <v>555.6</v>
      </c>
      <c r="G1549">
        <v>81430</v>
      </c>
      <c r="H1549" s="106"/>
      <c r="I1549" s="106"/>
      <c r="L1549" s="143">
        <v>44285</v>
      </c>
      <c r="M1549" s="106">
        <v>555.29999999999995</v>
      </c>
      <c r="N1549" s="106">
        <v>564.29999999999995</v>
      </c>
      <c r="O1549" s="106">
        <v>549.4</v>
      </c>
      <c r="P1549" s="106">
        <v>560.20000000000005</v>
      </c>
      <c r="Q1549" s="106">
        <v>555.29999999999995</v>
      </c>
      <c r="R1549">
        <v>1956770</v>
      </c>
    </row>
    <row r="1550" spans="1:18" x14ac:dyDescent="0.25">
      <c r="A1550" s="143">
        <v>44286</v>
      </c>
      <c r="B1550" s="106">
        <v>565.25</v>
      </c>
      <c r="C1550" s="106">
        <v>558.79999999999995</v>
      </c>
      <c r="D1550" s="106">
        <v>547.25</v>
      </c>
      <c r="E1550" s="106">
        <v>554.1</v>
      </c>
      <c r="F1550" s="106">
        <v>558.79999999999995</v>
      </c>
      <c r="G1550">
        <v>120412</v>
      </c>
      <c r="H1550" s="106"/>
      <c r="I1550" s="106"/>
      <c r="L1550" s="143">
        <v>44286</v>
      </c>
      <c r="M1550" s="106">
        <v>558.79999999999995</v>
      </c>
      <c r="N1550" s="106">
        <v>565</v>
      </c>
      <c r="O1550" s="106">
        <v>547</v>
      </c>
      <c r="P1550" s="106">
        <v>555.65</v>
      </c>
      <c r="Q1550" s="106">
        <v>558.79999999999995</v>
      </c>
      <c r="R1550">
        <v>2766939</v>
      </c>
    </row>
    <row r="1551" spans="1:18" x14ac:dyDescent="0.25">
      <c r="A1551" s="143">
        <v>44287</v>
      </c>
      <c r="B1551" s="106">
        <v>568.45000000000005</v>
      </c>
      <c r="C1551" s="106">
        <v>563.5</v>
      </c>
      <c r="D1551" s="106">
        <v>549.5</v>
      </c>
      <c r="E1551" s="106">
        <v>565</v>
      </c>
      <c r="F1551" s="106">
        <v>563.5</v>
      </c>
      <c r="G1551">
        <v>72125</v>
      </c>
      <c r="H1551" s="106"/>
      <c r="I1551" s="106"/>
      <c r="L1551" s="143">
        <v>44287</v>
      </c>
      <c r="M1551" s="106">
        <v>562.5</v>
      </c>
      <c r="N1551" s="106">
        <v>568.9</v>
      </c>
      <c r="O1551" s="106">
        <v>549.6</v>
      </c>
      <c r="P1551" s="106">
        <v>566</v>
      </c>
      <c r="Q1551" s="106">
        <v>562.5</v>
      </c>
      <c r="R1551">
        <v>4461159</v>
      </c>
    </row>
    <row r="1552" spans="1:18" x14ac:dyDescent="0.25">
      <c r="A1552" s="143">
        <v>44291</v>
      </c>
      <c r="B1552" s="106">
        <v>560.79999999999995</v>
      </c>
      <c r="C1552" s="106">
        <v>543.85</v>
      </c>
      <c r="D1552" s="106">
        <v>534.35</v>
      </c>
      <c r="E1552" s="106">
        <v>560.20000000000005</v>
      </c>
      <c r="F1552" s="106">
        <v>543.85</v>
      </c>
      <c r="G1552">
        <v>138834</v>
      </c>
      <c r="H1552" s="106"/>
      <c r="I1552" s="106"/>
      <c r="L1552" s="143">
        <v>44291</v>
      </c>
      <c r="M1552" s="106">
        <v>544.35</v>
      </c>
      <c r="N1552" s="106">
        <v>560.95000000000005</v>
      </c>
      <c r="O1552" s="106">
        <v>534</v>
      </c>
      <c r="P1552" s="106">
        <v>560</v>
      </c>
      <c r="Q1552" s="106">
        <v>544.35</v>
      </c>
      <c r="R1552">
        <v>3489627</v>
      </c>
    </row>
    <row r="1553" spans="1:18" x14ac:dyDescent="0.25">
      <c r="A1553" s="143">
        <v>44292</v>
      </c>
      <c r="B1553" s="106">
        <v>547.20000000000005</v>
      </c>
      <c r="C1553" s="106">
        <v>539.45000000000005</v>
      </c>
      <c r="D1553" s="106">
        <v>534.6</v>
      </c>
      <c r="E1553" s="106">
        <v>543.85</v>
      </c>
      <c r="F1553" s="106">
        <v>539.45000000000005</v>
      </c>
      <c r="G1553">
        <v>162905</v>
      </c>
      <c r="H1553" s="106"/>
      <c r="I1553" s="106"/>
      <c r="L1553" s="143">
        <v>44292</v>
      </c>
      <c r="M1553" s="106">
        <v>540</v>
      </c>
      <c r="N1553" s="106">
        <v>547.45000000000005</v>
      </c>
      <c r="O1553" s="106">
        <v>534</v>
      </c>
      <c r="P1553" s="106">
        <v>543.95000000000005</v>
      </c>
      <c r="Q1553" s="106">
        <v>540</v>
      </c>
      <c r="R1553">
        <v>4226629</v>
      </c>
    </row>
    <row r="1554" spans="1:18" x14ac:dyDescent="0.25">
      <c r="A1554" s="143">
        <v>44293</v>
      </c>
      <c r="B1554" s="106">
        <v>588</v>
      </c>
      <c r="C1554" s="106">
        <v>577.95000000000005</v>
      </c>
      <c r="D1554" s="106">
        <v>538.4</v>
      </c>
      <c r="E1554" s="106">
        <v>541</v>
      </c>
      <c r="F1554" s="106">
        <v>577.95000000000005</v>
      </c>
      <c r="G1554">
        <v>216505</v>
      </c>
      <c r="H1554" s="106"/>
      <c r="I1554" s="106"/>
      <c r="L1554" s="143">
        <v>44293</v>
      </c>
      <c r="M1554" s="106">
        <v>578.04999999999995</v>
      </c>
      <c r="N1554" s="106">
        <v>588.1</v>
      </c>
      <c r="O1554" s="106">
        <v>538.35</v>
      </c>
      <c r="P1554" s="106">
        <v>543.75</v>
      </c>
      <c r="Q1554" s="106">
        <v>578.04999999999995</v>
      </c>
      <c r="R1554">
        <v>7380082</v>
      </c>
    </row>
    <row r="1555" spans="1:18" x14ac:dyDescent="0.25">
      <c r="A1555" s="143">
        <v>44294</v>
      </c>
      <c r="B1555" s="106">
        <v>582.04999999999995</v>
      </c>
      <c r="C1555" s="106">
        <v>563.15</v>
      </c>
      <c r="D1555" s="106">
        <v>561.20000000000005</v>
      </c>
      <c r="E1555" s="106">
        <v>581</v>
      </c>
      <c r="F1555" s="106">
        <v>563.15</v>
      </c>
      <c r="G1555">
        <v>116257</v>
      </c>
      <c r="H1555" s="106"/>
      <c r="I1555" s="106"/>
      <c r="L1555" s="143">
        <v>44294</v>
      </c>
      <c r="M1555" s="106">
        <v>562.95000000000005</v>
      </c>
      <c r="N1555" s="106">
        <v>580.9</v>
      </c>
      <c r="O1555" s="106">
        <v>561</v>
      </c>
      <c r="P1555" s="106">
        <v>580.9</v>
      </c>
      <c r="Q1555" s="106">
        <v>562.95000000000005</v>
      </c>
      <c r="R1555">
        <v>5476027</v>
      </c>
    </row>
    <row r="1556" spans="1:18" x14ac:dyDescent="0.25">
      <c r="A1556" s="143">
        <v>44295</v>
      </c>
      <c r="B1556" s="106">
        <v>569.5</v>
      </c>
      <c r="C1556" s="106">
        <v>557.54999999999995</v>
      </c>
      <c r="D1556" s="106">
        <v>552.9</v>
      </c>
      <c r="E1556" s="106">
        <v>563</v>
      </c>
      <c r="F1556" s="106">
        <v>557.54999999999995</v>
      </c>
      <c r="G1556">
        <v>103117</v>
      </c>
      <c r="H1556" s="106"/>
      <c r="I1556" s="106"/>
      <c r="L1556" s="143">
        <v>44295</v>
      </c>
      <c r="M1556" s="106">
        <v>557.9</v>
      </c>
      <c r="N1556" s="106">
        <v>570</v>
      </c>
      <c r="O1556" s="106">
        <v>552.79999999999995</v>
      </c>
      <c r="P1556" s="106">
        <v>561.54999999999995</v>
      </c>
      <c r="Q1556" s="106">
        <v>557.9</v>
      </c>
      <c r="R1556">
        <v>1895419</v>
      </c>
    </row>
    <row r="1557" spans="1:18" x14ac:dyDescent="0.25">
      <c r="A1557" s="143">
        <v>44298</v>
      </c>
      <c r="B1557" s="106">
        <v>550</v>
      </c>
      <c r="C1557" s="106">
        <v>511.1</v>
      </c>
      <c r="D1557" s="106">
        <v>503.9</v>
      </c>
      <c r="E1557" s="106">
        <v>550</v>
      </c>
      <c r="F1557" s="106">
        <v>511.1</v>
      </c>
      <c r="G1557">
        <v>289250</v>
      </c>
      <c r="H1557" s="106"/>
      <c r="I1557" s="106"/>
      <c r="L1557" s="143">
        <v>44298</v>
      </c>
      <c r="M1557" s="106">
        <v>510.85</v>
      </c>
      <c r="N1557" s="106">
        <v>545</v>
      </c>
      <c r="O1557" s="106">
        <v>503.7</v>
      </c>
      <c r="P1557" s="106">
        <v>544.70000000000005</v>
      </c>
      <c r="Q1557" s="106">
        <v>510.85</v>
      </c>
      <c r="R1557">
        <v>5822507</v>
      </c>
    </row>
    <row r="1558" spans="1:18" x14ac:dyDescent="0.25">
      <c r="A1558" s="143">
        <v>44299</v>
      </c>
      <c r="B1558" s="106">
        <v>543.5</v>
      </c>
      <c r="C1558" s="106">
        <v>532.45000000000005</v>
      </c>
      <c r="D1558" s="106">
        <v>507</v>
      </c>
      <c r="E1558" s="106">
        <v>511</v>
      </c>
      <c r="F1558" s="106">
        <v>532.45000000000005</v>
      </c>
      <c r="G1558">
        <v>332688</v>
      </c>
      <c r="H1558" s="106"/>
      <c r="I1558" s="106"/>
      <c r="L1558" s="143">
        <v>44299</v>
      </c>
      <c r="M1558" s="106">
        <v>532.45000000000005</v>
      </c>
      <c r="N1558" s="106">
        <v>543.9</v>
      </c>
      <c r="O1558" s="106">
        <v>507.2</v>
      </c>
      <c r="P1558" s="106">
        <v>512</v>
      </c>
      <c r="Q1558" s="106">
        <v>532.45000000000005</v>
      </c>
      <c r="R1558">
        <v>12185363</v>
      </c>
    </row>
    <row r="1559" spans="1:18" x14ac:dyDescent="0.25">
      <c r="A1559" s="143">
        <v>44301</v>
      </c>
      <c r="B1559" s="106">
        <v>541.15</v>
      </c>
      <c r="C1559" s="106">
        <v>534.9</v>
      </c>
      <c r="D1559" s="106">
        <v>522</v>
      </c>
      <c r="E1559" s="106">
        <v>522</v>
      </c>
      <c r="F1559" s="106">
        <v>534.9</v>
      </c>
      <c r="G1559">
        <v>119583</v>
      </c>
      <c r="H1559" s="106"/>
      <c r="I1559" s="106"/>
      <c r="L1559" s="143">
        <v>44301</v>
      </c>
      <c r="M1559" s="106">
        <v>535.29999999999995</v>
      </c>
      <c r="N1559" s="106">
        <v>541.15</v>
      </c>
      <c r="O1559" s="106">
        <v>523.15</v>
      </c>
      <c r="P1559" s="106">
        <v>527.5</v>
      </c>
      <c r="Q1559" s="106">
        <v>535.29999999999995</v>
      </c>
      <c r="R1559">
        <v>3470035</v>
      </c>
    </row>
    <row r="1560" spans="1:18" x14ac:dyDescent="0.25">
      <c r="A1560" s="143">
        <v>44302</v>
      </c>
      <c r="B1560" s="106">
        <v>550.6</v>
      </c>
      <c r="C1560" s="106">
        <v>539.70000000000005</v>
      </c>
      <c r="D1560" s="106">
        <v>536.29999999999995</v>
      </c>
      <c r="E1560" s="106">
        <v>540</v>
      </c>
      <c r="F1560" s="106">
        <v>539.70000000000005</v>
      </c>
      <c r="G1560">
        <v>127144</v>
      </c>
      <c r="H1560" s="106"/>
      <c r="I1560" s="106"/>
      <c r="L1560" s="143">
        <v>44302</v>
      </c>
      <c r="M1560" s="106">
        <v>540.6</v>
      </c>
      <c r="N1560" s="106">
        <v>550.5</v>
      </c>
      <c r="O1560" s="106">
        <v>537.4</v>
      </c>
      <c r="P1560" s="106">
        <v>540</v>
      </c>
      <c r="Q1560" s="106">
        <v>540.6</v>
      </c>
      <c r="R1560">
        <v>2861566</v>
      </c>
    </row>
    <row r="1561" spans="1:18" x14ac:dyDescent="0.25">
      <c r="A1561" s="143">
        <v>44305</v>
      </c>
      <c r="B1561" s="106">
        <v>535</v>
      </c>
      <c r="C1561" s="106">
        <v>526.79999999999995</v>
      </c>
      <c r="D1561" s="106">
        <v>505.65</v>
      </c>
      <c r="E1561" s="106">
        <v>535</v>
      </c>
      <c r="F1561" s="106">
        <v>526.79999999999995</v>
      </c>
      <c r="G1561">
        <v>133376</v>
      </c>
      <c r="H1561" s="106"/>
      <c r="I1561" s="106"/>
      <c r="L1561" s="143">
        <v>44305</v>
      </c>
      <c r="M1561" s="106">
        <v>530.54999999999995</v>
      </c>
      <c r="N1561" s="106">
        <v>534.95000000000005</v>
      </c>
      <c r="O1561" s="106">
        <v>514.20000000000005</v>
      </c>
      <c r="P1561" s="106">
        <v>527</v>
      </c>
      <c r="Q1561" s="106">
        <v>530.54999999999995</v>
      </c>
      <c r="R1561">
        <v>3922769</v>
      </c>
    </row>
    <row r="1562" spans="1:18" x14ac:dyDescent="0.25">
      <c r="A1562" s="143">
        <v>44306</v>
      </c>
      <c r="B1562" s="106">
        <v>559.1</v>
      </c>
      <c r="C1562" s="106">
        <v>539.15</v>
      </c>
      <c r="D1562" s="106">
        <v>533.35</v>
      </c>
      <c r="E1562" s="106">
        <v>540</v>
      </c>
      <c r="F1562" s="106">
        <v>539.15</v>
      </c>
      <c r="G1562">
        <v>230011</v>
      </c>
      <c r="H1562" s="106"/>
      <c r="I1562" s="106"/>
      <c r="L1562" s="143">
        <v>44306</v>
      </c>
      <c r="M1562" s="106">
        <v>538.75</v>
      </c>
      <c r="N1562" s="106">
        <v>559.20000000000005</v>
      </c>
      <c r="O1562" s="106">
        <v>533.25</v>
      </c>
      <c r="P1562" s="106">
        <v>535.9</v>
      </c>
      <c r="Q1562" s="106">
        <v>538.75</v>
      </c>
      <c r="R1562">
        <v>6039565</v>
      </c>
    </row>
    <row r="1563" spans="1:18" x14ac:dyDescent="0.25">
      <c r="A1563" s="143">
        <v>44308</v>
      </c>
      <c r="B1563" s="106">
        <v>559.1</v>
      </c>
      <c r="C1563" s="106">
        <v>551.20000000000005</v>
      </c>
      <c r="D1563" s="106">
        <v>529.9</v>
      </c>
      <c r="E1563" s="106">
        <v>530.1</v>
      </c>
      <c r="F1563" s="106">
        <v>551.20000000000005</v>
      </c>
      <c r="G1563">
        <v>154331</v>
      </c>
      <c r="H1563" s="106"/>
      <c r="I1563" s="106"/>
      <c r="L1563" s="143">
        <v>44308</v>
      </c>
      <c r="M1563" s="106">
        <v>551.20000000000005</v>
      </c>
      <c r="N1563" s="106">
        <v>559.20000000000005</v>
      </c>
      <c r="O1563" s="106">
        <v>529.15</v>
      </c>
      <c r="P1563" s="106">
        <v>531.75</v>
      </c>
      <c r="Q1563" s="106">
        <v>551.20000000000005</v>
      </c>
      <c r="R1563">
        <v>4070956</v>
      </c>
    </row>
    <row r="1564" spans="1:18" x14ac:dyDescent="0.25">
      <c r="A1564" s="143">
        <v>44309</v>
      </c>
      <c r="B1564" s="106">
        <v>566.79999999999995</v>
      </c>
      <c r="C1564" s="106">
        <v>555.95000000000005</v>
      </c>
      <c r="D1564" s="106">
        <v>545.45000000000005</v>
      </c>
      <c r="E1564" s="106">
        <v>552.5</v>
      </c>
      <c r="F1564" s="106">
        <v>555.95000000000005</v>
      </c>
      <c r="G1564">
        <v>158576</v>
      </c>
      <c r="H1564" s="106"/>
      <c r="I1564" s="106"/>
      <c r="L1564" s="143">
        <v>44309</v>
      </c>
      <c r="M1564" s="106">
        <v>555.95000000000005</v>
      </c>
      <c r="N1564" s="106">
        <v>566.79999999999995</v>
      </c>
      <c r="O1564" s="106">
        <v>545.04999999999995</v>
      </c>
      <c r="P1564" s="106">
        <v>548.6</v>
      </c>
      <c r="Q1564" s="106">
        <v>555.95000000000005</v>
      </c>
      <c r="R1564">
        <v>4252773</v>
      </c>
    </row>
    <row r="1565" spans="1:18" x14ac:dyDescent="0.25">
      <c r="A1565" s="143">
        <v>44312</v>
      </c>
      <c r="B1565" s="106">
        <v>569</v>
      </c>
      <c r="C1565" s="106">
        <v>552.25</v>
      </c>
      <c r="D1565" s="106">
        <v>551</v>
      </c>
      <c r="E1565" s="106">
        <v>559.95000000000005</v>
      </c>
      <c r="F1565" s="106">
        <v>552.25</v>
      </c>
      <c r="G1565">
        <v>113781</v>
      </c>
      <c r="H1565" s="106"/>
      <c r="I1565" s="106"/>
      <c r="L1565" s="143">
        <v>44312</v>
      </c>
      <c r="M1565" s="106">
        <v>552.35</v>
      </c>
      <c r="N1565" s="106">
        <v>569</v>
      </c>
      <c r="O1565" s="106">
        <v>550.95000000000005</v>
      </c>
      <c r="P1565" s="106">
        <v>558.95000000000005</v>
      </c>
      <c r="Q1565" s="106">
        <v>552.35</v>
      </c>
      <c r="R1565">
        <v>3793015</v>
      </c>
    </row>
    <row r="1566" spans="1:18" x14ac:dyDescent="0.25">
      <c r="A1566" s="143">
        <v>44313</v>
      </c>
      <c r="B1566" s="106">
        <v>565.75</v>
      </c>
      <c r="C1566" s="106">
        <v>564.75</v>
      </c>
      <c r="D1566" s="106">
        <v>548</v>
      </c>
      <c r="E1566" s="106">
        <v>548</v>
      </c>
      <c r="F1566" s="106">
        <v>564.75</v>
      </c>
      <c r="G1566">
        <v>90606</v>
      </c>
      <c r="H1566" s="106"/>
      <c r="I1566" s="106"/>
      <c r="L1566" s="143">
        <v>44313</v>
      </c>
      <c r="M1566" s="106">
        <v>564.6</v>
      </c>
      <c r="N1566" s="106">
        <v>566</v>
      </c>
      <c r="O1566" s="106">
        <v>552.9</v>
      </c>
      <c r="P1566" s="106">
        <v>553.29999999999995</v>
      </c>
      <c r="Q1566" s="106">
        <v>564.6</v>
      </c>
      <c r="R1566">
        <v>2758144</v>
      </c>
    </row>
    <row r="1567" spans="1:18" x14ac:dyDescent="0.25">
      <c r="A1567" s="143">
        <v>44314</v>
      </c>
      <c r="B1567" s="106">
        <v>589.15</v>
      </c>
      <c r="C1567" s="106">
        <v>584</v>
      </c>
      <c r="D1567" s="106">
        <v>555</v>
      </c>
      <c r="E1567" s="106">
        <v>566.79999999999995</v>
      </c>
      <c r="F1567" s="106">
        <v>584</v>
      </c>
      <c r="G1567">
        <v>195102</v>
      </c>
      <c r="H1567" s="106"/>
      <c r="I1567" s="106"/>
      <c r="L1567" s="143">
        <v>44314</v>
      </c>
      <c r="M1567" s="106">
        <v>583.79999999999995</v>
      </c>
      <c r="N1567" s="106">
        <v>589.70000000000005</v>
      </c>
      <c r="O1567" s="106">
        <v>554.6</v>
      </c>
      <c r="P1567" s="106">
        <v>564.6</v>
      </c>
      <c r="Q1567" s="106">
        <v>583.79999999999995</v>
      </c>
      <c r="R1567">
        <v>3858556</v>
      </c>
    </row>
    <row r="1568" spans="1:18" x14ac:dyDescent="0.25">
      <c r="A1568" s="143">
        <v>44315</v>
      </c>
      <c r="B1568" s="106">
        <v>597.54999999999995</v>
      </c>
      <c r="C1568" s="106">
        <v>592.5</v>
      </c>
      <c r="D1568" s="106">
        <v>577.20000000000005</v>
      </c>
      <c r="E1568" s="106">
        <v>587</v>
      </c>
      <c r="F1568" s="106">
        <v>592.5</v>
      </c>
      <c r="G1568">
        <v>230035</v>
      </c>
      <c r="H1568" s="106"/>
      <c r="I1568" s="106"/>
      <c r="L1568" s="143">
        <v>44315</v>
      </c>
      <c r="M1568" s="106">
        <v>592.5</v>
      </c>
      <c r="N1568" s="106">
        <v>597.79999999999995</v>
      </c>
      <c r="O1568" s="106">
        <v>576.79999999999995</v>
      </c>
      <c r="P1568" s="106">
        <v>586</v>
      </c>
      <c r="Q1568" s="106">
        <v>592.5</v>
      </c>
      <c r="R1568">
        <v>4417597</v>
      </c>
    </row>
    <row r="1569" spans="1:18" x14ac:dyDescent="0.25">
      <c r="A1569" s="143">
        <v>44316</v>
      </c>
      <c r="B1569" s="106">
        <v>600.9</v>
      </c>
      <c r="C1569" s="106">
        <v>572.35</v>
      </c>
      <c r="D1569" s="106">
        <v>565.20000000000005</v>
      </c>
      <c r="E1569" s="106">
        <v>590</v>
      </c>
      <c r="F1569" s="106">
        <v>572.35</v>
      </c>
      <c r="G1569">
        <v>177554</v>
      </c>
      <c r="H1569" s="106"/>
      <c r="I1569" s="106"/>
      <c r="L1569" s="143">
        <v>44316</v>
      </c>
      <c r="M1569" s="106">
        <v>571.75</v>
      </c>
      <c r="N1569" s="106">
        <v>600.95000000000005</v>
      </c>
      <c r="O1569" s="106">
        <v>564.95000000000005</v>
      </c>
      <c r="P1569" s="106">
        <v>589.75</v>
      </c>
      <c r="Q1569" s="106">
        <v>571.75</v>
      </c>
      <c r="R1569">
        <v>5481211</v>
      </c>
    </row>
    <row r="1570" spans="1:18" x14ac:dyDescent="0.25">
      <c r="A1570" s="143">
        <v>44319</v>
      </c>
      <c r="B1570" s="106">
        <v>565.75</v>
      </c>
      <c r="C1570" s="106">
        <v>558.85</v>
      </c>
      <c r="D1570" s="106">
        <v>555</v>
      </c>
      <c r="E1570" s="106">
        <v>565</v>
      </c>
      <c r="F1570" s="106">
        <v>558.85</v>
      </c>
      <c r="G1570">
        <v>126721</v>
      </c>
      <c r="H1570" s="106"/>
      <c r="I1570" s="106"/>
      <c r="L1570" s="143">
        <v>44319</v>
      </c>
      <c r="M1570" s="106">
        <v>559.1</v>
      </c>
      <c r="N1570" s="106">
        <v>565.95000000000005</v>
      </c>
      <c r="O1570" s="106">
        <v>555.04999999999995</v>
      </c>
      <c r="P1570" s="106">
        <v>562.04999999999995</v>
      </c>
      <c r="Q1570" s="106">
        <v>559.1</v>
      </c>
      <c r="R1570">
        <v>3245575</v>
      </c>
    </row>
    <row r="1571" spans="1:18" x14ac:dyDescent="0.25">
      <c r="A1571" s="143">
        <v>44320</v>
      </c>
      <c r="B1571" s="106">
        <v>573.1</v>
      </c>
      <c r="C1571" s="106">
        <v>549.25</v>
      </c>
      <c r="D1571" s="106">
        <v>544.20000000000005</v>
      </c>
      <c r="E1571" s="106">
        <v>565.79999999999995</v>
      </c>
      <c r="F1571" s="106">
        <v>549.25</v>
      </c>
      <c r="G1571">
        <v>87529</v>
      </c>
      <c r="H1571" s="106"/>
      <c r="I1571" s="106"/>
      <c r="L1571" s="143">
        <v>44320</v>
      </c>
      <c r="M1571" s="106">
        <v>549.45000000000005</v>
      </c>
      <c r="N1571" s="106">
        <v>573</v>
      </c>
      <c r="O1571" s="106">
        <v>544.54999999999995</v>
      </c>
      <c r="P1571" s="106">
        <v>562.1</v>
      </c>
      <c r="Q1571" s="106">
        <v>549.45000000000005</v>
      </c>
      <c r="R1571">
        <v>3016254</v>
      </c>
    </row>
    <row r="1572" spans="1:18" x14ac:dyDescent="0.25">
      <c r="A1572" s="143">
        <v>44321</v>
      </c>
      <c r="B1572" s="106">
        <v>559.9</v>
      </c>
      <c r="C1572" s="106">
        <v>558.65</v>
      </c>
      <c r="D1572" s="106">
        <v>545.35</v>
      </c>
      <c r="E1572" s="106">
        <v>555</v>
      </c>
      <c r="F1572" s="106">
        <v>558.65</v>
      </c>
      <c r="G1572">
        <v>73301</v>
      </c>
      <c r="H1572" s="106"/>
      <c r="I1572" s="106"/>
      <c r="L1572" s="143">
        <v>44321</v>
      </c>
      <c r="M1572" s="106">
        <v>558.6</v>
      </c>
      <c r="N1572" s="106">
        <v>559.9</v>
      </c>
      <c r="O1572" s="106">
        <v>545.04999999999995</v>
      </c>
      <c r="P1572" s="106">
        <v>559.6</v>
      </c>
      <c r="Q1572" s="106">
        <v>558.6</v>
      </c>
      <c r="R1572">
        <v>1997565</v>
      </c>
    </row>
    <row r="1573" spans="1:18" x14ac:dyDescent="0.25">
      <c r="A1573" s="143">
        <v>44322</v>
      </c>
      <c r="B1573" s="106">
        <v>583.70000000000005</v>
      </c>
      <c r="C1573" s="106">
        <v>580.29999999999995</v>
      </c>
      <c r="D1573" s="106">
        <v>557.15</v>
      </c>
      <c r="E1573" s="106">
        <v>564.9</v>
      </c>
      <c r="F1573" s="106">
        <v>580.29999999999995</v>
      </c>
      <c r="G1573">
        <v>196985</v>
      </c>
      <c r="H1573" s="106"/>
      <c r="I1573" s="106"/>
      <c r="L1573" s="143">
        <v>44322</v>
      </c>
      <c r="M1573" s="106">
        <v>580.29999999999995</v>
      </c>
      <c r="N1573" s="106">
        <v>583.9</v>
      </c>
      <c r="O1573" s="106">
        <v>557.04999999999995</v>
      </c>
      <c r="P1573" s="106">
        <v>563.75</v>
      </c>
      <c r="Q1573" s="106">
        <v>580.29999999999995</v>
      </c>
      <c r="R1573">
        <v>4217519</v>
      </c>
    </row>
    <row r="1574" spans="1:18" x14ac:dyDescent="0.25">
      <c r="A1574" s="143">
        <v>44323</v>
      </c>
      <c r="B1574" s="106">
        <v>587.35</v>
      </c>
      <c r="C1574" s="106">
        <v>569.04999999999995</v>
      </c>
      <c r="D1574" s="106">
        <v>564.65</v>
      </c>
      <c r="E1574" s="106">
        <v>581.6</v>
      </c>
      <c r="F1574" s="106">
        <v>569.04999999999995</v>
      </c>
      <c r="G1574">
        <v>141336</v>
      </c>
      <c r="H1574" s="106"/>
      <c r="I1574" s="106"/>
      <c r="L1574" s="143">
        <v>44323</v>
      </c>
      <c r="M1574" s="106">
        <v>568.9</v>
      </c>
      <c r="N1574" s="106">
        <v>587.79999999999995</v>
      </c>
      <c r="O1574" s="106">
        <v>564</v>
      </c>
      <c r="P1574" s="106">
        <v>585.25</v>
      </c>
      <c r="Q1574" s="106">
        <v>568.9</v>
      </c>
      <c r="R1574">
        <v>3203038</v>
      </c>
    </row>
    <row r="1575" spans="1:18" x14ac:dyDescent="0.25">
      <c r="A1575" s="143">
        <v>44326</v>
      </c>
      <c r="B1575" s="106">
        <v>560</v>
      </c>
      <c r="C1575" s="106">
        <v>553.9</v>
      </c>
      <c r="D1575" s="106">
        <v>528.9</v>
      </c>
      <c r="E1575" s="106">
        <v>555</v>
      </c>
      <c r="F1575" s="106">
        <v>553.9</v>
      </c>
      <c r="G1575">
        <v>343695</v>
      </c>
      <c r="H1575" s="106"/>
      <c r="I1575" s="106"/>
      <c r="L1575" s="143">
        <v>44326</v>
      </c>
      <c r="M1575" s="106">
        <v>554.15</v>
      </c>
      <c r="N1575" s="106">
        <v>560</v>
      </c>
      <c r="O1575" s="106">
        <v>528.5</v>
      </c>
      <c r="P1575" s="106">
        <v>560</v>
      </c>
      <c r="Q1575" s="106">
        <v>554.15</v>
      </c>
      <c r="R1575">
        <v>9065692</v>
      </c>
    </row>
    <row r="1576" spans="1:18" x14ac:dyDescent="0.25">
      <c r="A1576" s="143">
        <v>44327</v>
      </c>
      <c r="B1576" s="106">
        <v>554.54999999999995</v>
      </c>
      <c r="C1576" s="106">
        <v>550.54999999999995</v>
      </c>
      <c r="D1576" s="106">
        <v>532.25</v>
      </c>
      <c r="E1576" s="106">
        <v>550.1</v>
      </c>
      <c r="F1576" s="106">
        <v>550.54999999999995</v>
      </c>
      <c r="G1576">
        <v>179971</v>
      </c>
      <c r="H1576" s="106"/>
      <c r="I1576" s="106"/>
      <c r="L1576" s="143">
        <v>44327</v>
      </c>
      <c r="M1576" s="106">
        <v>550.95000000000005</v>
      </c>
      <c r="N1576" s="106">
        <v>554.4</v>
      </c>
      <c r="O1576" s="106">
        <v>532.4</v>
      </c>
      <c r="P1576" s="106">
        <v>550</v>
      </c>
      <c r="Q1576" s="106">
        <v>550.95000000000005</v>
      </c>
      <c r="R1576">
        <v>5071269</v>
      </c>
    </row>
    <row r="1577" spans="1:18" x14ac:dyDescent="0.25">
      <c r="A1577" s="143">
        <v>44328</v>
      </c>
      <c r="B1577" s="106">
        <v>558</v>
      </c>
      <c r="C1577" s="106">
        <v>524</v>
      </c>
      <c r="D1577" s="106">
        <v>520.04999999999995</v>
      </c>
      <c r="E1577" s="106">
        <v>555.54999999999995</v>
      </c>
      <c r="F1577" s="106">
        <v>524</v>
      </c>
      <c r="G1577">
        <v>292073</v>
      </c>
      <c r="H1577" s="106"/>
      <c r="I1577" s="106"/>
      <c r="L1577" s="143">
        <v>44328</v>
      </c>
      <c r="M1577" s="106">
        <v>524</v>
      </c>
      <c r="N1577" s="106">
        <v>558.9</v>
      </c>
      <c r="O1577" s="106">
        <v>520</v>
      </c>
      <c r="P1577" s="106">
        <v>558.9</v>
      </c>
      <c r="Q1577" s="106">
        <v>524</v>
      </c>
      <c r="R1577">
        <v>8559631</v>
      </c>
    </row>
    <row r="1578" spans="1:18" x14ac:dyDescent="0.25">
      <c r="A1578" s="143">
        <v>44330</v>
      </c>
      <c r="B1578" s="106">
        <v>534</v>
      </c>
      <c r="C1578" s="106">
        <v>526.6</v>
      </c>
      <c r="D1578" s="106">
        <v>513</v>
      </c>
      <c r="E1578" s="106">
        <v>534</v>
      </c>
      <c r="F1578" s="106">
        <v>526.6</v>
      </c>
      <c r="G1578">
        <v>273111</v>
      </c>
      <c r="H1578" s="106"/>
      <c r="I1578" s="106"/>
      <c r="L1578" s="143">
        <v>44330</v>
      </c>
      <c r="M1578" s="106">
        <v>526.75</v>
      </c>
      <c r="N1578" s="106">
        <v>532.54999999999995</v>
      </c>
      <c r="O1578" s="106">
        <v>513</v>
      </c>
      <c r="P1578" s="106">
        <v>530</v>
      </c>
      <c r="Q1578" s="106">
        <v>526.75</v>
      </c>
      <c r="R1578">
        <v>6037690</v>
      </c>
    </row>
    <row r="1579" spans="1:18" x14ac:dyDescent="0.25">
      <c r="A1579" s="143">
        <v>44333</v>
      </c>
      <c r="B1579" s="106">
        <v>545</v>
      </c>
      <c r="C1579" s="106">
        <v>543</v>
      </c>
      <c r="D1579" s="106">
        <v>527.75</v>
      </c>
      <c r="E1579" s="106">
        <v>533.70000000000005</v>
      </c>
      <c r="F1579" s="106">
        <v>543</v>
      </c>
      <c r="G1579">
        <v>259958</v>
      </c>
      <c r="H1579" s="106"/>
      <c r="I1579" s="106"/>
      <c r="L1579" s="143">
        <v>44333</v>
      </c>
      <c r="M1579" s="106">
        <v>543.35</v>
      </c>
      <c r="N1579" s="106">
        <v>545.79999999999995</v>
      </c>
      <c r="O1579" s="106">
        <v>526.75</v>
      </c>
      <c r="P1579" s="106">
        <v>530.70000000000005</v>
      </c>
      <c r="Q1579" s="106">
        <v>543.35</v>
      </c>
      <c r="R1579">
        <v>5657918</v>
      </c>
    </row>
    <row r="1580" spans="1:18" x14ac:dyDescent="0.25">
      <c r="A1580" s="143">
        <v>44334</v>
      </c>
      <c r="B1580" s="106">
        <v>561.04999999999995</v>
      </c>
      <c r="C1580" s="106">
        <v>546.4</v>
      </c>
      <c r="D1580" s="106">
        <v>540.9</v>
      </c>
      <c r="E1580" s="106">
        <v>545</v>
      </c>
      <c r="F1580" s="106">
        <v>546.4</v>
      </c>
      <c r="G1580">
        <v>202576</v>
      </c>
      <c r="H1580" s="106"/>
      <c r="I1580" s="106"/>
      <c r="L1580" s="143">
        <v>44334</v>
      </c>
      <c r="M1580" s="106">
        <v>546.35</v>
      </c>
      <c r="N1580" s="106">
        <v>561.6</v>
      </c>
      <c r="O1580" s="106">
        <v>540.15</v>
      </c>
      <c r="P1580" s="106">
        <v>550</v>
      </c>
      <c r="Q1580" s="106">
        <v>546.35</v>
      </c>
      <c r="R1580">
        <v>6141659</v>
      </c>
    </row>
    <row r="1581" spans="1:18" x14ac:dyDescent="0.25">
      <c r="A1581" s="143">
        <v>44335</v>
      </c>
      <c r="B1581" s="106">
        <v>554.1</v>
      </c>
      <c r="C1581" s="106">
        <v>544</v>
      </c>
      <c r="D1581" s="106">
        <v>541.54999999999995</v>
      </c>
      <c r="E1581" s="106">
        <v>544.9</v>
      </c>
      <c r="F1581" s="106">
        <v>544</v>
      </c>
      <c r="G1581">
        <v>147898</v>
      </c>
      <c r="H1581" s="106"/>
      <c r="I1581" s="106"/>
      <c r="L1581" s="143">
        <v>44335</v>
      </c>
      <c r="M1581" s="106">
        <v>544.04999999999995</v>
      </c>
      <c r="N1581" s="106">
        <v>554.35</v>
      </c>
      <c r="O1581" s="106">
        <v>541.4</v>
      </c>
      <c r="P1581" s="106">
        <v>545.75</v>
      </c>
      <c r="Q1581" s="106">
        <v>544.04999999999995</v>
      </c>
      <c r="R1581">
        <v>3598992</v>
      </c>
    </row>
    <row r="1582" spans="1:18" x14ac:dyDescent="0.25">
      <c r="A1582" s="143">
        <v>44336</v>
      </c>
      <c r="B1582" s="106">
        <v>573.5</v>
      </c>
      <c r="C1582" s="106">
        <v>569.79999999999995</v>
      </c>
      <c r="D1582" s="106">
        <v>543.95000000000005</v>
      </c>
      <c r="E1582" s="106">
        <v>544</v>
      </c>
      <c r="F1582" s="106">
        <v>569.79999999999995</v>
      </c>
      <c r="G1582">
        <v>308742</v>
      </c>
      <c r="H1582" s="106"/>
      <c r="I1582" s="106"/>
      <c r="L1582" s="143">
        <v>44336</v>
      </c>
      <c r="M1582" s="106">
        <v>570</v>
      </c>
      <c r="N1582" s="106">
        <v>573.70000000000005</v>
      </c>
      <c r="O1582" s="106">
        <v>545</v>
      </c>
      <c r="P1582" s="106">
        <v>547.95000000000005</v>
      </c>
      <c r="Q1582" s="106">
        <v>570</v>
      </c>
      <c r="R1582">
        <v>9211100</v>
      </c>
    </row>
    <row r="1583" spans="1:18" x14ac:dyDescent="0.25">
      <c r="A1583" s="143">
        <v>44337</v>
      </c>
      <c r="B1583" s="106">
        <v>586.15</v>
      </c>
      <c r="C1583" s="106">
        <v>582.54999999999995</v>
      </c>
      <c r="D1583" s="106">
        <v>572.6</v>
      </c>
      <c r="E1583" s="106">
        <v>574.95000000000005</v>
      </c>
      <c r="F1583" s="106">
        <v>582.54999999999995</v>
      </c>
      <c r="G1583">
        <v>186372</v>
      </c>
      <c r="H1583" s="106"/>
      <c r="I1583" s="106"/>
      <c r="L1583" s="143">
        <v>44337</v>
      </c>
      <c r="M1583" s="106">
        <v>582.79999999999995</v>
      </c>
      <c r="N1583" s="106">
        <v>586.4</v>
      </c>
      <c r="O1583" s="106">
        <v>572.04999999999995</v>
      </c>
      <c r="P1583" s="106">
        <v>575.29999999999995</v>
      </c>
      <c r="Q1583" s="106">
        <v>582.79999999999995</v>
      </c>
      <c r="R1583">
        <v>7059325</v>
      </c>
    </row>
    <row r="1584" spans="1:18" x14ac:dyDescent="0.25">
      <c r="A1584" s="143">
        <v>44340</v>
      </c>
      <c r="B1584" s="106">
        <v>590.20000000000005</v>
      </c>
      <c r="C1584" s="106">
        <v>576.1</v>
      </c>
      <c r="D1584" s="106">
        <v>570.9</v>
      </c>
      <c r="E1584" s="106">
        <v>583</v>
      </c>
      <c r="F1584" s="106">
        <v>576.1</v>
      </c>
      <c r="G1584">
        <v>149972</v>
      </c>
      <c r="H1584" s="106"/>
      <c r="I1584" s="106"/>
      <c r="L1584" s="143">
        <v>44340</v>
      </c>
      <c r="M1584" s="106">
        <v>576.4</v>
      </c>
      <c r="N1584" s="106">
        <v>590.54999999999995</v>
      </c>
      <c r="O1584" s="106">
        <v>570.75</v>
      </c>
      <c r="P1584" s="106">
        <v>585.25</v>
      </c>
      <c r="Q1584" s="106">
        <v>576.4</v>
      </c>
      <c r="R1584">
        <v>6891826</v>
      </c>
    </row>
    <row r="1585" spans="1:18" x14ac:dyDescent="0.25">
      <c r="A1585" s="143">
        <v>44341</v>
      </c>
      <c r="B1585" s="106">
        <v>583</v>
      </c>
      <c r="C1585" s="106">
        <v>551.35</v>
      </c>
      <c r="D1585" s="106">
        <v>546.75</v>
      </c>
      <c r="E1585" s="106">
        <v>583</v>
      </c>
      <c r="F1585" s="106">
        <v>551.35</v>
      </c>
      <c r="G1585">
        <v>166360</v>
      </c>
      <c r="H1585" s="106"/>
      <c r="I1585" s="106"/>
      <c r="L1585" s="143">
        <v>44341</v>
      </c>
      <c r="M1585" s="106">
        <v>551.54999999999995</v>
      </c>
      <c r="N1585" s="106">
        <v>581</v>
      </c>
      <c r="O1585" s="106">
        <v>546.54999999999995</v>
      </c>
      <c r="P1585" s="106">
        <v>580.95000000000005</v>
      </c>
      <c r="Q1585" s="106">
        <v>551.54999999999995</v>
      </c>
      <c r="R1585">
        <v>4960155</v>
      </c>
    </row>
    <row r="1586" spans="1:18" x14ac:dyDescent="0.25">
      <c r="A1586" s="143">
        <v>44342</v>
      </c>
      <c r="B1586" s="106">
        <v>557.9</v>
      </c>
      <c r="C1586" s="106">
        <v>544.15</v>
      </c>
      <c r="D1586" s="106">
        <v>542.4</v>
      </c>
      <c r="E1586" s="106">
        <v>557.9</v>
      </c>
      <c r="F1586" s="106">
        <v>544.15</v>
      </c>
      <c r="G1586">
        <v>107207</v>
      </c>
      <c r="H1586" s="106"/>
      <c r="I1586" s="106"/>
      <c r="L1586" s="143">
        <v>44342</v>
      </c>
      <c r="M1586" s="106">
        <v>544.1</v>
      </c>
      <c r="N1586" s="106">
        <v>556.54999999999995</v>
      </c>
      <c r="O1586" s="106">
        <v>542.20000000000005</v>
      </c>
      <c r="P1586" s="106">
        <v>555</v>
      </c>
      <c r="Q1586" s="106">
        <v>544.1</v>
      </c>
      <c r="R1586">
        <v>3560232</v>
      </c>
    </row>
    <row r="1587" spans="1:18" x14ac:dyDescent="0.25">
      <c r="A1587" s="143">
        <v>44343</v>
      </c>
      <c r="B1587" s="106">
        <v>549</v>
      </c>
      <c r="C1587" s="106">
        <v>536</v>
      </c>
      <c r="D1587" s="106">
        <v>524.15</v>
      </c>
      <c r="E1587" s="106">
        <v>549</v>
      </c>
      <c r="F1587" s="106">
        <v>536</v>
      </c>
      <c r="G1587">
        <v>261095</v>
      </c>
      <c r="H1587" s="106"/>
      <c r="I1587" s="106"/>
      <c r="L1587" s="143">
        <v>44343</v>
      </c>
      <c r="M1587" s="106">
        <v>537.79999999999995</v>
      </c>
      <c r="N1587" s="106">
        <v>548.85</v>
      </c>
      <c r="O1587" s="106">
        <v>523.9</v>
      </c>
      <c r="P1587" s="106">
        <v>545.20000000000005</v>
      </c>
      <c r="Q1587" s="106">
        <v>537.79999999999995</v>
      </c>
      <c r="R1587">
        <v>40407205</v>
      </c>
    </row>
    <row r="1588" spans="1:18" x14ac:dyDescent="0.25">
      <c r="A1588" s="143">
        <v>44344</v>
      </c>
      <c r="B1588" s="106">
        <v>546.65</v>
      </c>
      <c r="C1588" s="106">
        <v>543.45000000000005</v>
      </c>
      <c r="D1588" s="106">
        <v>531.1</v>
      </c>
      <c r="E1588" s="106">
        <v>534.5</v>
      </c>
      <c r="F1588" s="106">
        <v>543.45000000000005</v>
      </c>
      <c r="G1588">
        <v>218525</v>
      </c>
      <c r="H1588" s="106"/>
      <c r="I1588" s="106"/>
      <c r="L1588" s="143">
        <v>44344</v>
      </c>
      <c r="M1588" s="106">
        <v>544.04999999999995</v>
      </c>
      <c r="N1588" s="106">
        <v>547</v>
      </c>
      <c r="O1588" s="106">
        <v>531.15</v>
      </c>
      <c r="P1588" s="106">
        <v>535</v>
      </c>
      <c r="Q1588" s="106">
        <v>544.04999999999995</v>
      </c>
      <c r="R1588">
        <v>3401465</v>
      </c>
    </row>
    <row r="1589" spans="1:18" x14ac:dyDescent="0.25">
      <c r="A1589" s="143">
        <v>44347</v>
      </c>
      <c r="B1589" s="106">
        <v>552.15</v>
      </c>
      <c r="C1589" s="106">
        <v>550.45000000000005</v>
      </c>
      <c r="D1589" s="106">
        <v>539.29999999999995</v>
      </c>
      <c r="E1589" s="106">
        <v>548</v>
      </c>
      <c r="F1589" s="106">
        <v>550.45000000000005</v>
      </c>
      <c r="G1589">
        <v>133307</v>
      </c>
      <c r="H1589" s="106"/>
      <c r="I1589" s="106"/>
      <c r="L1589" s="143">
        <v>44347</v>
      </c>
      <c r="M1589" s="106">
        <v>549.29999999999995</v>
      </c>
      <c r="N1589" s="106">
        <v>552.1</v>
      </c>
      <c r="O1589" s="106">
        <v>539.04999999999995</v>
      </c>
      <c r="P1589" s="106">
        <v>546</v>
      </c>
      <c r="Q1589" s="106">
        <v>549.29999999999995</v>
      </c>
      <c r="R1589">
        <v>3364865</v>
      </c>
    </row>
    <row r="1590" spans="1:18" x14ac:dyDescent="0.25">
      <c r="A1590" s="143">
        <v>44348</v>
      </c>
      <c r="B1590" s="106">
        <v>557.95000000000005</v>
      </c>
      <c r="C1590" s="106">
        <v>545.5</v>
      </c>
      <c r="D1590" s="106">
        <v>542.4</v>
      </c>
      <c r="E1590" s="106">
        <v>554</v>
      </c>
      <c r="F1590" s="106">
        <v>545.5</v>
      </c>
      <c r="G1590">
        <v>385024</v>
      </c>
      <c r="H1590" s="106"/>
      <c r="I1590" s="106"/>
      <c r="L1590" s="143">
        <v>44348</v>
      </c>
      <c r="M1590" s="106">
        <v>545.65</v>
      </c>
      <c r="N1590" s="106">
        <v>557.85</v>
      </c>
      <c r="O1590" s="106">
        <v>542.45000000000005</v>
      </c>
      <c r="P1590" s="106">
        <v>552.9</v>
      </c>
      <c r="Q1590" s="106">
        <v>545.65</v>
      </c>
      <c r="R1590">
        <v>3151070</v>
      </c>
    </row>
    <row r="1591" spans="1:18" x14ac:dyDescent="0.25">
      <c r="A1591" s="143">
        <v>44349</v>
      </c>
      <c r="B1591" s="106">
        <v>559.04999999999995</v>
      </c>
      <c r="C1591" s="106">
        <v>557.04999999999995</v>
      </c>
      <c r="D1591" s="106">
        <v>541.1</v>
      </c>
      <c r="E1591" s="106">
        <v>541.1</v>
      </c>
      <c r="F1591" s="106">
        <v>557.04999999999995</v>
      </c>
      <c r="G1591">
        <v>133033</v>
      </c>
      <c r="H1591" s="106"/>
      <c r="I1591" s="106"/>
      <c r="L1591" s="143">
        <v>44349</v>
      </c>
      <c r="M1591" s="106">
        <v>557.29999999999995</v>
      </c>
      <c r="N1591" s="106">
        <v>559.15</v>
      </c>
      <c r="O1591" s="106">
        <v>543</v>
      </c>
      <c r="P1591" s="106">
        <v>543</v>
      </c>
      <c r="Q1591" s="106">
        <v>557.29999999999995</v>
      </c>
      <c r="R1591">
        <v>3923863</v>
      </c>
    </row>
    <row r="1592" spans="1:18" x14ac:dyDescent="0.25">
      <c r="A1592" s="143">
        <v>44350</v>
      </c>
      <c r="B1592" s="106">
        <v>574</v>
      </c>
      <c r="C1592" s="106">
        <v>569.79999999999995</v>
      </c>
      <c r="D1592" s="106">
        <v>558.5</v>
      </c>
      <c r="E1592" s="106">
        <v>558.5</v>
      </c>
      <c r="F1592" s="106">
        <v>569.79999999999995</v>
      </c>
      <c r="G1592">
        <v>132899</v>
      </c>
      <c r="H1592" s="106"/>
      <c r="I1592" s="106"/>
      <c r="L1592" s="143">
        <v>44350</v>
      </c>
      <c r="M1592" s="106">
        <v>569.65</v>
      </c>
      <c r="N1592" s="106">
        <v>574.15</v>
      </c>
      <c r="O1592" s="106">
        <v>558.1</v>
      </c>
      <c r="P1592" s="106">
        <v>560.54999999999995</v>
      </c>
      <c r="Q1592" s="106">
        <v>569.65</v>
      </c>
      <c r="R1592">
        <v>4160097</v>
      </c>
    </row>
    <row r="1593" spans="1:18" x14ac:dyDescent="0.25">
      <c r="A1593" s="143">
        <v>44351</v>
      </c>
      <c r="B1593" s="106">
        <v>573</v>
      </c>
      <c r="C1593" s="106">
        <v>570.54999999999995</v>
      </c>
      <c r="D1593" s="106">
        <v>561.5</v>
      </c>
      <c r="E1593" s="106">
        <v>573</v>
      </c>
      <c r="F1593" s="106">
        <v>570.54999999999995</v>
      </c>
      <c r="G1593">
        <v>146551</v>
      </c>
      <c r="H1593" s="106"/>
      <c r="I1593" s="106"/>
      <c r="L1593" s="143">
        <v>44351</v>
      </c>
      <c r="M1593" s="106">
        <v>570.70000000000005</v>
      </c>
      <c r="N1593" s="106">
        <v>573.9</v>
      </c>
      <c r="O1593" s="106">
        <v>561.25</v>
      </c>
      <c r="P1593" s="106">
        <v>573.9</v>
      </c>
      <c r="Q1593" s="106">
        <v>570.70000000000005</v>
      </c>
      <c r="R1593">
        <v>2270508</v>
      </c>
    </row>
    <row r="1594" spans="1:18" x14ac:dyDescent="0.25">
      <c r="A1594" s="143">
        <v>44354</v>
      </c>
      <c r="B1594" s="106">
        <v>584.4</v>
      </c>
      <c r="C1594" s="106">
        <v>580.6</v>
      </c>
      <c r="D1594" s="106">
        <v>563</v>
      </c>
      <c r="E1594" s="106">
        <v>576</v>
      </c>
      <c r="F1594" s="106">
        <v>580.6</v>
      </c>
      <c r="G1594">
        <v>264552</v>
      </c>
      <c r="H1594" s="106"/>
      <c r="I1594" s="106"/>
      <c r="L1594" s="143">
        <v>44354</v>
      </c>
      <c r="M1594" s="106">
        <v>580.1</v>
      </c>
      <c r="N1594" s="106">
        <v>584.75</v>
      </c>
      <c r="O1594" s="106">
        <v>562.9</v>
      </c>
      <c r="P1594" s="106">
        <v>572.75</v>
      </c>
      <c r="Q1594" s="106">
        <v>580.1</v>
      </c>
      <c r="R1594">
        <v>5884824</v>
      </c>
    </row>
    <row r="1595" spans="1:18" x14ac:dyDescent="0.25">
      <c r="A1595" s="143">
        <v>44355</v>
      </c>
      <c r="B1595" s="106">
        <v>580.5</v>
      </c>
      <c r="C1595" s="106">
        <v>570.85</v>
      </c>
      <c r="D1595" s="106">
        <v>566.04999999999995</v>
      </c>
      <c r="E1595" s="106">
        <v>578.5</v>
      </c>
      <c r="F1595" s="106">
        <v>570.85</v>
      </c>
      <c r="G1595">
        <v>112832</v>
      </c>
      <c r="H1595" s="106"/>
      <c r="I1595" s="106"/>
      <c r="L1595" s="143">
        <v>44355</v>
      </c>
      <c r="M1595" s="106">
        <v>570.9</v>
      </c>
      <c r="N1595" s="106">
        <v>581.1</v>
      </c>
      <c r="O1595" s="106">
        <v>566</v>
      </c>
      <c r="P1595" s="106">
        <v>581.1</v>
      </c>
      <c r="Q1595" s="106">
        <v>570.9</v>
      </c>
      <c r="R1595">
        <v>3536560</v>
      </c>
    </row>
    <row r="1596" spans="1:18" x14ac:dyDescent="0.25">
      <c r="A1596" s="143">
        <v>44356</v>
      </c>
      <c r="B1596" s="106">
        <v>572.04999999999995</v>
      </c>
      <c r="C1596" s="106">
        <v>555.45000000000005</v>
      </c>
      <c r="D1596" s="106">
        <v>550.45000000000005</v>
      </c>
      <c r="E1596" s="106">
        <v>570</v>
      </c>
      <c r="F1596" s="106">
        <v>555.45000000000005</v>
      </c>
      <c r="G1596">
        <v>101774</v>
      </c>
      <c r="H1596" s="106"/>
      <c r="I1596" s="106"/>
      <c r="L1596" s="143">
        <v>44356</v>
      </c>
      <c r="M1596" s="106">
        <v>555.79999999999995</v>
      </c>
      <c r="N1596" s="106">
        <v>572.25</v>
      </c>
      <c r="O1596" s="106">
        <v>550.45000000000005</v>
      </c>
      <c r="P1596" s="106">
        <v>570.9</v>
      </c>
      <c r="Q1596" s="106">
        <v>555.79999999999995</v>
      </c>
      <c r="R1596">
        <v>4761429</v>
      </c>
    </row>
    <row r="1597" spans="1:18" x14ac:dyDescent="0.25">
      <c r="A1597" s="143">
        <v>44357</v>
      </c>
      <c r="B1597" s="106">
        <v>570.6</v>
      </c>
      <c r="C1597" s="106">
        <v>565.65</v>
      </c>
      <c r="D1597" s="106">
        <v>548.85</v>
      </c>
      <c r="E1597" s="106">
        <v>554</v>
      </c>
      <c r="F1597" s="106">
        <v>565.65</v>
      </c>
      <c r="G1597">
        <v>406804</v>
      </c>
      <c r="H1597" s="106"/>
      <c r="I1597" s="106"/>
      <c r="L1597" s="143">
        <v>44357</v>
      </c>
      <c r="M1597" s="106">
        <v>565.75</v>
      </c>
      <c r="N1597" s="106">
        <v>570.75</v>
      </c>
      <c r="O1597" s="106">
        <v>548.4</v>
      </c>
      <c r="P1597" s="106">
        <v>555.5</v>
      </c>
      <c r="Q1597" s="106">
        <v>565.75</v>
      </c>
      <c r="R1597">
        <v>3202514</v>
      </c>
    </row>
    <row r="1598" spans="1:18" x14ac:dyDescent="0.25">
      <c r="A1598" s="143">
        <v>44358</v>
      </c>
      <c r="B1598" s="106">
        <v>575.5</v>
      </c>
      <c r="C1598" s="106">
        <v>562.65</v>
      </c>
      <c r="D1598" s="106">
        <v>559.45000000000005</v>
      </c>
      <c r="E1598" s="106">
        <v>568</v>
      </c>
      <c r="F1598" s="106">
        <v>562.65</v>
      </c>
      <c r="G1598">
        <v>185527</v>
      </c>
      <c r="H1598" s="106"/>
      <c r="I1598" s="106"/>
      <c r="L1598" s="143">
        <v>44358</v>
      </c>
      <c r="M1598" s="106">
        <v>562.29999999999995</v>
      </c>
      <c r="N1598" s="106">
        <v>575.5</v>
      </c>
      <c r="O1598" s="106">
        <v>559.29999999999995</v>
      </c>
      <c r="P1598" s="106">
        <v>566.70000000000005</v>
      </c>
      <c r="Q1598" s="106">
        <v>562.29999999999995</v>
      </c>
      <c r="R1598">
        <v>3044892</v>
      </c>
    </row>
    <row r="1599" spans="1:18" x14ac:dyDescent="0.25">
      <c r="A1599" s="143">
        <v>44361</v>
      </c>
      <c r="B1599" s="106">
        <v>571</v>
      </c>
      <c r="C1599" s="106">
        <v>570.04999999999995</v>
      </c>
      <c r="D1599" s="106">
        <v>551.6</v>
      </c>
      <c r="E1599" s="106">
        <v>563.79999999999995</v>
      </c>
      <c r="F1599" s="106">
        <v>570.04999999999995</v>
      </c>
      <c r="G1599">
        <v>401856</v>
      </c>
      <c r="H1599" s="106"/>
      <c r="I1599" s="106"/>
      <c r="L1599" s="143">
        <v>44361</v>
      </c>
      <c r="M1599" s="106">
        <v>569.9</v>
      </c>
      <c r="N1599" s="106">
        <v>571.20000000000005</v>
      </c>
      <c r="O1599" s="106">
        <v>551.70000000000005</v>
      </c>
      <c r="P1599" s="106">
        <v>563</v>
      </c>
      <c r="Q1599" s="106">
        <v>569.9</v>
      </c>
      <c r="R1599">
        <v>3122051</v>
      </c>
    </row>
    <row r="1600" spans="1:18" x14ac:dyDescent="0.25">
      <c r="A1600" s="143">
        <v>44362</v>
      </c>
      <c r="B1600" s="106">
        <v>579.6</v>
      </c>
      <c r="C1600" s="106">
        <v>568.5</v>
      </c>
      <c r="D1600" s="106">
        <v>565.79999999999995</v>
      </c>
      <c r="E1600" s="106">
        <v>570.04999999999995</v>
      </c>
      <c r="F1600" s="106">
        <v>568.5</v>
      </c>
      <c r="G1600">
        <v>156719</v>
      </c>
      <c r="H1600" s="106"/>
      <c r="I1600" s="106"/>
      <c r="L1600" s="143">
        <v>44362</v>
      </c>
      <c r="M1600" s="106">
        <v>568.5</v>
      </c>
      <c r="N1600" s="106">
        <v>579.70000000000005</v>
      </c>
      <c r="O1600" s="106">
        <v>565</v>
      </c>
      <c r="P1600" s="106">
        <v>570</v>
      </c>
      <c r="Q1600" s="106">
        <v>568.5</v>
      </c>
      <c r="R1600">
        <v>3467307</v>
      </c>
    </row>
    <row r="1601" spans="1:18" x14ac:dyDescent="0.25">
      <c r="A1601" s="143">
        <v>44363</v>
      </c>
      <c r="B1601" s="106">
        <v>570.9</v>
      </c>
      <c r="C1601" s="106">
        <v>564.54999999999995</v>
      </c>
      <c r="D1601" s="106">
        <v>560.15</v>
      </c>
      <c r="E1601" s="106">
        <v>566</v>
      </c>
      <c r="F1601" s="106">
        <v>564.54999999999995</v>
      </c>
      <c r="G1601">
        <v>77512</v>
      </c>
      <c r="H1601" s="106"/>
      <c r="I1601" s="106"/>
      <c r="L1601" s="143">
        <v>44363</v>
      </c>
      <c r="M1601" s="106">
        <v>564.25</v>
      </c>
      <c r="N1601" s="106">
        <v>571</v>
      </c>
      <c r="O1601" s="106">
        <v>560.1</v>
      </c>
      <c r="P1601" s="106">
        <v>568.9</v>
      </c>
      <c r="Q1601" s="106">
        <v>564.25</v>
      </c>
      <c r="R1601">
        <v>1462027</v>
      </c>
    </row>
    <row r="1602" spans="1:18" x14ac:dyDescent="0.25">
      <c r="A1602" s="143">
        <v>44364</v>
      </c>
      <c r="B1602" s="106">
        <v>565.29999999999995</v>
      </c>
      <c r="C1602" s="106">
        <v>550</v>
      </c>
      <c r="D1602" s="106">
        <v>545.1</v>
      </c>
      <c r="E1602" s="106">
        <v>560.1</v>
      </c>
      <c r="F1602" s="106">
        <v>550</v>
      </c>
      <c r="G1602">
        <v>93861</v>
      </c>
      <c r="H1602" s="106"/>
      <c r="I1602" s="106"/>
      <c r="L1602" s="143">
        <v>44364</v>
      </c>
      <c r="M1602" s="106">
        <v>549.79999999999995</v>
      </c>
      <c r="N1602" s="106">
        <v>565.45000000000005</v>
      </c>
      <c r="O1602" s="106">
        <v>545.04999999999995</v>
      </c>
      <c r="P1602" s="106">
        <v>559</v>
      </c>
      <c r="Q1602" s="106">
        <v>549.79999999999995</v>
      </c>
      <c r="R1602">
        <v>1799072</v>
      </c>
    </row>
    <row r="1603" spans="1:18" x14ac:dyDescent="0.25">
      <c r="A1603" s="143">
        <v>44365</v>
      </c>
      <c r="B1603" s="106">
        <v>554</v>
      </c>
      <c r="C1603" s="106">
        <v>538.75</v>
      </c>
      <c r="D1603" s="106">
        <v>518</v>
      </c>
      <c r="E1603" s="106">
        <v>554</v>
      </c>
      <c r="F1603" s="106">
        <v>538.75</v>
      </c>
      <c r="G1603">
        <v>184826</v>
      </c>
      <c r="H1603" s="106"/>
      <c r="I1603" s="106"/>
      <c r="L1603" s="143">
        <v>44365</v>
      </c>
      <c r="M1603" s="106">
        <v>538.5</v>
      </c>
      <c r="N1603" s="106">
        <v>554.25</v>
      </c>
      <c r="O1603" s="106">
        <v>518</v>
      </c>
      <c r="P1603" s="106">
        <v>552.9</v>
      </c>
      <c r="Q1603" s="106">
        <v>538.5</v>
      </c>
      <c r="R1603">
        <v>5504915</v>
      </c>
    </row>
    <row r="1604" spans="1:18" x14ac:dyDescent="0.25">
      <c r="A1604" s="143">
        <v>44368</v>
      </c>
      <c r="B1604" s="106">
        <v>546.54999999999995</v>
      </c>
      <c r="C1604" s="106">
        <v>543.4</v>
      </c>
      <c r="D1604" s="106">
        <v>528</v>
      </c>
      <c r="E1604" s="106">
        <v>535</v>
      </c>
      <c r="F1604" s="106">
        <v>543.4</v>
      </c>
      <c r="G1604">
        <v>113463</v>
      </c>
      <c r="H1604" s="106"/>
      <c r="I1604" s="106"/>
      <c r="L1604" s="143">
        <v>44368</v>
      </c>
      <c r="M1604" s="106">
        <v>543.5</v>
      </c>
      <c r="N1604" s="106">
        <v>546.6</v>
      </c>
      <c r="O1604" s="106">
        <v>528.04999999999995</v>
      </c>
      <c r="P1604" s="106">
        <v>534</v>
      </c>
      <c r="Q1604" s="106">
        <v>543.5</v>
      </c>
      <c r="R1604">
        <v>2527215</v>
      </c>
    </row>
    <row r="1605" spans="1:18" x14ac:dyDescent="0.25">
      <c r="A1605" s="143">
        <v>44369</v>
      </c>
      <c r="B1605" s="106">
        <v>553.15</v>
      </c>
      <c r="C1605" s="106">
        <v>541.85</v>
      </c>
      <c r="D1605" s="106">
        <v>535</v>
      </c>
      <c r="E1605" s="106">
        <v>543</v>
      </c>
      <c r="F1605" s="106">
        <v>541.85</v>
      </c>
      <c r="G1605">
        <v>86704</v>
      </c>
      <c r="H1605" s="106"/>
      <c r="I1605" s="106"/>
      <c r="L1605" s="143">
        <v>44369</v>
      </c>
      <c r="M1605" s="106">
        <v>541.85</v>
      </c>
      <c r="N1605" s="106">
        <v>553.6</v>
      </c>
      <c r="O1605" s="106">
        <v>538.65</v>
      </c>
      <c r="P1605" s="106">
        <v>546</v>
      </c>
      <c r="Q1605" s="106">
        <v>541.85</v>
      </c>
      <c r="R1605">
        <v>2304767</v>
      </c>
    </row>
    <row r="1606" spans="1:18" x14ac:dyDescent="0.25">
      <c r="A1606" s="143">
        <v>44370</v>
      </c>
      <c r="B1606" s="106">
        <v>545.70000000000005</v>
      </c>
      <c r="C1606" s="106">
        <v>536.35</v>
      </c>
      <c r="D1606" s="106">
        <v>535.04999999999995</v>
      </c>
      <c r="E1606" s="106">
        <v>545</v>
      </c>
      <c r="F1606" s="106">
        <v>536.35</v>
      </c>
      <c r="G1606">
        <v>53250</v>
      </c>
      <c r="H1606" s="106"/>
      <c r="I1606" s="106"/>
      <c r="L1606" s="143">
        <v>44370</v>
      </c>
      <c r="M1606" s="106">
        <v>536.20000000000005</v>
      </c>
      <c r="N1606" s="106">
        <v>547.29999999999995</v>
      </c>
      <c r="O1606" s="106">
        <v>535</v>
      </c>
      <c r="P1606" s="106">
        <v>543</v>
      </c>
      <c r="Q1606" s="106">
        <v>536.20000000000005</v>
      </c>
      <c r="R1606">
        <v>1729953</v>
      </c>
    </row>
    <row r="1607" spans="1:18" x14ac:dyDescent="0.25">
      <c r="A1607" s="143">
        <v>44371</v>
      </c>
      <c r="B1607" s="106">
        <v>536.54999999999995</v>
      </c>
      <c r="C1607" s="106">
        <v>529.95000000000005</v>
      </c>
      <c r="D1607" s="106">
        <v>528.75</v>
      </c>
      <c r="E1607" s="106">
        <v>533.5</v>
      </c>
      <c r="F1607" s="106">
        <v>529.95000000000005</v>
      </c>
      <c r="G1607">
        <v>85432</v>
      </c>
      <c r="H1607" s="106"/>
      <c r="I1607" s="106"/>
      <c r="L1607" s="143">
        <v>44371</v>
      </c>
      <c r="M1607" s="106">
        <v>530.04999999999995</v>
      </c>
      <c r="N1607" s="106">
        <v>536.65</v>
      </c>
      <c r="O1607" s="106">
        <v>528.5</v>
      </c>
      <c r="P1607" s="106">
        <v>536.20000000000005</v>
      </c>
      <c r="Q1607" s="106">
        <v>530.04999999999995</v>
      </c>
      <c r="R1607">
        <v>1780163</v>
      </c>
    </row>
    <row r="1608" spans="1:18" x14ac:dyDescent="0.25">
      <c r="A1608" s="143">
        <v>44372</v>
      </c>
      <c r="B1608" s="106">
        <v>535.85</v>
      </c>
      <c r="C1608" s="106">
        <v>531.95000000000005</v>
      </c>
      <c r="D1608" s="106">
        <v>529.29999999999995</v>
      </c>
      <c r="E1608" s="106">
        <v>531.6</v>
      </c>
      <c r="F1608" s="106">
        <v>531.95000000000005</v>
      </c>
      <c r="G1608">
        <v>65940</v>
      </c>
      <c r="H1608" s="106"/>
      <c r="I1608" s="106"/>
      <c r="L1608" s="143">
        <v>44372</v>
      </c>
      <c r="M1608" s="106">
        <v>531.9</v>
      </c>
      <c r="N1608" s="106">
        <v>536</v>
      </c>
      <c r="O1608" s="106">
        <v>529.1</v>
      </c>
      <c r="P1608" s="106">
        <v>531.75</v>
      </c>
      <c r="Q1608" s="106">
        <v>531.9</v>
      </c>
      <c r="R1608">
        <v>2700418</v>
      </c>
    </row>
    <row r="1609" spans="1:18" x14ac:dyDescent="0.25">
      <c r="A1609" s="143">
        <v>44375</v>
      </c>
      <c r="B1609" s="106">
        <v>537.20000000000005</v>
      </c>
      <c r="C1609" s="106">
        <v>525.35</v>
      </c>
      <c r="D1609" s="106">
        <v>521.6</v>
      </c>
      <c r="E1609" s="106">
        <v>537.20000000000005</v>
      </c>
      <c r="F1609" s="106">
        <v>525.35</v>
      </c>
      <c r="G1609">
        <v>97372</v>
      </c>
      <c r="H1609" s="106"/>
      <c r="I1609" s="106"/>
      <c r="L1609" s="143">
        <v>44375</v>
      </c>
      <c r="M1609" s="106">
        <v>523.65</v>
      </c>
      <c r="N1609" s="106">
        <v>536.9</v>
      </c>
      <c r="O1609" s="106">
        <v>521.35</v>
      </c>
      <c r="P1609" s="106">
        <v>536.9</v>
      </c>
      <c r="Q1609" s="106">
        <v>523.65</v>
      </c>
      <c r="R1609">
        <v>3090163</v>
      </c>
    </row>
    <row r="1610" spans="1:18" x14ac:dyDescent="0.25">
      <c r="A1610" s="143">
        <v>44376</v>
      </c>
      <c r="B1610" s="106">
        <v>526.95000000000005</v>
      </c>
      <c r="C1610" s="106">
        <v>519.25</v>
      </c>
      <c r="D1610" s="106">
        <v>515.70000000000005</v>
      </c>
      <c r="E1610" s="106">
        <v>525.35</v>
      </c>
      <c r="F1610" s="106">
        <v>519.25</v>
      </c>
      <c r="G1610">
        <v>123150</v>
      </c>
      <c r="H1610" s="106"/>
      <c r="I1610" s="106"/>
      <c r="L1610" s="143">
        <v>44376</v>
      </c>
      <c r="M1610" s="106">
        <v>519.35</v>
      </c>
      <c r="N1610" s="106">
        <v>527</v>
      </c>
      <c r="O1610" s="106">
        <v>515.70000000000005</v>
      </c>
      <c r="P1610" s="106">
        <v>524.79999999999995</v>
      </c>
      <c r="Q1610" s="106">
        <v>519.35</v>
      </c>
      <c r="R1610">
        <v>2568036</v>
      </c>
    </row>
    <row r="1611" spans="1:18" x14ac:dyDescent="0.25">
      <c r="A1611" s="143">
        <v>44377</v>
      </c>
      <c r="B1611" s="106">
        <v>523.79999999999995</v>
      </c>
      <c r="C1611" s="106">
        <v>513.04999999999995</v>
      </c>
      <c r="D1611" s="106">
        <v>511.75</v>
      </c>
      <c r="E1611" s="106">
        <v>520</v>
      </c>
      <c r="F1611" s="106">
        <v>513.04999999999995</v>
      </c>
      <c r="G1611">
        <v>114599</v>
      </c>
      <c r="H1611" s="106"/>
      <c r="I1611" s="106"/>
      <c r="L1611" s="143">
        <v>44377</v>
      </c>
      <c r="M1611" s="106">
        <v>513.25</v>
      </c>
      <c r="N1611" s="106">
        <v>524</v>
      </c>
      <c r="O1611" s="106">
        <v>511.7</v>
      </c>
      <c r="P1611" s="106">
        <v>523.29999999999995</v>
      </c>
      <c r="Q1611" s="106">
        <v>513.25</v>
      </c>
      <c r="R1611">
        <v>2301647</v>
      </c>
    </row>
    <row r="1612" spans="1:18" x14ac:dyDescent="0.25">
      <c r="A1612" s="143">
        <v>44378</v>
      </c>
      <c r="B1612" s="106">
        <v>515.6</v>
      </c>
      <c r="C1612" s="106">
        <v>505.95</v>
      </c>
      <c r="D1612" s="106">
        <v>502.6</v>
      </c>
      <c r="E1612" s="106">
        <v>510.5</v>
      </c>
      <c r="F1612" s="106">
        <v>505.95</v>
      </c>
      <c r="G1612">
        <v>113622</v>
      </c>
      <c r="H1612" s="106"/>
      <c r="I1612" s="106"/>
      <c r="L1612" s="143">
        <v>44378</v>
      </c>
      <c r="M1612" s="106">
        <v>506.15</v>
      </c>
      <c r="N1612" s="106">
        <v>515.25</v>
      </c>
      <c r="O1612" s="106">
        <v>502.75</v>
      </c>
      <c r="P1612" s="106">
        <v>514</v>
      </c>
      <c r="Q1612" s="106">
        <v>506.15</v>
      </c>
      <c r="R1612">
        <v>4718848</v>
      </c>
    </row>
    <row r="1613" spans="1:18" x14ac:dyDescent="0.25">
      <c r="A1613" s="143">
        <v>44379</v>
      </c>
      <c r="B1613" s="106">
        <v>514.15</v>
      </c>
      <c r="C1613" s="106">
        <v>510.15</v>
      </c>
      <c r="D1613" s="106">
        <v>504.5</v>
      </c>
      <c r="E1613" s="106">
        <v>508</v>
      </c>
      <c r="F1613" s="106">
        <v>510.15</v>
      </c>
      <c r="G1613">
        <v>78325</v>
      </c>
      <c r="H1613" s="106"/>
      <c r="I1613" s="106"/>
      <c r="L1613" s="143">
        <v>44379</v>
      </c>
      <c r="M1613" s="106">
        <v>510.1</v>
      </c>
      <c r="N1613" s="106">
        <v>514.54999999999995</v>
      </c>
      <c r="O1613" s="106">
        <v>504.05</v>
      </c>
      <c r="P1613" s="106">
        <v>509.9</v>
      </c>
      <c r="Q1613" s="106">
        <v>510.1</v>
      </c>
      <c r="R1613">
        <v>2960025</v>
      </c>
    </row>
    <row r="1614" spans="1:18" x14ac:dyDescent="0.25">
      <c r="A1614" s="143">
        <v>44382</v>
      </c>
      <c r="B1614" s="106">
        <v>519.9</v>
      </c>
      <c r="C1614" s="106">
        <v>518.95000000000005</v>
      </c>
      <c r="D1614" s="106">
        <v>508.15</v>
      </c>
      <c r="E1614" s="106">
        <v>511.2</v>
      </c>
      <c r="F1614" s="106">
        <v>518.95000000000005</v>
      </c>
      <c r="G1614">
        <v>123890</v>
      </c>
      <c r="H1614" s="106"/>
      <c r="I1614" s="106"/>
      <c r="L1614" s="143">
        <v>44382</v>
      </c>
      <c r="M1614" s="106">
        <v>519</v>
      </c>
      <c r="N1614" s="106">
        <v>520</v>
      </c>
      <c r="O1614" s="106">
        <v>508.2</v>
      </c>
      <c r="P1614" s="106">
        <v>513.95000000000005</v>
      </c>
      <c r="Q1614" s="106">
        <v>519</v>
      </c>
      <c r="R1614">
        <v>2195753</v>
      </c>
    </row>
    <row r="1615" spans="1:18" x14ac:dyDescent="0.25">
      <c r="A1615" s="143">
        <v>44383</v>
      </c>
      <c r="B1615" s="106">
        <v>532.5</v>
      </c>
      <c r="C1615" s="106">
        <v>521.54999999999995</v>
      </c>
      <c r="D1615" s="106">
        <v>519.54999999999995</v>
      </c>
      <c r="E1615" s="106">
        <v>522</v>
      </c>
      <c r="F1615" s="106">
        <v>521.54999999999995</v>
      </c>
      <c r="G1615">
        <v>206072</v>
      </c>
      <c r="H1615" s="106"/>
      <c r="I1615" s="106"/>
      <c r="L1615" s="143">
        <v>44383</v>
      </c>
      <c r="M1615" s="106">
        <v>521.20000000000005</v>
      </c>
      <c r="N1615" s="106">
        <v>532.75</v>
      </c>
      <c r="O1615" s="106">
        <v>519.25</v>
      </c>
      <c r="P1615" s="106">
        <v>521</v>
      </c>
      <c r="Q1615" s="106">
        <v>521.20000000000005</v>
      </c>
      <c r="R1615">
        <v>4648159</v>
      </c>
    </row>
    <row r="1616" spans="1:18" x14ac:dyDescent="0.25">
      <c r="A1616" s="143">
        <v>44384</v>
      </c>
      <c r="B1616" s="106">
        <v>530.29999999999995</v>
      </c>
      <c r="C1616" s="106">
        <v>518.79999999999995</v>
      </c>
      <c r="D1616" s="106">
        <v>515.35</v>
      </c>
      <c r="E1616" s="106">
        <v>519.54999999999995</v>
      </c>
      <c r="F1616" s="106">
        <v>518.79999999999995</v>
      </c>
      <c r="G1616">
        <v>196841</v>
      </c>
      <c r="H1616" s="106"/>
      <c r="I1616" s="106"/>
      <c r="L1616" s="143">
        <v>44384</v>
      </c>
      <c r="M1616" s="106">
        <v>518.95000000000005</v>
      </c>
      <c r="N1616" s="106">
        <v>530.5</v>
      </c>
      <c r="O1616" s="106">
        <v>515.29999999999995</v>
      </c>
      <c r="P1616" s="106">
        <v>523</v>
      </c>
      <c r="Q1616" s="106">
        <v>518.95000000000005</v>
      </c>
      <c r="R1616">
        <v>2653267</v>
      </c>
    </row>
    <row r="1617" spans="1:18" x14ac:dyDescent="0.25">
      <c r="A1617" s="143">
        <v>44385</v>
      </c>
      <c r="B1617" s="106">
        <v>525.5</v>
      </c>
      <c r="C1617" s="106">
        <v>514.15</v>
      </c>
      <c r="D1617" s="106">
        <v>510.5</v>
      </c>
      <c r="E1617" s="106">
        <v>525.45000000000005</v>
      </c>
      <c r="F1617" s="106">
        <v>514.15</v>
      </c>
      <c r="G1617">
        <v>101839</v>
      </c>
      <c r="H1617" s="106"/>
      <c r="I1617" s="106"/>
      <c r="L1617" s="143">
        <v>44385</v>
      </c>
      <c r="M1617" s="106">
        <v>514.35</v>
      </c>
      <c r="N1617" s="106">
        <v>525.45000000000005</v>
      </c>
      <c r="O1617" s="106">
        <v>510.3</v>
      </c>
      <c r="P1617" s="106">
        <v>522.5</v>
      </c>
      <c r="Q1617" s="106">
        <v>514.35</v>
      </c>
      <c r="R1617">
        <v>2276281</v>
      </c>
    </row>
    <row r="1618" spans="1:18" x14ac:dyDescent="0.25">
      <c r="A1618" s="143">
        <v>44386</v>
      </c>
      <c r="B1618" s="106">
        <v>520.6</v>
      </c>
      <c r="C1618" s="106">
        <v>519.20000000000005</v>
      </c>
      <c r="D1618" s="106">
        <v>508.4</v>
      </c>
      <c r="E1618" s="106">
        <v>518.45000000000005</v>
      </c>
      <c r="F1618" s="106">
        <v>519.20000000000005</v>
      </c>
      <c r="G1618">
        <v>80594</v>
      </c>
      <c r="H1618" s="106"/>
      <c r="I1618" s="106"/>
      <c r="L1618" s="143">
        <v>44386</v>
      </c>
      <c r="M1618" s="106">
        <v>519.29999999999995</v>
      </c>
      <c r="N1618" s="106">
        <v>520.75</v>
      </c>
      <c r="O1618" s="106">
        <v>508.2</v>
      </c>
      <c r="P1618" s="106">
        <v>516</v>
      </c>
      <c r="Q1618" s="106">
        <v>519.29999999999995</v>
      </c>
      <c r="R1618">
        <v>2565125</v>
      </c>
    </row>
    <row r="1619" spans="1:18" x14ac:dyDescent="0.25">
      <c r="A1619" s="143">
        <v>44389</v>
      </c>
      <c r="B1619" s="106">
        <v>535.95000000000005</v>
      </c>
      <c r="C1619" s="106">
        <v>516.54999999999995</v>
      </c>
      <c r="D1619" s="106">
        <v>515.35</v>
      </c>
      <c r="E1619" s="106">
        <v>526.35</v>
      </c>
      <c r="F1619" s="106">
        <v>516.54999999999995</v>
      </c>
      <c r="G1619">
        <v>269629</v>
      </c>
      <c r="H1619" s="106"/>
      <c r="I1619" s="106"/>
      <c r="L1619" s="143">
        <v>44389</v>
      </c>
      <c r="M1619" s="106">
        <v>516.54999999999995</v>
      </c>
      <c r="N1619" s="106">
        <v>526.54999999999995</v>
      </c>
      <c r="O1619" s="106">
        <v>515.29999999999995</v>
      </c>
      <c r="P1619" s="106">
        <v>523.5</v>
      </c>
      <c r="Q1619" s="106">
        <v>516.54999999999995</v>
      </c>
      <c r="R1619">
        <v>1533331</v>
      </c>
    </row>
    <row r="1620" spans="1:18" x14ac:dyDescent="0.25">
      <c r="A1620" s="143">
        <v>44390</v>
      </c>
      <c r="B1620" s="106">
        <v>521.04999999999995</v>
      </c>
      <c r="C1620" s="106">
        <v>518.04999999999995</v>
      </c>
      <c r="D1620" s="106">
        <v>510.2</v>
      </c>
      <c r="E1620" s="106">
        <v>517</v>
      </c>
      <c r="F1620" s="106">
        <v>518.04999999999995</v>
      </c>
      <c r="G1620">
        <v>88241</v>
      </c>
      <c r="H1620" s="106"/>
      <c r="I1620" s="106"/>
      <c r="L1620" s="143">
        <v>44390</v>
      </c>
      <c r="M1620" s="106">
        <v>517.95000000000005</v>
      </c>
      <c r="N1620" s="106">
        <v>521.35</v>
      </c>
      <c r="O1620" s="106">
        <v>510</v>
      </c>
      <c r="P1620" s="106">
        <v>520</v>
      </c>
      <c r="Q1620" s="106">
        <v>517.95000000000005</v>
      </c>
      <c r="R1620">
        <v>1842560</v>
      </c>
    </row>
    <row r="1621" spans="1:18" x14ac:dyDescent="0.25">
      <c r="A1621" s="143">
        <v>44391</v>
      </c>
      <c r="B1621" s="106">
        <v>519.79999999999995</v>
      </c>
      <c r="C1621" s="106">
        <v>513.54999999999995</v>
      </c>
      <c r="D1621" s="106">
        <v>512.95000000000005</v>
      </c>
      <c r="E1621" s="106">
        <v>517</v>
      </c>
      <c r="F1621" s="106">
        <v>513.54999999999995</v>
      </c>
      <c r="G1621">
        <v>48996</v>
      </c>
      <c r="H1621" s="106"/>
      <c r="I1621" s="106"/>
      <c r="L1621" s="143">
        <v>44391</v>
      </c>
      <c r="M1621" s="106">
        <v>513.45000000000005</v>
      </c>
      <c r="N1621" s="106">
        <v>520</v>
      </c>
      <c r="O1621" s="106">
        <v>513</v>
      </c>
      <c r="P1621" s="106">
        <v>520</v>
      </c>
      <c r="Q1621" s="106">
        <v>513.45000000000005</v>
      </c>
      <c r="R1621">
        <v>988708</v>
      </c>
    </row>
    <row r="1622" spans="1:18" x14ac:dyDescent="0.25">
      <c r="A1622" s="143">
        <v>44392</v>
      </c>
      <c r="B1622" s="106">
        <v>519.1</v>
      </c>
      <c r="C1622" s="106">
        <v>513.9</v>
      </c>
      <c r="D1622" s="106">
        <v>512</v>
      </c>
      <c r="E1622" s="106">
        <v>514</v>
      </c>
      <c r="F1622" s="106">
        <v>513.9</v>
      </c>
      <c r="G1622">
        <v>98347</v>
      </c>
      <c r="H1622" s="106"/>
      <c r="I1622" s="106"/>
      <c r="L1622" s="143">
        <v>44392</v>
      </c>
      <c r="M1622" s="106">
        <v>513.79999999999995</v>
      </c>
      <c r="N1622" s="106">
        <v>519.29999999999995</v>
      </c>
      <c r="O1622" s="106">
        <v>512</v>
      </c>
      <c r="P1622" s="106">
        <v>515.4</v>
      </c>
      <c r="Q1622" s="106">
        <v>513.79999999999995</v>
      </c>
      <c r="R1622">
        <v>1493932</v>
      </c>
    </row>
    <row r="1623" spans="1:18" x14ac:dyDescent="0.25">
      <c r="A1623" s="143">
        <v>44393</v>
      </c>
      <c r="B1623" s="106">
        <v>516.1</v>
      </c>
      <c r="C1623" s="106">
        <v>512.35</v>
      </c>
      <c r="D1623" s="106">
        <v>508.4</v>
      </c>
      <c r="E1623" s="106">
        <v>514.20000000000005</v>
      </c>
      <c r="F1623" s="106">
        <v>512.35</v>
      </c>
      <c r="G1623">
        <v>76771</v>
      </c>
      <c r="H1623" s="106"/>
      <c r="I1623" s="106"/>
      <c r="L1623" s="143">
        <v>44393</v>
      </c>
      <c r="M1623" s="106">
        <v>512.4</v>
      </c>
      <c r="N1623" s="106">
        <v>516.20000000000005</v>
      </c>
      <c r="O1623" s="106">
        <v>508.3</v>
      </c>
      <c r="P1623" s="106">
        <v>516.20000000000005</v>
      </c>
      <c r="Q1623" s="106">
        <v>512.4</v>
      </c>
      <c r="R1623">
        <v>1864018</v>
      </c>
    </row>
    <row r="1624" spans="1:18" x14ac:dyDescent="0.25">
      <c r="A1624" s="143">
        <v>44396</v>
      </c>
      <c r="B1624" s="106">
        <v>516.20000000000005</v>
      </c>
      <c r="C1624" s="106">
        <v>506.35</v>
      </c>
      <c r="D1624" s="106">
        <v>504.05</v>
      </c>
      <c r="E1624" s="106">
        <v>510</v>
      </c>
      <c r="F1624" s="106">
        <v>506.35</v>
      </c>
      <c r="G1624">
        <v>274749</v>
      </c>
      <c r="H1624" s="106"/>
      <c r="I1624" s="106"/>
      <c r="L1624" s="143">
        <v>44396</v>
      </c>
      <c r="M1624" s="106">
        <v>506.5</v>
      </c>
      <c r="N1624" s="106">
        <v>516.4</v>
      </c>
      <c r="O1624" s="106">
        <v>504</v>
      </c>
      <c r="P1624" s="106">
        <v>509.95</v>
      </c>
      <c r="Q1624" s="106">
        <v>506.5</v>
      </c>
      <c r="R1624">
        <v>2729557</v>
      </c>
    </row>
    <row r="1625" spans="1:18" x14ac:dyDescent="0.25">
      <c r="A1625" s="143">
        <v>44397</v>
      </c>
      <c r="B1625" s="106">
        <v>510.35</v>
      </c>
      <c r="C1625" s="106">
        <v>491.3</v>
      </c>
      <c r="D1625" s="106">
        <v>479.2</v>
      </c>
      <c r="E1625" s="106">
        <v>507</v>
      </c>
      <c r="F1625" s="106">
        <v>491.3</v>
      </c>
      <c r="G1625">
        <v>169456</v>
      </c>
      <c r="H1625" s="106"/>
      <c r="I1625" s="106"/>
      <c r="L1625" s="143">
        <v>44397</v>
      </c>
      <c r="M1625" s="106">
        <v>490.2</v>
      </c>
      <c r="N1625" s="106">
        <v>510.15</v>
      </c>
      <c r="O1625" s="106">
        <v>479</v>
      </c>
      <c r="P1625" s="106">
        <v>510.15</v>
      </c>
      <c r="Q1625" s="106">
        <v>490.2</v>
      </c>
      <c r="R1625">
        <v>5964588</v>
      </c>
    </row>
    <row r="1626" spans="1:18" x14ac:dyDescent="0.25">
      <c r="A1626" s="143">
        <v>44399</v>
      </c>
      <c r="B1626" s="106">
        <v>500.4</v>
      </c>
      <c r="C1626" s="106">
        <v>494.3</v>
      </c>
      <c r="D1626" s="106">
        <v>487.8</v>
      </c>
      <c r="E1626" s="106">
        <v>500.4</v>
      </c>
      <c r="F1626" s="106">
        <v>494.3</v>
      </c>
      <c r="G1626">
        <v>123629</v>
      </c>
      <c r="H1626" s="106"/>
      <c r="I1626" s="106"/>
      <c r="L1626" s="143">
        <v>44399</v>
      </c>
      <c r="M1626" s="106">
        <v>494.75</v>
      </c>
      <c r="N1626" s="106">
        <v>499.7</v>
      </c>
      <c r="O1626" s="106">
        <v>487.5</v>
      </c>
      <c r="P1626" s="106">
        <v>499</v>
      </c>
      <c r="Q1626" s="106">
        <v>494.75</v>
      </c>
      <c r="R1626">
        <v>2727010</v>
      </c>
    </row>
    <row r="1627" spans="1:18" x14ac:dyDescent="0.25">
      <c r="A1627" s="143">
        <v>44400</v>
      </c>
      <c r="B1627" s="106">
        <v>505.6</v>
      </c>
      <c r="C1627" s="106">
        <v>499.05</v>
      </c>
      <c r="D1627" s="106">
        <v>491.35</v>
      </c>
      <c r="E1627" s="106">
        <v>496.05</v>
      </c>
      <c r="F1627" s="106">
        <v>499.05</v>
      </c>
      <c r="G1627">
        <v>166403</v>
      </c>
      <c r="H1627" s="106"/>
      <c r="I1627" s="106"/>
      <c r="L1627" s="143">
        <v>44400</v>
      </c>
      <c r="M1627" s="106">
        <v>499.05</v>
      </c>
      <c r="N1627" s="106">
        <v>505.85</v>
      </c>
      <c r="O1627" s="106">
        <v>491.1</v>
      </c>
      <c r="P1627" s="106">
        <v>498</v>
      </c>
      <c r="Q1627" s="106">
        <v>499.05</v>
      </c>
      <c r="R1627">
        <v>2614875</v>
      </c>
    </row>
    <row r="1628" spans="1:18" x14ac:dyDescent="0.25">
      <c r="A1628" s="143">
        <v>44403</v>
      </c>
      <c r="B1628" s="106">
        <v>505.45</v>
      </c>
      <c r="C1628" s="106">
        <v>492.25</v>
      </c>
      <c r="D1628" s="106">
        <v>488.25</v>
      </c>
      <c r="E1628" s="106">
        <v>502.9</v>
      </c>
      <c r="F1628" s="106">
        <v>492.25</v>
      </c>
      <c r="G1628">
        <v>63403</v>
      </c>
      <c r="H1628" s="106"/>
      <c r="I1628" s="106"/>
      <c r="L1628" s="143">
        <v>44403</v>
      </c>
      <c r="M1628" s="106">
        <v>491.7</v>
      </c>
      <c r="N1628" s="106">
        <v>505.75</v>
      </c>
      <c r="O1628" s="106">
        <v>487.8</v>
      </c>
      <c r="P1628" s="106">
        <v>499.95</v>
      </c>
      <c r="Q1628" s="106">
        <v>491.7</v>
      </c>
      <c r="R1628">
        <v>1356309</v>
      </c>
    </row>
    <row r="1629" spans="1:18" x14ac:dyDescent="0.25">
      <c r="A1629" s="143">
        <v>44404</v>
      </c>
      <c r="B1629" s="106">
        <v>496</v>
      </c>
      <c r="C1629" s="106">
        <v>484.1</v>
      </c>
      <c r="D1629" s="106">
        <v>481.3</v>
      </c>
      <c r="E1629" s="106">
        <v>493.7</v>
      </c>
      <c r="F1629" s="106">
        <v>484.1</v>
      </c>
      <c r="G1629">
        <v>921345</v>
      </c>
      <c r="H1629" s="106"/>
      <c r="I1629" s="106"/>
      <c r="L1629" s="143">
        <v>44404</v>
      </c>
      <c r="M1629" s="106">
        <v>483.55</v>
      </c>
      <c r="N1629" s="106">
        <v>496.6</v>
      </c>
      <c r="O1629" s="106">
        <v>481.3</v>
      </c>
      <c r="P1629" s="106">
        <v>492</v>
      </c>
      <c r="Q1629" s="106">
        <v>483.55</v>
      </c>
      <c r="R1629">
        <v>1947895</v>
      </c>
    </row>
    <row r="1630" spans="1:18" x14ac:dyDescent="0.25">
      <c r="A1630" s="143">
        <v>44405</v>
      </c>
      <c r="B1630" s="106">
        <v>485</v>
      </c>
      <c r="C1630" s="106">
        <v>481.05</v>
      </c>
      <c r="D1630" s="106">
        <v>470</v>
      </c>
      <c r="E1630" s="106">
        <v>484.1</v>
      </c>
      <c r="F1630" s="106">
        <v>481.05</v>
      </c>
      <c r="G1630">
        <v>1859606</v>
      </c>
      <c r="H1630" s="106"/>
      <c r="I1630" s="106"/>
      <c r="L1630" s="143">
        <v>44405</v>
      </c>
      <c r="M1630" s="106">
        <v>481.1</v>
      </c>
      <c r="N1630" s="106">
        <v>485</v>
      </c>
      <c r="O1630" s="106">
        <v>470.05</v>
      </c>
      <c r="P1630" s="106">
        <v>485</v>
      </c>
      <c r="Q1630" s="106">
        <v>481.1</v>
      </c>
      <c r="R1630">
        <v>4841574</v>
      </c>
    </row>
    <row r="1631" spans="1:18" x14ac:dyDescent="0.25">
      <c r="A1631" s="143">
        <v>44406</v>
      </c>
      <c r="B1631" s="106">
        <v>495</v>
      </c>
      <c r="C1631" s="106">
        <v>486.9</v>
      </c>
      <c r="D1631" s="106">
        <v>480.6</v>
      </c>
      <c r="E1631" s="106">
        <v>480.6</v>
      </c>
      <c r="F1631" s="106">
        <v>486.9</v>
      </c>
      <c r="G1631">
        <v>97482</v>
      </c>
      <c r="H1631" s="106"/>
      <c r="I1631" s="106"/>
      <c r="L1631" s="143">
        <v>44406</v>
      </c>
      <c r="M1631" s="106">
        <v>487.15</v>
      </c>
      <c r="N1631" s="106">
        <v>495.5</v>
      </c>
      <c r="O1631" s="106">
        <v>481.2</v>
      </c>
      <c r="P1631" s="106">
        <v>484</v>
      </c>
      <c r="Q1631" s="106">
        <v>487.15</v>
      </c>
      <c r="R1631">
        <v>2689089</v>
      </c>
    </row>
    <row r="1632" spans="1:18" x14ac:dyDescent="0.25">
      <c r="A1632" s="143">
        <v>44407</v>
      </c>
      <c r="B1632" s="106">
        <v>492</v>
      </c>
      <c r="C1632" s="106">
        <v>476</v>
      </c>
      <c r="D1632" s="106">
        <v>470.75</v>
      </c>
      <c r="E1632" s="106">
        <v>492</v>
      </c>
      <c r="F1632" s="106">
        <v>476</v>
      </c>
      <c r="G1632">
        <v>174243</v>
      </c>
      <c r="H1632" s="106"/>
      <c r="I1632" s="106"/>
      <c r="L1632" s="143">
        <v>44407</v>
      </c>
      <c r="M1632" s="106">
        <v>475.75</v>
      </c>
      <c r="N1632" s="106">
        <v>491</v>
      </c>
      <c r="O1632" s="106">
        <v>470.5</v>
      </c>
      <c r="P1632" s="106">
        <v>491</v>
      </c>
      <c r="Q1632" s="106">
        <v>475.75</v>
      </c>
      <c r="R1632">
        <v>4265725</v>
      </c>
    </row>
    <row r="1633" spans="1:18" x14ac:dyDescent="0.25">
      <c r="A1633" s="143">
        <v>44410</v>
      </c>
      <c r="B1633" s="106">
        <v>528.79999999999995</v>
      </c>
      <c r="C1633" s="106">
        <v>526.35</v>
      </c>
      <c r="D1633" s="106">
        <v>470</v>
      </c>
      <c r="E1633" s="106">
        <v>475.9</v>
      </c>
      <c r="F1633" s="106">
        <v>526.35</v>
      </c>
      <c r="G1633">
        <v>1246070</v>
      </c>
      <c r="H1633" s="106"/>
      <c r="I1633" s="106"/>
      <c r="L1633" s="143">
        <v>44410</v>
      </c>
      <c r="M1633" s="106">
        <v>526.45000000000005</v>
      </c>
      <c r="N1633" s="106">
        <v>528.9</v>
      </c>
      <c r="O1633" s="106">
        <v>470</v>
      </c>
      <c r="P1633" s="106">
        <v>473.65</v>
      </c>
      <c r="Q1633" s="106">
        <v>526.45000000000005</v>
      </c>
      <c r="R1633">
        <v>15993336</v>
      </c>
    </row>
    <row r="1634" spans="1:18" x14ac:dyDescent="0.25">
      <c r="A1634" s="143">
        <v>44411</v>
      </c>
      <c r="B1634" s="106">
        <v>528</v>
      </c>
      <c r="C1634" s="106">
        <v>516.70000000000005</v>
      </c>
      <c r="D1634" s="106">
        <v>512.15</v>
      </c>
      <c r="E1634" s="106">
        <v>523</v>
      </c>
      <c r="F1634" s="106">
        <v>516.70000000000005</v>
      </c>
      <c r="G1634">
        <v>124522</v>
      </c>
      <c r="H1634" s="106"/>
      <c r="I1634" s="106"/>
      <c r="L1634" s="143">
        <v>44411</v>
      </c>
      <c r="M1634" s="106">
        <v>516.65</v>
      </c>
      <c r="N1634" s="106">
        <v>527.95000000000005</v>
      </c>
      <c r="O1634" s="106">
        <v>512.04999999999995</v>
      </c>
      <c r="P1634" s="106">
        <v>522.9</v>
      </c>
      <c r="Q1634" s="106">
        <v>516.65</v>
      </c>
      <c r="R1634">
        <v>4123446</v>
      </c>
    </row>
    <row r="1635" spans="1:18" x14ac:dyDescent="0.25">
      <c r="A1635" s="143">
        <v>44412</v>
      </c>
      <c r="B1635" s="106">
        <v>524</v>
      </c>
      <c r="C1635" s="106">
        <v>517</v>
      </c>
      <c r="D1635" s="106">
        <v>514.25</v>
      </c>
      <c r="E1635" s="106">
        <v>520.20000000000005</v>
      </c>
      <c r="F1635" s="106">
        <v>517</v>
      </c>
      <c r="G1635">
        <v>148593</v>
      </c>
      <c r="H1635" s="106"/>
      <c r="I1635" s="106"/>
      <c r="L1635" s="143">
        <v>44412</v>
      </c>
      <c r="M1635" s="106">
        <v>516.65</v>
      </c>
      <c r="N1635" s="106">
        <v>524.29999999999995</v>
      </c>
      <c r="O1635" s="106">
        <v>514</v>
      </c>
      <c r="P1635" s="106">
        <v>521.5</v>
      </c>
      <c r="Q1635" s="106">
        <v>516.65</v>
      </c>
      <c r="R1635">
        <v>2902476</v>
      </c>
    </row>
    <row r="1636" spans="1:18" x14ac:dyDescent="0.25">
      <c r="A1636" s="143">
        <v>44413</v>
      </c>
      <c r="B1636" s="106">
        <v>541.9</v>
      </c>
      <c r="C1636" s="106">
        <v>539.70000000000005</v>
      </c>
      <c r="D1636" s="106">
        <v>511.15</v>
      </c>
      <c r="E1636" s="106">
        <v>515.35</v>
      </c>
      <c r="F1636" s="106">
        <v>539.70000000000005</v>
      </c>
      <c r="G1636">
        <v>470418</v>
      </c>
      <c r="H1636" s="106"/>
      <c r="I1636" s="106"/>
      <c r="L1636" s="143">
        <v>44413</v>
      </c>
      <c r="M1636" s="106">
        <v>539.65</v>
      </c>
      <c r="N1636" s="106">
        <v>541.9</v>
      </c>
      <c r="O1636" s="106">
        <v>511.25</v>
      </c>
      <c r="P1636" s="106">
        <v>519</v>
      </c>
      <c r="Q1636" s="106">
        <v>539.65</v>
      </c>
      <c r="R1636">
        <v>7908981</v>
      </c>
    </row>
    <row r="1637" spans="1:18" x14ac:dyDescent="0.25">
      <c r="A1637" s="143">
        <v>44414</v>
      </c>
      <c r="B1637" s="106">
        <v>539.45000000000005</v>
      </c>
      <c r="C1637" s="106">
        <v>528.6</v>
      </c>
      <c r="D1637" s="106">
        <v>523.04999999999995</v>
      </c>
      <c r="E1637" s="106">
        <v>535.1</v>
      </c>
      <c r="F1637" s="106">
        <v>528.6</v>
      </c>
      <c r="G1637">
        <v>154474</v>
      </c>
      <c r="H1637" s="106"/>
      <c r="I1637" s="106"/>
      <c r="L1637" s="143">
        <v>44414</v>
      </c>
      <c r="M1637" s="106">
        <v>528.79999999999995</v>
      </c>
      <c r="N1637" s="106">
        <v>539.5</v>
      </c>
      <c r="O1637" s="106">
        <v>522.6</v>
      </c>
      <c r="P1637" s="106">
        <v>536</v>
      </c>
      <c r="Q1637" s="106">
        <v>528.79999999999995</v>
      </c>
      <c r="R1637">
        <v>1977456</v>
      </c>
    </row>
    <row r="1638" spans="1:18" x14ac:dyDescent="0.25">
      <c r="A1638" s="143">
        <v>44417</v>
      </c>
      <c r="B1638" s="106">
        <v>531.4</v>
      </c>
      <c r="C1638" s="106">
        <v>520.20000000000005</v>
      </c>
      <c r="D1638" s="106">
        <v>514.95000000000005</v>
      </c>
      <c r="E1638" s="106">
        <v>531.20000000000005</v>
      </c>
      <c r="F1638" s="106">
        <v>520.20000000000005</v>
      </c>
      <c r="G1638">
        <v>94351</v>
      </c>
      <c r="H1638" s="106"/>
      <c r="I1638" s="106"/>
      <c r="L1638" s="143">
        <v>44417</v>
      </c>
      <c r="M1638" s="106">
        <v>520.70000000000005</v>
      </c>
      <c r="N1638" s="106">
        <v>531.95000000000005</v>
      </c>
      <c r="O1638" s="106">
        <v>514.70000000000005</v>
      </c>
      <c r="P1638" s="106">
        <v>527.35</v>
      </c>
      <c r="Q1638" s="106">
        <v>520.70000000000005</v>
      </c>
      <c r="R1638">
        <v>1440944</v>
      </c>
    </row>
    <row r="1639" spans="1:18" x14ac:dyDescent="0.25">
      <c r="A1639" s="143">
        <v>44418</v>
      </c>
      <c r="B1639" s="106">
        <v>525</v>
      </c>
      <c r="C1639" s="106">
        <v>511.15</v>
      </c>
      <c r="D1639" s="106">
        <v>507</v>
      </c>
      <c r="E1639" s="106">
        <v>521.5</v>
      </c>
      <c r="F1639" s="106">
        <v>511.15</v>
      </c>
      <c r="G1639">
        <v>60054</v>
      </c>
      <c r="H1639" s="106"/>
      <c r="I1639" s="106"/>
      <c r="L1639" s="143">
        <v>44418</v>
      </c>
      <c r="M1639" s="106">
        <v>510.5</v>
      </c>
      <c r="N1639" s="106">
        <v>525.1</v>
      </c>
      <c r="O1639" s="106">
        <v>506.1</v>
      </c>
      <c r="P1639" s="106">
        <v>523</v>
      </c>
      <c r="Q1639" s="106">
        <v>510.5</v>
      </c>
      <c r="R1639">
        <v>1298084</v>
      </c>
    </row>
    <row r="1640" spans="1:18" x14ac:dyDescent="0.25">
      <c r="A1640" s="143">
        <v>44419</v>
      </c>
      <c r="B1640" s="106">
        <v>511.5</v>
      </c>
      <c r="C1640" s="106">
        <v>501.45</v>
      </c>
      <c r="D1640" s="106">
        <v>494.05</v>
      </c>
      <c r="E1640" s="106">
        <v>511.5</v>
      </c>
      <c r="F1640" s="106">
        <v>501.45</v>
      </c>
      <c r="G1640">
        <v>103847</v>
      </c>
      <c r="H1640" s="106"/>
      <c r="I1640" s="106"/>
      <c r="L1640" s="143">
        <v>44419</v>
      </c>
      <c r="M1640" s="106">
        <v>501.55</v>
      </c>
      <c r="N1640" s="106">
        <v>512</v>
      </c>
      <c r="O1640" s="106">
        <v>494.05</v>
      </c>
      <c r="P1640" s="106">
        <v>509</v>
      </c>
      <c r="Q1640" s="106">
        <v>501.55</v>
      </c>
      <c r="R1640">
        <v>1868551</v>
      </c>
    </row>
    <row r="1641" spans="1:18" x14ac:dyDescent="0.25">
      <c r="A1641" s="143">
        <v>44420</v>
      </c>
      <c r="B1641" s="106">
        <v>516.5</v>
      </c>
      <c r="C1641" s="106">
        <v>512.15</v>
      </c>
      <c r="D1641" s="106">
        <v>498.85</v>
      </c>
      <c r="E1641" s="106">
        <v>502.4</v>
      </c>
      <c r="F1641" s="106">
        <v>512.15</v>
      </c>
      <c r="G1641">
        <v>64929</v>
      </c>
      <c r="H1641" s="106"/>
      <c r="I1641" s="106"/>
      <c r="L1641" s="143">
        <v>44420</v>
      </c>
      <c r="M1641" s="106">
        <v>512</v>
      </c>
      <c r="N1641" s="106">
        <v>516.5</v>
      </c>
      <c r="O1641" s="106">
        <v>498.35</v>
      </c>
      <c r="P1641" s="106">
        <v>503</v>
      </c>
      <c r="Q1641" s="106">
        <v>512</v>
      </c>
      <c r="R1641">
        <v>1556728</v>
      </c>
    </row>
    <row r="1642" spans="1:18" x14ac:dyDescent="0.25">
      <c r="A1642" s="143">
        <v>44421</v>
      </c>
      <c r="B1642" s="106">
        <v>516.65</v>
      </c>
      <c r="C1642" s="106">
        <v>503.7</v>
      </c>
      <c r="D1642" s="106">
        <v>498.55</v>
      </c>
      <c r="E1642" s="106">
        <v>512.25</v>
      </c>
      <c r="F1642" s="106">
        <v>503.7</v>
      </c>
      <c r="G1642">
        <v>66498</v>
      </c>
      <c r="H1642" s="106"/>
      <c r="I1642" s="106"/>
      <c r="L1642" s="143">
        <v>44421</v>
      </c>
      <c r="M1642" s="106">
        <v>503.35</v>
      </c>
      <c r="N1642" s="106">
        <v>516.9</v>
      </c>
      <c r="O1642" s="106">
        <v>498.85</v>
      </c>
      <c r="P1642" s="106">
        <v>513.70000000000005</v>
      </c>
      <c r="Q1642" s="106">
        <v>503.35</v>
      </c>
      <c r="R1642">
        <v>1006725</v>
      </c>
    </row>
    <row r="1643" spans="1:18" x14ac:dyDescent="0.25">
      <c r="A1643" s="143">
        <v>44424</v>
      </c>
      <c r="B1643" s="106">
        <v>509.95</v>
      </c>
      <c r="C1643" s="106">
        <v>501.15</v>
      </c>
      <c r="D1643" s="106">
        <v>499.3</v>
      </c>
      <c r="E1643" s="106">
        <v>505</v>
      </c>
      <c r="F1643" s="106">
        <v>501.15</v>
      </c>
      <c r="G1643">
        <v>62693</v>
      </c>
      <c r="H1643" s="106"/>
      <c r="I1643" s="106"/>
      <c r="L1643" s="143">
        <v>44424</v>
      </c>
      <c r="M1643" s="106">
        <v>501.2</v>
      </c>
      <c r="N1643" s="106">
        <v>510.05</v>
      </c>
      <c r="O1643" s="106">
        <v>499.1</v>
      </c>
      <c r="P1643" s="106">
        <v>501.6</v>
      </c>
      <c r="Q1643" s="106">
        <v>501.2</v>
      </c>
      <c r="R1643">
        <v>1248147</v>
      </c>
    </row>
    <row r="1644" spans="1:18" x14ac:dyDescent="0.25">
      <c r="A1644" s="143">
        <v>44425</v>
      </c>
      <c r="B1644" s="106">
        <v>515</v>
      </c>
      <c r="C1644" s="106">
        <v>509.4</v>
      </c>
      <c r="D1644" s="106">
        <v>501.6</v>
      </c>
      <c r="E1644" s="106">
        <v>501.65</v>
      </c>
      <c r="F1644" s="106">
        <v>509.4</v>
      </c>
      <c r="G1644">
        <v>82761</v>
      </c>
      <c r="H1644" s="106"/>
      <c r="I1644" s="106"/>
      <c r="L1644" s="143">
        <v>44425</v>
      </c>
      <c r="M1644" s="106">
        <v>509.35</v>
      </c>
      <c r="N1644" s="106">
        <v>515.15</v>
      </c>
      <c r="O1644" s="106">
        <v>501</v>
      </c>
      <c r="P1644" s="106">
        <v>503</v>
      </c>
      <c r="Q1644" s="106">
        <v>509.35</v>
      </c>
      <c r="R1644">
        <v>2765237</v>
      </c>
    </row>
    <row r="1645" spans="1:18" x14ac:dyDescent="0.25">
      <c r="A1645" s="143">
        <v>44426</v>
      </c>
      <c r="B1645" s="106">
        <v>512.20000000000005</v>
      </c>
      <c r="C1645" s="106">
        <v>506.75</v>
      </c>
      <c r="D1645" s="106">
        <v>502.75</v>
      </c>
      <c r="E1645" s="106">
        <v>510</v>
      </c>
      <c r="F1645" s="106">
        <v>506.75</v>
      </c>
      <c r="G1645">
        <v>46383</v>
      </c>
      <c r="H1645" s="106"/>
      <c r="I1645" s="106"/>
      <c r="L1645" s="143">
        <v>44426</v>
      </c>
      <c r="M1645" s="106">
        <v>506.75</v>
      </c>
      <c r="N1645" s="106">
        <v>512.95000000000005</v>
      </c>
      <c r="O1645" s="106">
        <v>502.6</v>
      </c>
      <c r="P1645" s="106">
        <v>511.3</v>
      </c>
      <c r="Q1645" s="106">
        <v>506.75</v>
      </c>
      <c r="R1645">
        <v>1844951</v>
      </c>
    </row>
    <row r="1646" spans="1:18" x14ac:dyDescent="0.25">
      <c r="A1646" s="143">
        <v>44428</v>
      </c>
      <c r="B1646" s="106">
        <v>506.05</v>
      </c>
      <c r="C1646" s="106">
        <v>485.35</v>
      </c>
      <c r="D1646" s="106">
        <v>483.3</v>
      </c>
      <c r="E1646" s="106">
        <v>502</v>
      </c>
      <c r="F1646" s="106">
        <v>485.35</v>
      </c>
      <c r="G1646">
        <v>64821</v>
      </c>
      <c r="H1646" s="106"/>
      <c r="I1646" s="106"/>
      <c r="L1646" s="143">
        <v>44428</v>
      </c>
      <c r="M1646" s="106">
        <v>485.1</v>
      </c>
      <c r="N1646" s="106">
        <v>506.5</v>
      </c>
      <c r="O1646" s="106">
        <v>483.2</v>
      </c>
      <c r="P1646" s="106">
        <v>504.7</v>
      </c>
      <c r="Q1646" s="106">
        <v>485.1</v>
      </c>
      <c r="R1646">
        <v>2782529</v>
      </c>
    </row>
    <row r="1647" spans="1:18" x14ac:dyDescent="0.25">
      <c r="A1647" s="143">
        <v>44431</v>
      </c>
      <c r="B1647" s="106">
        <v>494.75</v>
      </c>
      <c r="C1647" s="106">
        <v>483.25</v>
      </c>
      <c r="D1647" s="106">
        <v>472.5</v>
      </c>
      <c r="E1647" s="106">
        <v>488</v>
      </c>
      <c r="F1647" s="106">
        <v>483.25</v>
      </c>
      <c r="G1647">
        <v>117983</v>
      </c>
      <c r="H1647" s="106"/>
      <c r="I1647" s="106"/>
      <c r="L1647" s="143">
        <v>44431</v>
      </c>
      <c r="M1647" s="106">
        <v>484.2</v>
      </c>
      <c r="N1647" s="106">
        <v>494.7</v>
      </c>
      <c r="O1647" s="106">
        <v>472.5</v>
      </c>
      <c r="P1647" s="106">
        <v>487</v>
      </c>
      <c r="Q1647" s="106">
        <v>484.2</v>
      </c>
      <c r="R1647">
        <v>1719618</v>
      </c>
    </row>
    <row r="1648" spans="1:18" x14ac:dyDescent="0.25">
      <c r="A1648" s="143">
        <v>44432</v>
      </c>
      <c r="B1648" s="106">
        <v>514.45000000000005</v>
      </c>
      <c r="C1648" s="106">
        <v>510.4</v>
      </c>
      <c r="D1648" s="106">
        <v>478.65</v>
      </c>
      <c r="E1648" s="106">
        <v>483</v>
      </c>
      <c r="F1648" s="106">
        <v>510.4</v>
      </c>
      <c r="G1648">
        <v>165733</v>
      </c>
      <c r="H1648" s="106"/>
      <c r="I1648" s="106"/>
      <c r="L1648" s="143">
        <v>44432</v>
      </c>
      <c r="M1648" s="106">
        <v>510.1</v>
      </c>
      <c r="N1648" s="106">
        <v>514.6</v>
      </c>
      <c r="O1648" s="106">
        <v>478.5</v>
      </c>
      <c r="P1648" s="106">
        <v>486.2</v>
      </c>
      <c r="Q1648" s="106">
        <v>510.1</v>
      </c>
      <c r="R1648">
        <v>4717280</v>
      </c>
    </row>
    <row r="1649" spans="1:18" x14ac:dyDescent="0.25">
      <c r="A1649" s="143">
        <v>44433</v>
      </c>
      <c r="B1649" s="106">
        <v>513.04999999999995</v>
      </c>
      <c r="C1649" s="106">
        <v>511.8</v>
      </c>
      <c r="D1649" s="106">
        <v>503.8</v>
      </c>
      <c r="E1649" s="106">
        <v>506</v>
      </c>
      <c r="F1649" s="106">
        <v>511.8</v>
      </c>
      <c r="G1649">
        <v>281289</v>
      </c>
      <c r="H1649" s="106"/>
      <c r="I1649" s="106"/>
      <c r="L1649" s="143">
        <v>44433</v>
      </c>
      <c r="M1649" s="106">
        <v>510.95</v>
      </c>
      <c r="N1649" s="106">
        <v>513.54999999999995</v>
      </c>
      <c r="O1649" s="106">
        <v>503.5</v>
      </c>
      <c r="P1649" s="106">
        <v>510</v>
      </c>
      <c r="Q1649" s="106">
        <v>510.95</v>
      </c>
      <c r="R1649">
        <v>1858112</v>
      </c>
    </row>
    <row r="1650" spans="1:18" x14ac:dyDescent="0.25">
      <c r="A1650" s="143">
        <v>44434</v>
      </c>
      <c r="B1650" s="106">
        <v>533.4</v>
      </c>
      <c r="C1650" s="106">
        <v>530.65</v>
      </c>
      <c r="D1650" s="106">
        <v>510.7</v>
      </c>
      <c r="E1650" s="106">
        <v>515</v>
      </c>
      <c r="F1650" s="106">
        <v>530.65</v>
      </c>
      <c r="G1650">
        <v>353919</v>
      </c>
      <c r="H1650" s="106"/>
      <c r="I1650" s="106"/>
      <c r="L1650" s="143">
        <v>44434</v>
      </c>
      <c r="M1650" s="106">
        <v>530.75</v>
      </c>
      <c r="N1650" s="106">
        <v>533.6</v>
      </c>
      <c r="O1650" s="106">
        <v>510.35</v>
      </c>
      <c r="P1650" s="106">
        <v>511</v>
      </c>
      <c r="Q1650" s="106">
        <v>530.75</v>
      </c>
      <c r="R1650">
        <v>6374214</v>
      </c>
    </row>
    <row r="1651" spans="1:18" x14ac:dyDescent="0.25">
      <c r="A1651" s="143">
        <v>44435</v>
      </c>
      <c r="B1651" s="106">
        <v>534.65</v>
      </c>
      <c r="C1651" s="106">
        <v>524.04999999999995</v>
      </c>
      <c r="D1651" s="106">
        <v>520.54999999999995</v>
      </c>
      <c r="E1651" s="106">
        <v>530.65</v>
      </c>
      <c r="F1651" s="106">
        <v>524.04999999999995</v>
      </c>
      <c r="G1651">
        <v>166999</v>
      </c>
      <c r="H1651" s="106"/>
      <c r="I1651" s="106"/>
      <c r="L1651" s="143">
        <v>44435</v>
      </c>
      <c r="M1651" s="106">
        <v>524.79999999999995</v>
      </c>
      <c r="N1651" s="106">
        <v>534.75</v>
      </c>
      <c r="O1651" s="106">
        <v>520.25</v>
      </c>
      <c r="P1651" s="106">
        <v>531.95000000000005</v>
      </c>
      <c r="Q1651" s="106">
        <v>524.79999999999995</v>
      </c>
      <c r="R1651">
        <v>2373228</v>
      </c>
    </row>
    <row r="1652" spans="1:18" x14ac:dyDescent="0.25">
      <c r="A1652" s="143">
        <v>44438</v>
      </c>
      <c r="B1652" s="106">
        <v>549.95000000000005</v>
      </c>
      <c r="C1652" s="106">
        <v>548.15</v>
      </c>
      <c r="D1652" s="106">
        <v>524</v>
      </c>
      <c r="E1652" s="106">
        <v>524</v>
      </c>
      <c r="F1652" s="106">
        <v>548.15</v>
      </c>
      <c r="G1652">
        <v>128930</v>
      </c>
      <c r="H1652" s="106"/>
      <c r="I1652" s="106"/>
      <c r="L1652" s="143">
        <v>44438</v>
      </c>
      <c r="M1652" s="106">
        <v>548.20000000000005</v>
      </c>
      <c r="N1652" s="106">
        <v>549.95000000000005</v>
      </c>
      <c r="O1652" s="106">
        <v>524.6</v>
      </c>
      <c r="P1652" s="106">
        <v>526</v>
      </c>
      <c r="Q1652" s="106">
        <v>548.20000000000005</v>
      </c>
      <c r="R1652">
        <v>3667059</v>
      </c>
    </row>
    <row r="1653" spans="1:18" x14ac:dyDescent="0.25">
      <c r="A1653" s="143">
        <v>44439</v>
      </c>
      <c r="B1653" s="106">
        <v>557.35</v>
      </c>
      <c r="C1653" s="106">
        <v>553.5</v>
      </c>
      <c r="D1653" s="106">
        <v>543.5</v>
      </c>
      <c r="E1653" s="106">
        <v>543.54999999999995</v>
      </c>
      <c r="F1653" s="106">
        <v>553.5</v>
      </c>
      <c r="G1653">
        <v>601771</v>
      </c>
      <c r="H1653" s="106"/>
      <c r="I1653" s="106"/>
      <c r="L1653" s="143">
        <v>44439</v>
      </c>
      <c r="M1653" s="106">
        <v>554.04999999999995</v>
      </c>
      <c r="N1653" s="106">
        <v>557.45000000000005</v>
      </c>
      <c r="O1653" s="106">
        <v>538</v>
      </c>
      <c r="P1653" s="106">
        <v>547</v>
      </c>
      <c r="Q1653" s="106">
        <v>554.04999999999995</v>
      </c>
      <c r="R1653">
        <v>5252586</v>
      </c>
    </row>
    <row r="1654" spans="1:18" x14ac:dyDescent="0.25">
      <c r="A1654" s="143">
        <v>44440</v>
      </c>
      <c r="B1654" s="106">
        <v>576.1</v>
      </c>
      <c r="C1654" s="106">
        <v>569.20000000000005</v>
      </c>
      <c r="D1654" s="106">
        <v>551.95000000000005</v>
      </c>
      <c r="E1654" s="106">
        <v>554.04999999999995</v>
      </c>
      <c r="F1654" s="106">
        <v>569.20000000000005</v>
      </c>
      <c r="G1654">
        <v>113169</v>
      </c>
      <c r="H1654" s="106"/>
      <c r="I1654" s="106"/>
      <c r="L1654" s="143">
        <v>44440</v>
      </c>
      <c r="M1654" s="106">
        <v>568.85</v>
      </c>
      <c r="N1654" s="106">
        <v>576</v>
      </c>
      <c r="O1654" s="106">
        <v>551.4</v>
      </c>
      <c r="P1654" s="106">
        <v>554</v>
      </c>
      <c r="Q1654" s="106">
        <v>568.85</v>
      </c>
      <c r="R1654">
        <v>3711331</v>
      </c>
    </row>
    <row r="1655" spans="1:18" x14ac:dyDescent="0.25">
      <c r="A1655" s="143">
        <v>44441</v>
      </c>
      <c r="B1655" s="106">
        <v>588.15</v>
      </c>
      <c r="C1655" s="106">
        <v>582</v>
      </c>
      <c r="D1655" s="106">
        <v>565.6</v>
      </c>
      <c r="E1655" s="106">
        <v>569</v>
      </c>
      <c r="F1655" s="106">
        <v>582</v>
      </c>
      <c r="G1655">
        <v>215143</v>
      </c>
      <c r="H1655" s="106"/>
      <c r="I1655" s="106"/>
      <c r="L1655" s="143">
        <v>44441</v>
      </c>
      <c r="M1655" s="106">
        <v>582.85</v>
      </c>
      <c r="N1655" s="106">
        <v>588.29999999999995</v>
      </c>
      <c r="O1655" s="106">
        <v>565.5</v>
      </c>
      <c r="P1655" s="106">
        <v>567</v>
      </c>
      <c r="Q1655" s="106">
        <v>582.85</v>
      </c>
      <c r="R1655">
        <v>2429494</v>
      </c>
    </row>
    <row r="1656" spans="1:18" x14ac:dyDescent="0.25">
      <c r="A1656" s="143">
        <v>44442</v>
      </c>
      <c r="B1656" s="106">
        <v>598.4</v>
      </c>
      <c r="C1656" s="106">
        <v>570.75</v>
      </c>
      <c r="D1656" s="106">
        <v>568.04999999999995</v>
      </c>
      <c r="E1656" s="106">
        <v>583</v>
      </c>
      <c r="F1656" s="106">
        <v>570.75</v>
      </c>
      <c r="G1656">
        <v>99178</v>
      </c>
      <c r="H1656" s="106"/>
      <c r="I1656" s="106"/>
      <c r="L1656" s="143">
        <v>44442</v>
      </c>
      <c r="M1656" s="106">
        <v>571.45000000000005</v>
      </c>
      <c r="N1656" s="106">
        <v>598.6</v>
      </c>
      <c r="O1656" s="106">
        <v>568</v>
      </c>
      <c r="P1656" s="106">
        <v>582.85</v>
      </c>
      <c r="Q1656" s="106">
        <v>571.45000000000005</v>
      </c>
      <c r="R1656">
        <v>2631645</v>
      </c>
    </row>
    <row r="1657" spans="1:18" x14ac:dyDescent="0.25">
      <c r="A1657" s="143">
        <v>44445</v>
      </c>
      <c r="B1657" s="106">
        <v>578.75</v>
      </c>
      <c r="C1657" s="106">
        <v>571</v>
      </c>
      <c r="D1657" s="106">
        <v>568</v>
      </c>
      <c r="E1657" s="106">
        <v>568</v>
      </c>
      <c r="F1657" s="106">
        <v>571</v>
      </c>
      <c r="G1657">
        <v>40092</v>
      </c>
      <c r="H1657" s="106"/>
      <c r="I1657" s="106"/>
      <c r="L1657" s="143">
        <v>44445</v>
      </c>
      <c r="M1657" s="106">
        <v>570.85</v>
      </c>
      <c r="N1657" s="106">
        <v>579.15</v>
      </c>
      <c r="O1657" s="106">
        <v>568.20000000000005</v>
      </c>
      <c r="P1657" s="106">
        <v>570</v>
      </c>
      <c r="Q1657" s="106">
        <v>570.85</v>
      </c>
      <c r="R1657">
        <v>1397164</v>
      </c>
    </row>
    <row r="1658" spans="1:18" x14ac:dyDescent="0.25">
      <c r="A1658" s="143">
        <v>44446</v>
      </c>
      <c r="B1658" s="106">
        <v>580.75</v>
      </c>
      <c r="C1658" s="106">
        <v>574.5</v>
      </c>
      <c r="D1658" s="106">
        <v>561.54999999999995</v>
      </c>
      <c r="E1658" s="106">
        <v>574.85</v>
      </c>
      <c r="F1658" s="106">
        <v>574.5</v>
      </c>
      <c r="G1658">
        <v>116164</v>
      </c>
      <c r="H1658" s="106"/>
      <c r="I1658" s="106"/>
      <c r="L1658" s="143">
        <v>44446</v>
      </c>
      <c r="M1658" s="106">
        <v>574.45000000000005</v>
      </c>
      <c r="N1658" s="106">
        <v>580.75</v>
      </c>
      <c r="O1658" s="106">
        <v>561.75</v>
      </c>
      <c r="P1658" s="106">
        <v>572</v>
      </c>
      <c r="Q1658" s="106">
        <v>574.45000000000005</v>
      </c>
      <c r="R1658">
        <v>1525560</v>
      </c>
    </row>
    <row r="1659" spans="1:18" x14ac:dyDescent="0.25">
      <c r="A1659" s="143">
        <v>44447</v>
      </c>
      <c r="B1659" s="106">
        <v>583.75</v>
      </c>
      <c r="C1659" s="106">
        <v>576.6</v>
      </c>
      <c r="D1659" s="106">
        <v>567</v>
      </c>
      <c r="E1659" s="106">
        <v>574.85</v>
      </c>
      <c r="F1659" s="106">
        <v>576.6</v>
      </c>
      <c r="G1659">
        <v>73449</v>
      </c>
      <c r="H1659" s="106"/>
      <c r="I1659" s="106"/>
      <c r="L1659" s="143">
        <v>44447</v>
      </c>
      <c r="M1659" s="106">
        <v>577.1</v>
      </c>
      <c r="N1659" s="106">
        <v>583.79999999999995</v>
      </c>
      <c r="O1659" s="106">
        <v>566.9</v>
      </c>
      <c r="P1659" s="106">
        <v>578.5</v>
      </c>
      <c r="Q1659" s="106">
        <v>577.1</v>
      </c>
      <c r="R1659">
        <v>1467068</v>
      </c>
    </row>
    <row r="1660" spans="1:18" x14ac:dyDescent="0.25">
      <c r="A1660" s="143">
        <v>44448</v>
      </c>
      <c r="B1660" s="106">
        <v>577</v>
      </c>
      <c r="C1660" s="106">
        <v>568.04999999999995</v>
      </c>
      <c r="D1660" s="106">
        <v>560.45000000000005</v>
      </c>
      <c r="E1660" s="106">
        <v>577</v>
      </c>
      <c r="F1660" s="106">
        <v>568.04999999999995</v>
      </c>
      <c r="G1660">
        <v>42700</v>
      </c>
      <c r="H1660" s="106"/>
      <c r="I1660" s="106"/>
      <c r="L1660" s="143">
        <v>44448</v>
      </c>
      <c r="M1660" s="106">
        <v>568.25</v>
      </c>
      <c r="N1660" s="106">
        <v>577</v>
      </c>
      <c r="O1660" s="106">
        <v>560.4</v>
      </c>
      <c r="P1660" s="106">
        <v>577</v>
      </c>
      <c r="Q1660" s="106">
        <v>568.25</v>
      </c>
      <c r="R1660">
        <v>1416634</v>
      </c>
    </row>
    <row r="1661" spans="1:18" x14ac:dyDescent="0.25">
      <c r="A1661" s="143">
        <v>44452</v>
      </c>
      <c r="B1661" s="106">
        <v>588</v>
      </c>
      <c r="C1661" s="106">
        <v>584.25</v>
      </c>
      <c r="D1661" s="106">
        <v>560.85</v>
      </c>
      <c r="E1661" s="106">
        <v>565.15</v>
      </c>
      <c r="F1661" s="106">
        <v>584.25</v>
      </c>
      <c r="G1661">
        <v>117773</v>
      </c>
      <c r="H1661" s="106"/>
      <c r="I1661" s="106"/>
      <c r="L1661" s="143">
        <v>44452</v>
      </c>
      <c r="M1661" s="106">
        <v>584.4</v>
      </c>
      <c r="N1661" s="106">
        <v>588.70000000000005</v>
      </c>
      <c r="O1661" s="106">
        <v>560.15</v>
      </c>
      <c r="P1661" s="106">
        <v>567.9</v>
      </c>
      <c r="Q1661" s="106">
        <v>584.4</v>
      </c>
      <c r="R1661">
        <v>2602977</v>
      </c>
    </row>
    <row r="1662" spans="1:18" x14ac:dyDescent="0.25">
      <c r="A1662" s="143">
        <v>44453</v>
      </c>
      <c r="B1662" s="106">
        <v>593.5</v>
      </c>
      <c r="C1662" s="106">
        <v>581.20000000000005</v>
      </c>
      <c r="D1662" s="106">
        <v>579.35</v>
      </c>
      <c r="E1662" s="106">
        <v>587.15</v>
      </c>
      <c r="F1662" s="106">
        <v>581.20000000000005</v>
      </c>
      <c r="G1662">
        <v>181739</v>
      </c>
      <c r="H1662" s="106"/>
      <c r="I1662" s="106"/>
      <c r="L1662" s="143">
        <v>44453</v>
      </c>
      <c r="M1662" s="106">
        <v>581.25</v>
      </c>
      <c r="N1662" s="106">
        <v>595</v>
      </c>
      <c r="O1662" s="106">
        <v>579.45000000000005</v>
      </c>
      <c r="P1662" s="106">
        <v>590</v>
      </c>
      <c r="Q1662" s="106">
        <v>581.25</v>
      </c>
      <c r="R1662">
        <v>2256309</v>
      </c>
    </row>
    <row r="1663" spans="1:18" x14ac:dyDescent="0.25">
      <c r="A1663" s="143">
        <v>44454</v>
      </c>
      <c r="B1663" s="106">
        <v>583.9</v>
      </c>
      <c r="C1663" s="106">
        <v>579.95000000000005</v>
      </c>
      <c r="D1663" s="106">
        <v>577.5</v>
      </c>
      <c r="E1663" s="106">
        <v>580.29999999999995</v>
      </c>
      <c r="F1663" s="106">
        <v>579.95000000000005</v>
      </c>
      <c r="G1663">
        <v>39699</v>
      </c>
      <c r="H1663" s="106"/>
      <c r="I1663" s="106"/>
      <c r="L1663" s="143">
        <v>44454</v>
      </c>
      <c r="M1663" s="106">
        <v>580</v>
      </c>
      <c r="N1663" s="106">
        <v>583.85</v>
      </c>
      <c r="O1663" s="106">
        <v>577.5</v>
      </c>
      <c r="P1663" s="106">
        <v>582.5</v>
      </c>
      <c r="Q1663" s="106">
        <v>580</v>
      </c>
      <c r="R1663">
        <v>1023993</v>
      </c>
    </row>
    <row r="1664" spans="1:18" x14ac:dyDescent="0.25">
      <c r="A1664" s="143">
        <v>44455</v>
      </c>
      <c r="B1664" s="106">
        <v>617.54999999999995</v>
      </c>
      <c r="C1664" s="106">
        <v>609.6</v>
      </c>
      <c r="D1664" s="106">
        <v>578.95000000000005</v>
      </c>
      <c r="E1664" s="106">
        <v>585.29999999999995</v>
      </c>
      <c r="F1664" s="106">
        <v>609.6</v>
      </c>
      <c r="G1664">
        <v>233161</v>
      </c>
      <c r="H1664" s="106"/>
      <c r="I1664" s="106"/>
      <c r="L1664" s="143">
        <v>44455</v>
      </c>
      <c r="M1664" s="106">
        <v>609.4</v>
      </c>
      <c r="N1664" s="106">
        <v>617.79999999999995</v>
      </c>
      <c r="O1664" s="106">
        <v>578.5</v>
      </c>
      <c r="P1664" s="106">
        <v>582.6</v>
      </c>
      <c r="Q1664" s="106">
        <v>609.4</v>
      </c>
      <c r="R1664">
        <v>5400892</v>
      </c>
    </row>
    <row r="1665" spans="1:18" x14ac:dyDescent="0.25">
      <c r="A1665" s="143">
        <v>44456</v>
      </c>
      <c r="B1665" s="106">
        <v>620.75</v>
      </c>
      <c r="C1665" s="106">
        <v>606.6</v>
      </c>
      <c r="D1665" s="106">
        <v>591.9</v>
      </c>
      <c r="E1665" s="106">
        <v>611.70000000000005</v>
      </c>
      <c r="F1665" s="106">
        <v>606.6</v>
      </c>
      <c r="G1665">
        <v>237259</v>
      </c>
      <c r="H1665" s="106"/>
      <c r="I1665" s="106"/>
      <c r="L1665" s="143">
        <v>44456</v>
      </c>
      <c r="M1665" s="106">
        <v>606.85</v>
      </c>
      <c r="N1665" s="106">
        <v>620.75</v>
      </c>
      <c r="O1665" s="106">
        <v>591.70000000000005</v>
      </c>
      <c r="P1665" s="106">
        <v>613.85</v>
      </c>
      <c r="Q1665" s="106">
        <v>606.85</v>
      </c>
      <c r="R1665">
        <v>3593022</v>
      </c>
    </row>
    <row r="1666" spans="1:18" x14ac:dyDescent="0.25">
      <c r="A1666" s="143">
        <v>44459</v>
      </c>
      <c r="B1666" s="106">
        <v>606.25</v>
      </c>
      <c r="C1666" s="106">
        <v>587.1</v>
      </c>
      <c r="D1666" s="106">
        <v>581.79999999999995</v>
      </c>
      <c r="E1666" s="106">
        <v>598.65</v>
      </c>
      <c r="F1666" s="106">
        <v>587.1</v>
      </c>
      <c r="G1666">
        <v>57369</v>
      </c>
      <c r="H1666" s="106"/>
      <c r="I1666" s="106"/>
      <c r="L1666" s="143">
        <v>44459</v>
      </c>
      <c r="M1666" s="106">
        <v>587.35</v>
      </c>
      <c r="N1666" s="106">
        <v>606.54999999999995</v>
      </c>
      <c r="O1666" s="106">
        <v>582</v>
      </c>
      <c r="P1666" s="106">
        <v>600</v>
      </c>
      <c r="Q1666" s="106">
        <v>587.35</v>
      </c>
      <c r="R1666">
        <v>1397415</v>
      </c>
    </row>
    <row r="1667" spans="1:18" x14ac:dyDescent="0.25">
      <c r="A1667" s="143">
        <v>44460</v>
      </c>
      <c r="B1667" s="106">
        <v>591.20000000000005</v>
      </c>
      <c r="C1667" s="106">
        <v>578.6</v>
      </c>
      <c r="D1667" s="106">
        <v>565.04999999999995</v>
      </c>
      <c r="E1667" s="106">
        <v>578.5</v>
      </c>
      <c r="F1667" s="106">
        <v>578.6</v>
      </c>
      <c r="G1667">
        <v>65525</v>
      </c>
      <c r="H1667" s="106"/>
      <c r="I1667" s="106"/>
      <c r="L1667" s="143">
        <v>44460</v>
      </c>
      <c r="M1667" s="106">
        <v>578.35</v>
      </c>
      <c r="N1667" s="106">
        <v>591.15</v>
      </c>
      <c r="O1667" s="106">
        <v>564.6</v>
      </c>
      <c r="P1667" s="106">
        <v>584</v>
      </c>
      <c r="Q1667" s="106">
        <v>578.35</v>
      </c>
      <c r="R1667">
        <v>2632441</v>
      </c>
    </row>
    <row r="1668" spans="1:18" x14ac:dyDescent="0.25">
      <c r="A1668" s="143">
        <v>44461</v>
      </c>
      <c r="B1668" s="106">
        <v>585.95000000000005</v>
      </c>
      <c r="C1668" s="106">
        <v>571.15</v>
      </c>
      <c r="D1668" s="106">
        <v>569</v>
      </c>
      <c r="E1668" s="106">
        <v>584</v>
      </c>
      <c r="F1668" s="106">
        <v>571.15</v>
      </c>
      <c r="G1668">
        <v>65095</v>
      </c>
      <c r="H1668" s="106"/>
      <c r="I1668" s="106"/>
      <c r="L1668" s="143">
        <v>44461</v>
      </c>
      <c r="M1668" s="106">
        <v>571.04999999999995</v>
      </c>
      <c r="N1668" s="106">
        <v>586</v>
      </c>
      <c r="O1668" s="106">
        <v>568.85</v>
      </c>
      <c r="P1668" s="106">
        <v>577</v>
      </c>
      <c r="Q1668" s="106">
        <v>571.04999999999995</v>
      </c>
      <c r="R1668">
        <v>2939574</v>
      </c>
    </row>
    <row r="1669" spans="1:18" x14ac:dyDescent="0.25">
      <c r="A1669" s="143">
        <v>44462</v>
      </c>
      <c r="B1669" s="106">
        <v>601.65</v>
      </c>
      <c r="C1669" s="106">
        <v>586</v>
      </c>
      <c r="D1669" s="106">
        <v>571.6</v>
      </c>
      <c r="E1669" s="106">
        <v>572</v>
      </c>
      <c r="F1669" s="106">
        <v>586</v>
      </c>
      <c r="G1669">
        <v>582503</v>
      </c>
      <c r="H1669" s="106"/>
      <c r="I1669" s="106"/>
      <c r="L1669" s="143">
        <v>44462</v>
      </c>
      <c r="M1669" s="106">
        <v>585.95000000000005</v>
      </c>
      <c r="N1669" s="106">
        <v>602</v>
      </c>
      <c r="O1669" s="106">
        <v>573</v>
      </c>
      <c r="P1669" s="106">
        <v>573.1</v>
      </c>
      <c r="Q1669" s="106">
        <v>585.95000000000005</v>
      </c>
      <c r="R1669">
        <v>3186741</v>
      </c>
    </row>
    <row r="1670" spans="1:18" x14ac:dyDescent="0.25">
      <c r="A1670" s="143">
        <v>44463</v>
      </c>
      <c r="B1670" s="106">
        <v>598</v>
      </c>
      <c r="C1670" s="106">
        <v>575.79999999999995</v>
      </c>
      <c r="D1670" s="106">
        <v>573.95000000000005</v>
      </c>
      <c r="E1670" s="106">
        <v>586.85</v>
      </c>
      <c r="F1670" s="106">
        <v>575.79999999999995</v>
      </c>
      <c r="G1670">
        <v>56395</v>
      </c>
      <c r="H1670" s="106"/>
      <c r="I1670" s="106"/>
      <c r="L1670" s="143">
        <v>44463</v>
      </c>
      <c r="M1670" s="106">
        <v>576.1</v>
      </c>
      <c r="N1670" s="106">
        <v>597.4</v>
      </c>
      <c r="O1670" s="106">
        <v>574</v>
      </c>
      <c r="P1670" s="106">
        <v>591</v>
      </c>
      <c r="Q1670" s="106">
        <v>576.1</v>
      </c>
      <c r="R1670">
        <v>1829086</v>
      </c>
    </row>
    <row r="1671" spans="1:18" x14ac:dyDescent="0.25">
      <c r="A1671" s="143">
        <v>44466</v>
      </c>
      <c r="B1671" s="106">
        <v>581.5</v>
      </c>
      <c r="C1671" s="106">
        <v>572.25</v>
      </c>
      <c r="D1671" s="106">
        <v>568.85</v>
      </c>
      <c r="E1671" s="106">
        <v>575.79999999999995</v>
      </c>
      <c r="F1671" s="106">
        <v>572.25</v>
      </c>
      <c r="G1671">
        <v>40911</v>
      </c>
      <c r="H1671" s="106"/>
      <c r="I1671" s="106"/>
      <c r="L1671" s="143">
        <v>44466</v>
      </c>
      <c r="M1671" s="106">
        <v>572.15</v>
      </c>
      <c r="N1671" s="106">
        <v>581.85</v>
      </c>
      <c r="O1671" s="106">
        <v>568.9</v>
      </c>
      <c r="P1671" s="106">
        <v>578</v>
      </c>
      <c r="Q1671" s="106">
        <v>572.15</v>
      </c>
      <c r="R1671">
        <v>2072323</v>
      </c>
    </row>
    <row r="1672" spans="1:18" x14ac:dyDescent="0.25">
      <c r="A1672" s="143">
        <v>44467</v>
      </c>
      <c r="B1672" s="106">
        <v>578.35</v>
      </c>
      <c r="C1672" s="106">
        <v>555.70000000000005</v>
      </c>
      <c r="D1672" s="106">
        <v>551.25</v>
      </c>
      <c r="E1672" s="106">
        <v>574.04999999999995</v>
      </c>
      <c r="F1672" s="106">
        <v>555.70000000000005</v>
      </c>
      <c r="G1672">
        <v>83225</v>
      </c>
      <c r="H1672" s="106"/>
      <c r="I1672" s="106"/>
      <c r="L1672" s="143">
        <v>44467</v>
      </c>
      <c r="M1672" s="106">
        <v>554.75</v>
      </c>
      <c r="N1672" s="106">
        <v>576.9</v>
      </c>
      <c r="O1672" s="106">
        <v>551.04999999999995</v>
      </c>
      <c r="P1672" s="106">
        <v>575</v>
      </c>
      <c r="Q1672" s="106">
        <v>554.75</v>
      </c>
      <c r="R1672">
        <v>1920986</v>
      </c>
    </row>
    <row r="1673" spans="1:18" x14ac:dyDescent="0.25">
      <c r="A1673" s="143">
        <v>44468</v>
      </c>
      <c r="B1673" s="106">
        <v>577.6</v>
      </c>
      <c r="C1673" s="106">
        <v>573.35</v>
      </c>
      <c r="D1673" s="106">
        <v>544.54999999999995</v>
      </c>
      <c r="E1673" s="106">
        <v>557</v>
      </c>
      <c r="F1673" s="106">
        <v>573.35</v>
      </c>
      <c r="G1673">
        <v>110944</v>
      </c>
      <c r="H1673" s="106"/>
      <c r="I1673" s="106"/>
      <c r="L1673" s="143">
        <v>44468</v>
      </c>
      <c r="M1673" s="106">
        <v>573.45000000000005</v>
      </c>
      <c r="N1673" s="106">
        <v>577.85</v>
      </c>
      <c r="O1673" s="106">
        <v>544.1</v>
      </c>
      <c r="P1673" s="106">
        <v>554</v>
      </c>
      <c r="Q1673" s="106">
        <v>573.45000000000005</v>
      </c>
      <c r="R1673">
        <v>4750941</v>
      </c>
    </row>
    <row r="1674" spans="1:18" x14ac:dyDescent="0.25">
      <c r="A1674" s="143">
        <v>44469</v>
      </c>
      <c r="B1674" s="106">
        <v>580</v>
      </c>
      <c r="C1674" s="106">
        <v>563.6</v>
      </c>
      <c r="D1674" s="106">
        <v>562</v>
      </c>
      <c r="E1674" s="106">
        <v>579.70000000000005</v>
      </c>
      <c r="F1674" s="106">
        <v>563.6</v>
      </c>
      <c r="G1674">
        <v>50637</v>
      </c>
      <c r="H1674" s="106"/>
      <c r="I1674" s="106"/>
      <c r="L1674" s="143">
        <v>44469</v>
      </c>
      <c r="M1674" s="106">
        <v>564.25</v>
      </c>
      <c r="N1674" s="106">
        <v>580.6</v>
      </c>
      <c r="O1674" s="106">
        <v>562</v>
      </c>
      <c r="P1674" s="106">
        <v>578</v>
      </c>
      <c r="Q1674" s="106">
        <v>564.25</v>
      </c>
      <c r="R1674">
        <v>1727522</v>
      </c>
    </row>
    <row r="1675" spans="1:18" x14ac:dyDescent="0.25">
      <c r="A1675" s="143">
        <v>44470</v>
      </c>
      <c r="B1675" s="106">
        <v>567.5</v>
      </c>
      <c r="C1675" s="106">
        <v>558.5</v>
      </c>
      <c r="D1675" s="106">
        <v>556.1</v>
      </c>
      <c r="E1675" s="106">
        <v>564</v>
      </c>
      <c r="F1675" s="106">
        <v>558.5</v>
      </c>
      <c r="G1675">
        <v>46506</v>
      </c>
      <c r="H1675" s="106"/>
      <c r="I1675" s="106"/>
      <c r="L1675" s="143">
        <v>44470</v>
      </c>
      <c r="M1675" s="106">
        <v>558.65</v>
      </c>
      <c r="N1675" s="106">
        <v>568</v>
      </c>
      <c r="O1675" s="106">
        <v>556</v>
      </c>
      <c r="P1675" s="106">
        <v>564</v>
      </c>
      <c r="Q1675" s="106">
        <v>558.65</v>
      </c>
      <c r="R1675">
        <v>858829</v>
      </c>
    </row>
    <row r="1676" spans="1:18" x14ac:dyDescent="0.25">
      <c r="A1676" s="143">
        <v>44473</v>
      </c>
      <c r="B1676" s="106">
        <v>573.04999999999995</v>
      </c>
      <c r="C1676" s="106">
        <v>564.79999999999995</v>
      </c>
      <c r="D1676" s="106">
        <v>559</v>
      </c>
      <c r="E1676" s="106">
        <v>559</v>
      </c>
      <c r="F1676" s="106">
        <v>564.79999999999995</v>
      </c>
      <c r="G1676">
        <v>72186</v>
      </c>
      <c r="H1676" s="106"/>
      <c r="I1676" s="106"/>
      <c r="L1676" s="143">
        <v>44473</v>
      </c>
      <c r="M1676" s="106">
        <v>564.35</v>
      </c>
      <c r="N1676" s="106">
        <v>573.15</v>
      </c>
      <c r="O1676" s="106">
        <v>559.25</v>
      </c>
      <c r="P1676" s="106">
        <v>560.6</v>
      </c>
      <c r="Q1676" s="106">
        <v>564.35</v>
      </c>
      <c r="R1676">
        <v>2246455</v>
      </c>
    </row>
    <row r="1677" spans="1:18" x14ac:dyDescent="0.25">
      <c r="A1677" s="143">
        <v>44474</v>
      </c>
      <c r="B1677" s="106">
        <v>567.4</v>
      </c>
      <c r="C1677" s="106">
        <v>559.35</v>
      </c>
      <c r="D1677" s="106">
        <v>555.95000000000005</v>
      </c>
      <c r="E1677" s="106">
        <v>563.9</v>
      </c>
      <c r="F1677" s="106">
        <v>559.35</v>
      </c>
      <c r="G1677">
        <v>70789</v>
      </c>
      <c r="H1677" s="106"/>
      <c r="I1677" s="106"/>
      <c r="L1677" s="143">
        <v>44474</v>
      </c>
      <c r="M1677" s="106">
        <v>558.75</v>
      </c>
      <c r="N1677" s="106">
        <v>567.15</v>
      </c>
      <c r="O1677" s="106">
        <v>555.5</v>
      </c>
      <c r="P1677" s="106">
        <v>564</v>
      </c>
      <c r="Q1677" s="106">
        <v>558.75</v>
      </c>
      <c r="R1677">
        <v>1954471</v>
      </c>
    </row>
    <row r="1678" spans="1:18" x14ac:dyDescent="0.25">
      <c r="A1678" s="143">
        <v>44475</v>
      </c>
      <c r="B1678" s="106">
        <v>582.4</v>
      </c>
      <c r="C1678" s="106">
        <v>560.54999999999995</v>
      </c>
      <c r="D1678" s="106">
        <v>557.5</v>
      </c>
      <c r="E1678" s="106">
        <v>561</v>
      </c>
      <c r="F1678" s="106">
        <v>560.54999999999995</v>
      </c>
      <c r="G1678">
        <v>229301</v>
      </c>
      <c r="H1678" s="106"/>
      <c r="I1678" s="106"/>
      <c r="L1678" s="143">
        <v>44475</v>
      </c>
      <c r="M1678" s="106">
        <v>560.25</v>
      </c>
      <c r="N1678" s="106">
        <v>582.54999999999995</v>
      </c>
      <c r="O1678" s="106">
        <v>557.20000000000005</v>
      </c>
      <c r="P1678" s="106">
        <v>560.70000000000005</v>
      </c>
      <c r="Q1678" s="106">
        <v>560.25</v>
      </c>
      <c r="R1678">
        <v>2205904</v>
      </c>
    </row>
    <row r="1679" spans="1:18" x14ac:dyDescent="0.25">
      <c r="A1679" s="143">
        <v>44476</v>
      </c>
      <c r="B1679" s="106">
        <v>586</v>
      </c>
      <c r="C1679" s="106">
        <v>583.85</v>
      </c>
      <c r="D1679" s="106">
        <v>563.75</v>
      </c>
      <c r="E1679" s="106">
        <v>565</v>
      </c>
      <c r="F1679" s="106">
        <v>583.85</v>
      </c>
      <c r="G1679">
        <v>206498</v>
      </c>
      <c r="H1679" s="106"/>
      <c r="I1679" s="106"/>
      <c r="L1679" s="143">
        <v>44476</v>
      </c>
      <c r="M1679" s="106">
        <v>583.85</v>
      </c>
      <c r="N1679" s="106">
        <v>586.54999999999995</v>
      </c>
      <c r="O1679" s="106">
        <v>563.04999999999995</v>
      </c>
      <c r="P1679" s="106">
        <v>565.9</v>
      </c>
      <c r="Q1679" s="106">
        <v>583.85</v>
      </c>
      <c r="R1679">
        <v>2592321</v>
      </c>
    </row>
    <row r="1680" spans="1:18" x14ac:dyDescent="0.25">
      <c r="A1680" s="143">
        <v>44477</v>
      </c>
      <c r="B1680" s="106">
        <v>585.54999999999995</v>
      </c>
      <c r="C1680" s="106">
        <v>569.65</v>
      </c>
      <c r="D1680" s="106">
        <v>568</v>
      </c>
      <c r="E1680" s="106">
        <v>580.9</v>
      </c>
      <c r="F1680" s="106">
        <v>569.65</v>
      </c>
      <c r="G1680">
        <v>84926</v>
      </c>
      <c r="H1680" s="106"/>
      <c r="I1680" s="106"/>
      <c r="L1680" s="143">
        <v>44477</v>
      </c>
      <c r="M1680" s="106">
        <v>569.1</v>
      </c>
      <c r="N1680" s="106">
        <v>585.29999999999995</v>
      </c>
      <c r="O1680" s="106">
        <v>568</v>
      </c>
      <c r="P1680" s="106">
        <v>585</v>
      </c>
      <c r="Q1680" s="106">
        <v>569.1</v>
      </c>
      <c r="R1680">
        <v>1462742</v>
      </c>
    </row>
    <row r="1681" spans="1:18" x14ac:dyDescent="0.25">
      <c r="A1681" s="143">
        <v>44480</v>
      </c>
      <c r="B1681" s="106">
        <v>579.79999999999995</v>
      </c>
      <c r="C1681" s="106">
        <v>570.29999999999995</v>
      </c>
      <c r="D1681" s="106">
        <v>564.5</v>
      </c>
      <c r="E1681" s="106">
        <v>564.5</v>
      </c>
      <c r="F1681" s="106">
        <v>570.29999999999995</v>
      </c>
      <c r="G1681">
        <v>455198</v>
      </c>
      <c r="H1681" s="106"/>
      <c r="I1681" s="106"/>
      <c r="L1681" s="143">
        <v>44480</v>
      </c>
      <c r="M1681" s="106">
        <v>570.35</v>
      </c>
      <c r="N1681" s="106">
        <v>580.1</v>
      </c>
      <c r="O1681" s="106">
        <v>566</v>
      </c>
      <c r="P1681" s="106">
        <v>566</v>
      </c>
      <c r="Q1681" s="106">
        <v>570.35</v>
      </c>
      <c r="R1681">
        <v>1104683</v>
      </c>
    </row>
    <row r="1682" spans="1:18" x14ac:dyDescent="0.25">
      <c r="A1682" s="143">
        <v>44481</v>
      </c>
      <c r="B1682" s="106">
        <v>576.35</v>
      </c>
      <c r="C1682" s="106">
        <v>573.35</v>
      </c>
      <c r="D1682" s="106">
        <v>566.75</v>
      </c>
      <c r="E1682" s="106">
        <v>575</v>
      </c>
      <c r="F1682" s="106">
        <v>573.35</v>
      </c>
      <c r="G1682">
        <v>46509</v>
      </c>
      <c r="H1682" s="106"/>
      <c r="I1682" s="106"/>
      <c r="L1682" s="143">
        <v>44481</v>
      </c>
      <c r="M1682" s="106">
        <v>573.1</v>
      </c>
      <c r="N1682" s="106">
        <v>576.70000000000005</v>
      </c>
      <c r="O1682" s="106">
        <v>566.65</v>
      </c>
      <c r="P1682" s="106">
        <v>571.75</v>
      </c>
      <c r="Q1682" s="106">
        <v>573.1</v>
      </c>
      <c r="R1682">
        <v>1139526</v>
      </c>
    </row>
    <row r="1683" spans="1:18" x14ac:dyDescent="0.25">
      <c r="A1683" s="143">
        <v>44482</v>
      </c>
      <c r="B1683" s="106">
        <v>600</v>
      </c>
      <c r="C1683" s="106">
        <v>595.4</v>
      </c>
      <c r="D1683" s="106">
        <v>571</v>
      </c>
      <c r="E1683" s="106">
        <v>577.5</v>
      </c>
      <c r="F1683" s="106">
        <v>595.4</v>
      </c>
      <c r="G1683">
        <v>241953</v>
      </c>
      <c r="H1683" s="106"/>
      <c r="I1683" s="106"/>
      <c r="L1683" s="143">
        <v>44482</v>
      </c>
      <c r="M1683" s="106">
        <v>594.5</v>
      </c>
      <c r="N1683" s="106">
        <v>600.4</v>
      </c>
      <c r="O1683" s="106">
        <v>573.15</v>
      </c>
      <c r="P1683" s="106">
        <v>576.15</v>
      </c>
      <c r="Q1683" s="106">
        <v>594.5</v>
      </c>
      <c r="R1683">
        <v>2968636</v>
      </c>
    </row>
    <row r="1684" spans="1:18" x14ac:dyDescent="0.25">
      <c r="A1684" s="143">
        <v>44483</v>
      </c>
      <c r="B1684" s="106">
        <v>609.65</v>
      </c>
      <c r="C1684" s="106">
        <v>594.9</v>
      </c>
      <c r="D1684" s="106">
        <v>586.29999999999995</v>
      </c>
      <c r="E1684" s="106">
        <v>597.5</v>
      </c>
      <c r="F1684" s="106">
        <v>594.9</v>
      </c>
      <c r="G1684">
        <v>644452</v>
      </c>
      <c r="H1684" s="106"/>
      <c r="I1684" s="106"/>
      <c r="L1684" s="143">
        <v>44483</v>
      </c>
      <c r="M1684" s="106">
        <v>594</v>
      </c>
      <c r="N1684" s="106">
        <v>609.95000000000005</v>
      </c>
      <c r="O1684" s="106">
        <v>586.25</v>
      </c>
      <c r="P1684" s="106">
        <v>596</v>
      </c>
      <c r="Q1684" s="106">
        <v>594</v>
      </c>
      <c r="R1684">
        <v>3279153</v>
      </c>
    </row>
    <row r="1685" spans="1:18" x14ac:dyDescent="0.25">
      <c r="A1685" s="143">
        <v>44487</v>
      </c>
      <c r="B1685" s="106">
        <v>610</v>
      </c>
      <c r="C1685" s="106">
        <v>599.15</v>
      </c>
      <c r="D1685" s="106">
        <v>587.35</v>
      </c>
      <c r="E1685" s="106">
        <v>588.04999999999995</v>
      </c>
      <c r="F1685" s="106">
        <v>599.15</v>
      </c>
      <c r="G1685">
        <v>151817</v>
      </c>
      <c r="H1685" s="106"/>
      <c r="I1685" s="106"/>
      <c r="L1685" s="143">
        <v>44487</v>
      </c>
      <c r="M1685" s="106">
        <v>598.75</v>
      </c>
      <c r="N1685" s="106">
        <v>610</v>
      </c>
      <c r="O1685" s="106">
        <v>586.9</v>
      </c>
      <c r="P1685" s="106">
        <v>594</v>
      </c>
      <c r="Q1685" s="106">
        <v>598.75</v>
      </c>
      <c r="R1685">
        <v>2760568</v>
      </c>
    </row>
    <row r="1686" spans="1:18" x14ac:dyDescent="0.25">
      <c r="A1686" s="143">
        <v>44488</v>
      </c>
      <c r="B1686" s="106">
        <v>633.54999999999995</v>
      </c>
      <c r="C1686" s="106">
        <v>608.75</v>
      </c>
      <c r="D1686" s="106">
        <v>589.29999999999995</v>
      </c>
      <c r="E1686" s="106">
        <v>597.1</v>
      </c>
      <c r="F1686" s="106">
        <v>608.75</v>
      </c>
      <c r="G1686">
        <v>309364</v>
      </c>
      <c r="H1686" s="106"/>
      <c r="I1686" s="106"/>
      <c r="L1686" s="143">
        <v>44488</v>
      </c>
      <c r="M1686" s="106">
        <v>608.25</v>
      </c>
      <c r="N1686" s="106">
        <v>634</v>
      </c>
      <c r="O1686" s="106">
        <v>588.95000000000005</v>
      </c>
      <c r="P1686" s="106">
        <v>600.5</v>
      </c>
      <c r="Q1686" s="106">
        <v>608.25</v>
      </c>
      <c r="R1686">
        <v>4247224</v>
      </c>
    </row>
    <row r="1687" spans="1:18" x14ac:dyDescent="0.25">
      <c r="A1687" s="143">
        <v>44489</v>
      </c>
      <c r="B1687" s="106">
        <v>615.85</v>
      </c>
      <c r="C1687" s="106">
        <v>594.75</v>
      </c>
      <c r="D1687" s="106">
        <v>590.20000000000005</v>
      </c>
      <c r="E1687" s="106">
        <v>610.5</v>
      </c>
      <c r="F1687" s="106">
        <v>594.75</v>
      </c>
      <c r="G1687">
        <v>532066</v>
      </c>
      <c r="H1687" s="106"/>
      <c r="I1687" s="106"/>
      <c r="L1687" s="143">
        <v>44489</v>
      </c>
      <c r="M1687" s="106">
        <v>594.79999999999995</v>
      </c>
      <c r="N1687" s="106">
        <v>616.1</v>
      </c>
      <c r="O1687" s="106">
        <v>590.04999999999995</v>
      </c>
      <c r="P1687" s="106">
        <v>610.29999999999995</v>
      </c>
      <c r="Q1687" s="106">
        <v>594.79999999999995</v>
      </c>
      <c r="R1687">
        <v>2395624</v>
      </c>
    </row>
    <row r="1688" spans="1:18" x14ac:dyDescent="0.25">
      <c r="A1688" s="143">
        <v>44490</v>
      </c>
      <c r="B1688" s="106">
        <v>623.85</v>
      </c>
      <c r="C1688" s="106">
        <v>614.04999999999995</v>
      </c>
      <c r="D1688" s="106">
        <v>592.75</v>
      </c>
      <c r="E1688" s="106">
        <v>596</v>
      </c>
      <c r="F1688" s="106">
        <v>614.04999999999995</v>
      </c>
      <c r="G1688">
        <v>155670</v>
      </c>
      <c r="H1688" s="106"/>
      <c r="I1688" s="106"/>
      <c r="L1688" s="143">
        <v>44490</v>
      </c>
      <c r="M1688" s="106">
        <v>614.15</v>
      </c>
      <c r="N1688" s="106">
        <v>623.9</v>
      </c>
      <c r="O1688" s="106">
        <v>592</v>
      </c>
      <c r="P1688" s="106">
        <v>600.70000000000005</v>
      </c>
      <c r="Q1688" s="106">
        <v>614.15</v>
      </c>
      <c r="R1688">
        <v>4177273</v>
      </c>
    </row>
    <row r="1689" spans="1:18" x14ac:dyDescent="0.25">
      <c r="A1689" s="143">
        <v>44491</v>
      </c>
      <c r="B1689" s="106">
        <v>622</v>
      </c>
      <c r="C1689" s="106">
        <v>597.45000000000005</v>
      </c>
      <c r="D1689" s="106">
        <v>594.20000000000005</v>
      </c>
      <c r="E1689" s="106">
        <v>618.29999999999995</v>
      </c>
      <c r="F1689" s="106">
        <v>597.45000000000005</v>
      </c>
      <c r="G1689">
        <v>175554</v>
      </c>
      <c r="H1689" s="106"/>
      <c r="I1689" s="106"/>
      <c r="L1689" s="143">
        <v>44491</v>
      </c>
      <c r="M1689" s="106">
        <v>598.4</v>
      </c>
      <c r="N1689" s="106">
        <v>620.29999999999995</v>
      </c>
      <c r="O1689" s="106">
        <v>594.20000000000005</v>
      </c>
      <c r="P1689" s="106">
        <v>614</v>
      </c>
      <c r="Q1689" s="106">
        <v>598.4</v>
      </c>
      <c r="R1689">
        <v>3648203</v>
      </c>
    </row>
    <row r="1690" spans="1:18" x14ac:dyDescent="0.25">
      <c r="A1690" s="143">
        <v>44494</v>
      </c>
      <c r="B1690" s="106">
        <v>601.6</v>
      </c>
      <c r="C1690" s="106">
        <v>577.4</v>
      </c>
      <c r="D1690" s="106">
        <v>561.85</v>
      </c>
      <c r="E1690" s="106">
        <v>594.79999999999995</v>
      </c>
      <c r="F1690" s="106">
        <v>577.4</v>
      </c>
      <c r="G1690">
        <v>93977</v>
      </c>
      <c r="H1690" s="106"/>
      <c r="I1690" s="106"/>
      <c r="L1690" s="143">
        <v>44494</v>
      </c>
      <c r="M1690" s="106">
        <v>577.29999999999995</v>
      </c>
      <c r="N1690" s="106">
        <v>602.20000000000005</v>
      </c>
      <c r="O1690" s="106">
        <v>561.25</v>
      </c>
      <c r="P1690" s="106">
        <v>600</v>
      </c>
      <c r="Q1690" s="106">
        <v>577.29999999999995</v>
      </c>
      <c r="R1690">
        <v>2083330</v>
      </c>
    </row>
    <row r="1691" spans="1:18" x14ac:dyDescent="0.25">
      <c r="A1691" s="143">
        <v>44495</v>
      </c>
      <c r="B1691" s="106">
        <v>611.54999999999995</v>
      </c>
      <c r="C1691" s="106">
        <v>603.85</v>
      </c>
      <c r="D1691" s="106">
        <v>574.95000000000005</v>
      </c>
      <c r="E1691" s="106">
        <v>574.95000000000005</v>
      </c>
      <c r="F1691" s="106">
        <v>603.85</v>
      </c>
      <c r="G1691">
        <v>194677</v>
      </c>
      <c r="H1691" s="106"/>
      <c r="I1691" s="106"/>
      <c r="L1691" s="143">
        <v>44495</v>
      </c>
      <c r="M1691" s="106">
        <v>604.9</v>
      </c>
      <c r="N1691" s="106">
        <v>611.75</v>
      </c>
      <c r="O1691" s="106">
        <v>578.35</v>
      </c>
      <c r="P1691" s="106">
        <v>578.45000000000005</v>
      </c>
      <c r="Q1691" s="106">
        <v>604.9</v>
      </c>
      <c r="R1691">
        <v>3596997</v>
      </c>
    </row>
    <row r="1692" spans="1:18" x14ac:dyDescent="0.25">
      <c r="A1692" s="143">
        <v>44496</v>
      </c>
      <c r="B1692" s="106">
        <v>630.6</v>
      </c>
      <c r="C1692" s="106">
        <v>623.5</v>
      </c>
      <c r="D1692" s="106">
        <v>603.5</v>
      </c>
      <c r="E1692" s="106">
        <v>610.5</v>
      </c>
      <c r="F1692" s="106">
        <v>623.5</v>
      </c>
      <c r="G1692">
        <v>97146</v>
      </c>
      <c r="H1692" s="106"/>
      <c r="I1692" s="106"/>
      <c r="L1692" s="143">
        <v>44496</v>
      </c>
      <c r="M1692" s="106">
        <v>623.5</v>
      </c>
      <c r="N1692" s="106">
        <v>631.25</v>
      </c>
      <c r="O1692" s="106">
        <v>603.29999999999995</v>
      </c>
      <c r="P1692" s="106">
        <v>607</v>
      </c>
      <c r="Q1692" s="106">
        <v>623.5</v>
      </c>
      <c r="R1692">
        <v>3816610</v>
      </c>
    </row>
    <row r="1693" spans="1:18" x14ac:dyDescent="0.25">
      <c r="A1693" s="143">
        <v>44497</v>
      </c>
      <c r="B1693" s="106">
        <v>630</v>
      </c>
      <c r="C1693" s="106">
        <v>609.65</v>
      </c>
      <c r="D1693" s="106">
        <v>604.25</v>
      </c>
      <c r="E1693" s="106">
        <v>627.35</v>
      </c>
      <c r="F1693" s="106">
        <v>609.65</v>
      </c>
      <c r="G1693">
        <v>122097</v>
      </c>
      <c r="H1693" s="106"/>
      <c r="I1693" s="106"/>
      <c r="L1693" s="143">
        <v>44497</v>
      </c>
      <c r="M1693" s="106">
        <v>609</v>
      </c>
      <c r="N1693" s="106">
        <v>630</v>
      </c>
      <c r="O1693" s="106">
        <v>603.5</v>
      </c>
      <c r="P1693" s="106">
        <v>622</v>
      </c>
      <c r="Q1693" s="106">
        <v>609</v>
      </c>
      <c r="R1693">
        <v>1790909</v>
      </c>
    </row>
    <row r="1694" spans="1:18" x14ac:dyDescent="0.25">
      <c r="A1694" s="143">
        <v>44498</v>
      </c>
      <c r="B1694" s="106">
        <v>633.75</v>
      </c>
      <c r="C1694" s="106">
        <v>615.95000000000005</v>
      </c>
      <c r="D1694" s="106">
        <v>586.9</v>
      </c>
      <c r="E1694" s="106">
        <v>586.9</v>
      </c>
      <c r="F1694" s="106">
        <v>615.95000000000005</v>
      </c>
      <c r="G1694">
        <v>291092</v>
      </c>
      <c r="H1694" s="106"/>
      <c r="I1694" s="106"/>
      <c r="L1694" s="143">
        <v>44498</v>
      </c>
      <c r="M1694" s="106">
        <v>614.75</v>
      </c>
      <c r="N1694" s="106">
        <v>634.04999999999995</v>
      </c>
      <c r="O1694" s="106">
        <v>588.75</v>
      </c>
      <c r="P1694" s="106">
        <v>609</v>
      </c>
      <c r="Q1694" s="106">
        <v>614.75</v>
      </c>
      <c r="R1694">
        <v>3373992</v>
      </c>
    </row>
    <row r="1695" spans="1:18" x14ac:dyDescent="0.25">
      <c r="A1695" s="143">
        <v>44501</v>
      </c>
      <c r="B1695" s="106">
        <v>632</v>
      </c>
      <c r="C1695" s="106">
        <v>588.5</v>
      </c>
      <c r="D1695" s="106">
        <v>555</v>
      </c>
      <c r="E1695" s="106">
        <v>628</v>
      </c>
      <c r="F1695" s="106">
        <v>588.5</v>
      </c>
      <c r="G1695">
        <v>597839</v>
      </c>
      <c r="H1695" s="106"/>
      <c r="I1695" s="106"/>
      <c r="L1695" s="143">
        <v>44501</v>
      </c>
      <c r="M1695" s="106">
        <v>588.65</v>
      </c>
      <c r="N1695" s="106">
        <v>631.70000000000005</v>
      </c>
      <c r="O1695" s="106">
        <v>554.20000000000005</v>
      </c>
      <c r="P1695" s="106">
        <v>630</v>
      </c>
      <c r="Q1695" s="106">
        <v>588.65</v>
      </c>
      <c r="R1695">
        <v>11275046</v>
      </c>
    </row>
    <row r="1696" spans="1:18" x14ac:dyDescent="0.25">
      <c r="A1696" s="143">
        <v>44502</v>
      </c>
      <c r="B1696" s="106">
        <v>613.6</v>
      </c>
      <c r="C1696" s="106">
        <v>609.75</v>
      </c>
      <c r="D1696" s="106">
        <v>586.85</v>
      </c>
      <c r="E1696" s="106">
        <v>590</v>
      </c>
      <c r="F1696" s="106">
        <v>609.75</v>
      </c>
      <c r="G1696">
        <v>78679</v>
      </c>
      <c r="H1696" s="106"/>
      <c r="I1696" s="106"/>
      <c r="L1696" s="143">
        <v>44502</v>
      </c>
      <c r="M1696" s="106">
        <v>609.79999999999995</v>
      </c>
      <c r="N1696" s="106">
        <v>613.54999999999995</v>
      </c>
      <c r="O1696" s="106">
        <v>586</v>
      </c>
      <c r="P1696" s="106">
        <v>588</v>
      </c>
      <c r="Q1696" s="106">
        <v>609.79999999999995</v>
      </c>
      <c r="R1696">
        <v>2877599</v>
      </c>
    </row>
    <row r="1697" spans="1:18" x14ac:dyDescent="0.25">
      <c r="A1697" s="143">
        <v>44503</v>
      </c>
      <c r="B1697" s="106">
        <v>617.20000000000005</v>
      </c>
      <c r="C1697" s="106">
        <v>612.45000000000005</v>
      </c>
      <c r="D1697" s="106">
        <v>605.25</v>
      </c>
      <c r="E1697" s="106">
        <v>606.95000000000005</v>
      </c>
      <c r="F1697" s="106">
        <v>612.45000000000005</v>
      </c>
      <c r="G1697">
        <v>63560</v>
      </c>
      <c r="H1697" s="106"/>
      <c r="I1697" s="106"/>
      <c r="L1697" s="143">
        <v>44503</v>
      </c>
      <c r="M1697" s="106">
        <v>612.85</v>
      </c>
      <c r="N1697" s="106">
        <v>617</v>
      </c>
      <c r="O1697" s="106">
        <v>605</v>
      </c>
      <c r="P1697" s="106">
        <v>605</v>
      </c>
      <c r="Q1697" s="106">
        <v>612.85</v>
      </c>
      <c r="R1697">
        <v>2025687</v>
      </c>
    </row>
    <row r="1698" spans="1:18" x14ac:dyDescent="0.25">
      <c r="A1698" s="143">
        <v>44504</v>
      </c>
      <c r="B1698" s="106">
        <v>619</v>
      </c>
      <c r="C1698" s="106">
        <v>615</v>
      </c>
      <c r="D1698" s="106">
        <v>612.45000000000005</v>
      </c>
      <c r="E1698" s="106">
        <v>618.70000000000005</v>
      </c>
      <c r="F1698" s="106">
        <v>615</v>
      </c>
      <c r="G1698">
        <v>8040</v>
      </c>
      <c r="H1698" s="106"/>
      <c r="I1698" s="106"/>
      <c r="L1698" s="143">
        <v>44504</v>
      </c>
      <c r="M1698" s="106">
        <v>615.04999999999995</v>
      </c>
      <c r="N1698" s="106">
        <v>619</v>
      </c>
      <c r="O1698" s="106">
        <v>609.54999999999995</v>
      </c>
      <c r="P1698" s="106">
        <v>615.79999999999995</v>
      </c>
      <c r="Q1698" s="106">
        <v>615.04999999999995</v>
      </c>
      <c r="R1698">
        <v>228055</v>
      </c>
    </row>
    <row r="1699" spans="1:18" x14ac:dyDescent="0.25">
      <c r="A1699" s="143">
        <v>44508</v>
      </c>
      <c r="B1699" s="106">
        <v>642</v>
      </c>
      <c r="C1699" s="106">
        <v>638.5</v>
      </c>
      <c r="D1699" s="106">
        <v>616</v>
      </c>
      <c r="E1699" s="106">
        <v>619.29999999999995</v>
      </c>
      <c r="F1699" s="106">
        <v>638.5</v>
      </c>
      <c r="G1699">
        <v>88932</v>
      </c>
      <c r="H1699" s="106"/>
      <c r="I1699" s="106"/>
      <c r="L1699" s="143">
        <v>44508</v>
      </c>
      <c r="M1699" s="106">
        <v>638.29999999999995</v>
      </c>
      <c r="N1699" s="106">
        <v>642.4</v>
      </c>
      <c r="O1699" s="106">
        <v>614.54999999999995</v>
      </c>
      <c r="P1699" s="106">
        <v>615</v>
      </c>
      <c r="Q1699" s="106">
        <v>638.29999999999995</v>
      </c>
      <c r="R1699">
        <v>2932399</v>
      </c>
    </row>
    <row r="1700" spans="1:18" x14ac:dyDescent="0.25">
      <c r="A1700" s="143">
        <v>44509</v>
      </c>
      <c r="B1700" s="106">
        <v>651</v>
      </c>
      <c r="C1700" s="106">
        <v>639.54999999999995</v>
      </c>
      <c r="D1700" s="106">
        <v>635</v>
      </c>
      <c r="E1700" s="106">
        <v>642</v>
      </c>
      <c r="F1700" s="106">
        <v>639.54999999999995</v>
      </c>
      <c r="G1700">
        <v>96875</v>
      </c>
      <c r="H1700" s="106"/>
      <c r="I1700" s="106"/>
      <c r="L1700" s="143">
        <v>44509</v>
      </c>
      <c r="M1700" s="106">
        <v>640</v>
      </c>
      <c r="N1700" s="106">
        <v>651.45000000000005</v>
      </c>
      <c r="O1700" s="106">
        <v>635</v>
      </c>
      <c r="P1700" s="106">
        <v>640</v>
      </c>
      <c r="Q1700" s="106">
        <v>640</v>
      </c>
      <c r="R1700">
        <v>2148352</v>
      </c>
    </row>
    <row r="1701" spans="1:18" x14ac:dyDescent="0.25">
      <c r="A1701" s="143">
        <v>44510</v>
      </c>
      <c r="B1701" s="106">
        <v>652.04999999999995</v>
      </c>
      <c r="C1701" s="106">
        <v>647.25</v>
      </c>
      <c r="D1701" s="106">
        <v>632.65</v>
      </c>
      <c r="E1701" s="106">
        <v>634.65</v>
      </c>
      <c r="F1701" s="106">
        <v>647.25</v>
      </c>
      <c r="G1701">
        <v>49763</v>
      </c>
      <c r="H1701" s="106"/>
      <c r="I1701" s="106"/>
      <c r="L1701" s="143">
        <v>44510</v>
      </c>
      <c r="M1701" s="106">
        <v>647.65</v>
      </c>
      <c r="N1701" s="106">
        <v>652.70000000000005</v>
      </c>
      <c r="O1701" s="106">
        <v>631</v>
      </c>
      <c r="P1701" s="106">
        <v>631</v>
      </c>
      <c r="Q1701" s="106">
        <v>647.65</v>
      </c>
      <c r="R1701">
        <v>1771230</v>
      </c>
    </row>
    <row r="1702" spans="1:18" x14ac:dyDescent="0.25">
      <c r="A1702" s="143">
        <v>44511</v>
      </c>
      <c r="B1702" s="106">
        <v>659.5</v>
      </c>
      <c r="C1702" s="106">
        <v>639.35</v>
      </c>
      <c r="D1702" s="106">
        <v>632.6</v>
      </c>
      <c r="E1702" s="106">
        <v>647</v>
      </c>
      <c r="F1702" s="106">
        <v>639.35</v>
      </c>
      <c r="G1702">
        <v>76853</v>
      </c>
      <c r="H1702" s="106"/>
      <c r="I1702" s="106"/>
      <c r="L1702" s="143">
        <v>44511</v>
      </c>
      <c r="M1702" s="106">
        <v>639.5</v>
      </c>
      <c r="N1702" s="106">
        <v>659.95</v>
      </c>
      <c r="O1702" s="106">
        <v>632.1</v>
      </c>
      <c r="P1702" s="106">
        <v>647.65</v>
      </c>
      <c r="Q1702" s="106">
        <v>639.5</v>
      </c>
      <c r="R1702">
        <v>3057739</v>
      </c>
    </row>
    <row r="1703" spans="1:18" x14ac:dyDescent="0.25">
      <c r="A1703" s="143">
        <v>44512</v>
      </c>
      <c r="B1703" s="106">
        <v>667.5</v>
      </c>
      <c r="C1703" s="106">
        <v>662.4</v>
      </c>
      <c r="D1703" s="106">
        <v>639.54999999999995</v>
      </c>
      <c r="E1703" s="106">
        <v>645.4</v>
      </c>
      <c r="F1703" s="106">
        <v>662.4</v>
      </c>
      <c r="G1703">
        <v>65721</v>
      </c>
      <c r="H1703" s="106"/>
      <c r="I1703" s="106"/>
      <c r="L1703" s="143">
        <v>44512</v>
      </c>
      <c r="M1703" s="106">
        <v>662.4</v>
      </c>
      <c r="N1703" s="106">
        <v>667.4</v>
      </c>
      <c r="O1703" s="106">
        <v>639.5</v>
      </c>
      <c r="P1703" s="106">
        <v>644.9</v>
      </c>
      <c r="Q1703" s="106">
        <v>662.4</v>
      </c>
      <c r="R1703">
        <v>3233137</v>
      </c>
    </row>
    <row r="1704" spans="1:18" x14ac:dyDescent="0.25">
      <c r="A1704" s="143">
        <v>44515</v>
      </c>
      <c r="B1704" s="106">
        <v>666</v>
      </c>
      <c r="C1704" s="106">
        <v>647.65</v>
      </c>
      <c r="D1704" s="106">
        <v>632</v>
      </c>
      <c r="E1704" s="106">
        <v>666</v>
      </c>
      <c r="F1704" s="106">
        <v>647.65</v>
      </c>
      <c r="G1704">
        <v>89808</v>
      </c>
      <c r="H1704" s="106"/>
      <c r="I1704" s="106"/>
      <c r="L1704" s="143">
        <v>44515</v>
      </c>
      <c r="M1704" s="106">
        <v>648.35</v>
      </c>
      <c r="N1704" s="106">
        <v>665</v>
      </c>
      <c r="O1704" s="106">
        <v>632</v>
      </c>
      <c r="P1704" s="106">
        <v>663</v>
      </c>
      <c r="Q1704" s="106">
        <v>648.35</v>
      </c>
      <c r="R1704">
        <v>3210559</v>
      </c>
    </row>
    <row r="1705" spans="1:18" x14ac:dyDescent="0.25">
      <c r="A1705" s="143">
        <v>44516</v>
      </c>
      <c r="B1705" s="106">
        <v>654</v>
      </c>
      <c r="C1705" s="106">
        <v>644.25</v>
      </c>
      <c r="D1705" s="106">
        <v>640.45000000000005</v>
      </c>
      <c r="E1705" s="106">
        <v>644</v>
      </c>
      <c r="F1705" s="106">
        <v>644.25</v>
      </c>
      <c r="G1705">
        <v>31289</v>
      </c>
      <c r="H1705" s="106"/>
      <c r="I1705" s="106"/>
      <c r="L1705" s="143">
        <v>44516</v>
      </c>
      <c r="M1705" s="106">
        <v>643.85</v>
      </c>
      <c r="N1705" s="106">
        <v>654</v>
      </c>
      <c r="O1705" s="106">
        <v>640</v>
      </c>
      <c r="P1705" s="106">
        <v>646.04999999999995</v>
      </c>
      <c r="Q1705" s="106">
        <v>643.85</v>
      </c>
      <c r="R1705">
        <v>2071850</v>
      </c>
    </row>
    <row r="1706" spans="1:18" x14ac:dyDescent="0.25">
      <c r="A1706" s="143">
        <v>44517</v>
      </c>
      <c r="B1706" s="106">
        <v>646</v>
      </c>
      <c r="C1706" s="106">
        <v>625.6</v>
      </c>
      <c r="D1706" s="106">
        <v>622.75</v>
      </c>
      <c r="E1706" s="106">
        <v>646</v>
      </c>
      <c r="F1706" s="106">
        <v>625.6</v>
      </c>
      <c r="G1706">
        <v>79362</v>
      </c>
      <c r="H1706" s="106"/>
      <c r="I1706" s="106"/>
      <c r="L1706" s="143">
        <v>44517</v>
      </c>
      <c r="M1706" s="106">
        <v>626.35</v>
      </c>
      <c r="N1706" s="106">
        <v>644.35</v>
      </c>
      <c r="O1706" s="106">
        <v>623</v>
      </c>
      <c r="P1706" s="106">
        <v>642</v>
      </c>
      <c r="Q1706" s="106">
        <v>626.35</v>
      </c>
      <c r="R1706">
        <v>2422452</v>
      </c>
    </row>
    <row r="1707" spans="1:18" x14ac:dyDescent="0.25">
      <c r="A1707" s="143">
        <v>44518</v>
      </c>
      <c r="B1707" s="106">
        <v>634.35</v>
      </c>
      <c r="C1707" s="106">
        <v>618.25</v>
      </c>
      <c r="D1707" s="106">
        <v>613.25</v>
      </c>
      <c r="E1707" s="106">
        <v>627.70000000000005</v>
      </c>
      <c r="F1707" s="106">
        <v>618.25</v>
      </c>
      <c r="G1707">
        <v>68306</v>
      </c>
      <c r="H1707" s="106"/>
      <c r="I1707" s="106"/>
      <c r="L1707" s="143">
        <v>44518</v>
      </c>
      <c r="M1707" s="106">
        <v>617.29999999999995</v>
      </c>
      <c r="N1707" s="106">
        <v>634.29999999999995</v>
      </c>
      <c r="O1707" s="106">
        <v>612.75</v>
      </c>
      <c r="P1707" s="106">
        <v>625.04999999999995</v>
      </c>
      <c r="Q1707" s="106">
        <v>617.29999999999995</v>
      </c>
      <c r="R1707">
        <v>1783991</v>
      </c>
    </row>
    <row r="1708" spans="1:18" x14ac:dyDescent="0.25">
      <c r="A1708" s="143">
        <v>44522</v>
      </c>
      <c r="B1708" s="106">
        <v>621.70000000000005</v>
      </c>
      <c r="C1708" s="106">
        <v>595.75</v>
      </c>
      <c r="D1708" s="106">
        <v>588.5</v>
      </c>
      <c r="E1708" s="106">
        <v>612.04999999999995</v>
      </c>
      <c r="F1708" s="106">
        <v>595.75</v>
      </c>
      <c r="G1708">
        <v>78666</v>
      </c>
      <c r="H1708" s="106"/>
      <c r="I1708" s="106"/>
      <c r="L1708" s="143">
        <v>44522</v>
      </c>
      <c r="M1708" s="106">
        <v>595.4</v>
      </c>
      <c r="N1708" s="106">
        <v>622.1</v>
      </c>
      <c r="O1708" s="106">
        <v>588</v>
      </c>
      <c r="P1708" s="106">
        <v>617.95000000000005</v>
      </c>
      <c r="Q1708" s="106">
        <v>595.4</v>
      </c>
      <c r="R1708">
        <v>1717703</v>
      </c>
    </row>
    <row r="1709" spans="1:18" x14ac:dyDescent="0.25">
      <c r="A1709" s="143">
        <v>44523</v>
      </c>
      <c r="B1709" s="106">
        <v>610.45000000000005</v>
      </c>
      <c r="C1709" s="106">
        <v>606.35</v>
      </c>
      <c r="D1709" s="106">
        <v>587.54999999999995</v>
      </c>
      <c r="E1709" s="106">
        <v>590</v>
      </c>
      <c r="F1709" s="106">
        <v>606.35</v>
      </c>
      <c r="G1709">
        <v>70135</v>
      </c>
      <c r="H1709" s="106"/>
      <c r="I1709" s="106"/>
      <c r="L1709" s="143">
        <v>44523</v>
      </c>
      <c r="M1709" s="106">
        <v>606.20000000000005</v>
      </c>
      <c r="N1709" s="106">
        <v>610.79999999999995</v>
      </c>
      <c r="O1709" s="106">
        <v>585.4</v>
      </c>
      <c r="P1709" s="106">
        <v>585.4</v>
      </c>
      <c r="Q1709" s="106">
        <v>606.20000000000005</v>
      </c>
      <c r="R1709">
        <v>2528257</v>
      </c>
    </row>
    <row r="1710" spans="1:18" x14ac:dyDescent="0.25">
      <c r="A1710" s="143">
        <v>44524</v>
      </c>
      <c r="B1710" s="106">
        <v>609.20000000000005</v>
      </c>
      <c r="C1710" s="106">
        <v>590.45000000000005</v>
      </c>
      <c r="D1710" s="106">
        <v>585.04999999999995</v>
      </c>
      <c r="E1710" s="106">
        <v>608.29999999999995</v>
      </c>
      <c r="F1710" s="106">
        <v>590.45000000000005</v>
      </c>
      <c r="G1710">
        <v>74107</v>
      </c>
      <c r="H1710" s="106"/>
      <c r="I1710" s="106"/>
      <c r="L1710" s="143">
        <v>44524</v>
      </c>
      <c r="M1710" s="106">
        <v>590.6</v>
      </c>
      <c r="N1710" s="106">
        <v>609.5</v>
      </c>
      <c r="O1710" s="106">
        <v>585.20000000000005</v>
      </c>
      <c r="P1710" s="106">
        <v>606.25</v>
      </c>
      <c r="Q1710" s="106">
        <v>590.6</v>
      </c>
      <c r="R1710">
        <v>1930305</v>
      </c>
    </row>
    <row r="1711" spans="1:18" x14ac:dyDescent="0.25">
      <c r="A1711" s="143">
        <v>44525</v>
      </c>
      <c r="B1711" s="106">
        <v>595.85</v>
      </c>
      <c r="C1711" s="106">
        <v>584.35</v>
      </c>
      <c r="D1711" s="106">
        <v>578.70000000000005</v>
      </c>
      <c r="E1711" s="106">
        <v>595.15</v>
      </c>
      <c r="F1711" s="106">
        <v>584.35</v>
      </c>
      <c r="G1711">
        <v>37812</v>
      </c>
      <c r="H1711" s="106"/>
      <c r="I1711" s="106"/>
      <c r="L1711" s="143">
        <v>44525</v>
      </c>
      <c r="M1711" s="106">
        <v>584.35</v>
      </c>
      <c r="N1711" s="106">
        <v>595.5</v>
      </c>
      <c r="O1711" s="106">
        <v>578.25</v>
      </c>
      <c r="P1711" s="106">
        <v>591</v>
      </c>
      <c r="Q1711" s="106">
        <v>584.35</v>
      </c>
      <c r="R1711">
        <v>1399436</v>
      </c>
    </row>
    <row r="1712" spans="1:18" x14ac:dyDescent="0.25">
      <c r="A1712" s="143">
        <v>44526</v>
      </c>
      <c r="B1712" s="106">
        <v>582</v>
      </c>
      <c r="C1712" s="106">
        <v>544.4</v>
      </c>
      <c r="D1712" s="106">
        <v>537.54999999999995</v>
      </c>
      <c r="E1712" s="106">
        <v>577.6</v>
      </c>
      <c r="F1712" s="106">
        <v>544.4</v>
      </c>
      <c r="G1712">
        <v>145976</v>
      </c>
      <c r="H1712" s="106"/>
      <c r="I1712" s="106"/>
      <c r="L1712" s="143">
        <v>44526</v>
      </c>
      <c r="M1712" s="106">
        <v>544.79999999999995</v>
      </c>
      <c r="N1712" s="106">
        <v>582.9</v>
      </c>
      <c r="O1712" s="106">
        <v>536.79999999999995</v>
      </c>
      <c r="P1712" s="106">
        <v>581.65</v>
      </c>
      <c r="Q1712" s="106">
        <v>544.79999999999995</v>
      </c>
      <c r="R1712">
        <v>5101440</v>
      </c>
    </row>
    <row r="1713" spans="1:18" x14ac:dyDescent="0.25">
      <c r="A1713" s="143">
        <v>44529</v>
      </c>
      <c r="B1713" s="106">
        <v>552.35</v>
      </c>
      <c r="C1713" s="106">
        <v>542.65</v>
      </c>
      <c r="D1713" s="106">
        <v>524.29999999999995</v>
      </c>
      <c r="E1713" s="106">
        <v>548.6</v>
      </c>
      <c r="F1713" s="106">
        <v>542.65</v>
      </c>
      <c r="G1713">
        <v>86335</v>
      </c>
      <c r="H1713" s="106"/>
      <c r="I1713" s="106"/>
      <c r="L1713" s="143">
        <v>44529</v>
      </c>
      <c r="M1713" s="106">
        <v>542.20000000000005</v>
      </c>
      <c r="N1713" s="106">
        <v>558</v>
      </c>
      <c r="O1713" s="106">
        <v>524.04999999999995</v>
      </c>
      <c r="P1713" s="106">
        <v>544.79999999999995</v>
      </c>
      <c r="Q1713" s="106">
        <v>542.20000000000005</v>
      </c>
      <c r="R1713">
        <v>3844070</v>
      </c>
    </row>
    <row r="1714" spans="1:18" x14ac:dyDescent="0.25">
      <c r="A1714" s="143">
        <v>44530</v>
      </c>
      <c r="B1714" s="106">
        <v>565.20000000000005</v>
      </c>
      <c r="C1714" s="106">
        <v>550.70000000000005</v>
      </c>
      <c r="D1714" s="106">
        <v>538</v>
      </c>
      <c r="E1714" s="106">
        <v>538</v>
      </c>
      <c r="F1714" s="106">
        <v>550.70000000000005</v>
      </c>
      <c r="G1714">
        <v>105521</v>
      </c>
      <c r="H1714" s="106"/>
      <c r="I1714" s="106"/>
      <c r="L1714" s="143">
        <v>44530</v>
      </c>
      <c r="M1714" s="106">
        <v>550.5</v>
      </c>
      <c r="N1714" s="106">
        <v>565.04999999999995</v>
      </c>
      <c r="O1714" s="106">
        <v>540</v>
      </c>
      <c r="P1714" s="106">
        <v>541</v>
      </c>
      <c r="Q1714" s="106">
        <v>550.5</v>
      </c>
      <c r="R1714">
        <v>3525992</v>
      </c>
    </row>
    <row r="1715" spans="1:18" x14ac:dyDescent="0.25">
      <c r="A1715" s="143">
        <v>44531</v>
      </c>
      <c r="B1715" s="106">
        <v>568.25</v>
      </c>
      <c r="C1715" s="106">
        <v>559.04999999999995</v>
      </c>
      <c r="D1715" s="106">
        <v>550.70000000000005</v>
      </c>
      <c r="E1715" s="106">
        <v>559.4</v>
      </c>
      <c r="F1715" s="106">
        <v>559.04999999999995</v>
      </c>
      <c r="G1715">
        <v>77318</v>
      </c>
      <c r="H1715" s="106"/>
      <c r="I1715" s="106"/>
      <c r="L1715" s="143">
        <v>44531</v>
      </c>
      <c r="M1715" s="106">
        <v>559.29999999999995</v>
      </c>
      <c r="N1715" s="106">
        <v>570</v>
      </c>
      <c r="O1715" s="106">
        <v>550.29999999999995</v>
      </c>
      <c r="P1715" s="106">
        <v>554</v>
      </c>
      <c r="Q1715" s="106">
        <v>559.29999999999995</v>
      </c>
      <c r="R1715">
        <v>1646944</v>
      </c>
    </row>
    <row r="1716" spans="1:18" x14ac:dyDescent="0.25">
      <c r="A1716" s="143">
        <v>44532</v>
      </c>
      <c r="B1716" s="106">
        <v>568.35</v>
      </c>
      <c r="C1716" s="106">
        <v>566.95000000000005</v>
      </c>
      <c r="D1716" s="106">
        <v>557.45000000000005</v>
      </c>
      <c r="E1716" s="106">
        <v>563.95000000000005</v>
      </c>
      <c r="F1716" s="106">
        <v>566.95000000000005</v>
      </c>
      <c r="G1716">
        <v>27069</v>
      </c>
      <c r="H1716" s="106"/>
      <c r="I1716" s="106"/>
      <c r="L1716" s="143">
        <v>44532</v>
      </c>
      <c r="M1716" s="106">
        <v>566.65</v>
      </c>
      <c r="N1716" s="106">
        <v>568.65</v>
      </c>
      <c r="O1716" s="106">
        <v>556.9</v>
      </c>
      <c r="P1716" s="106">
        <v>560.04999999999995</v>
      </c>
      <c r="Q1716" s="106">
        <v>566.65</v>
      </c>
      <c r="R1716">
        <v>1346915</v>
      </c>
    </row>
    <row r="1717" spans="1:18" x14ac:dyDescent="0.25">
      <c r="A1717" s="143">
        <v>44533</v>
      </c>
      <c r="B1717" s="106">
        <v>575.5</v>
      </c>
      <c r="C1717" s="106">
        <v>567.9</v>
      </c>
      <c r="D1717" s="106">
        <v>560.29999999999995</v>
      </c>
      <c r="E1717" s="106">
        <v>566</v>
      </c>
      <c r="F1717" s="106">
        <v>567.9</v>
      </c>
      <c r="G1717">
        <v>82153</v>
      </c>
      <c r="H1717" s="106"/>
      <c r="I1717" s="106"/>
      <c r="L1717" s="143">
        <v>44533</v>
      </c>
      <c r="M1717" s="106">
        <v>567.85</v>
      </c>
      <c r="N1717" s="106">
        <v>575.4</v>
      </c>
      <c r="O1717" s="106">
        <v>560.04999999999995</v>
      </c>
      <c r="P1717" s="106">
        <v>566.65</v>
      </c>
      <c r="Q1717" s="106">
        <v>567.85</v>
      </c>
      <c r="R1717">
        <v>1807177</v>
      </c>
    </row>
    <row r="1718" spans="1:18" x14ac:dyDescent="0.25">
      <c r="A1718" s="143">
        <v>44536</v>
      </c>
      <c r="B1718" s="106">
        <v>571.54999999999995</v>
      </c>
      <c r="C1718" s="106">
        <v>555.6</v>
      </c>
      <c r="D1718" s="106">
        <v>553</v>
      </c>
      <c r="E1718" s="106">
        <v>567.9</v>
      </c>
      <c r="F1718" s="106">
        <v>555.6</v>
      </c>
      <c r="G1718">
        <v>46871</v>
      </c>
      <c r="H1718" s="106"/>
      <c r="I1718" s="106"/>
      <c r="L1718" s="143">
        <v>44536</v>
      </c>
      <c r="M1718" s="106">
        <v>555.54999999999995</v>
      </c>
      <c r="N1718" s="106">
        <v>572.4</v>
      </c>
      <c r="O1718" s="106">
        <v>553.1</v>
      </c>
      <c r="P1718" s="106">
        <v>572.4</v>
      </c>
      <c r="Q1718" s="106">
        <v>555.54999999999995</v>
      </c>
      <c r="R1718">
        <v>654349</v>
      </c>
    </row>
    <row r="1719" spans="1:18" x14ac:dyDescent="0.25">
      <c r="A1719" s="143">
        <v>44537</v>
      </c>
      <c r="B1719" s="106">
        <v>571.04999999999995</v>
      </c>
      <c r="C1719" s="106">
        <v>562.4</v>
      </c>
      <c r="D1719" s="106">
        <v>555</v>
      </c>
      <c r="E1719" s="106">
        <v>555</v>
      </c>
      <c r="F1719" s="106">
        <v>562.4</v>
      </c>
      <c r="G1719">
        <v>39129</v>
      </c>
      <c r="H1719" s="106"/>
      <c r="I1719" s="106"/>
      <c r="L1719" s="143">
        <v>44537</v>
      </c>
      <c r="M1719" s="106">
        <v>562.35</v>
      </c>
      <c r="N1719" s="106">
        <v>571.5</v>
      </c>
      <c r="O1719" s="106">
        <v>558</v>
      </c>
      <c r="P1719" s="106">
        <v>558</v>
      </c>
      <c r="Q1719" s="106">
        <v>562.35</v>
      </c>
      <c r="R1719">
        <v>1190150</v>
      </c>
    </row>
    <row r="1720" spans="1:18" x14ac:dyDescent="0.25">
      <c r="A1720" s="143">
        <v>44538</v>
      </c>
      <c r="B1720" s="106">
        <v>573.9</v>
      </c>
      <c r="C1720" s="106">
        <v>568</v>
      </c>
      <c r="D1720" s="106">
        <v>560.35</v>
      </c>
      <c r="E1720" s="106">
        <v>569.79999999999995</v>
      </c>
      <c r="F1720" s="106">
        <v>568</v>
      </c>
      <c r="G1720">
        <v>44580</v>
      </c>
      <c r="H1720" s="106"/>
      <c r="I1720" s="106"/>
      <c r="L1720" s="143">
        <v>44538</v>
      </c>
      <c r="M1720" s="106">
        <v>568.15</v>
      </c>
      <c r="N1720" s="106">
        <v>574.15</v>
      </c>
      <c r="O1720" s="106">
        <v>560.5</v>
      </c>
      <c r="P1720" s="106">
        <v>565</v>
      </c>
      <c r="Q1720" s="106">
        <v>568.15</v>
      </c>
      <c r="R1720">
        <v>1098677</v>
      </c>
    </row>
    <row r="1721" spans="1:18" x14ac:dyDescent="0.25">
      <c r="A1721" s="143">
        <v>44539</v>
      </c>
      <c r="B1721" s="106">
        <v>582.15</v>
      </c>
      <c r="C1721" s="106">
        <v>577.6</v>
      </c>
      <c r="D1721" s="106">
        <v>567.15</v>
      </c>
      <c r="E1721" s="106">
        <v>575</v>
      </c>
      <c r="F1721" s="106">
        <v>577.6</v>
      </c>
      <c r="G1721">
        <v>38835</v>
      </c>
      <c r="H1721" s="106"/>
      <c r="I1721" s="106"/>
      <c r="L1721" s="143">
        <v>44539</v>
      </c>
      <c r="M1721" s="106">
        <v>577.6</v>
      </c>
      <c r="N1721" s="106">
        <v>582.35</v>
      </c>
      <c r="O1721" s="106">
        <v>567</v>
      </c>
      <c r="P1721" s="106">
        <v>571</v>
      </c>
      <c r="Q1721" s="106">
        <v>577.6</v>
      </c>
      <c r="R1721">
        <v>2744483</v>
      </c>
    </row>
    <row r="1722" spans="1:18" x14ac:dyDescent="0.25">
      <c r="A1722" s="143">
        <v>44540</v>
      </c>
      <c r="B1722" s="106">
        <v>581.15</v>
      </c>
      <c r="C1722" s="106">
        <v>579.29999999999995</v>
      </c>
      <c r="D1722" s="106">
        <v>572</v>
      </c>
      <c r="E1722" s="106">
        <v>572</v>
      </c>
      <c r="F1722" s="106">
        <v>579.29999999999995</v>
      </c>
      <c r="G1722">
        <v>58644</v>
      </c>
      <c r="H1722" s="106"/>
      <c r="I1722" s="106"/>
      <c r="L1722" s="143">
        <v>44540</v>
      </c>
      <c r="M1722" s="106">
        <v>579.79999999999995</v>
      </c>
      <c r="N1722" s="106">
        <v>581.79999999999995</v>
      </c>
      <c r="O1722" s="106">
        <v>570</v>
      </c>
      <c r="P1722" s="106">
        <v>570</v>
      </c>
      <c r="Q1722" s="106">
        <v>579.79999999999995</v>
      </c>
      <c r="R1722">
        <v>929205</v>
      </c>
    </row>
    <row r="1723" spans="1:18" x14ac:dyDescent="0.25">
      <c r="A1723" s="143">
        <v>44543</v>
      </c>
      <c r="B1723" s="106">
        <v>588.25</v>
      </c>
      <c r="C1723" s="106">
        <v>579.15</v>
      </c>
      <c r="D1723" s="106">
        <v>577.35</v>
      </c>
      <c r="E1723" s="106">
        <v>584.95000000000005</v>
      </c>
      <c r="F1723" s="106">
        <v>579.15</v>
      </c>
      <c r="G1723">
        <v>24839</v>
      </c>
      <c r="H1723" s="106"/>
      <c r="I1723" s="106"/>
      <c r="L1723" s="143">
        <v>44543</v>
      </c>
      <c r="M1723" s="106">
        <v>579.04999999999995</v>
      </c>
      <c r="N1723" s="106">
        <v>589</v>
      </c>
      <c r="O1723" s="106">
        <v>576.79999999999995</v>
      </c>
      <c r="P1723" s="106">
        <v>582.5</v>
      </c>
      <c r="Q1723" s="106">
        <v>579.04999999999995</v>
      </c>
      <c r="R1723">
        <v>1506845</v>
      </c>
    </row>
    <row r="1724" spans="1:18" x14ac:dyDescent="0.25">
      <c r="A1724" s="143">
        <v>44544</v>
      </c>
      <c r="B1724" s="106">
        <v>579.15</v>
      </c>
      <c r="C1724" s="106">
        <v>554.95000000000005</v>
      </c>
      <c r="D1724" s="106">
        <v>552.65</v>
      </c>
      <c r="E1724" s="106">
        <v>565</v>
      </c>
      <c r="F1724" s="106">
        <v>554.95000000000005</v>
      </c>
      <c r="G1724">
        <v>100489</v>
      </c>
      <c r="H1724" s="106"/>
      <c r="I1724" s="106"/>
      <c r="L1724" s="143">
        <v>44544</v>
      </c>
      <c r="M1724" s="106">
        <v>554.95000000000005</v>
      </c>
      <c r="N1724" s="106">
        <v>579.15</v>
      </c>
      <c r="O1724" s="106">
        <v>552.65</v>
      </c>
      <c r="P1724" s="106">
        <v>561</v>
      </c>
      <c r="Q1724" s="106">
        <v>554.95000000000005</v>
      </c>
      <c r="R1724">
        <v>4027319</v>
      </c>
    </row>
    <row r="1725" spans="1:18" x14ac:dyDescent="0.25">
      <c r="A1725" s="143">
        <v>44545</v>
      </c>
      <c r="B1725" s="106">
        <v>556.54999999999995</v>
      </c>
      <c r="C1725" s="106">
        <v>541.85</v>
      </c>
      <c r="D1725" s="106">
        <v>538.04999999999995</v>
      </c>
      <c r="E1725" s="106">
        <v>553.29999999999995</v>
      </c>
      <c r="F1725" s="106">
        <v>541.85</v>
      </c>
      <c r="G1725">
        <v>69366</v>
      </c>
      <c r="H1725" s="106"/>
      <c r="I1725" s="106"/>
      <c r="L1725" s="143">
        <v>44545</v>
      </c>
      <c r="M1725" s="106">
        <v>541.85</v>
      </c>
      <c r="N1725" s="106">
        <v>559</v>
      </c>
      <c r="O1725" s="106">
        <v>538</v>
      </c>
      <c r="P1725" s="106">
        <v>546</v>
      </c>
      <c r="Q1725" s="106">
        <v>541.85</v>
      </c>
      <c r="R1725">
        <v>2809173</v>
      </c>
    </row>
    <row r="1726" spans="1:18" x14ac:dyDescent="0.25">
      <c r="A1726" s="143">
        <v>44546</v>
      </c>
      <c r="B1726" s="106">
        <v>553.70000000000005</v>
      </c>
      <c r="C1726" s="106">
        <v>544.9</v>
      </c>
      <c r="D1726" s="106">
        <v>540.6</v>
      </c>
      <c r="E1726" s="106">
        <v>542.35</v>
      </c>
      <c r="F1726" s="106">
        <v>544.9</v>
      </c>
      <c r="G1726">
        <v>55009</v>
      </c>
      <c r="H1726" s="106"/>
      <c r="I1726" s="106"/>
      <c r="L1726" s="143">
        <v>44546</v>
      </c>
      <c r="M1726" s="106">
        <v>545.75</v>
      </c>
      <c r="N1726" s="106">
        <v>554</v>
      </c>
      <c r="O1726" s="106">
        <v>540.6</v>
      </c>
      <c r="P1726" s="106">
        <v>546.85</v>
      </c>
      <c r="Q1726" s="106">
        <v>545.75</v>
      </c>
      <c r="R1726">
        <v>1464659</v>
      </c>
    </row>
    <row r="1727" spans="1:18" x14ac:dyDescent="0.25">
      <c r="A1727" s="143">
        <v>44547</v>
      </c>
      <c r="B1727" s="106">
        <v>545.54999999999995</v>
      </c>
      <c r="C1727" s="106">
        <v>510.4</v>
      </c>
      <c r="D1727" s="106">
        <v>507.1</v>
      </c>
      <c r="E1727" s="106">
        <v>545.54999999999995</v>
      </c>
      <c r="F1727" s="106">
        <v>510.4</v>
      </c>
      <c r="G1727">
        <v>96746</v>
      </c>
      <c r="H1727" s="106"/>
      <c r="I1727" s="106"/>
      <c r="L1727" s="143">
        <v>44547</v>
      </c>
      <c r="M1727" s="106">
        <v>510.35</v>
      </c>
      <c r="N1727" s="106">
        <v>545.45000000000005</v>
      </c>
      <c r="O1727" s="106">
        <v>507.1</v>
      </c>
      <c r="P1727" s="106">
        <v>542.1</v>
      </c>
      <c r="Q1727" s="106">
        <v>510.35</v>
      </c>
      <c r="R1727">
        <v>4467775</v>
      </c>
    </row>
    <row r="1728" spans="1:18" x14ac:dyDescent="0.25">
      <c r="A1728" s="143">
        <v>44550</v>
      </c>
      <c r="B1728" s="106">
        <v>505.45</v>
      </c>
      <c r="C1728" s="106">
        <v>492.95</v>
      </c>
      <c r="D1728" s="106">
        <v>469.75</v>
      </c>
      <c r="E1728" s="106">
        <v>505.45</v>
      </c>
      <c r="F1728" s="106">
        <v>492.95</v>
      </c>
      <c r="G1728">
        <v>92577</v>
      </c>
      <c r="H1728" s="106"/>
      <c r="I1728" s="106"/>
      <c r="L1728" s="143">
        <v>44550</v>
      </c>
      <c r="M1728" s="106">
        <v>492.8</v>
      </c>
      <c r="N1728" s="106">
        <v>503.35</v>
      </c>
      <c r="O1728" s="106">
        <v>469.25</v>
      </c>
      <c r="P1728" s="106">
        <v>502.5</v>
      </c>
      <c r="Q1728" s="106">
        <v>492.8</v>
      </c>
      <c r="R1728">
        <v>4183887</v>
      </c>
    </row>
    <row r="1729" spans="1:18" x14ac:dyDescent="0.25">
      <c r="A1729" s="143">
        <v>44551</v>
      </c>
      <c r="B1729" s="106">
        <v>518.5</v>
      </c>
      <c r="C1729" s="106">
        <v>504.6</v>
      </c>
      <c r="D1729" s="106">
        <v>491</v>
      </c>
      <c r="E1729" s="106">
        <v>495.5</v>
      </c>
      <c r="F1729" s="106">
        <v>504.6</v>
      </c>
      <c r="G1729">
        <v>81121</v>
      </c>
      <c r="H1729" s="106"/>
      <c r="I1729" s="106"/>
      <c r="L1729" s="143">
        <v>44551</v>
      </c>
      <c r="M1729" s="106">
        <v>505</v>
      </c>
      <c r="N1729" s="106">
        <v>518.6</v>
      </c>
      <c r="O1729" s="106">
        <v>490.15</v>
      </c>
      <c r="P1729" s="106">
        <v>498.65</v>
      </c>
      <c r="Q1729" s="106">
        <v>505</v>
      </c>
      <c r="R1729">
        <v>3193783</v>
      </c>
    </row>
    <row r="1730" spans="1:18" x14ac:dyDescent="0.25">
      <c r="A1730" s="143">
        <v>44552</v>
      </c>
      <c r="B1730" s="106">
        <v>516.45000000000005</v>
      </c>
      <c r="C1730" s="106">
        <v>513.70000000000005</v>
      </c>
      <c r="D1730" s="106">
        <v>506</v>
      </c>
      <c r="E1730" s="106">
        <v>506</v>
      </c>
      <c r="F1730" s="106">
        <v>513.70000000000005</v>
      </c>
      <c r="G1730">
        <v>54620</v>
      </c>
      <c r="H1730" s="106"/>
      <c r="I1730" s="106"/>
      <c r="L1730" s="143">
        <v>44552</v>
      </c>
      <c r="M1730" s="106">
        <v>513</v>
      </c>
      <c r="N1730" s="106">
        <v>516.45000000000005</v>
      </c>
      <c r="O1730" s="106">
        <v>505</v>
      </c>
      <c r="P1730" s="106">
        <v>510</v>
      </c>
      <c r="Q1730" s="106">
        <v>513</v>
      </c>
      <c r="R1730">
        <v>1546546</v>
      </c>
    </row>
    <row r="1731" spans="1:18" x14ac:dyDescent="0.25">
      <c r="A1731" s="143">
        <v>44553</v>
      </c>
      <c r="B1731" s="106">
        <v>541.54999999999995</v>
      </c>
      <c r="C1731" s="106">
        <v>539.5</v>
      </c>
      <c r="D1731" s="106">
        <v>517.20000000000005</v>
      </c>
      <c r="E1731" s="106">
        <v>517.20000000000005</v>
      </c>
      <c r="F1731" s="106">
        <v>539.5</v>
      </c>
      <c r="G1731">
        <v>105902</v>
      </c>
      <c r="H1731" s="106"/>
      <c r="I1731" s="106"/>
      <c r="L1731" s="143">
        <v>44553</v>
      </c>
      <c r="M1731" s="106">
        <v>539.65</v>
      </c>
      <c r="N1731" s="106">
        <v>541.79999999999995</v>
      </c>
      <c r="O1731" s="106">
        <v>516</v>
      </c>
      <c r="P1731" s="106">
        <v>516</v>
      </c>
      <c r="Q1731" s="106">
        <v>539.65</v>
      </c>
      <c r="R1731">
        <v>3109272</v>
      </c>
    </row>
    <row r="1732" spans="1:18" x14ac:dyDescent="0.25">
      <c r="A1732" s="143">
        <v>44554</v>
      </c>
      <c r="B1732" s="106">
        <v>542</v>
      </c>
      <c r="C1732" s="106">
        <v>520.20000000000005</v>
      </c>
      <c r="D1732" s="106">
        <v>518</v>
      </c>
      <c r="E1732" s="106">
        <v>541</v>
      </c>
      <c r="F1732" s="106">
        <v>520.20000000000005</v>
      </c>
      <c r="G1732">
        <v>38833</v>
      </c>
      <c r="H1732" s="106"/>
      <c r="I1732" s="106"/>
      <c r="L1732" s="143">
        <v>44554</v>
      </c>
      <c r="M1732" s="106">
        <v>520.04999999999995</v>
      </c>
      <c r="N1732" s="106">
        <v>542</v>
      </c>
      <c r="O1732" s="106">
        <v>517.65</v>
      </c>
      <c r="P1732" s="106">
        <v>541</v>
      </c>
      <c r="Q1732" s="106">
        <v>520.04999999999995</v>
      </c>
      <c r="R1732">
        <v>1838454</v>
      </c>
    </row>
    <row r="1733" spans="1:18" x14ac:dyDescent="0.25">
      <c r="A1733" s="143">
        <v>44557</v>
      </c>
      <c r="B1733" s="106">
        <v>529.70000000000005</v>
      </c>
      <c r="C1733" s="106">
        <v>526.65</v>
      </c>
      <c r="D1733" s="106">
        <v>510.25</v>
      </c>
      <c r="E1733" s="106">
        <v>511.9</v>
      </c>
      <c r="F1733" s="106">
        <v>526.65</v>
      </c>
      <c r="G1733">
        <v>75889</v>
      </c>
      <c r="H1733" s="106"/>
      <c r="I1733" s="106"/>
      <c r="L1733" s="143">
        <v>44557</v>
      </c>
      <c r="M1733" s="106">
        <v>526.75</v>
      </c>
      <c r="N1733" s="106">
        <v>530</v>
      </c>
      <c r="O1733" s="106">
        <v>510.05</v>
      </c>
      <c r="P1733" s="106">
        <v>515.5</v>
      </c>
      <c r="Q1733" s="106">
        <v>526.75</v>
      </c>
      <c r="R1733">
        <v>1231611</v>
      </c>
    </row>
    <row r="1734" spans="1:18" x14ac:dyDescent="0.25">
      <c r="A1734" s="143">
        <v>44558</v>
      </c>
      <c r="B1734" s="106">
        <v>535.29999999999995</v>
      </c>
      <c r="C1734" s="106">
        <v>522.9</v>
      </c>
      <c r="D1734" s="106">
        <v>520</v>
      </c>
      <c r="E1734" s="106">
        <v>528</v>
      </c>
      <c r="F1734" s="106">
        <v>522.9</v>
      </c>
      <c r="G1734">
        <v>34660</v>
      </c>
      <c r="H1734" s="106"/>
      <c r="I1734" s="106"/>
      <c r="L1734" s="143">
        <v>44558</v>
      </c>
      <c r="M1734" s="106">
        <v>523</v>
      </c>
      <c r="N1734" s="106">
        <v>535.25</v>
      </c>
      <c r="O1734" s="106">
        <v>519.70000000000005</v>
      </c>
      <c r="P1734" s="106">
        <v>527.95000000000005</v>
      </c>
      <c r="Q1734" s="106">
        <v>523</v>
      </c>
      <c r="R1734">
        <v>1067068</v>
      </c>
    </row>
    <row r="1735" spans="1:18" x14ac:dyDescent="0.25">
      <c r="A1735" s="143">
        <v>44559</v>
      </c>
      <c r="B1735" s="106">
        <v>529.6</v>
      </c>
      <c r="C1735" s="106">
        <v>517.29999999999995</v>
      </c>
      <c r="D1735" s="106">
        <v>513.79999999999995</v>
      </c>
      <c r="E1735" s="106">
        <v>529.6</v>
      </c>
      <c r="F1735" s="106">
        <v>517.29999999999995</v>
      </c>
      <c r="G1735">
        <v>25436</v>
      </c>
      <c r="H1735" s="106"/>
      <c r="I1735" s="106"/>
      <c r="L1735" s="143">
        <v>44559</v>
      </c>
      <c r="M1735" s="106">
        <v>517.29999999999995</v>
      </c>
      <c r="N1735" s="106">
        <v>525.4</v>
      </c>
      <c r="O1735" s="106">
        <v>513.45000000000005</v>
      </c>
      <c r="P1735" s="106">
        <v>525.4</v>
      </c>
      <c r="Q1735" s="106">
        <v>517.29999999999995</v>
      </c>
      <c r="R1735">
        <v>1190639</v>
      </c>
    </row>
    <row r="1736" spans="1:18" x14ac:dyDescent="0.25">
      <c r="A1736" s="143">
        <v>44560</v>
      </c>
      <c r="B1736" s="106">
        <v>517.75</v>
      </c>
      <c r="C1736" s="106">
        <v>508.7</v>
      </c>
      <c r="D1736" s="106">
        <v>504.55</v>
      </c>
      <c r="E1736" s="106">
        <v>517.75</v>
      </c>
      <c r="F1736" s="106">
        <v>508.7</v>
      </c>
      <c r="G1736">
        <v>58650</v>
      </c>
      <c r="H1736" s="106"/>
      <c r="I1736" s="106"/>
      <c r="L1736" s="143">
        <v>44560</v>
      </c>
      <c r="M1736" s="106">
        <v>508.7</v>
      </c>
      <c r="N1736" s="106">
        <v>519.70000000000005</v>
      </c>
      <c r="O1736" s="106">
        <v>504.25</v>
      </c>
      <c r="P1736" s="106">
        <v>519.70000000000005</v>
      </c>
      <c r="Q1736" s="106">
        <v>508.7</v>
      </c>
      <c r="R1736">
        <v>1876161</v>
      </c>
    </row>
    <row r="1737" spans="1:18" x14ac:dyDescent="0.25">
      <c r="A1737" s="143">
        <v>44561</v>
      </c>
      <c r="B1737" s="106">
        <v>522.29999999999995</v>
      </c>
      <c r="C1737" s="106">
        <v>520.4</v>
      </c>
      <c r="D1737" s="106">
        <v>508</v>
      </c>
      <c r="E1737" s="106">
        <v>508</v>
      </c>
      <c r="F1737" s="106">
        <v>520.4</v>
      </c>
      <c r="G1737">
        <v>39842</v>
      </c>
      <c r="H1737" s="106"/>
      <c r="I1737" s="106"/>
      <c r="L1737" s="143">
        <v>44561</v>
      </c>
      <c r="M1737" s="106">
        <v>520.4</v>
      </c>
      <c r="N1737" s="106">
        <v>522.6</v>
      </c>
      <c r="O1737" s="106">
        <v>510</v>
      </c>
      <c r="P1737" s="106">
        <v>512.25</v>
      </c>
      <c r="Q1737" s="106">
        <v>520.4</v>
      </c>
      <c r="R1737">
        <v>1206300</v>
      </c>
    </row>
    <row r="1738" spans="1:18" x14ac:dyDescent="0.25">
      <c r="A1738" s="143">
        <v>44564</v>
      </c>
      <c r="B1738" s="106">
        <v>539.4</v>
      </c>
      <c r="C1738" s="106">
        <v>537</v>
      </c>
      <c r="D1738" s="106">
        <v>519.6</v>
      </c>
      <c r="E1738" s="106">
        <v>520.4</v>
      </c>
      <c r="F1738" s="106">
        <v>537</v>
      </c>
      <c r="G1738">
        <v>71153</v>
      </c>
      <c r="H1738" s="106"/>
      <c r="I1738" s="106"/>
      <c r="L1738" s="143">
        <v>44564</v>
      </c>
      <c r="M1738" s="106">
        <v>537.25</v>
      </c>
      <c r="N1738" s="106">
        <v>539.35</v>
      </c>
      <c r="O1738" s="106">
        <v>519.35</v>
      </c>
      <c r="P1738" s="106">
        <v>521</v>
      </c>
      <c r="Q1738" s="106">
        <v>537.25</v>
      </c>
      <c r="R1738">
        <v>1873169</v>
      </c>
    </row>
    <row r="1739" spans="1:18" x14ac:dyDescent="0.25">
      <c r="A1739" s="143">
        <v>44565</v>
      </c>
      <c r="B1739" s="106">
        <v>547.75</v>
      </c>
      <c r="C1739" s="106">
        <v>546.15</v>
      </c>
      <c r="D1739" s="106">
        <v>535.29999999999995</v>
      </c>
      <c r="E1739" s="106">
        <v>538.20000000000005</v>
      </c>
      <c r="F1739" s="106">
        <v>546.15</v>
      </c>
      <c r="G1739">
        <v>29957</v>
      </c>
      <c r="H1739" s="106"/>
      <c r="I1739" s="106"/>
      <c r="L1739" s="143">
        <v>44565</v>
      </c>
      <c r="M1739" s="106">
        <v>546.04999999999995</v>
      </c>
      <c r="N1739" s="106">
        <v>547.70000000000005</v>
      </c>
      <c r="O1739" s="106">
        <v>535.25</v>
      </c>
      <c r="P1739" s="106">
        <v>540</v>
      </c>
      <c r="Q1739" s="106">
        <v>546.04999999999995</v>
      </c>
      <c r="R1739">
        <v>1821625</v>
      </c>
    </row>
    <row r="1740" spans="1:18" x14ac:dyDescent="0.25">
      <c r="A1740" s="143">
        <v>44566</v>
      </c>
      <c r="B1740" s="106">
        <v>570.70000000000005</v>
      </c>
      <c r="C1740" s="106">
        <v>567.95000000000005</v>
      </c>
      <c r="D1740" s="106">
        <v>542.20000000000005</v>
      </c>
      <c r="E1740" s="106">
        <v>542.20000000000005</v>
      </c>
      <c r="F1740" s="106">
        <v>567.95000000000005</v>
      </c>
      <c r="G1740">
        <v>210158</v>
      </c>
      <c r="H1740" s="106"/>
      <c r="I1740" s="106"/>
      <c r="L1740" s="143">
        <v>44566</v>
      </c>
      <c r="M1740" s="106">
        <v>568</v>
      </c>
      <c r="N1740" s="106">
        <v>571.04999999999995</v>
      </c>
      <c r="O1740" s="106">
        <v>542.25</v>
      </c>
      <c r="P1740" s="106">
        <v>546</v>
      </c>
      <c r="Q1740" s="106">
        <v>568</v>
      </c>
      <c r="R1740">
        <v>4130279</v>
      </c>
    </row>
    <row r="1741" spans="1:18" x14ac:dyDescent="0.25">
      <c r="A1741" s="143">
        <v>44567</v>
      </c>
      <c r="B1741" s="106">
        <v>566.54999999999995</v>
      </c>
      <c r="C1741" s="106">
        <v>564.70000000000005</v>
      </c>
      <c r="D1741" s="106">
        <v>554</v>
      </c>
      <c r="E1741" s="106">
        <v>558.04999999999995</v>
      </c>
      <c r="F1741" s="106">
        <v>564.70000000000005</v>
      </c>
      <c r="G1741">
        <v>33495</v>
      </c>
      <c r="H1741" s="106"/>
      <c r="I1741" s="106"/>
      <c r="L1741" s="143">
        <v>44567</v>
      </c>
      <c r="M1741" s="106">
        <v>564.9</v>
      </c>
      <c r="N1741" s="106">
        <v>566.79999999999995</v>
      </c>
      <c r="O1741" s="106">
        <v>553.29999999999995</v>
      </c>
      <c r="P1741" s="106">
        <v>560</v>
      </c>
      <c r="Q1741" s="106">
        <v>564.9</v>
      </c>
      <c r="R1741">
        <v>1867316</v>
      </c>
    </row>
    <row r="1742" spans="1:18" x14ac:dyDescent="0.25">
      <c r="A1742" s="143">
        <v>44568</v>
      </c>
      <c r="B1742" s="106">
        <v>577.54999999999995</v>
      </c>
      <c r="C1742" s="106">
        <v>574.9</v>
      </c>
      <c r="D1742" s="106">
        <v>566.95000000000005</v>
      </c>
      <c r="E1742" s="106">
        <v>566.95000000000005</v>
      </c>
      <c r="F1742" s="106">
        <v>574.9</v>
      </c>
      <c r="G1742">
        <v>88358</v>
      </c>
      <c r="H1742" s="106"/>
      <c r="I1742" s="106"/>
      <c r="L1742" s="143">
        <v>44568</v>
      </c>
      <c r="M1742" s="106">
        <v>574.85</v>
      </c>
      <c r="N1742" s="106">
        <v>577.95000000000005</v>
      </c>
      <c r="O1742" s="106">
        <v>565.5</v>
      </c>
      <c r="P1742" s="106">
        <v>565.5</v>
      </c>
      <c r="Q1742" s="106">
        <v>574.85</v>
      </c>
      <c r="R1742">
        <v>2641127</v>
      </c>
    </row>
    <row r="1743" spans="1:18" x14ac:dyDescent="0.25">
      <c r="A1743" s="143">
        <v>44571</v>
      </c>
      <c r="B1743" s="106">
        <v>579.29999999999995</v>
      </c>
      <c r="C1743" s="106">
        <v>561.04999999999995</v>
      </c>
      <c r="D1743" s="106">
        <v>559.4</v>
      </c>
      <c r="E1743" s="106">
        <v>574.9</v>
      </c>
      <c r="F1743" s="106">
        <v>561.04999999999995</v>
      </c>
      <c r="G1743">
        <v>137892</v>
      </c>
      <c r="H1743" s="106"/>
      <c r="I1743" s="106"/>
      <c r="L1743" s="143">
        <v>44571</v>
      </c>
      <c r="M1743" s="106">
        <v>561.15</v>
      </c>
      <c r="N1743" s="106">
        <v>579.5</v>
      </c>
      <c r="O1743" s="106">
        <v>560.1</v>
      </c>
      <c r="P1743" s="106">
        <v>575</v>
      </c>
      <c r="Q1743" s="106">
        <v>561.15</v>
      </c>
      <c r="R1743">
        <v>1322019</v>
      </c>
    </row>
    <row r="1744" spans="1:18" x14ac:dyDescent="0.25">
      <c r="A1744" s="143">
        <v>44572</v>
      </c>
      <c r="B1744" s="106">
        <v>581.1</v>
      </c>
      <c r="C1744" s="106">
        <v>579.15</v>
      </c>
      <c r="D1744" s="106">
        <v>551.65</v>
      </c>
      <c r="E1744" s="106">
        <v>560</v>
      </c>
      <c r="F1744" s="106">
        <v>579.15</v>
      </c>
      <c r="G1744">
        <v>86497</v>
      </c>
      <c r="H1744" s="106"/>
      <c r="I1744" s="106"/>
      <c r="L1744" s="143">
        <v>44572</v>
      </c>
      <c r="M1744" s="106">
        <v>579.25</v>
      </c>
      <c r="N1744" s="106">
        <v>581.54999999999995</v>
      </c>
      <c r="O1744" s="106">
        <v>551.4</v>
      </c>
      <c r="P1744" s="106">
        <v>562</v>
      </c>
      <c r="Q1744" s="106">
        <v>579.25</v>
      </c>
      <c r="R1744">
        <v>3378759</v>
      </c>
    </row>
    <row r="1745" spans="1:18" x14ac:dyDescent="0.25">
      <c r="A1745" s="143">
        <v>44573</v>
      </c>
      <c r="B1745" s="106">
        <v>602</v>
      </c>
      <c r="C1745" s="106">
        <v>597.79999999999995</v>
      </c>
      <c r="D1745" s="106">
        <v>579.5</v>
      </c>
      <c r="E1745" s="106">
        <v>585</v>
      </c>
      <c r="F1745" s="106">
        <v>597.79999999999995</v>
      </c>
      <c r="G1745">
        <v>63754</v>
      </c>
      <c r="H1745" s="106"/>
      <c r="I1745" s="106"/>
      <c r="L1745" s="143">
        <v>44573</v>
      </c>
      <c r="M1745" s="106">
        <v>598.45000000000005</v>
      </c>
      <c r="N1745" s="106">
        <v>602</v>
      </c>
      <c r="O1745" s="106">
        <v>579.25</v>
      </c>
      <c r="P1745" s="106">
        <v>582</v>
      </c>
      <c r="Q1745" s="106">
        <v>598.45000000000005</v>
      </c>
      <c r="R1745">
        <v>3385873</v>
      </c>
    </row>
    <row r="1746" spans="1:18" x14ac:dyDescent="0.25">
      <c r="A1746" s="143">
        <v>44574</v>
      </c>
      <c r="B1746" s="106">
        <v>601.45000000000005</v>
      </c>
      <c r="C1746" s="106">
        <v>590.1</v>
      </c>
      <c r="D1746" s="106">
        <v>586</v>
      </c>
      <c r="E1746" s="106">
        <v>595.1</v>
      </c>
      <c r="F1746" s="106">
        <v>590.1</v>
      </c>
      <c r="G1746">
        <v>25760</v>
      </c>
      <c r="H1746" s="106"/>
      <c r="I1746" s="106"/>
      <c r="L1746" s="143">
        <v>44574</v>
      </c>
      <c r="M1746" s="106">
        <v>589.4</v>
      </c>
      <c r="N1746" s="106">
        <v>601.5</v>
      </c>
      <c r="O1746" s="106">
        <v>585.5</v>
      </c>
      <c r="P1746" s="106">
        <v>596</v>
      </c>
      <c r="Q1746" s="106">
        <v>589.4</v>
      </c>
      <c r="R1746">
        <v>1103090</v>
      </c>
    </row>
    <row r="1747" spans="1:18" x14ac:dyDescent="0.25">
      <c r="A1747" s="143">
        <v>44575</v>
      </c>
      <c r="B1747" s="106">
        <v>594.04999999999995</v>
      </c>
      <c r="C1747" s="106">
        <v>586.6</v>
      </c>
      <c r="D1747" s="106">
        <v>582.5</v>
      </c>
      <c r="E1747" s="106">
        <v>590.1</v>
      </c>
      <c r="F1747" s="106">
        <v>586.6</v>
      </c>
      <c r="G1747">
        <v>52762</v>
      </c>
      <c r="H1747" s="106"/>
      <c r="I1747" s="106"/>
      <c r="L1747" s="143">
        <v>44575</v>
      </c>
      <c r="M1747" s="106">
        <v>586.20000000000005</v>
      </c>
      <c r="N1747" s="106">
        <v>594.35</v>
      </c>
      <c r="O1747" s="106">
        <v>582.25</v>
      </c>
      <c r="P1747" s="106">
        <v>591</v>
      </c>
      <c r="Q1747" s="106">
        <v>586.20000000000005</v>
      </c>
      <c r="R1747">
        <v>1443887</v>
      </c>
    </row>
    <row r="1748" spans="1:18" x14ac:dyDescent="0.25">
      <c r="A1748" s="143">
        <v>44578</v>
      </c>
      <c r="B1748" s="106">
        <v>604.5</v>
      </c>
      <c r="C1748" s="106">
        <v>600.45000000000005</v>
      </c>
      <c r="D1748" s="106">
        <v>582.9</v>
      </c>
      <c r="E1748" s="106">
        <v>582.9</v>
      </c>
      <c r="F1748" s="106">
        <v>600.45000000000005</v>
      </c>
      <c r="G1748">
        <v>101108</v>
      </c>
      <c r="H1748" s="106"/>
      <c r="I1748" s="106"/>
      <c r="L1748" s="143">
        <v>44578</v>
      </c>
      <c r="M1748" s="106">
        <v>600.70000000000005</v>
      </c>
      <c r="N1748" s="106">
        <v>604.79999999999995</v>
      </c>
      <c r="O1748" s="106">
        <v>587</v>
      </c>
      <c r="P1748" s="106">
        <v>587</v>
      </c>
      <c r="Q1748" s="106">
        <v>600.70000000000005</v>
      </c>
      <c r="R1748">
        <v>1705243</v>
      </c>
    </row>
    <row r="1749" spans="1:18" x14ac:dyDescent="0.25">
      <c r="A1749" s="143">
        <v>44579</v>
      </c>
      <c r="B1749" s="106">
        <v>625.95000000000005</v>
      </c>
      <c r="C1749" s="106">
        <v>612.54999999999995</v>
      </c>
      <c r="D1749" s="106">
        <v>605</v>
      </c>
      <c r="E1749" s="106">
        <v>613.75</v>
      </c>
      <c r="F1749" s="106">
        <v>612.54999999999995</v>
      </c>
      <c r="G1749">
        <v>162557</v>
      </c>
      <c r="H1749" s="106"/>
      <c r="I1749" s="106"/>
      <c r="L1749" s="143">
        <v>44579</v>
      </c>
      <c r="M1749" s="106">
        <v>612.45000000000005</v>
      </c>
      <c r="N1749" s="106">
        <v>626</v>
      </c>
      <c r="O1749" s="106">
        <v>604.4</v>
      </c>
      <c r="P1749" s="106">
        <v>609</v>
      </c>
      <c r="Q1749" s="106">
        <v>612.45000000000005</v>
      </c>
      <c r="R1749">
        <v>7751596</v>
      </c>
    </row>
    <row r="1750" spans="1:18" x14ac:dyDescent="0.25">
      <c r="A1750" s="143">
        <v>44580</v>
      </c>
      <c r="B1750" s="106">
        <v>614.35</v>
      </c>
      <c r="C1750" s="106">
        <v>611.95000000000005</v>
      </c>
      <c r="D1750" s="106">
        <v>592.35</v>
      </c>
      <c r="E1750" s="106">
        <v>614</v>
      </c>
      <c r="F1750" s="106">
        <v>611.95000000000005</v>
      </c>
      <c r="G1750">
        <v>105301</v>
      </c>
      <c r="H1750" s="106"/>
      <c r="I1750" s="106"/>
      <c r="L1750" s="143">
        <v>44580</v>
      </c>
      <c r="M1750" s="106">
        <v>612.1</v>
      </c>
      <c r="N1750" s="106">
        <v>614.65</v>
      </c>
      <c r="O1750" s="106">
        <v>591.9</v>
      </c>
      <c r="P1750" s="106">
        <v>610</v>
      </c>
      <c r="Q1750" s="106">
        <v>612.1</v>
      </c>
      <c r="R1750">
        <v>2341966</v>
      </c>
    </row>
    <row r="1751" spans="1:18" x14ac:dyDescent="0.25">
      <c r="A1751" s="143">
        <v>44581</v>
      </c>
      <c r="B1751" s="106">
        <v>651.85</v>
      </c>
      <c r="C1751" s="106">
        <v>649.15</v>
      </c>
      <c r="D1751" s="106">
        <v>609.5</v>
      </c>
      <c r="E1751" s="106">
        <v>614.70000000000005</v>
      </c>
      <c r="F1751" s="106">
        <v>649.15</v>
      </c>
      <c r="G1751">
        <v>199762</v>
      </c>
      <c r="H1751" s="106"/>
      <c r="I1751" s="106"/>
      <c r="L1751" s="143">
        <v>44581</v>
      </c>
      <c r="M1751" s="106">
        <v>649.15</v>
      </c>
      <c r="N1751" s="106">
        <v>652.35</v>
      </c>
      <c r="O1751" s="106">
        <v>608.15</v>
      </c>
      <c r="P1751" s="106">
        <v>612</v>
      </c>
      <c r="Q1751" s="106">
        <v>649.15</v>
      </c>
      <c r="R1751">
        <v>9235083</v>
      </c>
    </row>
    <row r="1752" spans="1:18" x14ac:dyDescent="0.25">
      <c r="A1752" s="143">
        <v>44582</v>
      </c>
      <c r="B1752" s="106">
        <v>665</v>
      </c>
      <c r="C1752" s="106">
        <v>653.95000000000005</v>
      </c>
      <c r="D1752" s="106">
        <v>639.45000000000005</v>
      </c>
      <c r="E1752" s="106">
        <v>647</v>
      </c>
      <c r="F1752" s="106">
        <v>653.95000000000005</v>
      </c>
      <c r="G1752">
        <v>163390</v>
      </c>
      <c r="H1752" s="106"/>
      <c r="I1752" s="106"/>
      <c r="L1752" s="143">
        <v>44582</v>
      </c>
      <c r="M1752" s="106">
        <v>654.15</v>
      </c>
      <c r="N1752" s="106">
        <v>664.75</v>
      </c>
      <c r="O1752" s="106">
        <v>631</v>
      </c>
      <c r="P1752" s="106">
        <v>645</v>
      </c>
      <c r="Q1752" s="106">
        <v>654.15</v>
      </c>
      <c r="R1752">
        <v>6704600</v>
      </c>
    </row>
    <row r="1753" spans="1:18" x14ac:dyDescent="0.25">
      <c r="A1753" s="143">
        <v>44585</v>
      </c>
      <c r="B1753" s="106">
        <v>674.55</v>
      </c>
      <c r="C1753" s="106">
        <v>643.54999999999995</v>
      </c>
      <c r="D1753" s="106">
        <v>625.6</v>
      </c>
      <c r="E1753" s="106">
        <v>661</v>
      </c>
      <c r="F1753" s="106">
        <v>643.54999999999995</v>
      </c>
      <c r="G1753">
        <v>174680</v>
      </c>
      <c r="H1753" s="106"/>
      <c r="I1753" s="106"/>
      <c r="L1753" s="143">
        <v>44585</v>
      </c>
      <c r="M1753" s="106">
        <v>643.4</v>
      </c>
      <c r="N1753" s="106">
        <v>674.9</v>
      </c>
      <c r="O1753" s="106">
        <v>625.20000000000005</v>
      </c>
      <c r="P1753" s="106">
        <v>660</v>
      </c>
      <c r="Q1753" s="106">
        <v>643.4</v>
      </c>
      <c r="R1753">
        <v>8279847</v>
      </c>
    </row>
    <row r="1754" spans="1:18" x14ac:dyDescent="0.25">
      <c r="A1754" s="143">
        <v>44586</v>
      </c>
      <c r="B1754" s="106">
        <v>664.1</v>
      </c>
      <c r="C1754" s="106">
        <v>643.70000000000005</v>
      </c>
      <c r="D1754" s="106">
        <v>631.15</v>
      </c>
      <c r="E1754" s="106">
        <v>640</v>
      </c>
      <c r="F1754" s="106">
        <v>643.70000000000005</v>
      </c>
      <c r="G1754">
        <v>159702</v>
      </c>
      <c r="H1754" s="106"/>
      <c r="I1754" s="106"/>
      <c r="L1754" s="143">
        <v>44586</v>
      </c>
      <c r="M1754" s="106">
        <v>643.6</v>
      </c>
      <c r="N1754" s="106">
        <v>664.35</v>
      </c>
      <c r="O1754" s="106">
        <v>630.1</v>
      </c>
      <c r="P1754" s="106">
        <v>643</v>
      </c>
      <c r="Q1754" s="106">
        <v>643.6</v>
      </c>
      <c r="R1754">
        <v>5186341</v>
      </c>
    </row>
    <row r="1755" spans="1:18" x14ac:dyDescent="0.25">
      <c r="A1755" s="143">
        <v>44588</v>
      </c>
      <c r="B1755" s="106">
        <v>659</v>
      </c>
      <c r="C1755" s="106">
        <v>654</v>
      </c>
      <c r="D1755" s="106">
        <v>632.20000000000005</v>
      </c>
      <c r="E1755" s="106">
        <v>633.75</v>
      </c>
      <c r="F1755" s="106">
        <v>654</v>
      </c>
      <c r="G1755">
        <v>116117</v>
      </c>
      <c r="H1755" s="106"/>
      <c r="I1755" s="106"/>
      <c r="L1755" s="143">
        <v>44588</v>
      </c>
      <c r="M1755" s="106">
        <v>654.9</v>
      </c>
      <c r="N1755" s="106">
        <v>659</v>
      </c>
      <c r="O1755" s="106">
        <v>630.70000000000005</v>
      </c>
      <c r="P1755" s="106">
        <v>634</v>
      </c>
      <c r="Q1755" s="106">
        <v>654.9</v>
      </c>
      <c r="R1755">
        <v>3916323</v>
      </c>
    </row>
    <row r="1756" spans="1:18" x14ac:dyDescent="0.25">
      <c r="A1756" s="143">
        <v>44589</v>
      </c>
      <c r="B1756" s="106">
        <v>672.3</v>
      </c>
      <c r="C1756" s="106">
        <v>640</v>
      </c>
      <c r="D1756" s="106">
        <v>637.95000000000005</v>
      </c>
      <c r="E1756" s="106">
        <v>660</v>
      </c>
      <c r="F1756" s="106">
        <v>640</v>
      </c>
      <c r="G1756">
        <v>120334</v>
      </c>
      <c r="H1756" s="106"/>
      <c r="I1756" s="106"/>
      <c r="L1756" s="143">
        <v>44589</v>
      </c>
      <c r="M1756" s="106">
        <v>640.04999999999995</v>
      </c>
      <c r="N1756" s="106">
        <v>672.65</v>
      </c>
      <c r="O1756" s="106">
        <v>638</v>
      </c>
      <c r="P1756" s="106">
        <v>660.8</v>
      </c>
      <c r="Q1756" s="106">
        <v>640.04999999999995</v>
      </c>
      <c r="R1756">
        <v>3577840</v>
      </c>
    </row>
    <row r="1757" spans="1:18" x14ac:dyDescent="0.25">
      <c r="A1757" s="143">
        <v>44592</v>
      </c>
      <c r="B1757" s="106">
        <v>648.4</v>
      </c>
      <c r="C1757" s="106">
        <v>629.1</v>
      </c>
      <c r="D1757" s="106">
        <v>627.35</v>
      </c>
      <c r="E1757" s="106">
        <v>648</v>
      </c>
      <c r="F1757" s="106">
        <v>629.1</v>
      </c>
      <c r="G1757">
        <v>65855</v>
      </c>
      <c r="H1757" s="106"/>
      <c r="I1757" s="106"/>
      <c r="L1757" s="143">
        <v>44592</v>
      </c>
      <c r="M1757" s="106">
        <v>629.5</v>
      </c>
      <c r="N1757" s="106">
        <v>648.6</v>
      </c>
      <c r="O1757" s="106">
        <v>627.20000000000005</v>
      </c>
      <c r="P1757" s="106">
        <v>645.20000000000005</v>
      </c>
      <c r="Q1757" s="106">
        <v>629.5</v>
      </c>
      <c r="R1757">
        <v>3001896</v>
      </c>
    </row>
    <row r="1758" spans="1:18" x14ac:dyDescent="0.25">
      <c r="A1758" s="143">
        <v>44593</v>
      </c>
      <c r="B1758" s="106">
        <v>659.35</v>
      </c>
      <c r="C1758" s="106">
        <v>653.15</v>
      </c>
      <c r="D1758" s="106">
        <v>636</v>
      </c>
      <c r="E1758" s="106">
        <v>640.20000000000005</v>
      </c>
      <c r="F1758" s="106">
        <v>653.15</v>
      </c>
      <c r="G1758">
        <v>87868</v>
      </c>
      <c r="H1758" s="106"/>
      <c r="I1758" s="106"/>
      <c r="L1758" s="143">
        <v>44593</v>
      </c>
      <c r="M1758" s="106">
        <v>653.95000000000005</v>
      </c>
      <c r="N1758" s="106">
        <v>660</v>
      </c>
      <c r="O1758" s="106">
        <v>635.54999999999995</v>
      </c>
      <c r="P1758" s="106">
        <v>635.79999999999995</v>
      </c>
      <c r="Q1758" s="106">
        <v>653.95000000000005</v>
      </c>
      <c r="R1758">
        <v>2408748</v>
      </c>
    </row>
    <row r="1759" spans="1:18" x14ac:dyDescent="0.25">
      <c r="A1759" s="143">
        <v>44594</v>
      </c>
      <c r="B1759" s="106">
        <v>651.70000000000005</v>
      </c>
      <c r="C1759" s="106">
        <v>637.85</v>
      </c>
      <c r="D1759" s="106">
        <v>623.45000000000005</v>
      </c>
      <c r="E1759" s="106">
        <v>645</v>
      </c>
      <c r="F1759" s="106">
        <v>637.85</v>
      </c>
      <c r="G1759">
        <v>189425</v>
      </c>
      <c r="H1759" s="106"/>
      <c r="I1759" s="106"/>
      <c r="L1759" s="143">
        <v>44594</v>
      </c>
      <c r="M1759" s="106">
        <v>639.20000000000005</v>
      </c>
      <c r="N1759" s="106">
        <v>651.6</v>
      </c>
      <c r="O1759" s="106">
        <v>622.6</v>
      </c>
      <c r="P1759" s="106">
        <v>642</v>
      </c>
      <c r="Q1759" s="106">
        <v>639.20000000000005</v>
      </c>
      <c r="R1759">
        <v>7515581</v>
      </c>
    </row>
    <row r="1760" spans="1:18" x14ac:dyDescent="0.25">
      <c r="A1760" s="143">
        <v>44595</v>
      </c>
      <c r="B1760" s="106">
        <v>645.5</v>
      </c>
      <c r="C1760" s="106">
        <v>642.4</v>
      </c>
      <c r="D1760" s="106">
        <v>630.35</v>
      </c>
      <c r="E1760" s="106">
        <v>637.85</v>
      </c>
      <c r="F1760" s="106">
        <v>642.4</v>
      </c>
      <c r="G1760">
        <v>64298</v>
      </c>
      <c r="H1760" s="106"/>
      <c r="I1760" s="106"/>
      <c r="L1760" s="143">
        <v>44595</v>
      </c>
      <c r="M1760" s="106">
        <v>642.75</v>
      </c>
      <c r="N1760" s="106">
        <v>645.5</v>
      </c>
      <c r="O1760" s="106">
        <v>630</v>
      </c>
      <c r="P1760" s="106">
        <v>639.20000000000005</v>
      </c>
      <c r="Q1760" s="106">
        <v>642.75</v>
      </c>
      <c r="R1760">
        <v>2271472</v>
      </c>
    </row>
    <row r="1761" spans="1:18" x14ac:dyDescent="0.25">
      <c r="A1761" s="143">
        <v>44596</v>
      </c>
      <c r="B1761" s="106">
        <v>679.4</v>
      </c>
      <c r="C1761" s="106">
        <v>675.45</v>
      </c>
      <c r="D1761" s="106">
        <v>645.4</v>
      </c>
      <c r="E1761" s="106">
        <v>658.7</v>
      </c>
      <c r="F1761" s="106">
        <v>675.45</v>
      </c>
      <c r="G1761">
        <v>140179</v>
      </c>
      <c r="H1761" s="106"/>
      <c r="I1761" s="106"/>
      <c r="L1761" s="143">
        <v>44596</v>
      </c>
      <c r="M1761" s="106">
        <v>675.7</v>
      </c>
      <c r="N1761" s="106">
        <v>680</v>
      </c>
      <c r="O1761" s="106">
        <v>643.54999999999995</v>
      </c>
      <c r="P1761" s="106">
        <v>645.25</v>
      </c>
      <c r="Q1761" s="106">
        <v>675.7</v>
      </c>
      <c r="R1761">
        <v>4779062</v>
      </c>
    </row>
    <row r="1762" spans="1:18" x14ac:dyDescent="0.25">
      <c r="A1762" s="143">
        <v>44599</v>
      </c>
      <c r="B1762" s="106">
        <v>681.95</v>
      </c>
      <c r="C1762" s="106">
        <v>650.1</v>
      </c>
      <c r="D1762" s="106">
        <v>647.1</v>
      </c>
      <c r="E1762" s="106">
        <v>679</v>
      </c>
      <c r="F1762" s="106">
        <v>650.1</v>
      </c>
      <c r="G1762">
        <v>103982</v>
      </c>
      <c r="H1762" s="106"/>
      <c r="I1762" s="106"/>
      <c r="L1762" s="143">
        <v>44599</v>
      </c>
      <c r="M1762" s="106">
        <v>650.1</v>
      </c>
      <c r="N1762" s="106">
        <v>682</v>
      </c>
      <c r="O1762" s="106">
        <v>646.85</v>
      </c>
      <c r="P1762" s="106">
        <v>682</v>
      </c>
      <c r="Q1762" s="106">
        <v>650.1</v>
      </c>
      <c r="R1762">
        <v>4384201</v>
      </c>
    </row>
    <row r="1763" spans="1:18" x14ac:dyDescent="0.25">
      <c r="A1763" s="143">
        <v>44600</v>
      </c>
      <c r="B1763" s="106">
        <v>667.1</v>
      </c>
      <c r="C1763" s="106">
        <v>657.3</v>
      </c>
      <c r="D1763" s="106">
        <v>641.04999999999995</v>
      </c>
      <c r="E1763" s="106">
        <v>641.04999999999995</v>
      </c>
      <c r="F1763" s="106">
        <v>657.3</v>
      </c>
      <c r="G1763">
        <v>115038</v>
      </c>
      <c r="H1763" s="106"/>
      <c r="I1763" s="106"/>
      <c r="L1763" s="143">
        <v>44600</v>
      </c>
      <c r="M1763" s="106">
        <v>657.5</v>
      </c>
      <c r="N1763" s="106">
        <v>667.35</v>
      </c>
      <c r="O1763" s="106">
        <v>644.25</v>
      </c>
      <c r="P1763" s="106">
        <v>645</v>
      </c>
      <c r="Q1763" s="106">
        <v>657.5</v>
      </c>
      <c r="R1763">
        <v>2630525</v>
      </c>
    </row>
    <row r="1764" spans="1:18" x14ac:dyDescent="0.25">
      <c r="A1764" s="143">
        <v>44601</v>
      </c>
      <c r="B1764" s="106">
        <v>684.4</v>
      </c>
      <c r="C1764" s="106">
        <v>683.45</v>
      </c>
      <c r="D1764" s="106">
        <v>661.45</v>
      </c>
      <c r="E1764" s="106">
        <v>668.7</v>
      </c>
      <c r="F1764" s="106">
        <v>683.45</v>
      </c>
      <c r="G1764">
        <v>66047</v>
      </c>
      <c r="H1764" s="106"/>
      <c r="I1764" s="106"/>
      <c r="L1764" s="143">
        <v>44601</v>
      </c>
      <c r="M1764" s="106">
        <v>682.95</v>
      </c>
      <c r="N1764" s="106">
        <v>684.4</v>
      </c>
      <c r="O1764" s="106">
        <v>660.5</v>
      </c>
      <c r="P1764" s="106">
        <v>664</v>
      </c>
      <c r="Q1764" s="106">
        <v>682.95</v>
      </c>
      <c r="R1764">
        <v>2574872</v>
      </c>
    </row>
    <row r="1765" spans="1:18" x14ac:dyDescent="0.25">
      <c r="A1765" s="143">
        <v>44602</v>
      </c>
      <c r="B1765" s="106">
        <v>698.2</v>
      </c>
      <c r="C1765" s="106">
        <v>690.55</v>
      </c>
      <c r="D1765" s="106">
        <v>673.75</v>
      </c>
      <c r="E1765" s="106">
        <v>685.9</v>
      </c>
      <c r="F1765" s="106">
        <v>690.55</v>
      </c>
      <c r="G1765">
        <v>162807</v>
      </c>
      <c r="H1765" s="106"/>
      <c r="I1765" s="106"/>
      <c r="L1765" s="143">
        <v>44602</v>
      </c>
      <c r="M1765" s="106">
        <v>690.75</v>
      </c>
      <c r="N1765" s="106">
        <v>698.35</v>
      </c>
      <c r="O1765" s="106">
        <v>673.6</v>
      </c>
      <c r="P1765" s="106">
        <v>685</v>
      </c>
      <c r="Q1765" s="106">
        <v>690.75</v>
      </c>
      <c r="R1765">
        <v>4068283</v>
      </c>
    </row>
    <row r="1766" spans="1:18" x14ac:dyDescent="0.25">
      <c r="A1766" s="143">
        <v>44603</v>
      </c>
      <c r="B1766" s="106">
        <v>692</v>
      </c>
      <c r="C1766" s="106">
        <v>679.8</v>
      </c>
      <c r="D1766" s="106">
        <v>673.6</v>
      </c>
      <c r="E1766" s="106">
        <v>685</v>
      </c>
      <c r="F1766" s="106">
        <v>679.8</v>
      </c>
      <c r="G1766">
        <v>101526</v>
      </c>
      <c r="H1766" s="106"/>
      <c r="I1766" s="106"/>
      <c r="L1766" s="143">
        <v>44603</v>
      </c>
      <c r="M1766" s="106">
        <v>680.35</v>
      </c>
      <c r="N1766" s="106">
        <v>692</v>
      </c>
      <c r="O1766" s="106">
        <v>673.65</v>
      </c>
      <c r="P1766" s="106">
        <v>680</v>
      </c>
      <c r="Q1766" s="106">
        <v>680.35</v>
      </c>
      <c r="R1766">
        <v>2487787</v>
      </c>
    </row>
    <row r="1767" spans="1:18" x14ac:dyDescent="0.25">
      <c r="A1767" s="143">
        <v>44606</v>
      </c>
      <c r="B1767" s="106">
        <v>672</v>
      </c>
      <c r="C1767" s="106">
        <v>660.35</v>
      </c>
      <c r="D1767" s="106">
        <v>653.25</v>
      </c>
      <c r="E1767" s="106">
        <v>671</v>
      </c>
      <c r="F1767" s="106">
        <v>660.35</v>
      </c>
      <c r="G1767">
        <v>119255</v>
      </c>
      <c r="H1767" s="106"/>
      <c r="I1767" s="106"/>
      <c r="L1767" s="143">
        <v>44606</v>
      </c>
      <c r="M1767" s="106">
        <v>660</v>
      </c>
      <c r="N1767" s="106">
        <v>673</v>
      </c>
      <c r="O1767" s="106">
        <v>653.5</v>
      </c>
      <c r="P1767" s="106">
        <v>660</v>
      </c>
      <c r="Q1767" s="106">
        <v>660</v>
      </c>
      <c r="R1767">
        <v>2172447</v>
      </c>
    </row>
    <row r="1768" spans="1:18" x14ac:dyDescent="0.25">
      <c r="A1768" s="143">
        <v>44607</v>
      </c>
      <c r="B1768" s="106">
        <v>680</v>
      </c>
      <c r="C1768" s="106">
        <v>671.3</v>
      </c>
      <c r="D1768" s="106">
        <v>643.54999999999995</v>
      </c>
      <c r="E1768" s="106">
        <v>680</v>
      </c>
      <c r="F1768" s="106">
        <v>671.3</v>
      </c>
      <c r="G1768">
        <v>107023</v>
      </c>
      <c r="H1768" s="106"/>
      <c r="I1768" s="106"/>
      <c r="L1768" s="143">
        <v>44607</v>
      </c>
      <c r="M1768" s="106">
        <v>671.15</v>
      </c>
      <c r="N1768" s="106">
        <v>673</v>
      </c>
      <c r="O1768" s="106">
        <v>643.54999999999995</v>
      </c>
      <c r="P1768" s="106">
        <v>665.35</v>
      </c>
      <c r="Q1768" s="106">
        <v>671.15</v>
      </c>
      <c r="R1768">
        <v>2659020</v>
      </c>
    </row>
    <row r="1769" spans="1:18" x14ac:dyDescent="0.25">
      <c r="A1769" s="143">
        <v>44608</v>
      </c>
      <c r="B1769" s="106">
        <v>695</v>
      </c>
      <c r="C1769" s="106">
        <v>669.7</v>
      </c>
      <c r="D1769" s="106">
        <v>666.65</v>
      </c>
      <c r="E1769" s="106">
        <v>680</v>
      </c>
      <c r="F1769" s="106">
        <v>669.7</v>
      </c>
      <c r="G1769">
        <v>153276</v>
      </c>
      <c r="H1769" s="106"/>
      <c r="I1769" s="106"/>
      <c r="L1769" s="143">
        <v>44608</v>
      </c>
      <c r="M1769" s="106">
        <v>669.75</v>
      </c>
      <c r="N1769" s="106">
        <v>695.9</v>
      </c>
      <c r="O1769" s="106">
        <v>666.15</v>
      </c>
      <c r="P1769" s="106">
        <v>675</v>
      </c>
      <c r="Q1769" s="106">
        <v>669.75</v>
      </c>
      <c r="R1769">
        <v>3993552</v>
      </c>
    </row>
    <row r="1770" spans="1:18" x14ac:dyDescent="0.25">
      <c r="A1770" s="143">
        <v>44609</v>
      </c>
      <c r="B1770" s="106">
        <v>679.25</v>
      </c>
      <c r="C1770" s="106">
        <v>675.45</v>
      </c>
      <c r="D1770" s="106">
        <v>666.8</v>
      </c>
      <c r="E1770" s="106">
        <v>679.25</v>
      </c>
      <c r="F1770" s="106">
        <v>675.45</v>
      </c>
      <c r="G1770">
        <v>33799</v>
      </c>
      <c r="H1770" s="106"/>
      <c r="I1770" s="106"/>
      <c r="L1770" s="143">
        <v>44609</v>
      </c>
      <c r="M1770" s="106">
        <v>675.7</v>
      </c>
      <c r="N1770" s="106">
        <v>679.7</v>
      </c>
      <c r="O1770" s="106">
        <v>666.15</v>
      </c>
      <c r="P1770" s="106">
        <v>676.9</v>
      </c>
      <c r="Q1770" s="106">
        <v>675.7</v>
      </c>
      <c r="R1770">
        <v>1384998</v>
      </c>
    </row>
    <row r="1771" spans="1:18" x14ac:dyDescent="0.25">
      <c r="A1771" s="143">
        <v>44610</v>
      </c>
      <c r="B1771" s="106">
        <v>683.15</v>
      </c>
      <c r="C1771" s="106">
        <v>673.1</v>
      </c>
      <c r="D1771" s="106">
        <v>662.2</v>
      </c>
      <c r="E1771" s="106">
        <v>662.2</v>
      </c>
      <c r="F1771" s="106">
        <v>673.1</v>
      </c>
      <c r="G1771">
        <v>25143</v>
      </c>
      <c r="H1771" s="106"/>
      <c r="I1771" s="106"/>
      <c r="L1771" s="143">
        <v>44610</v>
      </c>
      <c r="M1771" s="106">
        <v>673.1</v>
      </c>
      <c r="N1771" s="106">
        <v>683.45</v>
      </c>
      <c r="O1771" s="106">
        <v>670.05</v>
      </c>
      <c r="P1771" s="106">
        <v>672</v>
      </c>
      <c r="Q1771" s="106">
        <v>673.1</v>
      </c>
      <c r="R1771">
        <v>1074862</v>
      </c>
    </row>
    <row r="1772" spans="1:18" x14ac:dyDescent="0.25">
      <c r="A1772" s="143">
        <v>44613</v>
      </c>
      <c r="B1772" s="106">
        <v>681.75</v>
      </c>
      <c r="C1772" s="106">
        <v>674</v>
      </c>
      <c r="D1772" s="106">
        <v>660.7</v>
      </c>
      <c r="E1772" s="106">
        <v>663.9</v>
      </c>
      <c r="F1772" s="106">
        <v>674</v>
      </c>
      <c r="G1772">
        <v>47058</v>
      </c>
      <c r="H1772" s="106"/>
      <c r="I1772" s="106"/>
      <c r="L1772" s="143">
        <v>44613</v>
      </c>
      <c r="M1772" s="106">
        <v>674.15</v>
      </c>
      <c r="N1772" s="106">
        <v>681.95</v>
      </c>
      <c r="O1772" s="106">
        <v>660.6</v>
      </c>
      <c r="P1772" s="106">
        <v>670</v>
      </c>
      <c r="Q1772" s="106">
        <v>674.15</v>
      </c>
      <c r="R1772">
        <v>1251311</v>
      </c>
    </row>
    <row r="1773" spans="1:18" x14ac:dyDescent="0.25">
      <c r="A1773" s="143">
        <v>44614</v>
      </c>
      <c r="B1773" s="106">
        <v>701.75</v>
      </c>
      <c r="C1773" s="106">
        <v>691.75</v>
      </c>
      <c r="D1773" s="106">
        <v>652.04999999999995</v>
      </c>
      <c r="E1773" s="106">
        <v>661.1</v>
      </c>
      <c r="F1773" s="106">
        <v>691.75</v>
      </c>
      <c r="G1773">
        <v>166579</v>
      </c>
      <c r="H1773" s="106"/>
      <c r="I1773" s="106"/>
      <c r="L1773" s="143">
        <v>44614</v>
      </c>
      <c r="M1773" s="106">
        <v>691.6</v>
      </c>
      <c r="N1773" s="106">
        <v>701</v>
      </c>
      <c r="O1773" s="106">
        <v>649.85</v>
      </c>
      <c r="P1773" s="106">
        <v>664.15</v>
      </c>
      <c r="Q1773" s="106">
        <v>691.6</v>
      </c>
      <c r="R1773">
        <v>6128200</v>
      </c>
    </row>
    <row r="1774" spans="1:18" x14ac:dyDescent="0.25">
      <c r="A1774" s="143">
        <v>44615</v>
      </c>
      <c r="B1774" s="106">
        <v>700.6</v>
      </c>
      <c r="C1774" s="106">
        <v>684.8</v>
      </c>
      <c r="D1774" s="106">
        <v>681.75</v>
      </c>
      <c r="E1774" s="106">
        <v>697.5</v>
      </c>
      <c r="F1774" s="106">
        <v>684.8</v>
      </c>
      <c r="G1774">
        <v>60054</v>
      </c>
      <c r="H1774" s="106"/>
      <c r="I1774" s="106"/>
      <c r="L1774" s="143">
        <v>44615</v>
      </c>
      <c r="M1774" s="106">
        <v>684.3</v>
      </c>
      <c r="N1774" s="106">
        <v>703.9</v>
      </c>
      <c r="O1774" s="106">
        <v>681.75</v>
      </c>
      <c r="P1774" s="106">
        <v>697.95</v>
      </c>
      <c r="Q1774" s="106">
        <v>684.3</v>
      </c>
      <c r="R1774">
        <v>2788938</v>
      </c>
    </row>
    <row r="1775" spans="1:18" x14ac:dyDescent="0.25">
      <c r="A1775" s="143">
        <v>44616</v>
      </c>
      <c r="B1775" s="106">
        <v>675.7</v>
      </c>
      <c r="C1775" s="106">
        <v>648.45000000000005</v>
      </c>
      <c r="D1775" s="106">
        <v>643.25</v>
      </c>
      <c r="E1775" s="106">
        <v>660.05</v>
      </c>
      <c r="F1775" s="106">
        <v>648.45000000000005</v>
      </c>
      <c r="G1775">
        <v>123359</v>
      </c>
      <c r="H1775" s="106"/>
      <c r="I1775" s="106"/>
      <c r="L1775" s="143">
        <v>44616</v>
      </c>
      <c r="M1775" s="106">
        <v>647.85</v>
      </c>
      <c r="N1775" s="106">
        <v>676.75</v>
      </c>
      <c r="O1775" s="106">
        <v>643</v>
      </c>
      <c r="P1775" s="106">
        <v>663</v>
      </c>
      <c r="Q1775" s="106">
        <v>647.85</v>
      </c>
      <c r="R1775">
        <v>2982071</v>
      </c>
    </row>
    <row r="1776" spans="1:18" x14ac:dyDescent="0.25">
      <c r="A1776" s="143">
        <v>44617</v>
      </c>
      <c r="B1776" s="106">
        <v>688.3</v>
      </c>
      <c r="C1776" s="106">
        <v>684.15</v>
      </c>
      <c r="D1776" s="106">
        <v>656.55</v>
      </c>
      <c r="E1776" s="106">
        <v>657</v>
      </c>
      <c r="F1776" s="106">
        <v>684.15</v>
      </c>
      <c r="G1776">
        <v>82231</v>
      </c>
      <c r="H1776" s="106"/>
      <c r="I1776" s="106"/>
      <c r="L1776" s="143">
        <v>44617</v>
      </c>
      <c r="M1776" s="106">
        <v>683.8</v>
      </c>
      <c r="N1776" s="106">
        <v>688.45</v>
      </c>
      <c r="O1776" s="106">
        <v>657</v>
      </c>
      <c r="P1776" s="106">
        <v>659</v>
      </c>
      <c r="Q1776" s="106">
        <v>683.8</v>
      </c>
      <c r="R1776">
        <v>1632149</v>
      </c>
    </row>
    <row r="1777" spans="1:18" x14ac:dyDescent="0.25">
      <c r="A1777" s="143">
        <v>44620</v>
      </c>
      <c r="B1777" s="106">
        <v>692.95</v>
      </c>
      <c r="C1777" s="106">
        <v>691.25</v>
      </c>
      <c r="D1777" s="106">
        <v>667.85</v>
      </c>
      <c r="E1777" s="106">
        <v>678</v>
      </c>
      <c r="F1777" s="106">
        <v>691.25</v>
      </c>
      <c r="G1777">
        <v>87395</v>
      </c>
      <c r="H1777" s="106"/>
      <c r="I1777" s="106"/>
      <c r="L1777" s="143">
        <v>44620</v>
      </c>
      <c r="M1777" s="106">
        <v>690.95</v>
      </c>
      <c r="N1777" s="106">
        <v>693</v>
      </c>
      <c r="O1777" s="106">
        <v>668</v>
      </c>
      <c r="P1777" s="106">
        <v>680</v>
      </c>
      <c r="Q1777" s="106">
        <v>690.95</v>
      </c>
      <c r="R1777">
        <v>2217246</v>
      </c>
    </row>
    <row r="1778" spans="1:18" x14ac:dyDescent="0.25">
      <c r="A1778" s="143">
        <v>44622</v>
      </c>
      <c r="B1778" s="106">
        <v>697.45</v>
      </c>
      <c r="C1778" s="106">
        <v>678.85</v>
      </c>
      <c r="D1778" s="106">
        <v>668.5</v>
      </c>
      <c r="E1778" s="106">
        <v>684.9</v>
      </c>
      <c r="F1778" s="106">
        <v>678.85</v>
      </c>
      <c r="G1778">
        <v>71733</v>
      </c>
      <c r="H1778" s="106"/>
      <c r="I1778" s="106"/>
      <c r="L1778" s="143">
        <v>44622</v>
      </c>
      <c r="M1778" s="106">
        <v>679.45</v>
      </c>
      <c r="N1778" s="106">
        <v>697.8</v>
      </c>
      <c r="O1778" s="106">
        <v>668.3</v>
      </c>
      <c r="P1778" s="106">
        <v>680</v>
      </c>
      <c r="Q1778" s="106">
        <v>679.45</v>
      </c>
      <c r="R1778">
        <v>2401524</v>
      </c>
    </row>
    <row r="1779" spans="1:18" x14ac:dyDescent="0.25">
      <c r="A1779" s="143">
        <v>44623</v>
      </c>
      <c r="B1779" s="106">
        <v>691.95</v>
      </c>
      <c r="C1779" s="106">
        <v>675.9</v>
      </c>
      <c r="D1779" s="106">
        <v>673.45</v>
      </c>
      <c r="E1779" s="106">
        <v>686.6</v>
      </c>
      <c r="F1779" s="106">
        <v>675.9</v>
      </c>
      <c r="G1779">
        <v>43214</v>
      </c>
      <c r="H1779" s="106"/>
      <c r="I1779" s="106"/>
      <c r="L1779" s="143">
        <v>44623</v>
      </c>
      <c r="M1779" s="106">
        <v>675.9</v>
      </c>
      <c r="N1779" s="106">
        <v>695</v>
      </c>
      <c r="O1779" s="106">
        <v>673.1</v>
      </c>
      <c r="P1779" s="106">
        <v>695</v>
      </c>
      <c r="Q1779" s="106">
        <v>675.9</v>
      </c>
      <c r="R1779">
        <v>1614018</v>
      </c>
    </row>
    <row r="1780" spans="1:18" x14ac:dyDescent="0.25">
      <c r="A1780" s="143">
        <v>44624</v>
      </c>
      <c r="B1780" s="106">
        <v>673.9</v>
      </c>
      <c r="C1780" s="106">
        <v>660.5</v>
      </c>
      <c r="D1780" s="106">
        <v>644.04999999999995</v>
      </c>
      <c r="E1780" s="106">
        <v>665.25</v>
      </c>
      <c r="F1780" s="106">
        <v>660.5</v>
      </c>
      <c r="G1780">
        <v>109622</v>
      </c>
      <c r="H1780" s="106"/>
      <c r="I1780" s="106"/>
      <c r="L1780" s="143">
        <v>44624</v>
      </c>
      <c r="M1780" s="106">
        <v>658.5</v>
      </c>
      <c r="N1780" s="106">
        <v>673.95</v>
      </c>
      <c r="O1780" s="106">
        <v>644.1</v>
      </c>
      <c r="P1780" s="106">
        <v>669.95</v>
      </c>
      <c r="Q1780" s="106">
        <v>658.5</v>
      </c>
      <c r="R1780">
        <v>2507093</v>
      </c>
    </row>
    <row r="1781" spans="1:18" x14ac:dyDescent="0.25">
      <c r="A1781" s="143">
        <v>44627</v>
      </c>
      <c r="B1781" s="106">
        <v>645.85</v>
      </c>
      <c r="C1781" s="106">
        <v>606.54999999999995</v>
      </c>
      <c r="D1781" s="106">
        <v>596.1</v>
      </c>
      <c r="E1781" s="106">
        <v>640</v>
      </c>
      <c r="F1781" s="106">
        <v>606.54999999999995</v>
      </c>
      <c r="G1781">
        <v>227966</v>
      </c>
      <c r="H1781" s="106"/>
      <c r="I1781" s="106"/>
      <c r="L1781" s="143">
        <v>44627</v>
      </c>
      <c r="M1781" s="106">
        <v>607.29999999999995</v>
      </c>
      <c r="N1781" s="106">
        <v>648</v>
      </c>
      <c r="O1781" s="106">
        <v>596</v>
      </c>
      <c r="P1781" s="106">
        <v>647.1</v>
      </c>
      <c r="Q1781" s="106">
        <v>607.29999999999995</v>
      </c>
      <c r="R1781">
        <v>3684167</v>
      </c>
    </row>
    <row r="1782" spans="1:18" x14ac:dyDescent="0.25">
      <c r="A1782" s="143">
        <v>44628</v>
      </c>
      <c r="B1782" s="106">
        <v>621.20000000000005</v>
      </c>
      <c r="C1782" s="106">
        <v>615.4</v>
      </c>
      <c r="D1782" s="106">
        <v>596</v>
      </c>
      <c r="E1782" s="106">
        <v>603.5</v>
      </c>
      <c r="F1782" s="106">
        <v>615.4</v>
      </c>
      <c r="G1782">
        <v>79975</v>
      </c>
      <c r="H1782" s="106"/>
      <c r="I1782" s="106"/>
      <c r="L1782" s="143">
        <v>44628</v>
      </c>
      <c r="M1782" s="106">
        <v>615.54999999999995</v>
      </c>
      <c r="N1782" s="106">
        <v>621.54999999999995</v>
      </c>
      <c r="O1782" s="106">
        <v>595.1</v>
      </c>
      <c r="P1782" s="106">
        <v>607.29999999999995</v>
      </c>
      <c r="Q1782" s="106">
        <v>615.54999999999995</v>
      </c>
      <c r="R1782">
        <v>2672403</v>
      </c>
    </row>
    <row r="1783" spans="1:18" x14ac:dyDescent="0.25">
      <c r="A1783" s="143">
        <v>44629</v>
      </c>
      <c r="B1783" s="106">
        <v>643.9</v>
      </c>
      <c r="C1783" s="106">
        <v>640.20000000000005</v>
      </c>
      <c r="D1783" s="106">
        <v>613.65</v>
      </c>
      <c r="E1783" s="106">
        <v>621.75</v>
      </c>
      <c r="F1783" s="106">
        <v>640.20000000000005</v>
      </c>
      <c r="G1783">
        <v>57353</v>
      </c>
      <c r="H1783" s="106"/>
      <c r="I1783" s="106"/>
      <c r="L1783" s="143">
        <v>44629</v>
      </c>
      <c r="M1783" s="106">
        <v>640.5</v>
      </c>
      <c r="N1783" s="106">
        <v>644.70000000000005</v>
      </c>
      <c r="O1783" s="106">
        <v>613.29999999999995</v>
      </c>
      <c r="P1783" s="106">
        <v>621.1</v>
      </c>
      <c r="Q1783" s="106">
        <v>640.5</v>
      </c>
      <c r="R1783">
        <v>3413357</v>
      </c>
    </row>
    <row r="1784" spans="1:18" x14ac:dyDescent="0.25">
      <c r="A1784" s="143">
        <v>44630</v>
      </c>
      <c r="B1784" s="106">
        <v>675.3</v>
      </c>
      <c r="C1784" s="106">
        <v>669.5</v>
      </c>
      <c r="D1784" s="106">
        <v>648.75</v>
      </c>
      <c r="E1784" s="106">
        <v>648.79999999999995</v>
      </c>
      <c r="F1784" s="106">
        <v>669.5</v>
      </c>
      <c r="G1784">
        <v>46115</v>
      </c>
      <c r="H1784" s="106"/>
      <c r="I1784" s="106"/>
      <c r="L1784" s="143">
        <v>44630</v>
      </c>
      <c r="M1784" s="106">
        <v>670.45</v>
      </c>
      <c r="N1784" s="106">
        <v>675.7</v>
      </c>
      <c r="O1784" s="106">
        <v>647.85</v>
      </c>
      <c r="P1784" s="106">
        <v>647.85</v>
      </c>
      <c r="Q1784" s="106">
        <v>670.45</v>
      </c>
      <c r="R1784">
        <v>2425990</v>
      </c>
    </row>
    <row r="1785" spans="1:18" x14ac:dyDescent="0.25">
      <c r="A1785" s="143">
        <v>44631</v>
      </c>
      <c r="B1785" s="106">
        <v>675.1</v>
      </c>
      <c r="C1785" s="106">
        <v>671.2</v>
      </c>
      <c r="D1785" s="106">
        <v>660.95</v>
      </c>
      <c r="E1785" s="106">
        <v>669.1</v>
      </c>
      <c r="F1785" s="106">
        <v>671.2</v>
      </c>
      <c r="G1785">
        <v>27361</v>
      </c>
      <c r="H1785" s="106"/>
      <c r="I1785" s="106"/>
      <c r="L1785" s="143">
        <v>44631</v>
      </c>
      <c r="M1785" s="106">
        <v>671.45</v>
      </c>
      <c r="N1785" s="106">
        <v>675</v>
      </c>
      <c r="O1785" s="106">
        <v>661.05</v>
      </c>
      <c r="P1785" s="106">
        <v>662.3</v>
      </c>
      <c r="Q1785" s="106">
        <v>671.45</v>
      </c>
      <c r="R1785">
        <v>1452682</v>
      </c>
    </row>
    <row r="1786" spans="1:18" x14ac:dyDescent="0.25">
      <c r="A1786" s="143">
        <v>44634</v>
      </c>
      <c r="B1786" s="106">
        <v>681.5</v>
      </c>
      <c r="C1786" s="106">
        <v>678.75</v>
      </c>
      <c r="D1786" s="106">
        <v>658.3</v>
      </c>
      <c r="E1786" s="106">
        <v>661</v>
      </c>
      <c r="F1786" s="106">
        <v>678.75</v>
      </c>
      <c r="G1786">
        <v>45246</v>
      </c>
      <c r="H1786" s="106"/>
      <c r="I1786" s="106"/>
      <c r="L1786" s="143">
        <v>44634</v>
      </c>
      <c r="M1786" s="106">
        <v>679.25</v>
      </c>
      <c r="N1786" s="106">
        <v>681.7</v>
      </c>
      <c r="O1786" s="106">
        <v>658.05</v>
      </c>
      <c r="P1786" s="106">
        <v>669</v>
      </c>
      <c r="Q1786" s="106">
        <v>679.25</v>
      </c>
      <c r="R1786">
        <v>1608380</v>
      </c>
    </row>
    <row r="1787" spans="1:18" x14ac:dyDescent="0.25">
      <c r="A1787" s="143">
        <v>44635</v>
      </c>
      <c r="B1787" s="106">
        <v>698.5</v>
      </c>
      <c r="C1787" s="106">
        <v>685.25</v>
      </c>
      <c r="D1787" s="106">
        <v>676.4</v>
      </c>
      <c r="E1787" s="106">
        <v>679</v>
      </c>
      <c r="F1787" s="106">
        <v>685.25</v>
      </c>
      <c r="G1787">
        <v>100707</v>
      </c>
      <c r="H1787" s="106"/>
      <c r="I1787" s="106"/>
      <c r="L1787" s="143">
        <v>44635</v>
      </c>
      <c r="M1787" s="106">
        <v>685.8</v>
      </c>
      <c r="N1787" s="106">
        <v>698.85</v>
      </c>
      <c r="O1787" s="106">
        <v>675.7</v>
      </c>
      <c r="P1787" s="106">
        <v>679.5</v>
      </c>
      <c r="Q1787" s="106">
        <v>685.8</v>
      </c>
      <c r="R1787">
        <v>3511719</v>
      </c>
    </row>
    <row r="1788" spans="1:18" x14ac:dyDescent="0.25">
      <c r="A1788" s="143">
        <v>44636</v>
      </c>
      <c r="B1788" s="106">
        <v>713.6</v>
      </c>
      <c r="C1788" s="106">
        <v>697.2</v>
      </c>
      <c r="D1788" s="106">
        <v>690</v>
      </c>
      <c r="E1788" s="106">
        <v>697</v>
      </c>
      <c r="F1788" s="106">
        <v>697.2</v>
      </c>
      <c r="G1788">
        <v>80103</v>
      </c>
      <c r="H1788" s="106"/>
      <c r="I1788" s="106"/>
      <c r="L1788" s="143">
        <v>44636</v>
      </c>
      <c r="M1788" s="106">
        <v>697.4</v>
      </c>
      <c r="N1788" s="106">
        <v>713.5</v>
      </c>
      <c r="O1788" s="106">
        <v>690.7</v>
      </c>
      <c r="P1788" s="106">
        <v>692</v>
      </c>
      <c r="Q1788" s="106">
        <v>697.4</v>
      </c>
      <c r="R1788">
        <v>2941360</v>
      </c>
    </row>
    <row r="1789" spans="1:18" x14ac:dyDescent="0.25">
      <c r="A1789" s="143">
        <v>44637</v>
      </c>
      <c r="B1789" s="106">
        <v>723.45</v>
      </c>
      <c r="C1789" s="106">
        <v>720.2</v>
      </c>
      <c r="D1789" s="106">
        <v>704</v>
      </c>
      <c r="E1789" s="106">
        <v>709.4</v>
      </c>
      <c r="F1789" s="106">
        <v>720.2</v>
      </c>
      <c r="G1789">
        <v>48438</v>
      </c>
      <c r="H1789" s="106"/>
      <c r="I1789" s="106"/>
      <c r="L1789" s="143">
        <v>44637</v>
      </c>
      <c r="M1789" s="106">
        <v>719.85</v>
      </c>
      <c r="N1789" s="106">
        <v>723.95</v>
      </c>
      <c r="O1789" s="106">
        <v>704.1</v>
      </c>
      <c r="P1789" s="106">
        <v>708</v>
      </c>
      <c r="Q1789" s="106">
        <v>719.85</v>
      </c>
      <c r="R1789">
        <v>2591783</v>
      </c>
    </row>
    <row r="1790" spans="1:18" x14ac:dyDescent="0.25">
      <c r="A1790" s="143">
        <v>44641</v>
      </c>
      <c r="B1790" s="106">
        <v>719.85</v>
      </c>
      <c r="C1790" s="106">
        <v>697.25</v>
      </c>
      <c r="D1790" s="106">
        <v>694.2</v>
      </c>
      <c r="E1790" s="106">
        <v>718</v>
      </c>
      <c r="F1790" s="106">
        <v>697.25</v>
      </c>
      <c r="G1790">
        <v>61107</v>
      </c>
      <c r="H1790" s="106"/>
      <c r="I1790" s="106"/>
      <c r="L1790" s="143">
        <v>44641</v>
      </c>
      <c r="M1790" s="106">
        <v>697.85</v>
      </c>
      <c r="N1790" s="106">
        <v>719.85</v>
      </c>
      <c r="O1790" s="106">
        <v>696.25</v>
      </c>
      <c r="P1790" s="106">
        <v>717.9</v>
      </c>
      <c r="Q1790" s="106">
        <v>697.85</v>
      </c>
      <c r="R1790">
        <v>1702087</v>
      </c>
    </row>
    <row r="1791" spans="1:18" x14ac:dyDescent="0.25">
      <c r="A1791" s="143">
        <v>44642</v>
      </c>
      <c r="B1791" s="106">
        <v>716.9</v>
      </c>
      <c r="C1791" s="106">
        <v>711.85</v>
      </c>
      <c r="D1791" s="106">
        <v>685.55</v>
      </c>
      <c r="E1791" s="106">
        <v>697.9</v>
      </c>
      <c r="F1791" s="106">
        <v>711.85</v>
      </c>
      <c r="G1791">
        <v>71161</v>
      </c>
      <c r="H1791" s="106"/>
      <c r="I1791" s="106"/>
      <c r="L1791" s="143">
        <v>44642</v>
      </c>
      <c r="M1791" s="106">
        <v>711.95</v>
      </c>
      <c r="N1791" s="106">
        <v>720</v>
      </c>
      <c r="O1791" s="106">
        <v>685.15</v>
      </c>
      <c r="P1791" s="106">
        <v>697</v>
      </c>
      <c r="Q1791" s="106">
        <v>711.95</v>
      </c>
      <c r="R1791">
        <v>1744155</v>
      </c>
    </row>
    <row r="1792" spans="1:18" x14ac:dyDescent="0.25">
      <c r="A1792" s="143">
        <v>44643</v>
      </c>
      <c r="B1792" s="106">
        <v>729.9</v>
      </c>
      <c r="C1792" s="106">
        <v>721.6</v>
      </c>
      <c r="D1792" s="106">
        <v>711.5</v>
      </c>
      <c r="E1792" s="106">
        <v>711.5</v>
      </c>
      <c r="F1792" s="106">
        <v>721.6</v>
      </c>
      <c r="G1792">
        <v>88095</v>
      </c>
      <c r="H1792" s="106"/>
      <c r="I1792" s="106"/>
      <c r="L1792" s="143">
        <v>44643</v>
      </c>
      <c r="M1792" s="106">
        <v>721.75</v>
      </c>
      <c r="N1792" s="106">
        <v>730.35</v>
      </c>
      <c r="O1792" s="106">
        <v>714.4</v>
      </c>
      <c r="P1792" s="106">
        <v>716.5</v>
      </c>
      <c r="Q1792" s="106">
        <v>721.75</v>
      </c>
      <c r="R1792">
        <v>3237859</v>
      </c>
    </row>
    <row r="1793" spans="1:18" x14ac:dyDescent="0.25">
      <c r="A1793" s="143">
        <v>44644</v>
      </c>
      <c r="B1793" s="106">
        <v>734.55</v>
      </c>
      <c r="C1793" s="106">
        <v>731.45</v>
      </c>
      <c r="D1793" s="106">
        <v>716.15</v>
      </c>
      <c r="E1793" s="106">
        <v>719.7</v>
      </c>
      <c r="F1793" s="106">
        <v>731.45</v>
      </c>
      <c r="G1793">
        <v>40074</v>
      </c>
      <c r="H1793" s="106"/>
      <c r="I1793" s="106"/>
      <c r="L1793" s="143">
        <v>44644</v>
      </c>
      <c r="M1793" s="106">
        <v>731.35</v>
      </c>
      <c r="N1793" s="106">
        <v>734.5</v>
      </c>
      <c r="O1793" s="106">
        <v>716.5</v>
      </c>
      <c r="P1793" s="106">
        <v>717.6</v>
      </c>
      <c r="Q1793" s="106">
        <v>731.35</v>
      </c>
      <c r="R1793">
        <v>1944920</v>
      </c>
    </row>
    <row r="1794" spans="1:18" x14ac:dyDescent="0.25">
      <c r="A1794" s="143">
        <v>44645</v>
      </c>
      <c r="B1794" s="106">
        <v>739.8</v>
      </c>
      <c r="C1794" s="106">
        <v>732.3</v>
      </c>
      <c r="D1794" s="106">
        <v>725.4</v>
      </c>
      <c r="E1794" s="106">
        <v>737</v>
      </c>
      <c r="F1794" s="106">
        <v>732.3</v>
      </c>
      <c r="G1794">
        <v>36976</v>
      </c>
      <c r="H1794" s="106"/>
      <c r="I1794" s="106"/>
      <c r="L1794" s="143">
        <v>44645</v>
      </c>
      <c r="M1794" s="106">
        <v>732.25</v>
      </c>
      <c r="N1794" s="106">
        <v>739.95</v>
      </c>
      <c r="O1794" s="106">
        <v>725.3</v>
      </c>
      <c r="P1794" s="106">
        <v>732.9</v>
      </c>
      <c r="Q1794" s="106">
        <v>732.25</v>
      </c>
      <c r="R1794">
        <v>1442309</v>
      </c>
    </row>
    <row r="1795" spans="1:18" x14ac:dyDescent="0.25">
      <c r="A1795" s="143">
        <v>44648</v>
      </c>
      <c r="B1795" s="106">
        <v>735.95</v>
      </c>
      <c r="C1795" s="106">
        <v>726.7</v>
      </c>
      <c r="D1795" s="106">
        <v>722.25</v>
      </c>
      <c r="E1795" s="106">
        <v>732.3</v>
      </c>
      <c r="F1795" s="106">
        <v>726.7</v>
      </c>
      <c r="G1795">
        <v>45565</v>
      </c>
      <c r="H1795" s="106"/>
      <c r="I1795" s="106"/>
      <c r="L1795" s="143">
        <v>44648</v>
      </c>
      <c r="M1795" s="106">
        <v>726.75</v>
      </c>
      <c r="N1795" s="106">
        <v>736.05</v>
      </c>
      <c r="O1795" s="106">
        <v>722.25</v>
      </c>
      <c r="P1795" s="106">
        <v>734</v>
      </c>
      <c r="Q1795" s="106">
        <v>726.75</v>
      </c>
      <c r="R1795">
        <v>986065</v>
      </c>
    </row>
    <row r="1796" spans="1:18" x14ac:dyDescent="0.25">
      <c r="A1796" s="143">
        <v>44649</v>
      </c>
      <c r="B1796" s="106">
        <v>731.95</v>
      </c>
      <c r="C1796" s="106">
        <v>713.65</v>
      </c>
      <c r="D1796" s="106">
        <v>706.7</v>
      </c>
      <c r="E1796" s="106">
        <v>726</v>
      </c>
      <c r="F1796" s="106">
        <v>713.65</v>
      </c>
      <c r="G1796">
        <v>33873</v>
      </c>
      <c r="H1796" s="106"/>
      <c r="I1796" s="106"/>
      <c r="L1796" s="143">
        <v>44649</v>
      </c>
      <c r="M1796" s="106">
        <v>715.2</v>
      </c>
      <c r="N1796" s="106">
        <v>731.85</v>
      </c>
      <c r="O1796" s="106">
        <v>706.15</v>
      </c>
      <c r="P1796" s="106">
        <v>725.6</v>
      </c>
      <c r="Q1796" s="106">
        <v>715.2</v>
      </c>
      <c r="R1796">
        <v>1888601</v>
      </c>
    </row>
    <row r="1797" spans="1:18" x14ac:dyDescent="0.25">
      <c r="A1797" s="143">
        <v>44650</v>
      </c>
      <c r="B1797" s="106">
        <v>736.2</v>
      </c>
      <c r="C1797" s="106">
        <v>733.7</v>
      </c>
      <c r="D1797" s="106">
        <v>718.2</v>
      </c>
      <c r="E1797" s="106">
        <v>720</v>
      </c>
      <c r="F1797" s="106">
        <v>733.7</v>
      </c>
      <c r="G1797">
        <v>33660</v>
      </c>
      <c r="H1797" s="106"/>
      <c r="I1797" s="106"/>
      <c r="L1797" s="143">
        <v>44650</v>
      </c>
      <c r="M1797" s="106">
        <v>733.45</v>
      </c>
      <c r="N1797" s="106">
        <v>736.7</v>
      </c>
      <c r="O1797" s="106">
        <v>717.25</v>
      </c>
      <c r="P1797" s="106">
        <v>722.65</v>
      </c>
      <c r="Q1797" s="106">
        <v>733.45</v>
      </c>
      <c r="R1797">
        <v>2011375</v>
      </c>
    </row>
    <row r="1798" spans="1:18" x14ac:dyDescent="0.25">
      <c r="A1798" s="143">
        <v>44651</v>
      </c>
      <c r="B1798" s="106">
        <v>737.95</v>
      </c>
      <c r="C1798" s="106">
        <v>718.3</v>
      </c>
      <c r="D1798" s="106">
        <v>715.65</v>
      </c>
      <c r="E1798" s="106">
        <v>737</v>
      </c>
      <c r="F1798" s="106">
        <v>718.3</v>
      </c>
      <c r="G1798">
        <v>36929</v>
      </c>
      <c r="H1798" s="106"/>
      <c r="I1798" s="106"/>
      <c r="L1798" s="143">
        <v>44651</v>
      </c>
      <c r="M1798" s="106">
        <v>718.45</v>
      </c>
      <c r="N1798" s="106">
        <v>737.95</v>
      </c>
      <c r="O1798" s="106">
        <v>715.5</v>
      </c>
      <c r="P1798" s="106">
        <v>729.75</v>
      </c>
      <c r="Q1798" s="106">
        <v>718.45</v>
      </c>
      <c r="R1798">
        <v>1680132</v>
      </c>
    </row>
    <row r="1799" spans="1:18" x14ac:dyDescent="0.25">
      <c r="A1799" s="143">
        <v>44652</v>
      </c>
      <c r="B1799" s="106">
        <v>718.3</v>
      </c>
      <c r="C1799" s="106">
        <v>707.8</v>
      </c>
      <c r="D1799" s="106">
        <v>695.35</v>
      </c>
      <c r="E1799" s="106">
        <v>718.1</v>
      </c>
      <c r="F1799" s="106">
        <v>707.8</v>
      </c>
      <c r="G1799">
        <v>122589</v>
      </c>
      <c r="H1799" s="106"/>
      <c r="I1799" s="106"/>
      <c r="L1799" s="143">
        <v>44652</v>
      </c>
      <c r="M1799" s="106">
        <v>707.75</v>
      </c>
      <c r="N1799" s="106">
        <v>720.15</v>
      </c>
      <c r="O1799" s="106">
        <v>695.85</v>
      </c>
      <c r="P1799" s="106">
        <v>720</v>
      </c>
      <c r="Q1799" s="106">
        <v>707.75</v>
      </c>
      <c r="R1799">
        <v>3120135</v>
      </c>
    </row>
    <row r="1800" spans="1:18" x14ac:dyDescent="0.25">
      <c r="A1800" s="143">
        <v>44655</v>
      </c>
      <c r="B1800" s="106">
        <v>713.55</v>
      </c>
      <c r="C1800" s="106">
        <v>699.9</v>
      </c>
      <c r="D1800" s="106">
        <v>697.5</v>
      </c>
      <c r="E1800" s="106">
        <v>711</v>
      </c>
      <c r="F1800" s="106">
        <v>699.9</v>
      </c>
      <c r="G1800">
        <v>61523</v>
      </c>
      <c r="H1800" s="106"/>
      <c r="I1800" s="106"/>
      <c r="L1800" s="143">
        <v>44655</v>
      </c>
      <c r="M1800" s="106">
        <v>699.55</v>
      </c>
      <c r="N1800" s="106">
        <v>713.9</v>
      </c>
      <c r="O1800" s="106">
        <v>696</v>
      </c>
      <c r="P1800" s="106">
        <v>709.95</v>
      </c>
      <c r="Q1800" s="106">
        <v>699.55</v>
      </c>
      <c r="R1800">
        <v>1961331</v>
      </c>
    </row>
    <row r="1801" spans="1:18" x14ac:dyDescent="0.25">
      <c r="A1801" s="143">
        <v>44656</v>
      </c>
      <c r="B1801" s="106">
        <v>714.45</v>
      </c>
      <c r="C1801" s="106">
        <v>704.55</v>
      </c>
      <c r="D1801" s="106">
        <v>693.35</v>
      </c>
      <c r="E1801" s="106">
        <v>695.5</v>
      </c>
      <c r="F1801" s="106">
        <v>704.55</v>
      </c>
      <c r="G1801">
        <v>70932</v>
      </c>
      <c r="H1801" s="106"/>
      <c r="I1801" s="106"/>
      <c r="L1801" s="143">
        <v>44656</v>
      </c>
      <c r="M1801" s="106">
        <v>704.6</v>
      </c>
      <c r="N1801" s="106">
        <v>714.9</v>
      </c>
      <c r="O1801" s="106">
        <v>693.3</v>
      </c>
      <c r="P1801" s="106">
        <v>704.8</v>
      </c>
      <c r="Q1801" s="106">
        <v>704.6</v>
      </c>
      <c r="R1801">
        <v>1511295</v>
      </c>
    </row>
    <row r="1802" spans="1:18" x14ac:dyDescent="0.25">
      <c r="A1802" s="143">
        <v>44657</v>
      </c>
      <c r="B1802" s="106">
        <v>708</v>
      </c>
      <c r="C1802" s="106">
        <v>703.1</v>
      </c>
      <c r="D1802" s="106">
        <v>690</v>
      </c>
      <c r="E1802" s="106">
        <v>692</v>
      </c>
      <c r="F1802" s="106">
        <v>703.1</v>
      </c>
      <c r="G1802">
        <v>33581</v>
      </c>
      <c r="H1802" s="106"/>
      <c r="I1802" s="106"/>
      <c r="L1802" s="143">
        <v>44657</v>
      </c>
      <c r="M1802" s="106">
        <v>702.75</v>
      </c>
      <c r="N1802" s="106">
        <v>708.35</v>
      </c>
      <c r="O1802" s="106">
        <v>690</v>
      </c>
      <c r="P1802" s="106">
        <v>690</v>
      </c>
      <c r="Q1802" s="106">
        <v>702.75</v>
      </c>
      <c r="R1802">
        <v>1839420</v>
      </c>
    </row>
    <row r="1803" spans="1:18" x14ac:dyDescent="0.25">
      <c r="A1803" s="143">
        <v>44658</v>
      </c>
      <c r="B1803" s="106">
        <v>706.9</v>
      </c>
      <c r="C1803" s="106">
        <v>686.95</v>
      </c>
      <c r="D1803" s="106">
        <v>685</v>
      </c>
      <c r="E1803" s="106">
        <v>702.1</v>
      </c>
      <c r="F1803" s="106">
        <v>686.95</v>
      </c>
      <c r="G1803">
        <v>76339</v>
      </c>
      <c r="H1803" s="106"/>
      <c r="I1803" s="106"/>
      <c r="L1803" s="143">
        <v>44658</v>
      </c>
      <c r="M1803" s="106">
        <v>686.75</v>
      </c>
      <c r="N1803" s="106">
        <v>707.2</v>
      </c>
      <c r="O1803" s="106">
        <v>685</v>
      </c>
      <c r="P1803" s="106">
        <v>703</v>
      </c>
      <c r="Q1803" s="106">
        <v>686.75</v>
      </c>
      <c r="R1803">
        <v>1237183</v>
      </c>
    </row>
    <row r="1804" spans="1:18" x14ac:dyDescent="0.25">
      <c r="A1804" s="143">
        <v>44659</v>
      </c>
      <c r="B1804" s="106">
        <v>751</v>
      </c>
      <c r="C1804" s="106">
        <v>742.15</v>
      </c>
      <c r="D1804" s="106">
        <v>709</v>
      </c>
      <c r="E1804" s="106">
        <v>711.1</v>
      </c>
      <c r="F1804" s="106">
        <v>742.15</v>
      </c>
      <c r="G1804">
        <v>478830</v>
      </c>
      <c r="H1804" s="106"/>
      <c r="I1804" s="106"/>
      <c r="L1804" s="143">
        <v>44659</v>
      </c>
      <c r="M1804" s="106">
        <v>741.75</v>
      </c>
      <c r="N1804" s="106">
        <v>751.45</v>
      </c>
      <c r="O1804" s="106">
        <v>707.4</v>
      </c>
      <c r="P1804" s="106">
        <v>714</v>
      </c>
      <c r="Q1804" s="106">
        <v>741.75</v>
      </c>
      <c r="R1804">
        <v>12316063</v>
      </c>
    </row>
    <row r="1805" spans="1:18" x14ac:dyDescent="0.25">
      <c r="A1805" s="143">
        <v>44662</v>
      </c>
      <c r="B1805" s="106">
        <v>757.85</v>
      </c>
      <c r="C1805" s="106">
        <v>743.85</v>
      </c>
      <c r="D1805" s="106">
        <v>741.3</v>
      </c>
      <c r="E1805" s="106">
        <v>748.95</v>
      </c>
      <c r="F1805" s="106">
        <v>743.85</v>
      </c>
      <c r="G1805">
        <v>115504</v>
      </c>
      <c r="H1805" s="106"/>
      <c r="I1805" s="106"/>
      <c r="L1805" s="143">
        <v>44662</v>
      </c>
      <c r="M1805" s="106">
        <v>744.1</v>
      </c>
      <c r="N1805" s="106">
        <v>757.95</v>
      </c>
      <c r="O1805" s="106">
        <v>742</v>
      </c>
      <c r="P1805" s="106">
        <v>747</v>
      </c>
      <c r="Q1805" s="106">
        <v>744.1</v>
      </c>
      <c r="R1805">
        <v>3389385</v>
      </c>
    </row>
    <row r="1806" spans="1:18" x14ac:dyDescent="0.25">
      <c r="A1806" s="143">
        <v>44663</v>
      </c>
      <c r="B1806" s="106">
        <v>744.8</v>
      </c>
      <c r="C1806" s="106">
        <v>740.45</v>
      </c>
      <c r="D1806" s="106">
        <v>724.5</v>
      </c>
      <c r="E1806" s="106">
        <v>742</v>
      </c>
      <c r="F1806" s="106">
        <v>740.45</v>
      </c>
      <c r="G1806">
        <v>54864</v>
      </c>
      <c r="H1806" s="106"/>
      <c r="I1806" s="106"/>
      <c r="L1806" s="143">
        <v>44663</v>
      </c>
      <c r="M1806" s="106">
        <v>740.7</v>
      </c>
      <c r="N1806" s="106">
        <v>744.8</v>
      </c>
      <c r="O1806" s="106">
        <v>724</v>
      </c>
      <c r="P1806" s="106">
        <v>742.8</v>
      </c>
      <c r="Q1806" s="106">
        <v>740.7</v>
      </c>
      <c r="R1806">
        <v>1811999</v>
      </c>
    </row>
    <row r="1807" spans="1:18" x14ac:dyDescent="0.25">
      <c r="A1807" s="143">
        <v>44664</v>
      </c>
      <c r="B1807" s="106">
        <v>748.15</v>
      </c>
      <c r="C1807" s="106">
        <v>731.05</v>
      </c>
      <c r="D1807" s="106">
        <v>728.2</v>
      </c>
      <c r="E1807" s="106">
        <v>739.55</v>
      </c>
      <c r="F1807" s="106">
        <v>731.05</v>
      </c>
      <c r="G1807">
        <v>42934</v>
      </c>
      <c r="H1807" s="106"/>
      <c r="I1807" s="106"/>
      <c r="L1807" s="143">
        <v>44664</v>
      </c>
      <c r="M1807" s="106">
        <v>730.3</v>
      </c>
      <c r="N1807" s="106">
        <v>751</v>
      </c>
      <c r="O1807" s="106">
        <v>728.4</v>
      </c>
      <c r="P1807" s="106">
        <v>743</v>
      </c>
      <c r="Q1807" s="106">
        <v>730.3</v>
      </c>
      <c r="R1807">
        <v>1323247</v>
      </c>
    </row>
    <row r="1808" spans="1:18" x14ac:dyDescent="0.25">
      <c r="A1808" s="143">
        <v>44669</v>
      </c>
      <c r="B1808" s="106">
        <v>729.25</v>
      </c>
      <c r="C1808" s="106">
        <v>724.45</v>
      </c>
      <c r="D1808" s="106">
        <v>712.65</v>
      </c>
      <c r="E1808" s="106">
        <v>720.5</v>
      </c>
      <c r="F1808" s="106">
        <v>724.45</v>
      </c>
      <c r="G1808">
        <v>66147</v>
      </c>
      <c r="H1808" s="106"/>
      <c r="I1808" s="106"/>
      <c r="L1808" s="143">
        <v>44669</v>
      </c>
      <c r="M1808" s="106">
        <v>724.85</v>
      </c>
      <c r="N1808" s="106">
        <v>729.9</v>
      </c>
      <c r="O1808" s="106">
        <v>711.3</v>
      </c>
      <c r="P1808" s="106">
        <v>727.4</v>
      </c>
      <c r="Q1808" s="106">
        <v>724.85</v>
      </c>
      <c r="R1808">
        <v>1585086</v>
      </c>
    </row>
    <row r="1809" spans="1:18" x14ac:dyDescent="0.25">
      <c r="A1809" s="143">
        <v>44670</v>
      </c>
      <c r="B1809" s="106">
        <v>761</v>
      </c>
      <c r="C1809" s="106">
        <v>737.15</v>
      </c>
      <c r="D1809" s="106">
        <v>721.6</v>
      </c>
      <c r="E1809" s="106">
        <v>721.6</v>
      </c>
      <c r="F1809" s="106">
        <v>737.15</v>
      </c>
      <c r="G1809">
        <v>68814</v>
      </c>
      <c r="H1809" s="106"/>
      <c r="I1809" s="106"/>
      <c r="L1809" s="143">
        <v>44670</v>
      </c>
      <c r="M1809" s="106">
        <v>736.85</v>
      </c>
      <c r="N1809" s="106">
        <v>761.35</v>
      </c>
      <c r="O1809" s="106">
        <v>727.75</v>
      </c>
      <c r="P1809" s="106">
        <v>728</v>
      </c>
      <c r="Q1809" s="106">
        <v>736.85</v>
      </c>
      <c r="R1809">
        <v>4021576</v>
      </c>
    </row>
    <row r="1810" spans="1:18" x14ac:dyDescent="0.25">
      <c r="A1810" s="143">
        <v>44671</v>
      </c>
      <c r="B1810" s="106">
        <v>743.35</v>
      </c>
      <c r="C1810" s="106">
        <v>710.35</v>
      </c>
      <c r="D1810" s="106">
        <v>707.6</v>
      </c>
      <c r="E1810" s="106">
        <v>739</v>
      </c>
      <c r="F1810" s="106">
        <v>710.35</v>
      </c>
      <c r="G1810">
        <v>69755</v>
      </c>
      <c r="H1810" s="106"/>
      <c r="I1810" s="106"/>
      <c r="L1810" s="143">
        <v>44671</v>
      </c>
      <c r="M1810" s="106">
        <v>709.85</v>
      </c>
      <c r="N1810" s="106">
        <v>745</v>
      </c>
      <c r="O1810" s="106">
        <v>707.45</v>
      </c>
      <c r="P1810" s="106">
        <v>738</v>
      </c>
      <c r="Q1810" s="106">
        <v>709.85</v>
      </c>
      <c r="R1810">
        <v>1927461</v>
      </c>
    </row>
    <row r="1811" spans="1:18" x14ac:dyDescent="0.25">
      <c r="A1811" s="143">
        <v>44672</v>
      </c>
      <c r="B1811" s="106">
        <v>725.45</v>
      </c>
      <c r="C1811" s="106">
        <v>720.75</v>
      </c>
      <c r="D1811" s="106">
        <v>711.25</v>
      </c>
      <c r="E1811" s="106">
        <v>720</v>
      </c>
      <c r="F1811" s="106">
        <v>720.75</v>
      </c>
      <c r="G1811">
        <v>40224</v>
      </c>
      <c r="H1811" s="106"/>
      <c r="I1811" s="106"/>
      <c r="L1811" s="143">
        <v>44672</v>
      </c>
      <c r="M1811" s="106">
        <v>720.55</v>
      </c>
      <c r="N1811" s="106">
        <v>726</v>
      </c>
      <c r="O1811" s="106">
        <v>711.1</v>
      </c>
      <c r="P1811" s="106">
        <v>719.5</v>
      </c>
      <c r="Q1811" s="106">
        <v>720.55</v>
      </c>
      <c r="R1811">
        <v>1676681</v>
      </c>
    </row>
    <row r="1812" spans="1:18" x14ac:dyDescent="0.25">
      <c r="A1812" s="143">
        <v>44673</v>
      </c>
      <c r="B1812" s="106">
        <v>722.5</v>
      </c>
      <c r="C1812" s="106">
        <v>714</v>
      </c>
      <c r="D1812" s="106">
        <v>706.2</v>
      </c>
      <c r="E1812" s="106">
        <v>722.5</v>
      </c>
      <c r="F1812" s="106">
        <v>714</v>
      </c>
      <c r="G1812">
        <v>42729</v>
      </c>
      <c r="H1812" s="106"/>
      <c r="I1812" s="106"/>
      <c r="L1812" s="143">
        <v>44673</v>
      </c>
      <c r="M1812" s="106">
        <v>713.5</v>
      </c>
      <c r="N1812" s="106">
        <v>720.4</v>
      </c>
      <c r="O1812" s="106">
        <v>705.75</v>
      </c>
      <c r="P1812" s="106">
        <v>719.8</v>
      </c>
      <c r="Q1812" s="106">
        <v>713.5</v>
      </c>
      <c r="R1812">
        <v>1439751</v>
      </c>
    </row>
    <row r="1813" spans="1:18" x14ac:dyDescent="0.25">
      <c r="A1813" s="143">
        <v>44676</v>
      </c>
      <c r="B1813" s="106">
        <v>721.3</v>
      </c>
      <c r="C1813" s="106">
        <v>715.2</v>
      </c>
      <c r="D1813" s="106">
        <v>699.9</v>
      </c>
      <c r="E1813" s="106">
        <v>705</v>
      </c>
      <c r="F1813" s="106">
        <v>715.2</v>
      </c>
      <c r="G1813">
        <v>68728</v>
      </c>
      <c r="H1813" s="106"/>
      <c r="I1813" s="106"/>
      <c r="L1813" s="143">
        <v>44676</v>
      </c>
      <c r="M1813" s="106">
        <v>715.2</v>
      </c>
      <c r="N1813" s="106">
        <v>721.5</v>
      </c>
      <c r="O1813" s="106">
        <v>699.55</v>
      </c>
      <c r="P1813" s="106">
        <v>709.95</v>
      </c>
      <c r="Q1813" s="106">
        <v>715.2</v>
      </c>
      <c r="R1813">
        <v>1400362</v>
      </c>
    </row>
    <row r="1814" spans="1:18" x14ac:dyDescent="0.25">
      <c r="A1814" s="143">
        <v>44677</v>
      </c>
      <c r="B1814" s="106">
        <v>770.05</v>
      </c>
      <c r="C1814" s="106">
        <v>763.75</v>
      </c>
      <c r="D1814" s="106">
        <v>717.75</v>
      </c>
      <c r="E1814" s="106">
        <v>717.75</v>
      </c>
      <c r="F1814" s="106">
        <v>763.75</v>
      </c>
      <c r="G1814">
        <v>99508</v>
      </c>
      <c r="H1814" s="106"/>
      <c r="I1814" s="106"/>
      <c r="L1814" s="143">
        <v>44677</v>
      </c>
      <c r="M1814" s="106">
        <v>764</v>
      </c>
      <c r="N1814" s="106">
        <v>768</v>
      </c>
      <c r="O1814" s="106">
        <v>720.15</v>
      </c>
      <c r="P1814" s="106">
        <v>721</v>
      </c>
      <c r="Q1814" s="106">
        <v>764</v>
      </c>
      <c r="R1814">
        <v>5406268</v>
      </c>
    </row>
    <row r="1815" spans="1:18" x14ac:dyDescent="0.25">
      <c r="A1815" s="143">
        <v>44678</v>
      </c>
      <c r="B1815" s="106">
        <v>762.15</v>
      </c>
      <c r="C1815" s="106">
        <v>744.4</v>
      </c>
      <c r="D1815" s="106">
        <v>742.5</v>
      </c>
      <c r="E1815" s="106">
        <v>759</v>
      </c>
      <c r="F1815" s="106">
        <v>744.4</v>
      </c>
      <c r="G1815">
        <v>43545</v>
      </c>
      <c r="H1815" s="106"/>
      <c r="I1815" s="106"/>
      <c r="L1815" s="143">
        <v>44678</v>
      </c>
      <c r="M1815" s="106">
        <v>744.55</v>
      </c>
      <c r="N1815" s="106">
        <v>762.8</v>
      </c>
      <c r="O1815" s="106">
        <v>742</v>
      </c>
      <c r="P1815" s="106">
        <v>758.8</v>
      </c>
      <c r="Q1815" s="106">
        <v>744.55</v>
      </c>
      <c r="R1815">
        <v>1716491</v>
      </c>
    </row>
    <row r="1816" spans="1:18" x14ac:dyDescent="0.25">
      <c r="A1816" s="143">
        <v>44679</v>
      </c>
      <c r="B1816" s="106">
        <v>760</v>
      </c>
      <c r="C1816" s="106">
        <v>740.1</v>
      </c>
      <c r="D1816" s="106">
        <v>733.45</v>
      </c>
      <c r="E1816" s="106">
        <v>760</v>
      </c>
      <c r="F1816" s="106">
        <v>740.1</v>
      </c>
      <c r="G1816">
        <v>34296</v>
      </c>
      <c r="H1816" s="106"/>
      <c r="I1816" s="106"/>
      <c r="L1816" s="143">
        <v>44679</v>
      </c>
      <c r="M1816" s="106">
        <v>740.15</v>
      </c>
      <c r="N1816" s="106">
        <v>756.95</v>
      </c>
      <c r="O1816" s="106">
        <v>733.35</v>
      </c>
      <c r="P1816" s="106">
        <v>756</v>
      </c>
      <c r="Q1816" s="106">
        <v>740.15</v>
      </c>
      <c r="R1816">
        <v>1506403</v>
      </c>
    </row>
    <row r="1817" spans="1:18" x14ac:dyDescent="0.25">
      <c r="A1817" s="143">
        <v>44680</v>
      </c>
      <c r="B1817" s="106">
        <v>754.55</v>
      </c>
      <c r="C1817" s="106">
        <v>739.55</v>
      </c>
      <c r="D1817" s="106">
        <v>736</v>
      </c>
      <c r="E1817" s="106">
        <v>743.4</v>
      </c>
      <c r="F1817" s="106">
        <v>739.55</v>
      </c>
      <c r="G1817">
        <v>45621</v>
      </c>
      <c r="H1817" s="106"/>
      <c r="I1817" s="106"/>
      <c r="L1817" s="143">
        <v>44680</v>
      </c>
      <c r="M1817" s="106">
        <v>738.75</v>
      </c>
      <c r="N1817" s="106">
        <v>754.9</v>
      </c>
      <c r="O1817" s="106">
        <v>735.4</v>
      </c>
      <c r="P1817" s="106">
        <v>747</v>
      </c>
      <c r="Q1817" s="106">
        <v>738.75</v>
      </c>
      <c r="R1817">
        <v>1377584</v>
      </c>
    </row>
    <row r="1818" spans="1:18" x14ac:dyDescent="0.25">
      <c r="A1818" s="143">
        <v>44683</v>
      </c>
      <c r="B1818" s="106">
        <v>748.8</v>
      </c>
      <c r="C1818" s="106">
        <v>746.05</v>
      </c>
      <c r="D1818" s="106">
        <v>728.55</v>
      </c>
      <c r="E1818" s="106">
        <v>734.1</v>
      </c>
      <c r="F1818" s="106">
        <v>746.05</v>
      </c>
      <c r="G1818">
        <v>42807</v>
      </c>
      <c r="H1818" s="106"/>
      <c r="I1818" s="106"/>
      <c r="L1818" s="143">
        <v>44683</v>
      </c>
      <c r="M1818" s="106">
        <v>746.5</v>
      </c>
      <c r="N1818" s="106">
        <v>749.9</v>
      </c>
      <c r="O1818" s="106">
        <v>728.15</v>
      </c>
      <c r="P1818" s="106">
        <v>734.9</v>
      </c>
      <c r="Q1818" s="106">
        <v>746.5</v>
      </c>
      <c r="R1818">
        <v>1031975</v>
      </c>
    </row>
    <row r="1819" spans="1:18" x14ac:dyDescent="0.25">
      <c r="A1819" s="143">
        <v>44685</v>
      </c>
      <c r="B1819" s="106">
        <v>751.2</v>
      </c>
      <c r="C1819" s="106">
        <v>712.2</v>
      </c>
      <c r="D1819" s="106">
        <v>709.2</v>
      </c>
      <c r="E1819" s="106">
        <v>747.4</v>
      </c>
      <c r="F1819" s="106">
        <v>712.2</v>
      </c>
      <c r="G1819">
        <v>697846</v>
      </c>
      <c r="H1819" s="106"/>
      <c r="I1819" s="106"/>
      <c r="L1819" s="143">
        <v>44685</v>
      </c>
      <c r="M1819" s="106">
        <v>712.15</v>
      </c>
      <c r="N1819" s="106">
        <v>751.45</v>
      </c>
      <c r="O1819" s="106">
        <v>708.75</v>
      </c>
      <c r="P1819" s="106">
        <v>747</v>
      </c>
      <c r="Q1819" s="106">
        <v>712.15</v>
      </c>
      <c r="R1819">
        <v>1342298</v>
      </c>
    </row>
    <row r="1820" spans="1:18" x14ac:dyDescent="0.25">
      <c r="A1820" s="143">
        <v>44686</v>
      </c>
      <c r="B1820" s="106">
        <v>736.35</v>
      </c>
      <c r="C1820" s="106">
        <v>715.35</v>
      </c>
      <c r="D1820" s="106">
        <v>713</v>
      </c>
      <c r="E1820" s="106">
        <v>724.2</v>
      </c>
      <c r="F1820" s="106">
        <v>715.35</v>
      </c>
      <c r="G1820">
        <v>53754</v>
      </c>
      <c r="H1820" s="106"/>
      <c r="I1820" s="106"/>
      <c r="L1820" s="143">
        <v>44686</v>
      </c>
      <c r="M1820" s="106">
        <v>715.3</v>
      </c>
      <c r="N1820" s="106">
        <v>736.8</v>
      </c>
      <c r="O1820" s="106">
        <v>712.35</v>
      </c>
      <c r="P1820" s="106">
        <v>720.95</v>
      </c>
      <c r="Q1820" s="106">
        <v>715.3</v>
      </c>
      <c r="R1820">
        <v>1560432</v>
      </c>
    </row>
    <row r="1821" spans="1:18" x14ac:dyDescent="0.25">
      <c r="A1821" s="143">
        <v>44687</v>
      </c>
      <c r="B1821" s="106">
        <v>709.5</v>
      </c>
      <c r="C1821" s="106">
        <v>636.15</v>
      </c>
      <c r="D1821" s="106">
        <v>629.25</v>
      </c>
      <c r="E1821" s="106">
        <v>709.5</v>
      </c>
      <c r="F1821" s="106">
        <v>636.15</v>
      </c>
      <c r="G1821">
        <v>279594</v>
      </c>
      <c r="H1821" s="106"/>
      <c r="I1821" s="106"/>
      <c r="L1821" s="143">
        <v>44687</v>
      </c>
      <c r="M1821" s="106">
        <v>636.85</v>
      </c>
      <c r="N1821" s="106">
        <v>699.95</v>
      </c>
      <c r="O1821" s="106">
        <v>629.20000000000005</v>
      </c>
      <c r="P1821" s="106">
        <v>696.1</v>
      </c>
      <c r="Q1821" s="106">
        <v>636.85</v>
      </c>
      <c r="R1821">
        <v>8926118</v>
      </c>
    </row>
    <row r="1822" spans="1:18" x14ac:dyDescent="0.25">
      <c r="A1822" s="143">
        <v>44690</v>
      </c>
      <c r="B1822" s="106">
        <v>644</v>
      </c>
      <c r="C1822" s="106">
        <v>635.15</v>
      </c>
      <c r="D1822" s="106">
        <v>618</v>
      </c>
      <c r="E1822" s="106">
        <v>618</v>
      </c>
      <c r="F1822" s="106">
        <v>635.15</v>
      </c>
      <c r="G1822">
        <v>123643</v>
      </c>
      <c r="H1822" s="106"/>
      <c r="I1822" s="106"/>
      <c r="L1822" s="143">
        <v>44690</v>
      </c>
      <c r="M1822" s="106">
        <v>635.4</v>
      </c>
      <c r="N1822" s="106">
        <v>644.45000000000005</v>
      </c>
      <c r="O1822" s="106">
        <v>618.54999999999995</v>
      </c>
      <c r="P1822" s="106">
        <v>622</v>
      </c>
      <c r="Q1822" s="106">
        <v>635.4</v>
      </c>
      <c r="R1822">
        <v>2966225</v>
      </c>
    </row>
    <row r="1823" spans="1:18" x14ac:dyDescent="0.25">
      <c r="A1823" s="143">
        <v>44691</v>
      </c>
      <c r="B1823" s="106">
        <v>648.85</v>
      </c>
      <c r="C1823" s="106">
        <v>637.70000000000005</v>
      </c>
      <c r="D1823" s="106">
        <v>632</v>
      </c>
      <c r="E1823" s="106">
        <v>641</v>
      </c>
      <c r="F1823" s="106">
        <v>637.70000000000005</v>
      </c>
      <c r="G1823">
        <v>81430</v>
      </c>
      <c r="H1823" s="106"/>
      <c r="I1823" s="106"/>
      <c r="L1823" s="143">
        <v>44691</v>
      </c>
      <c r="M1823" s="106">
        <v>637.95000000000005</v>
      </c>
      <c r="N1823" s="106">
        <v>648.9</v>
      </c>
      <c r="O1823" s="106">
        <v>631.45000000000005</v>
      </c>
      <c r="P1823" s="106">
        <v>634</v>
      </c>
      <c r="Q1823" s="106">
        <v>637.95000000000005</v>
      </c>
      <c r="R1823">
        <v>2711145</v>
      </c>
    </row>
    <row r="1824" spans="1:18" x14ac:dyDescent="0.25">
      <c r="A1824" s="143">
        <v>44692</v>
      </c>
      <c r="B1824" s="106">
        <v>646.20000000000005</v>
      </c>
      <c r="C1824" s="106">
        <v>625.5</v>
      </c>
      <c r="D1824" s="106">
        <v>617</v>
      </c>
      <c r="E1824" s="106">
        <v>644.95000000000005</v>
      </c>
      <c r="F1824" s="106">
        <v>625.5</v>
      </c>
      <c r="G1824">
        <v>80083</v>
      </c>
      <c r="H1824" s="106"/>
      <c r="I1824" s="106"/>
      <c r="L1824" s="143">
        <v>44692</v>
      </c>
      <c r="M1824" s="106">
        <v>624.54999999999995</v>
      </c>
      <c r="N1824" s="106">
        <v>646.20000000000005</v>
      </c>
      <c r="O1824" s="106">
        <v>616.75</v>
      </c>
      <c r="P1824" s="106">
        <v>640</v>
      </c>
      <c r="Q1824" s="106">
        <v>624.54999999999995</v>
      </c>
      <c r="R1824">
        <v>2465676</v>
      </c>
    </row>
    <row r="1825" spans="1:18" x14ac:dyDescent="0.25">
      <c r="A1825" s="143">
        <v>44693</v>
      </c>
      <c r="B1825" s="106">
        <v>630</v>
      </c>
      <c r="C1825" s="106">
        <v>609.1</v>
      </c>
      <c r="D1825" s="106">
        <v>600.5</v>
      </c>
      <c r="E1825" s="106">
        <v>630</v>
      </c>
      <c r="F1825" s="106">
        <v>609.1</v>
      </c>
      <c r="G1825">
        <v>82433</v>
      </c>
      <c r="H1825" s="106"/>
      <c r="I1825" s="106"/>
      <c r="L1825" s="143">
        <v>44693</v>
      </c>
      <c r="M1825" s="106">
        <v>609.20000000000005</v>
      </c>
      <c r="N1825" s="106">
        <v>624.25</v>
      </c>
      <c r="O1825" s="106">
        <v>600.4</v>
      </c>
      <c r="P1825" s="106">
        <v>619.9</v>
      </c>
      <c r="Q1825" s="106">
        <v>609.20000000000005</v>
      </c>
      <c r="R1825">
        <v>2330770</v>
      </c>
    </row>
    <row r="1826" spans="1:18" x14ac:dyDescent="0.25">
      <c r="A1826" s="143">
        <v>44694</v>
      </c>
      <c r="B1826" s="106">
        <v>654.15</v>
      </c>
      <c r="C1826" s="106">
        <v>632.25</v>
      </c>
      <c r="D1826" s="106">
        <v>612.5</v>
      </c>
      <c r="E1826" s="106">
        <v>612.5</v>
      </c>
      <c r="F1826" s="106">
        <v>632.25</v>
      </c>
      <c r="G1826">
        <v>105626</v>
      </c>
      <c r="H1826" s="106"/>
      <c r="I1826" s="106"/>
      <c r="L1826" s="143">
        <v>44694</v>
      </c>
      <c r="M1826" s="106">
        <v>632.04999999999995</v>
      </c>
      <c r="N1826" s="106">
        <v>654.29999999999995</v>
      </c>
      <c r="O1826" s="106">
        <v>616</v>
      </c>
      <c r="P1826" s="106">
        <v>616</v>
      </c>
      <c r="Q1826" s="106">
        <v>632.04999999999995</v>
      </c>
      <c r="R1826">
        <v>3701646</v>
      </c>
    </row>
    <row r="1827" spans="1:18" x14ac:dyDescent="0.25">
      <c r="A1827" s="143">
        <v>44697</v>
      </c>
      <c r="B1827" s="106">
        <v>648.1</v>
      </c>
      <c r="C1827" s="106">
        <v>635.29999999999995</v>
      </c>
      <c r="D1827" s="106">
        <v>630.5</v>
      </c>
      <c r="E1827" s="106">
        <v>638</v>
      </c>
      <c r="F1827" s="106">
        <v>635.29999999999995</v>
      </c>
      <c r="G1827">
        <v>37353</v>
      </c>
      <c r="H1827" s="106"/>
      <c r="I1827" s="106"/>
      <c r="L1827" s="143">
        <v>44697</v>
      </c>
      <c r="M1827" s="106">
        <v>635.70000000000005</v>
      </c>
      <c r="N1827" s="106">
        <v>648.79999999999995</v>
      </c>
      <c r="O1827" s="106">
        <v>630.6</v>
      </c>
      <c r="P1827" s="106">
        <v>638.35</v>
      </c>
      <c r="Q1827" s="106">
        <v>635.70000000000005</v>
      </c>
      <c r="R1827">
        <v>1472809</v>
      </c>
    </row>
    <row r="1828" spans="1:18" x14ac:dyDescent="0.25">
      <c r="A1828" s="143">
        <v>44698</v>
      </c>
      <c r="B1828" s="106">
        <v>662.05</v>
      </c>
      <c r="C1828" s="106">
        <v>659.55</v>
      </c>
      <c r="D1828" s="106">
        <v>638.5</v>
      </c>
      <c r="E1828" s="106">
        <v>647.35</v>
      </c>
      <c r="F1828" s="106">
        <v>659.55</v>
      </c>
      <c r="G1828">
        <v>16575</v>
      </c>
      <c r="H1828" s="106"/>
      <c r="I1828" s="106"/>
      <c r="L1828" s="143">
        <v>44698</v>
      </c>
      <c r="M1828" s="106">
        <v>659.7</v>
      </c>
      <c r="N1828" s="106">
        <v>661.9</v>
      </c>
      <c r="O1828" s="106">
        <v>638.70000000000005</v>
      </c>
      <c r="P1828" s="106">
        <v>640</v>
      </c>
      <c r="Q1828" s="106">
        <v>659.7</v>
      </c>
      <c r="R1828">
        <v>1577987</v>
      </c>
    </row>
    <row r="1829" spans="1:18" x14ac:dyDescent="0.25">
      <c r="A1829" s="143">
        <v>44699</v>
      </c>
      <c r="B1829" s="106">
        <v>667.4</v>
      </c>
      <c r="C1829" s="106">
        <v>662.7</v>
      </c>
      <c r="D1829" s="106">
        <v>645.79999999999995</v>
      </c>
      <c r="E1829" s="106">
        <v>660.1</v>
      </c>
      <c r="F1829" s="106">
        <v>662.7</v>
      </c>
      <c r="G1829">
        <v>22868</v>
      </c>
      <c r="H1829" s="106"/>
      <c r="I1829" s="106"/>
      <c r="L1829" s="143">
        <v>44699</v>
      </c>
      <c r="M1829" s="106">
        <v>662.75</v>
      </c>
      <c r="N1829" s="106">
        <v>668</v>
      </c>
      <c r="O1829" s="106">
        <v>645.5</v>
      </c>
      <c r="P1829" s="106">
        <v>662</v>
      </c>
      <c r="Q1829" s="106">
        <v>662.75</v>
      </c>
      <c r="R1829">
        <v>1854119</v>
      </c>
    </row>
    <row r="1830" spans="1:18" x14ac:dyDescent="0.25">
      <c r="A1830" s="143">
        <v>44700</v>
      </c>
      <c r="B1830" s="106">
        <v>650</v>
      </c>
      <c r="C1830" s="106">
        <v>638.85</v>
      </c>
      <c r="D1830" s="106">
        <v>634</v>
      </c>
      <c r="E1830" s="106">
        <v>650</v>
      </c>
      <c r="F1830" s="106">
        <v>638.85</v>
      </c>
      <c r="G1830">
        <v>41566</v>
      </c>
      <c r="H1830" s="106"/>
      <c r="I1830" s="106"/>
      <c r="L1830" s="143">
        <v>44700</v>
      </c>
      <c r="M1830" s="106">
        <v>638.54999999999995</v>
      </c>
      <c r="N1830" s="106">
        <v>654.95000000000005</v>
      </c>
      <c r="O1830" s="106">
        <v>633.5</v>
      </c>
      <c r="P1830" s="106">
        <v>642</v>
      </c>
      <c r="Q1830" s="106">
        <v>638.54999999999995</v>
      </c>
      <c r="R1830">
        <v>1221336</v>
      </c>
    </row>
    <row r="1831" spans="1:18" x14ac:dyDescent="0.25">
      <c r="A1831" s="143">
        <v>44701</v>
      </c>
      <c r="B1831" s="106">
        <v>661.15</v>
      </c>
      <c r="C1831" s="106">
        <v>645.45000000000005</v>
      </c>
      <c r="D1831" s="106">
        <v>642.5</v>
      </c>
      <c r="E1831" s="106">
        <v>642.5</v>
      </c>
      <c r="F1831" s="106">
        <v>645.45000000000005</v>
      </c>
      <c r="G1831">
        <v>20516</v>
      </c>
      <c r="H1831" s="106"/>
      <c r="I1831" s="106"/>
      <c r="L1831" s="143">
        <v>44701</v>
      </c>
      <c r="M1831" s="106">
        <v>645.85</v>
      </c>
      <c r="N1831" s="106">
        <v>665</v>
      </c>
      <c r="O1831" s="106">
        <v>642.15</v>
      </c>
      <c r="P1831" s="106">
        <v>644.70000000000005</v>
      </c>
      <c r="Q1831" s="106">
        <v>645.85</v>
      </c>
      <c r="R1831">
        <v>1256877</v>
      </c>
    </row>
    <row r="1832" spans="1:18" x14ac:dyDescent="0.25">
      <c r="A1832" s="143">
        <v>44704</v>
      </c>
      <c r="B1832" s="106">
        <v>671.95</v>
      </c>
      <c r="C1832" s="106">
        <v>652.25</v>
      </c>
      <c r="D1832" s="106">
        <v>646.65</v>
      </c>
      <c r="E1832" s="106">
        <v>662</v>
      </c>
      <c r="F1832" s="106">
        <v>652.25</v>
      </c>
      <c r="G1832">
        <v>30392</v>
      </c>
      <c r="H1832" s="106"/>
      <c r="I1832" s="106"/>
      <c r="L1832" s="143">
        <v>44704</v>
      </c>
      <c r="M1832" s="106">
        <v>651.4</v>
      </c>
      <c r="N1832" s="106">
        <v>671.8</v>
      </c>
      <c r="O1832" s="106">
        <v>646.15</v>
      </c>
      <c r="P1832" s="106">
        <v>650</v>
      </c>
      <c r="Q1832" s="106">
        <v>651.4</v>
      </c>
      <c r="R1832">
        <v>1652937</v>
      </c>
    </row>
    <row r="1833" spans="1:18" x14ac:dyDescent="0.25">
      <c r="A1833" s="143">
        <v>44705</v>
      </c>
      <c r="B1833" s="106">
        <v>658.5</v>
      </c>
      <c r="C1833" s="106">
        <v>642.20000000000005</v>
      </c>
      <c r="D1833" s="106">
        <v>640.54999999999995</v>
      </c>
      <c r="E1833" s="106">
        <v>658.5</v>
      </c>
      <c r="F1833" s="106">
        <v>642.20000000000005</v>
      </c>
      <c r="G1833">
        <v>236317</v>
      </c>
      <c r="H1833" s="106"/>
      <c r="I1833" s="106"/>
      <c r="L1833" s="143">
        <v>44705</v>
      </c>
      <c r="M1833" s="106">
        <v>642.70000000000005</v>
      </c>
      <c r="N1833" s="106">
        <v>658.3</v>
      </c>
      <c r="O1833" s="106">
        <v>640</v>
      </c>
      <c r="P1833" s="106">
        <v>652.5</v>
      </c>
      <c r="Q1833" s="106">
        <v>642.70000000000005</v>
      </c>
      <c r="R1833">
        <v>1874615</v>
      </c>
    </row>
    <row r="1834" spans="1:18" x14ac:dyDescent="0.25">
      <c r="A1834" s="143">
        <v>44706</v>
      </c>
      <c r="B1834" s="106">
        <v>653.35</v>
      </c>
      <c r="C1834" s="106">
        <v>629.6</v>
      </c>
      <c r="D1834" s="106">
        <v>628.29999999999995</v>
      </c>
      <c r="E1834" s="106">
        <v>647.75</v>
      </c>
      <c r="F1834" s="106">
        <v>629.6</v>
      </c>
      <c r="G1834">
        <v>14616</v>
      </c>
      <c r="H1834" s="106"/>
      <c r="I1834" s="106"/>
      <c r="L1834" s="143">
        <v>44706</v>
      </c>
      <c r="M1834" s="106">
        <v>629.75</v>
      </c>
      <c r="N1834" s="106">
        <v>653.29999999999995</v>
      </c>
      <c r="O1834" s="106">
        <v>627.65</v>
      </c>
      <c r="P1834" s="106">
        <v>645</v>
      </c>
      <c r="Q1834" s="106">
        <v>629.75</v>
      </c>
      <c r="R1834">
        <v>1283514</v>
      </c>
    </row>
    <row r="1835" spans="1:18" x14ac:dyDescent="0.25">
      <c r="A1835" s="143">
        <v>44707</v>
      </c>
      <c r="B1835" s="106">
        <v>644.5</v>
      </c>
      <c r="C1835" s="106">
        <v>639.25</v>
      </c>
      <c r="D1835" s="106">
        <v>618.75</v>
      </c>
      <c r="E1835" s="106">
        <v>636.6</v>
      </c>
      <c r="F1835" s="106">
        <v>639.25</v>
      </c>
      <c r="G1835">
        <v>277665</v>
      </c>
      <c r="H1835" s="106"/>
      <c r="I1835" s="106"/>
      <c r="L1835" s="143">
        <v>44707</v>
      </c>
      <c r="M1835" s="106">
        <v>638.9</v>
      </c>
      <c r="N1835" s="106">
        <v>649</v>
      </c>
      <c r="O1835" s="106">
        <v>617.9</v>
      </c>
      <c r="P1835" s="106">
        <v>634</v>
      </c>
      <c r="Q1835" s="106">
        <v>638.9</v>
      </c>
      <c r="R1835">
        <v>1086166</v>
      </c>
    </row>
    <row r="1836" spans="1:18" x14ac:dyDescent="0.25">
      <c r="A1836" s="143">
        <v>44708</v>
      </c>
      <c r="B1836" s="106">
        <v>660</v>
      </c>
      <c r="C1836" s="106">
        <v>656.55</v>
      </c>
      <c r="D1836" s="106">
        <v>639.20000000000005</v>
      </c>
      <c r="E1836" s="106">
        <v>639.20000000000005</v>
      </c>
      <c r="F1836" s="106">
        <v>656.55</v>
      </c>
      <c r="G1836">
        <v>33411</v>
      </c>
      <c r="H1836" s="106"/>
      <c r="I1836" s="106"/>
      <c r="L1836" s="143">
        <v>44708</v>
      </c>
      <c r="M1836" s="106">
        <v>656.7</v>
      </c>
      <c r="N1836" s="106">
        <v>660</v>
      </c>
      <c r="O1836" s="106">
        <v>644</v>
      </c>
      <c r="P1836" s="106">
        <v>648</v>
      </c>
      <c r="Q1836" s="106">
        <v>656.7</v>
      </c>
      <c r="R1836">
        <v>988345</v>
      </c>
    </row>
    <row r="1837" spans="1:18" x14ac:dyDescent="0.25">
      <c r="A1837" s="143">
        <v>44711</v>
      </c>
      <c r="B1837" s="106">
        <v>678.9</v>
      </c>
      <c r="C1837" s="106">
        <v>676.7</v>
      </c>
      <c r="D1837" s="106">
        <v>661.7</v>
      </c>
      <c r="E1837" s="106">
        <v>668.9</v>
      </c>
      <c r="F1837" s="106">
        <v>676.7</v>
      </c>
      <c r="G1837">
        <v>50546</v>
      </c>
      <c r="H1837" s="106"/>
      <c r="I1837" s="106"/>
      <c r="L1837" s="143">
        <v>44711</v>
      </c>
      <c r="M1837" s="106">
        <v>676.6</v>
      </c>
      <c r="N1837" s="106">
        <v>678.9</v>
      </c>
      <c r="O1837" s="106">
        <v>661</v>
      </c>
      <c r="P1837" s="106">
        <v>661.9</v>
      </c>
      <c r="Q1837" s="106">
        <v>676.6</v>
      </c>
      <c r="R1837">
        <v>1518848</v>
      </c>
    </row>
    <row r="1838" spans="1:18" x14ac:dyDescent="0.25">
      <c r="A1838" s="143">
        <v>44712</v>
      </c>
      <c r="B1838" s="106">
        <v>683.5</v>
      </c>
      <c r="C1838" s="106">
        <v>679.45</v>
      </c>
      <c r="D1838" s="106">
        <v>665</v>
      </c>
      <c r="E1838" s="106">
        <v>672.1</v>
      </c>
      <c r="F1838" s="106">
        <v>679.45</v>
      </c>
      <c r="G1838">
        <v>31560</v>
      </c>
      <c r="H1838" s="106"/>
      <c r="I1838" s="106"/>
      <c r="L1838" s="143">
        <v>44712</v>
      </c>
      <c r="M1838" s="106">
        <v>679.6</v>
      </c>
      <c r="N1838" s="106">
        <v>683.75</v>
      </c>
      <c r="O1838" s="106">
        <v>665.15</v>
      </c>
      <c r="P1838" s="106">
        <v>680</v>
      </c>
      <c r="Q1838" s="106">
        <v>679.6</v>
      </c>
      <c r="R1838">
        <v>1628241</v>
      </c>
    </row>
    <row r="1839" spans="1:18" x14ac:dyDescent="0.25">
      <c r="A1839" s="143">
        <v>44713</v>
      </c>
      <c r="B1839" s="106">
        <v>685</v>
      </c>
      <c r="C1839" s="106">
        <v>672.05</v>
      </c>
      <c r="D1839" s="106">
        <v>666</v>
      </c>
      <c r="E1839" s="106">
        <v>685</v>
      </c>
      <c r="F1839" s="106">
        <v>672.05</v>
      </c>
      <c r="G1839">
        <v>22048</v>
      </c>
      <c r="H1839" s="106"/>
      <c r="I1839" s="106"/>
      <c r="L1839" s="143">
        <v>44713</v>
      </c>
      <c r="M1839" s="106">
        <v>671.55</v>
      </c>
      <c r="N1839" s="106">
        <v>682.1</v>
      </c>
      <c r="O1839" s="106">
        <v>665.55</v>
      </c>
      <c r="P1839" s="106">
        <v>679.6</v>
      </c>
      <c r="Q1839" s="106">
        <v>671.55</v>
      </c>
      <c r="R1839">
        <v>610383</v>
      </c>
    </row>
    <row r="1840" spans="1:18" x14ac:dyDescent="0.25">
      <c r="A1840" s="143">
        <v>44714</v>
      </c>
      <c r="B1840" s="106">
        <v>681.95</v>
      </c>
      <c r="C1840" s="106">
        <v>678.75</v>
      </c>
      <c r="D1840" s="106">
        <v>668.3</v>
      </c>
      <c r="E1840" s="106">
        <v>669.3</v>
      </c>
      <c r="F1840" s="106">
        <v>678.75</v>
      </c>
      <c r="G1840">
        <v>18109</v>
      </c>
      <c r="H1840" s="106"/>
      <c r="I1840" s="106"/>
      <c r="L1840" s="143">
        <v>44714</v>
      </c>
      <c r="M1840" s="106">
        <v>679.15</v>
      </c>
      <c r="N1840" s="106">
        <v>682</v>
      </c>
      <c r="O1840" s="106">
        <v>666.35</v>
      </c>
      <c r="P1840" s="106">
        <v>669</v>
      </c>
      <c r="Q1840" s="106">
        <v>679.15</v>
      </c>
      <c r="R1840">
        <v>715408</v>
      </c>
    </row>
    <row r="1841" spans="1:18" x14ac:dyDescent="0.25">
      <c r="A1841" s="143">
        <v>44715</v>
      </c>
      <c r="B1841" s="106">
        <v>690.35</v>
      </c>
      <c r="C1841" s="106">
        <v>659</v>
      </c>
      <c r="D1841" s="106">
        <v>656.25</v>
      </c>
      <c r="E1841" s="106">
        <v>675.05</v>
      </c>
      <c r="F1841" s="106">
        <v>659</v>
      </c>
      <c r="G1841">
        <v>16607</v>
      </c>
      <c r="H1841" s="106"/>
      <c r="I1841" s="106"/>
      <c r="L1841" s="143">
        <v>44715</v>
      </c>
      <c r="M1841" s="106">
        <v>658.4</v>
      </c>
      <c r="N1841" s="106">
        <v>691.1</v>
      </c>
      <c r="O1841" s="106">
        <v>656</v>
      </c>
      <c r="P1841" s="106">
        <v>682</v>
      </c>
      <c r="Q1841" s="106">
        <v>658.4</v>
      </c>
      <c r="R1841">
        <v>965282</v>
      </c>
    </row>
    <row r="1842" spans="1:18" x14ac:dyDescent="0.25">
      <c r="A1842" s="143">
        <v>44718</v>
      </c>
      <c r="B1842" s="106">
        <v>661</v>
      </c>
      <c r="C1842" s="106">
        <v>658.65</v>
      </c>
      <c r="D1842" s="106">
        <v>644</v>
      </c>
      <c r="E1842" s="106">
        <v>648</v>
      </c>
      <c r="F1842" s="106">
        <v>658.65</v>
      </c>
      <c r="G1842">
        <v>30476</v>
      </c>
      <c r="H1842" s="106"/>
      <c r="I1842" s="106"/>
      <c r="L1842" s="143">
        <v>44718</v>
      </c>
      <c r="M1842" s="106">
        <v>658.85</v>
      </c>
      <c r="N1842" s="106">
        <v>661.7</v>
      </c>
      <c r="O1842" s="106">
        <v>643.95000000000005</v>
      </c>
      <c r="P1842" s="106">
        <v>652.15</v>
      </c>
      <c r="Q1842" s="106">
        <v>658.85</v>
      </c>
      <c r="R1842">
        <v>854144</v>
      </c>
    </row>
    <row r="1843" spans="1:18" x14ac:dyDescent="0.25">
      <c r="A1843" s="143">
        <v>44719</v>
      </c>
      <c r="B1843" s="106">
        <v>661</v>
      </c>
      <c r="C1843" s="106">
        <v>660.35</v>
      </c>
      <c r="D1843" s="106">
        <v>645.9</v>
      </c>
      <c r="E1843" s="106">
        <v>660</v>
      </c>
      <c r="F1843" s="106">
        <v>660.35</v>
      </c>
      <c r="G1843">
        <v>16074</v>
      </c>
      <c r="H1843" s="106"/>
      <c r="I1843" s="106"/>
      <c r="L1843" s="143">
        <v>44719</v>
      </c>
      <c r="M1843" s="106">
        <v>659.8</v>
      </c>
      <c r="N1843" s="106">
        <v>661.55</v>
      </c>
      <c r="O1843" s="106">
        <v>645</v>
      </c>
      <c r="P1843" s="106">
        <v>657.9</v>
      </c>
      <c r="Q1843" s="106">
        <v>659.8</v>
      </c>
      <c r="R1843">
        <v>1306464</v>
      </c>
    </row>
    <row r="1844" spans="1:18" x14ac:dyDescent="0.25">
      <c r="A1844" s="143">
        <v>44720</v>
      </c>
      <c r="B1844" s="106">
        <v>715.75</v>
      </c>
      <c r="C1844" s="106">
        <v>669.85</v>
      </c>
      <c r="D1844" s="106">
        <v>659.4</v>
      </c>
      <c r="E1844" s="106">
        <v>662</v>
      </c>
      <c r="F1844" s="106">
        <v>669.85</v>
      </c>
      <c r="G1844">
        <v>95464</v>
      </c>
      <c r="H1844" s="106"/>
      <c r="I1844" s="106"/>
      <c r="L1844" s="143">
        <v>44720</v>
      </c>
      <c r="M1844" s="106">
        <v>669.95</v>
      </c>
      <c r="N1844" s="106">
        <v>717.2</v>
      </c>
      <c r="O1844" s="106">
        <v>659</v>
      </c>
      <c r="P1844" s="106">
        <v>664.85</v>
      </c>
      <c r="Q1844" s="106">
        <v>669.95</v>
      </c>
      <c r="R1844">
        <v>2799124</v>
      </c>
    </row>
    <row r="1845" spans="1:18" x14ac:dyDescent="0.25">
      <c r="A1845" s="143">
        <v>44721</v>
      </c>
      <c r="B1845" s="106">
        <v>681.6</v>
      </c>
      <c r="C1845" s="106">
        <v>675.65</v>
      </c>
      <c r="D1845" s="106">
        <v>664.45</v>
      </c>
      <c r="E1845" s="106">
        <v>665.05</v>
      </c>
      <c r="F1845" s="106">
        <v>675.65</v>
      </c>
      <c r="G1845">
        <v>12830</v>
      </c>
      <c r="H1845" s="106"/>
      <c r="I1845" s="106"/>
      <c r="L1845" s="143">
        <v>44721</v>
      </c>
      <c r="M1845" s="106">
        <v>676.15</v>
      </c>
      <c r="N1845" s="106">
        <v>681.6</v>
      </c>
      <c r="O1845" s="106">
        <v>664</v>
      </c>
      <c r="P1845" s="106">
        <v>669.45</v>
      </c>
      <c r="Q1845" s="106">
        <v>676.15</v>
      </c>
      <c r="R1845">
        <v>1022515</v>
      </c>
    </row>
    <row r="1846" spans="1:18" x14ac:dyDescent="0.25">
      <c r="A1846" s="143">
        <v>44722</v>
      </c>
      <c r="B1846" s="106">
        <v>672.7</v>
      </c>
      <c r="C1846" s="106">
        <v>650.45000000000005</v>
      </c>
      <c r="D1846" s="106">
        <v>647.75</v>
      </c>
      <c r="E1846" s="106">
        <v>669</v>
      </c>
      <c r="F1846" s="106">
        <v>650.45000000000005</v>
      </c>
      <c r="G1846">
        <v>26302</v>
      </c>
      <c r="H1846" s="106"/>
      <c r="I1846" s="106"/>
      <c r="L1846" s="143">
        <v>44722</v>
      </c>
      <c r="M1846" s="106">
        <v>650.35</v>
      </c>
      <c r="N1846" s="106">
        <v>673.2</v>
      </c>
      <c r="O1846" s="106">
        <v>648</v>
      </c>
      <c r="P1846" s="106">
        <v>666.5</v>
      </c>
      <c r="Q1846" s="106">
        <v>650.35</v>
      </c>
      <c r="R1846">
        <v>1389595</v>
      </c>
    </row>
    <row r="1847" spans="1:18" x14ac:dyDescent="0.25">
      <c r="A1847" s="143">
        <v>44725</v>
      </c>
      <c r="B1847" s="106">
        <v>634.85</v>
      </c>
      <c r="C1847" s="106">
        <v>609.20000000000005</v>
      </c>
      <c r="D1847" s="106">
        <v>606.85</v>
      </c>
      <c r="E1847" s="106">
        <v>633</v>
      </c>
      <c r="F1847" s="106">
        <v>609.20000000000005</v>
      </c>
      <c r="G1847">
        <v>51537</v>
      </c>
      <c r="H1847" s="106"/>
      <c r="I1847" s="106"/>
      <c r="L1847" s="143">
        <v>44725</v>
      </c>
      <c r="M1847" s="106">
        <v>609</v>
      </c>
      <c r="N1847" s="106">
        <v>638.85</v>
      </c>
      <c r="O1847" s="106">
        <v>606.85</v>
      </c>
      <c r="P1847" s="106">
        <v>638</v>
      </c>
      <c r="Q1847" s="106">
        <v>609</v>
      </c>
      <c r="R1847">
        <v>1669759</v>
      </c>
    </row>
    <row r="1848" spans="1:18" x14ac:dyDescent="0.25">
      <c r="A1848" s="143">
        <v>44726</v>
      </c>
      <c r="B1848" s="106">
        <v>628.20000000000005</v>
      </c>
      <c r="C1848" s="106">
        <v>619.1</v>
      </c>
      <c r="D1848" s="106">
        <v>594</v>
      </c>
      <c r="E1848" s="106">
        <v>594</v>
      </c>
      <c r="F1848" s="106">
        <v>619.1</v>
      </c>
      <c r="G1848">
        <v>218235</v>
      </c>
      <c r="H1848" s="106"/>
      <c r="I1848" s="106"/>
      <c r="L1848" s="143">
        <v>44726</v>
      </c>
      <c r="M1848" s="106">
        <v>618.85</v>
      </c>
      <c r="N1848" s="106">
        <v>628.5</v>
      </c>
      <c r="O1848" s="106">
        <v>600</v>
      </c>
      <c r="P1848" s="106">
        <v>600</v>
      </c>
      <c r="Q1848" s="106">
        <v>618.85</v>
      </c>
      <c r="R1848">
        <v>3085086</v>
      </c>
    </row>
    <row r="1849" spans="1:18" x14ac:dyDescent="0.25">
      <c r="A1849" s="143">
        <v>44727</v>
      </c>
      <c r="B1849" s="106">
        <v>635.65</v>
      </c>
      <c r="C1849" s="106">
        <v>632.75</v>
      </c>
      <c r="D1849" s="106">
        <v>617.6</v>
      </c>
      <c r="E1849" s="106">
        <v>619.1</v>
      </c>
      <c r="F1849" s="106">
        <v>632.75</v>
      </c>
      <c r="G1849">
        <v>61710</v>
      </c>
      <c r="H1849" s="106"/>
      <c r="I1849" s="106"/>
      <c r="L1849" s="143">
        <v>44727</v>
      </c>
      <c r="M1849" s="106">
        <v>633.15</v>
      </c>
      <c r="N1849" s="106">
        <v>636</v>
      </c>
      <c r="O1849" s="106">
        <v>617.29999999999995</v>
      </c>
      <c r="P1849" s="106">
        <v>619.9</v>
      </c>
      <c r="Q1849" s="106">
        <v>633.15</v>
      </c>
      <c r="R1849">
        <v>1782217</v>
      </c>
    </row>
    <row r="1850" spans="1:18" x14ac:dyDescent="0.25">
      <c r="A1850" s="143">
        <v>44728</v>
      </c>
      <c r="B1850" s="106">
        <v>657</v>
      </c>
      <c r="C1850" s="106">
        <v>625.95000000000005</v>
      </c>
      <c r="D1850" s="106">
        <v>619.75</v>
      </c>
      <c r="E1850" s="106">
        <v>635</v>
      </c>
      <c r="F1850" s="106">
        <v>625.95000000000005</v>
      </c>
      <c r="G1850">
        <v>42094</v>
      </c>
      <c r="H1850" s="106"/>
      <c r="I1850" s="106"/>
      <c r="L1850" s="143">
        <v>44728</v>
      </c>
      <c r="M1850" s="106">
        <v>626.1</v>
      </c>
      <c r="N1850" s="106">
        <v>657</v>
      </c>
      <c r="O1850" s="106">
        <v>619.45000000000005</v>
      </c>
      <c r="P1850" s="106">
        <v>639</v>
      </c>
      <c r="Q1850" s="106">
        <v>626.1</v>
      </c>
      <c r="R1850">
        <v>2835716</v>
      </c>
    </row>
    <row r="1851" spans="1:18" x14ac:dyDescent="0.25">
      <c r="A1851" s="143">
        <v>44729</v>
      </c>
      <c r="B1851" s="106">
        <v>645.9</v>
      </c>
      <c r="C1851" s="106">
        <v>641.5</v>
      </c>
      <c r="D1851" s="106">
        <v>604.79999999999995</v>
      </c>
      <c r="E1851" s="106">
        <v>604.79999999999995</v>
      </c>
      <c r="F1851" s="106">
        <v>641.5</v>
      </c>
      <c r="G1851">
        <v>47469</v>
      </c>
      <c r="H1851" s="106"/>
      <c r="I1851" s="106"/>
      <c r="L1851" s="143">
        <v>44729</v>
      </c>
      <c r="M1851" s="106">
        <v>641.29999999999995</v>
      </c>
      <c r="N1851" s="106">
        <v>646.20000000000005</v>
      </c>
      <c r="O1851" s="106">
        <v>615.1</v>
      </c>
      <c r="P1851" s="106">
        <v>620</v>
      </c>
      <c r="Q1851" s="106">
        <v>641.29999999999995</v>
      </c>
      <c r="R1851">
        <v>2149896</v>
      </c>
    </row>
    <row r="1852" spans="1:18" x14ac:dyDescent="0.25">
      <c r="A1852" s="143">
        <v>44732</v>
      </c>
      <c r="B1852" s="106">
        <v>644</v>
      </c>
      <c r="C1852" s="106">
        <v>618.9</v>
      </c>
      <c r="D1852" s="106">
        <v>611.5</v>
      </c>
      <c r="E1852" s="106">
        <v>635.79999999999995</v>
      </c>
      <c r="F1852" s="106">
        <v>618.9</v>
      </c>
      <c r="G1852">
        <v>72650</v>
      </c>
      <c r="H1852" s="106"/>
      <c r="I1852" s="106"/>
      <c r="L1852" s="143">
        <v>44732</v>
      </c>
      <c r="M1852" s="106">
        <v>619.20000000000005</v>
      </c>
      <c r="N1852" s="106">
        <v>645.4</v>
      </c>
      <c r="O1852" s="106">
        <v>611.29999999999995</v>
      </c>
      <c r="P1852" s="106">
        <v>640.29999999999995</v>
      </c>
      <c r="Q1852" s="106">
        <v>619.20000000000005</v>
      </c>
      <c r="R1852">
        <v>1555745</v>
      </c>
    </row>
    <row r="1853" spans="1:18" x14ac:dyDescent="0.25">
      <c r="A1853" s="143">
        <v>44733</v>
      </c>
      <c r="B1853" s="106">
        <v>632</v>
      </c>
      <c r="C1853" s="106">
        <v>625.75</v>
      </c>
      <c r="D1853" s="106">
        <v>615.6</v>
      </c>
      <c r="E1853" s="106">
        <v>628.5</v>
      </c>
      <c r="F1853" s="106">
        <v>625.75</v>
      </c>
      <c r="G1853">
        <v>34806</v>
      </c>
      <c r="H1853" s="106"/>
      <c r="I1853" s="106"/>
      <c r="L1853" s="143">
        <v>44733</v>
      </c>
      <c r="M1853" s="106">
        <v>625.79999999999995</v>
      </c>
      <c r="N1853" s="106">
        <v>632</v>
      </c>
      <c r="O1853" s="106">
        <v>615</v>
      </c>
      <c r="P1853" s="106">
        <v>629.20000000000005</v>
      </c>
      <c r="Q1853" s="106">
        <v>625.79999999999995</v>
      </c>
      <c r="R1853">
        <v>2114220</v>
      </c>
    </row>
    <row r="1854" spans="1:18" x14ac:dyDescent="0.25">
      <c r="A1854" s="143">
        <v>44734</v>
      </c>
      <c r="B1854" s="106">
        <v>624.5</v>
      </c>
      <c r="C1854" s="106">
        <v>617.85</v>
      </c>
      <c r="D1854" s="106">
        <v>611.85</v>
      </c>
      <c r="E1854" s="106">
        <v>624.45000000000005</v>
      </c>
      <c r="F1854" s="106">
        <v>617.85</v>
      </c>
      <c r="G1854">
        <v>147289</v>
      </c>
      <c r="H1854" s="106"/>
      <c r="I1854" s="106"/>
      <c r="L1854" s="143">
        <v>44734</v>
      </c>
      <c r="M1854" s="106">
        <v>617.15</v>
      </c>
      <c r="N1854" s="106">
        <v>626.9</v>
      </c>
      <c r="O1854" s="106">
        <v>611.25</v>
      </c>
      <c r="P1854" s="106">
        <v>626.9</v>
      </c>
      <c r="Q1854" s="106">
        <v>617.15</v>
      </c>
      <c r="R1854">
        <v>1280638</v>
      </c>
    </row>
    <row r="1855" spans="1:18" x14ac:dyDescent="0.25">
      <c r="A1855" s="143">
        <v>44735</v>
      </c>
      <c r="B1855" s="106">
        <v>648</v>
      </c>
      <c r="C1855" s="106">
        <v>636.45000000000005</v>
      </c>
      <c r="D1855" s="106">
        <v>614.5</v>
      </c>
      <c r="E1855" s="106">
        <v>621</v>
      </c>
      <c r="F1855" s="106">
        <v>636.45000000000005</v>
      </c>
      <c r="G1855">
        <v>64979</v>
      </c>
      <c r="H1855" s="106"/>
      <c r="I1855" s="106"/>
      <c r="L1855" s="143">
        <v>44735</v>
      </c>
      <c r="M1855" s="106">
        <v>636.45000000000005</v>
      </c>
      <c r="N1855" s="106">
        <v>648.5</v>
      </c>
      <c r="O1855" s="106">
        <v>613.70000000000005</v>
      </c>
      <c r="P1855" s="106">
        <v>620</v>
      </c>
      <c r="Q1855" s="106">
        <v>636.45000000000005</v>
      </c>
      <c r="R1855">
        <v>3586014</v>
      </c>
    </row>
    <row r="1856" spans="1:18" x14ac:dyDescent="0.25">
      <c r="A1856" s="143">
        <v>44736</v>
      </c>
      <c r="B1856" s="106">
        <v>653</v>
      </c>
      <c r="C1856" s="106">
        <v>647.85</v>
      </c>
      <c r="D1856" s="106">
        <v>631.79999999999995</v>
      </c>
      <c r="E1856" s="106">
        <v>639.9</v>
      </c>
      <c r="F1856" s="106">
        <v>647.85</v>
      </c>
      <c r="G1856">
        <v>515439</v>
      </c>
      <c r="H1856" s="106"/>
      <c r="I1856" s="106"/>
      <c r="L1856" s="143">
        <v>44736</v>
      </c>
      <c r="M1856" s="106">
        <v>647.75</v>
      </c>
      <c r="N1856" s="106">
        <v>653.1</v>
      </c>
      <c r="O1856" s="106">
        <v>631.79999999999995</v>
      </c>
      <c r="P1856" s="106">
        <v>641.95000000000005</v>
      </c>
      <c r="Q1856" s="106">
        <v>647.75</v>
      </c>
      <c r="R1856">
        <v>2849874</v>
      </c>
    </row>
    <row r="1857" spans="1:18" x14ac:dyDescent="0.25">
      <c r="A1857" s="143">
        <v>44739</v>
      </c>
      <c r="B1857" s="106">
        <v>656.65</v>
      </c>
      <c r="C1857" s="106">
        <v>633.95000000000005</v>
      </c>
      <c r="D1857" s="106">
        <v>632.9</v>
      </c>
      <c r="E1857" s="106">
        <v>643.54999999999995</v>
      </c>
      <c r="F1857" s="106">
        <v>633.95000000000005</v>
      </c>
      <c r="G1857">
        <v>37232</v>
      </c>
      <c r="H1857" s="106"/>
      <c r="I1857" s="106"/>
      <c r="L1857" s="143">
        <v>44739</v>
      </c>
      <c r="M1857" s="106">
        <v>634.25</v>
      </c>
      <c r="N1857" s="106">
        <v>657.3</v>
      </c>
      <c r="O1857" s="106">
        <v>632.9</v>
      </c>
      <c r="P1857" s="106">
        <v>654.95000000000005</v>
      </c>
      <c r="Q1857" s="106">
        <v>634.25</v>
      </c>
      <c r="R1857">
        <v>2076389</v>
      </c>
    </row>
    <row r="1858" spans="1:18" x14ac:dyDescent="0.25">
      <c r="A1858" s="143">
        <v>44740</v>
      </c>
      <c r="B1858" s="106">
        <v>642.85</v>
      </c>
      <c r="C1858" s="106">
        <v>640.25</v>
      </c>
      <c r="D1858" s="106">
        <v>627.29999999999995</v>
      </c>
      <c r="E1858" s="106">
        <v>628</v>
      </c>
      <c r="F1858" s="106">
        <v>640.25</v>
      </c>
      <c r="G1858">
        <v>25439</v>
      </c>
      <c r="H1858" s="106"/>
      <c r="I1858" s="106"/>
      <c r="L1858" s="143">
        <v>44740</v>
      </c>
      <c r="M1858" s="106">
        <v>640.79999999999995</v>
      </c>
      <c r="N1858" s="106">
        <v>642.95000000000005</v>
      </c>
      <c r="O1858" s="106">
        <v>627</v>
      </c>
      <c r="P1858" s="106">
        <v>634.25</v>
      </c>
      <c r="Q1858" s="106">
        <v>640.79999999999995</v>
      </c>
      <c r="R1858">
        <v>1387622</v>
      </c>
    </row>
    <row r="1859" spans="1:18" x14ac:dyDescent="0.25">
      <c r="A1859" s="143">
        <v>44741</v>
      </c>
      <c r="B1859" s="106">
        <v>640</v>
      </c>
      <c r="C1859" s="106">
        <v>638.9</v>
      </c>
      <c r="D1859" s="106">
        <v>622.75</v>
      </c>
      <c r="E1859" s="106">
        <v>638</v>
      </c>
      <c r="F1859" s="106">
        <v>638.9</v>
      </c>
      <c r="G1859">
        <v>17530</v>
      </c>
      <c r="H1859" s="106"/>
      <c r="I1859" s="106"/>
      <c r="L1859" s="143">
        <v>44741</v>
      </c>
      <c r="M1859" s="106">
        <v>638.85</v>
      </c>
      <c r="N1859" s="106">
        <v>640.79999999999995</v>
      </c>
      <c r="O1859" s="106">
        <v>622.15</v>
      </c>
      <c r="P1859" s="106">
        <v>632</v>
      </c>
      <c r="Q1859" s="106">
        <v>638.85</v>
      </c>
      <c r="R1859">
        <v>1961040</v>
      </c>
    </row>
    <row r="1860" spans="1:18" x14ac:dyDescent="0.25">
      <c r="A1860" s="143">
        <v>44742</v>
      </c>
      <c r="B1860" s="106">
        <v>633.35</v>
      </c>
      <c r="C1860" s="106">
        <v>619.70000000000005</v>
      </c>
      <c r="D1860" s="106">
        <v>618</v>
      </c>
      <c r="E1860" s="106">
        <v>632.04999999999995</v>
      </c>
      <c r="F1860" s="106">
        <v>619.70000000000005</v>
      </c>
      <c r="G1860">
        <v>33504</v>
      </c>
      <c r="H1860" s="106"/>
      <c r="I1860" s="106"/>
      <c r="L1860" s="143">
        <v>44742</v>
      </c>
      <c r="M1860" s="106">
        <v>619.5</v>
      </c>
      <c r="N1860" s="106">
        <v>637</v>
      </c>
      <c r="O1860" s="106">
        <v>617.35</v>
      </c>
      <c r="P1860" s="106">
        <v>636.54999999999995</v>
      </c>
      <c r="Q1860" s="106">
        <v>619.5</v>
      </c>
      <c r="R1860">
        <v>2517206</v>
      </c>
    </row>
    <row r="1861" spans="1:18" x14ac:dyDescent="0.25">
      <c r="A1861" s="143">
        <v>44743</v>
      </c>
      <c r="B1861" s="106">
        <v>643.25</v>
      </c>
      <c r="C1861" s="106">
        <v>641.04999999999995</v>
      </c>
      <c r="D1861" s="106">
        <v>617.15</v>
      </c>
      <c r="E1861" s="106">
        <v>619.45000000000005</v>
      </c>
      <c r="F1861" s="106">
        <v>641.04999999999995</v>
      </c>
      <c r="G1861">
        <v>34124</v>
      </c>
      <c r="H1861" s="106"/>
      <c r="I1861" s="106"/>
      <c r="L1861" s="143">
        <v>44743</v>
      </c>
      <c r="M1861" s="106">
        <v>640.35</v>
      </c>
      <c r="N1861" s="106">
        <v>643.15</v>
      </c>
      <c r="O1861" s="106">
        <v>616.04999999999995</v>
      </c>
      <c r="P1861" s="106">
        <v>616.20000000000005</v>
      </c>
      <c r="Q1861" s="106">
        <v>640.35</v>
      </c>
      <c r="R1861">
        <v>1694794</v>
      </c>
    </row>
    <row r="1862" spans="1:18" x14ac:dyDescent="0.25">
      <c r="A1862" s="143">
        <v>44746</v>
      </c>
      <c r="B1862" s="106">
        <v>654.54999999999995</v>
      </c>
      <c r="C1862" s="106">
        <v>652.54999999999995</v>
      </c>
      <c r="D1862" s="106">
        <v>635</v>
      </c>
      <c r="E1862" s="106">
        <v>641.04999999999995</v>
      </c>
      <c r="F1862" s="106">
        <v>652.54999999999995</v>
      </c>
      <c r="G1862">
        <v>31448</v>
      </c>
      <c r="H1862" s="106"/>
      <c r="I1862" s="106"/>
      <c r="L1862" s="143">
        <v>44746</v>
      </c>
      <c r="M1862" s="106">
        <v>652.79999999999995</v>
      </c>
      <c r="N1862" s="106">
        <v>654.6</v>
      </c>
      <c r="O1862" s="106">
        <v>632.1</v>
      </c>
      <c r="P1862" s="106">
        <v>635</v>
      </c>
      <c r="Q1862" s="106">
        <v>652.79999999999995</v>
      </c>
      <c r="R1862">
        <v>917061</v>
      </c>
    </row>
    <row r="1863" spans="1:18" x14ac:dyDescent="0.25">
      <c r="A1863" s="143">
        <v>44747</v>
      </c>
      <c r="B1863" s="106">
        <v>656.45</v>
      </c>
      <c r="C1863" s="106">
        <v>642.79999999999995</v>
      </c>
      <c r="D1863" s="106">
        <v>641</v>
      </c>
      <c r="E1863" s="106">
        <v>652.15</v>
      </c>
      <c r="F1863" s="106">
        <v>642.79999999999995</v>
      </c>
      <c r="G1863">
        <v>14191</v>
      </c>
      <c r="H1863" s="106"/>
      <c r="I1863" s="106"/>
      <c r="L1863" s="143">
        <v>44747</v>
      </c>
      <c r="M1863" s="106">
        <v>643</v>
      </c>
      <c r="N1863" s="106">
        <v>657.25</v>
      </c>
      <c r="O1863" s="106">
        <v>640.65</v>
      </c>
      <c r="P1863" s="106">
        <v>657.1</v>
      </c>
      <c r="Q1863" s="106">
        <v>643</v>
      </c>
      <c r="R1863">
        <v>1436259</v>
      </c>
    </row>
    <row r="1864" spans="1:18" x14ac:dyDescent="0.25">
      <c r="A1864" s="143">
        <v>44748</v>
      </c>
      <c r="B1864" s="106">
        <v>651.65</v>
      </c>
      <c r="C1864" s="106">
        <v>643.75</v>
      </c>
      <c r="D1864" s="106">
        <v>635.20000000000005</v>
      </c>
      <c r="E1864" s="106">
        <v>650</v>
      </c>
      <c r="F1864" s="106">
        <v>643.75</v>
      </c>
      <c r="G1864">
        <v>27980</v>
      </c>
      <c r="H1864" s="106"/>
      <c r="I1864" s="106"/>
      <c r="L1864" s="143">
        <v>44748</v>
      </c>
      <c r="M1864" s="106">
        <v>643.65</v>
      </c>
      <c r="N1864" s="106">
        <v>652</v>
      </c>
      <c r="O1864" s="106">
        <v>635</v>
      </c>
      <c r="P1864" s="106">
        <v>645</v>
      </c>
      <c r="Q1864" s="106">
        <v>643.65</v>
      </c>
      <c r="R1864">
        <v>2752147</v>
      </c>
    </row>
    <row r="1865" spans="1:18" x14ac:dyDescent="0.25">
      <c r="A1865" s="143">
        <v>44749</v>
      </c>
      <c r="B1865" s="106">
        <v>651</v>
      </c>
      <c r="C1865" s="106">
        <v>642.29999999999995</v>
      </c>
      <c r="D1865" s="106">
        <v>636</v>
      </c>
      <c r="E1865" s="106">
        <v>643.5</v>
      </c>
      <c r="F1865" s="106">
        <v>642.29999999999995</v>
      </c>
      <c r="G1865">
        <v>31616</v>
      </c>
      <c r="H1865" s="106"/>
      <c r="I1865" s="106"/>
      <c r="L1865" s="143">
        <v>44749</v>
      </c>
      <c r="M1865" s="106">
        <v>642.20000000000005</v>
      </c>
      <c r="N1865" s="106">
        <v>653</v>
      </c>
      <c r="O1865" s="106">
        <v>635.65</v>
      </c>
      <c r="P1865" s="106">
        <v>649</v>
      </c>
      <c r="Q1865" s="106">
        <v>642.20000000000005</v>
      </c>
      <c r="R1865">
        <v>2541308</v>
      </c>
    </row>
    <row r="1866" spans="1:18" x14ac:dyDescent="0.25">
      <c r="A1866" s="143">
        <v>44750</v>
      </c>
      <c r="B1866" s="106">
        <v>646.95000000000005</v>
      </c>
      <c r="C1866" s="106">
        <v>630.85</v>
      </c>
      <c r="D1866" s="106">
        <v>616.29999999999995</v>
      </c>
      <c r="E1866" s="106">
        <v>646.54999999999995</v>
      </c>
      <c r="F1866" s="106">
        <v>630.85</v>
      </c>
      <c r="G1866">
        <v>49829</v>
      </c>
      <c r="H1866" s="106"/>
      <c r="I1866" s="106"/>
      <c r="L1866" s="143">
        <v>44750</v>
      </c>
      <c r="M1866" s="106">
        <v>630.95000000000005</v>
      </c>
      <c r="N1866" s="106">
        <v>647.5</v>
      </c>
      <c r="O1866" s="106">
        <v>616.29999999999995</v>
      </c>
      <c r="P1866" s="106">
        <v>647.5</v>
      </c>
      <c r="Q1866" s="106">
        <v>630.95000000000005</v>
      </c>
      <c r="R1866">
        <v>2764723</v>
      </c>
    </row>
    <row r="1867" spans="1:18" x14ac:dyDescent="0.25">
      <c r="A1867" s="143">
        <v>44753</v>
      </c>
      <c r="B1867" s="106">
        <v>641.35</v>
      </c>
      <c r="C1867" s="106">
        <v>638.45000000000005</v>
      </c>
      <c r="D1867" s="106">
        <v>628.54999999999995</v>
      </c>
      <c r="E1867" s="106">
        <v>637.79999999999995</v>
      </c>
      <c r="F1867" s="106">
        <v>638.45000000000005</v>
      </c>
      <c r="G1867">
        <v>19676</v>
      </c>
      <c r="H1867" s="106"/>
      <c r="I1867" s="106"/>
      <c r="L1867" s="143">
        <v>44753</v>
      </c>
      <c r="M1867" s="106">
        <v>638.04999999999995</v>
      </c>
      <c r="N1867" s="106">
        <v>641.29999999999995</v>
      </c>
      <c r="O1867" s="106">
        <v>628.4</v>
      </c>
      <c r="P1867" s="106">
        <v>631</v>
      </c>
      <c r="Q1867" s="106">
        <v>638.04999999999995</v>
      </c>
      <c r="R1867">
        <v>1671777</v>
      </c>
    </row>
    <row r="1868" spans="1:18" x14ac:dyDescent="0.25">
      <c r="A1868" s="143">
        <v>44754</v>
      </c>
      <c r="B1868" s="106">
        <v>642</v>
      </c>
      <c r="C1868" s="106">
        <v>620.70000000000005</v>
      </c>
      <c r="D1868" s="106">
        <v>618.4</v>
      </c>
      <c r="E1868" s="106">
        <v>639.54999999999995</v>
      </c>
      <c r="F1868" s="106">
        <v>620.70000000000005</v>
      </c>
      <c r="G1868">
        <v>97849</v>
      </c>
      <c r="H1868" s="106"/>
      <c r="I1868" s="106"/>
      <c r="L1868" s="143">
        <v>44754</v>
      </c>
      <c r="M1868" s="106">
        <v>620.20000000000005</v>
      </c>
      <c r="N1868" s="106">
        <v>640.6</v>
      </c>
      <c r="O1868" s="106">
        <v>618.15</v>
      </c>
      <c r="P1868" s="106">
        <v>635.1</v>
      </c>
      <c r="Q1868" s="106">
        <v>620.20000000000005</v>
      </c>
      <c r="R1868">
        <v>1754910</v>
      </c>
    </row>
    <row r="1869" spans="1:18" x14ac:dyDescent="0.25">
      <c r="A1869" s="143">
        <v>44755</v>
      </c>
      <c r="B1869" s="106">
        <v>629.70000000000005</v>
      </c>
      <c r="C1869" s="106">
        <v>626.54999999999995</v>
      </c>
      <c r="D1869" s="106">
        <v>619.15</v>
      </c>
      <c r="E1869" s="106">
        <v>625</v>
      </c>
      <c r="F1869" s="106">
        <v>626.54999999999995</v>
      </c>
      <c r="G1869">
        <v>76227</v>
      </c>
      <c r="H1869" s="106"/>
      <c r="I1869" s="106"/>
      <c r="L1869" s="143">
        <v>44755</v>
      </c>
      <c r="M1869" s="106">
        <v>626.85</v>
      </c>
      <c r="N1869" s="106">
        <v>630</v>
      </c>
      <c r="O1869" s="106">
        <v>619</v>
      </c>
      <c r="P1869" s="106">
        <v>624.9</v>
      </c>
      <c r="Q1869" s="106">
        <v>626.85</v>
      </c>
      <c r="R1869">
        <v>1305118</v>
      </c>
    </row>
    <row r="1870" spans="1:18" x14ac:dyDescent="0.25">
      <c r="A1870" s="143">
        <v>44756</v>
      </c>
      <c r="B1870" s="106">
        <v>630.85</v>
      </c>
      <c r="C1870" s="106">
        <v>616.35</v>
      </c>
      <c r="D1870" s="106">
        <v>612.5</v>
      </c>
      <c r="E1870" s="106">
        <v>630</v>
      </c>
      <c r="F1870" s="106">
        <v>616.35</v>
      </c>
      <c r="G1870">
        <v>16898</v>
      </c>
      <c r="H1870" s="106"/>
      <c r="I1870" s="106"/>
      <c r="L1870" s="143">
        <v>44756</v>
      </c>
      <c r="M1870" s="106">
        <v>616.45000000000005</v>
      </c>
      <c r="N1870" s="106">
        <v>632</v>
      </c>
      <c r="O1870" s="106">
        <v>612.1</v>
      </c>
      <c r="P1870" s="106">
        <v>632</v>
      </c>
      <c r="Q1870" s="106">
        <v>616.45000000000005</v>
      </c>
      <c r="R1870">
        <v>1585312</v>
      </c>
    </row>
    <row r="1871" spans="1:18" x14ac:dyDescent="0.25">
      <c r="A1871" s="143">
        <v>44757</v>
      </c>
      <c r="B1871" s="106">
        <v>637.25</v>
      </c>
      <c r="C1871" s="106">
        <v>632.5</v>
      </c>
      <c r="D1871" s="106">
        <v>616.04999999999995</v>
      </c>
      <c r="E1871" s="106">
        <v>625.85</v>
      </c>
      <c r="F1871" s="106">
        <v>632.5</v>
      </c>
      <c r="G1871">
        <v>26457</v>
      </c>
      <c r="H1871" s="106"/>
      <c r="I1871" s="106"/>
      <c r="L1871" s="143">
        <v>44757</v>
      </c>
      <c r="M1871" s="106">
        <v>634</v>
      </c>
      <c r="N1871" s="106">
        <v>637.95000000000005</v>
      </c>
      <c r="O1871" s="106">
        <v>616</v>
      </c>
      <c r="P1871" s="106">
        <v>620</v>
      </c>
      <c r="Q1871" s="106">
        <v>634</v>
      </c>
      <c r="R1871">
        <v>3165829</v>
      </c>
    </row>
    <row r="1872" spans="1:18" x14ac:dyDescent="0.25">
      <c r="A1872" s="143">
        <v>44760</v>
      </c>
      <c r="B1872" s="106">
        <v>673</v>
      </c>
      <c r="C1872" s="106">
        <v>670.9</v>
      </c>
      <c r="D1872" s="106">
        <v>635</v>
      </c>
      <c r="E1872" s="106">
        <v>635</v>
      </c>
      <c r="F1872" s="106">
        <v>670.9</v>
      </c>
      <c r="G1872">
        <v>542032</v>
      </c>
      <c r="H1872" s="106"/>
      <c r="I1872" s="106"/>
      <c r="L1872" s="143">
        <v>44760</v>
      </c>
      <c r="M1872" s="106">
        <v>670.4</v>
      </c>
      <c r="N1872" s="106">
        <v>673.2</v>
      </c>
      <c r="O1872" s="106">
        <v>635.04999999999995</v>
      </c>
      <c r="P1872" s="106">
        <v>636.1</v>
      </c>
      <c r="Q1872" s="106">
        <v>670.4</v>
      </c>
      <c r="R1872">
        <v>3287791</v>
      </c>
    </row>
    <row r="1873" spans="1:18" x14ac:dyDescent="0.25">
      <c r="A1873" s="143">
        <v>44761</v>
      </c>
      <c r="B1873" s="106">
        <v>685.6</v>
      </c>
      <c r="C1873" s="106">
        <v>683.85</v>
      </c>
      <c r="D1873" s="106">
        <v>663.1</v>
      </c>
      <c r="E1873" s="106">
        <v>663.6</v>
      </c>
      <c r="F1873" s="106">
        <v>683.85</v>
      </c>
      <c r="G1873">
        <v>61968</v>
      </c>
      <c r="H1873" s="106"/>
      <c r="I1873" s="106"/>
      <c r="L1873" s="143">
        <v>44761</v>
      </c>
      <c r="M1873" s="106">
        <v>683.9</v>
      </c>
      <c r="N1873" s="106">
        <v>685.5</v>
      </c>
      <c r="O1873" s="106">
        <v>663.15</v>
      </c>
      <c r="P1873" s="106">
        <v>668</v>
      </c>
      <c r="Q1873" s="106">
        <v>683.9</v>
      </c>
      <c r="R1873">
        <v>1996430</v>
      </c>
    </row>
    <row r="1874" spans="1:18" x14ac:dyDescent="0.25">
      <c r="A1874" s="143">
        <v>44762</v>
      </c>
      <c r="B1874" s="106">
        <v>687.65</v>
      </c>
      <c r="C1874" s="106">
        <v>672.35</v>
      </c>
      <c r="D1874" s="106">
        <v>669.35</v>
      </c>
      <c r="E1874" s="106">
        <v>681.5</v>
      </c>
      <c r="F1874" s="106">
        <v>672.35</v>
      </c>
      <c r="G1874">
        <v>17416</v>
      </c>
      <c r="H1874" s="106"/>
      <c r="I1874" s="106"/>
      <c r="L1874" s="143">
        <v>44762</v>
      </c>
      <c r="M1874" s="106">
        <v>672.3</v>
      </c>
      <c r="N1874" s="106">
        <v>688.85</v>
      </c>
      <c r="O1874" s="106">
        <v>669.2</v>
      </c>
      <c r="P1874" s="106">
        <v>687.25</v>
      </c>
      <c r="Q1874" s="106">
        <v>672.3</v>
      </c>
      <c r="R1874">
        <v>1037170</v>
      </c>
    </row>
    <row r="1875" spans="1:18" x14ac:dyDescent="0.25">
      <c r="A1875" s="143">
        <v>44763</v>
      </c>
      <c r="B1875" s="106">
        <v>689.95</v>
      </c>
      <c r="C1875" s="106">
        <v>685.85</v>
      </c>
      <c r="D1875" s="106">
        <v>666.45</v>
      </c>
      <c r="E1875" s="106">
        <v>675</v>
      </c>
      <c r="F1875" s="106">
        <v>685.85</v>
      </c>
      <c r="G1875">
        <v>46684</v>
      </c>
      <c r="H1875" s="106"/>
      <c r="I1875" s="106"/>
      <c r="L1875" s="143">
        <v>44763</v>
      </c>
      <c r="M1875" s="106">
        <v>686</v>
      </c>
      <c r="N1875" s="106">
        <v>690</v>
      </c>
      <c r="O1875" s="106">
        <v>667</v>
      </c>
      <c r="P1875" s="106">
        <v>674.9</v>
      </c>
      <c r="Q1875" s="106">
        <v>686</v>
      </c>
      <c r="R1875">
        <v>1993115</v>
      </c>
    </row>
    <row r="1876" spans="1:18" x14ac:dyDescent="0.25">
      <c r="A1876" s="143">
        <v>44764</v>
      </c>
      <c r="B1876" s="106">
        <v>702.8</v>
      </c>
      <c r="C1876" s="106">
        <v>685.95</v>
      </c>
      <c r="D1876" s="106">
        <v>683.35</v>
      </c>
      <c r="E1876" s="106">
        <v>695</v>
      </c>
      <c r="F1876" s="106">
        <v>685.95</v>
      </c>
      <c r="G1876">
        <v>42850</v>
      </c>
      <c r="H1876" s="106"/>
      <c r="I1876" s="106"/>
      <c r="L1876" s="143">
        <v>44764</v>
      </c>
      <c r="M1876" s="106">
        <v>685.9</v>
      </c>
      <c r="N1876" s="106">
        <v>702.85</v>
      </c>
      <c r="O1876" s="106">
        <v>683.2</v>
      </c>
      <c r="P1876" s="106">
        <v>691.95</v>
      </c>
      <c r="Q1876" s="106">
        <v>685.9</v>
      </c>
      <c r="R1876">
        <v>2248352</v>
      </c>
    </row>
    <row r="1877" spans="1:18" x14ac:dyDescent="0.25">
      <c r="A1877" s="143">
        <v>44767</v>
      </c>
      <c r="B1877" s="106">
        <v>692.75</v>
      </c>
      <c r="C1877" s="106">
        <v>685.35</v>
      </c>
      <c r="D1877" s="106">
        <v>678.7</v>
      </c>
      <c r="E1877" s="106">
        <v>690.25</v>
      </c>
      <c r="F1877" s="106">
        <v>685.35</v>
      </c>
      <c r="G1877">
        <v>24691</v>
      </c>
      <c r="H1877" s="106"/>
      <c r="I1877" s="106"/>
      <c r="L1877" s="143">
        <v>44767</v>
      </c>
      <c r="M1877" s="106">
        <v>684.85</v>
      </c>
      <c r="N1877" s="106">
        <v>693.45</v>
      </c>
      <c r="O1877" s="106">
        <v>678.7</v>
      </c>
      <c r="P1877" s="106">
        <v>690</v>
      </c>
      <c r="Q1877" s="106">
        <v>684.85</v>
      </c>
      <c r="R1877">
        <v>1045998</v>
      </c>
    </row>
    <row r="1878" spans="1:18" x14ac:dyDescent="0.25">
      <c r="A1878" s="143">
        <v>44768</v>
      </c>
      <c r="B1878" s="106">
        <v>686.1</v>
      </c>
      <c r="C1878" s="106">
        <v>679.1</v>
      </c>
      <c r="D1878" s="106">
        <v>671.2</v>
      </c>
      <c r="E1878" s="106">
        <v>671.2</v>
      </c>
      <c r="F1878" s="106">
        <v>679.1</v>
      </c>
      <c r="G1878">
        <v>15384</v>
      </c>
      <c r="H1878" s="106"/>
      <c r="I1878" s="106"/>
      <c r="L1878" s="143">
        <v>44768</v>
      </c>
      <c r="M1878" s="106">
        <v>677.75</v>
      </c>
      <c r="N1878" s="106">
        <v>686.2</v>
      </c>
      <c r="O1878" s="106">
        <v>674.6</v>
      </c>
      <c r="P1878" s="106">
        <v>684.85</v>
      </c>
      <c r="Q1878" s="106">
        <v>677.75</v>
      </c>
      <c r="R1878">
        <v>1158371</v>
      </c>
    </row>
    <row r="1879" spans="1:18" x14ac:dyDescent="0.25">
      <c r="A1879" s="143">
        <v>44769</v>
      </c>
      <c r="B1879" s="106">
        <v>684.25</v>
      </c>
      <c r="C1879" s="106">
        <v>677.4</v>
      </c>
      <c r="D1879" s="106">
        <v>667.4</v>
      </c>
      <c r="E1879" s="106">
        <v>678</v>
      </c>
      <c r="F1879" s="106">
        <v>677.4</v>
      </c>
      <c r="G1879">
        <v>24694</v>
      </c>
      <c r="H1879" s="106"/>
      <c r="I1879" s="106"/>
      <c r="L1879" s="143">
        <v>44769</v>
      </c>
      <c r="M1879" s="106">
        <v>676.8</v>
      </c>
      <c r="N1879" s="106">
        <v>685</v>
      </c>
      <c r="O1879" s="106">
        <v>667.15</v>
      </c>
      <c r="P1879" s="106">
        <v>676.7</v>
      </c>
      <c r="Q1879" s="106">
        <v>676.8</v>
      </c>
      <c r="R1879">
        <v>940562</v>
      </c>
    </row>
    <row r="1880" spans="1:18" x14ac:dyDescent="0.25">
      <c r="A1880" s="143">
        <v>44770</v>
      </c>
      <c r="B1880" s="106">
        <v>695</v>
      </c>
      <c r="C1880" s="106">
        <v>690.15</v>
      </c>
      <c r="D1880" s="106">
        <v>679.05</v>
      </c>
      <c r="E1880" s="106">
        <v>684</v>
      </c>
      <c r="F1880" s="106">
        <v>690.15</v>
      </c>
      <c r="G1880">
        <v>135618</v>
      </c>
      <c r="H1880" s="106"/>
      <c r="I1880" s="106"/>
      <c r="L1880" s="143">
        <v>44770</v>
      </c>
      <c r="M1880" s="106">
        <v>690.1</v>
      </c>
      <c r="N1880" s="106">
        <v>695</v>
      </c>
      <c r="O1880" s="106">
        <v>678.15</v>
      </c>
      <c r="P1880" s="106">
        <v>678.15</v>
      </c>
      <c r="Q1880" s="106">
        <v>690.1</v>
      </c>
      <c r="R1880">
        <v>2762476</v>
      </c>
    </row>
    <row r="1881" spans="1:18" x14ac:dyDescent="0.25">
      <c r="A1881" s="143">
        <v>44771</v>
      </c>
      <c r="B1881" s="106">
        <v>711.6</v>
      </c>
      <c r="C1881" s="106">
        <v>700.6</v>
      </c>
      <c r="D1881" s="106">
        <v>692</v>
      </c>
      <c r="E1881" s="106">
        <v>692</v>
      </c>
      <c r="F1881" s="106">
        <v>700.6</v>
      </c>
      <c r="G1881">
        <v>122016</v>
      </c>
      <c r="H1881" s="106"/>
      <c r="I1881" s="106"/>
      <c r="L1881" s="143">
        <v>44771</v>
      </c>
      <c r="M1881" s="106">
        <v>700.7</v>
      </c>
      <c r="N1881" s="106">
        <v>712</v>
      </c>
      <c r="O1881" s="106">
        <v>694</v>
      </c>
      <c r="P1881" s="106">
        <v>698</v>
      </c>
      <c r="Q1881" s="106">
        <v>700.7</v>
      </c>
      <c r="R1881">
        <v>3014502</v>
      </c>
    </row>
    <row r="1882" spans="1:18" x14ac:dyDescent="0.25">
      <c r="A1882" s="143">
        <v>44774</v>
      </c>
      <c r="B1882" s="106">
        <v>738.6</v>
      </c>
      <c r="C1882" s="106">
        <v>733.8</v>
      </c>
      <c r="D1882" s="106">
        <v>689.7</v>
      </c>
      <c r="E1882" s="106">
        <v>710</v>
      </c>
      <c r="F1882" s="106">
        <v>733.8</v>
      </c>
      <c r="G1882">
        <v>599539</v>
      </c>
      <c r="H1882" s="106"/>
      <c r="I1882" s="106"/>
      <c r="L1882" s="143">
        <v>44774</v>
      </c>
      <c r="M1882" s="106">
        <v>733.85</v>
      </c>
      <c r="N1882" s="106">
        <v>738.95</v>
      </c>
      <c r="O1882" s="106">
        <v>689.15</v>
      </c>
      <c r="P1882" s="106">
        <v>708.45</v>
      </c>
      <c r="Q1882" s="106">
        <v>733.85</v>
      </c>
      <c r="R1882">
        <v>4675128</v>
      </c>
    </row>
    <row r="1883" spans="1:18" x14ac:dyDescent="0.25">
      <c r="A1883" s="143">
        <v>44775</v>
      </c>
      <c r="B1883" s="106">
        <v>748.15</v>
      </c>
      <c r="C1883" s="106">
        <v>746.1</v>
      </c>
      <c r="D1883" s="106">
        <v>715.25</v>
      </c>
      <c r="E1883" s="106">
        <v>733.3</v>
      </c>
      <c r="F1883" s="106">
        <v>746.1</v>
      </c>
      <c r="G1883">
        <v>30353</v>
      </c>
      <c r="H1883" s="106"/>
      <c r="I1883" s="106"/>
      <c r="L1883" s="143">
        <v>44775</v>
      </c>
      <c r="M1883" s="106">
        <v>746.75</v>
      </c>
      <c r="N1883" s="106">
        <v>748.5</v>
      </c>
      <c r="O1883" s="106">
        <v>730</v>
      </c>
      <c r="P1883" s="106">
        <v>734.95</v>
      </c>
      <c r="Q1883" s="106">
        <v>746.75</v>
      </c>
      <c r="R1883">
        <v>1549018</v>
      </c>
    </row>
    <row r="1884" spans="1:18" x14ac:dyDescent="0.25">
      <c r="A1884" s="143">
        <v>44776</v>
      </c>
      <c r="B1884" s="106">
        <v>758.5</v>
      </c>
      <c r="C1884" s="106">
        <v>757.55</v>
      </c>
      <c r="D1884" s="106">
        <v>736.75</v>
      </c>
      <c r="E1884" s="106">
        <v>749</v>
      </c>
      <c r="F1884" s="106">
        <v>757.55</v>
      </c>
      <c r="G1884">
        <v>51044</v>
      </c>
      <c r="H1884" s="106"/>
      <c r="I1884" s="106"/>
      <c r="L1884" s="143">
        <v>44776</v>
      </c>
      <c r="M1884" s="106">
        <v>757.5</v>
      </c>
      <c r="N1884" s="106">
        <v>758.8</v>
      </c>
      <c r="O1884" s="106">
        <v>736.55</v>
      </c>
      <c r="P1884" s="106">
        <v>746.7</v>
      </c>
      <c r="Q1884" s="106">
        <v>757.5</v>
      </c>
      <c r="R1884">
        <v>1421319</v>
      </c>
    </row>
    <row r="1885" spans="1:18" x14ac:dyDescent="0.25">
      <c r="A1885" s="143">
        <v>44777</v>
      </c>
      <c r="B1885" s="106">
        <v>767.35</v>
      </c>
      <c r="C1885" s="106">
        <v>762.9</v>
      </c>
      <c r="D1885" s="106">
        <v>748.55</v>
      </c>
      <c r="E1885" s="106">
        <v>765.45</v>
      </c>
      <c r="F1885" s="106">
        <v>762.9</v>
      </c>
      <c r="G1885">
        <v>49386</v>
      </c>
      <c r="H1885" s="106"/>
      <c r="I1885" s="106"/>
      <c r="L1885" s="143">
        <v>44777</v>
      </c>
      <c r="M1885" s="106">
        <v>763.05</v>
      </c>
      <c r="N1885" s="106">
        <v>767.45</v>
      </c>
      <c r="O1885" s="106">
        <v>748.05</v>
      </c>
      <c r="P1885" s="106">
        <v>763.4</v>
      </c>
      <c r="Q1885" s="106">
        <v>763.05</v>
      </c>
      <c r="R1885">
        <v>1434681</v>
      </c>
    </row>
    <row r="1886" spans="1:18" x14ac:dyDescent="0.25">
      <c r="A1886" s="143">
        <v>44778</v>
      </c>
      <c r="B1886" s="106">
        <v>787</v>
      </c>
      <c r="C1886" s="106">
        <v>770.7</v>
      </c>
      <c r="D1886" s="106">
        <v>763.5</v>
      </c>
      <c r="E1886" s="106">
        <v>763.5</v>
      </c>
      <c r="F1886" s="106">
        <v>770.7</v>
      </c>
      <c r="G1886">
        <v>56345</v>
      </c>
      <c r="H1886" s="106"/>
      <c r="I1886" s="106"/>
      <c r="L1886" s="143">
        <v>44778</v>
      </c>
      <c r="M1886" s="106">
        <v>771.2</v>
      </c>
      <c r="N1886" s="106">
        <v>787.5</v>
      </c>
      <c r="O1886" s="106">
        <v>764</v>
      </c>
      <c r="P1886" s="106">
        <v>764</v>
      </c>
      <c r="Q1886" s="106">
        <v>771.2</v>
      </c>
      <c r="R1886">
        <v>3009385</v>
      </c>
    </row>
    <row r="1887" spans="1:18" x14ac:dyDescent="0.25">
      <c r="A1887" s="143">
        <v>44781</v>
      </c>
      <c r="B1887" s="106">
        <v>783.35</v>
      </c>
      <c r="C1887" s="106">
        <v>775.55</v>
      </c>
      <c r="D1887" s="106">
        <v>771.3</v>
      </c>
      <c r="E1887" s="106">
        <v>780</v>
      </c>
      <c r="F1887" s="106">
        <v>775.55</v>
      </c>
      <c r="G1887">
        <v>19436</v>
      </c>
      <c r="H1887" s="106"/>
      <c r="I1887" s="106"/>
      <c r="L1887" s="143">
        <v>44781</v>
      </c>
      <c r="M1887" s="106">
        <v>775.95</v>
      </c>
      <c r="N1887" s="106">
        <v>783.5</v>
      </c>
      <c r="O1887" s="106">
        <v>771.15</v>
      </c>
      <c r="P1887" s="106">
        <v>774.85</v>
      </c>
      <c r="Q1887" s="106">
        <v>775.95</v>
      </c>
      <c r="R1887">
        <v>1033732</v>
      </c>
    </row>
    <row r="1888" spans="1:18" x14ac:dyDescent="0.25">
      <c r="A1888" s="143">
        <v>44783</v>
      </c>
      <c r="B1888" s="106">
        <v>782.5</v>
      </c>
      <c r="C1888" s="106">
        <v>771.3</v>
      </c>
      <c r="D1888" s="106">
        <v>764.7</v>
      </c>
      <c r="E1888" s="106">
        <v>779.2</v>
      </c>
      <c r="F1888" s="106">
        <v>771.3</v>
      </c>
      <c r="G1888">
        <v>49142</v>
      </c>
      <c r="H1888" s="106"/>
      <c r="I1888" s="106"/>
      <c r="L1888" s="143">
        <v>44783</v>
      </c>
      <c r="M1888" s="106">
        <v>771.85</v>
      </c>
      <c r="N1888" s="106">
        <v>782.55</v>
      </c>
      <c r="O1888" s="106">
        <v>764.2</v>
      </c>
      <c r="P1888" s="106">
        <v>780.2</v>
      </c>
      <c r="Q1888" s="106">
        <v>771.85</v>
      </c>
      <c r="R1888">
        <v>1077124</v>
      </c>
    </row>
    <row r="1889" spans="1:18" x14ac:dyDescent="0.25">
      <c r="A1889" s="143">
        <v>44784</v>
      </c>
      <c r="B1889" s="106">
        <v>781.45</v>
      </c>
      <c r="C1889" s="106">
        <v>777.55</v>
      </c>
      <c r="D1889" s="106">
        <v>770.8</v>
      </c>
      <c r="E1889" s="106">
        <v>776.7</v>
      </c>
      <c r="F1889" s="106">
        <v>777.55</v>
      </c>
      <c r="G1889">
        <v>12999</v>
      </c>
      <c r="H1889" s="106"/>
      <c r="I1889" s="106"/>
      <c r="L1889" s="143">
        <v>44784</v>
      </c>
      <c r="M1889" s="106">
        <v>777.55</v>
      </c>
      <c r="N1889" s="106">
        <v>782</v>
      </c>
      <c r="O1889" s="106">
        <v>770.25</v>
      </c>
      <c r="P1889" s="106">
        <v>775</v>
      </c>
      <c r="Q1889" s="106">
        <v>777.55</v>
      </c>
      <c r="R1889">
        <v>889980</v>
      </c>
    </row>
    <row r="1890" spans="1:18" x14ac:dyDescent="0.25">
      <c r="A1890" s="143">
        <v>44785</v>
      </c>
      <c r="B1890" s="106">
        <v>786.55</v>
      </c>
      <c r="C1890" s="106">
        <v>784.15</v>
      </c>
      <c r="D1890" s="106">
        <v>774</v>
      </c>
      <c r="E1890" s="106">
        <v>780.6</v>
      </c>
      <c r="F1890" s="106">
        <v>784.15</v>
      </c>
      <c r="G1890">
        <v>33114</v>
      </c>
      <c r="H1890" s="106"/>
      <c r="I1890" s="106"/>
      <c r="L1890" s="143">
        <v>44785</v>
      </c>
      <c r="M1890" s="106">
        <v>783.7</v>
      </c>
      <c r="N1890" s="106">
        <v>787.1</v>
      </c>
      <c r="O1890" s="106">
        <v>773.5</v>
      </c>
      <c r="P1890" s="106">
        <v>781.5</v>
      </c>
      <c r="Q1890" s="106">
        <v>783.7</v>
      </c>
      <c r="R1890">
        <v>1034521</v>
      </c>
    </row>
    <row r="1891" spans="1:18" x14ac:dyDescent="0.25">
      <c r="A1891" s="143">
        <v>44789</v>
      </c>
      <c r="B1891" s="106">
        <v>792</v>
      </c>
      <c r="C1891" s="106">
        <v>788.65</v>
      </c>
      <c r="D1891" s="106">
        <v>779.25</v>
      </c>
      <c r="E1891" s="106">
        <v>784.15</v>
      </c>
      <c r="F1891" s="106">
        <v>788.65</v>
      </c>
      <c r="G1891">
        <v>29823</v>
      </c>
      <c r="H1891" s="106"/>
      <c r="I1891" s="106"/>
      <c r="L1891" s="143">
        <v>44789</v>
      </c>
      <c r="M1891" s="106">
        <v>788.5</v>
      </c>
      <c r="N1891" s="106">
        <v>792.45</v>
      </c>
      <c r="O1891" s="106">
        <v>779.3</v>
      </c>
      <c r="P1891" s="106">
        <v>784</v>
      </c>
      <c r="Q1891" s="106">
        <v>788.5</v>
      </c>
      <c r="R1891">
        <v>976697</v>
      </c>
    </row>
    <row r="1892" spans="1:18" x14ac:dyDescent="0.25">
      <c r="A1892" s="143">
        <v>44790</v>
      </c>
      <c r="B1892" s="106">
        <v>800.95</v>
      </c>
      <c r="C1892" s="106">
        <v>789.75</v>
      </c>
      <c r="D1892" s="106">
        <v>784.75</v>
      </c>
      <c r="E1892" s="106">
        <v>791</v>
      </c>
      <c r="F1892" s="106">
        <v>789.75</v>
      </c>
      <c r="G1892">
        <v>77217</v>
      </c>
      <c r="H1892" s="106"/>
      <c r="I1892" s="106"/>
      <c r="L1892" s="143">
        <v>44790</v>
      </c>
      <c r="M1892" s="106">
        <v>789.9</v>
      </c>
      <c r="N1892" s="106">
        <v>801</v>
      </c>
      <c r="O1892" s="106">
        <v>784.35</v>
      </c>
      <c r="P1892" s="106">
        <v>789.95</v>
      </c>
      <c r="Q1892" s="106">
        <v>789.9</v>
      </c>
      <c r="R1892">
        <v>1168020</v>
      </c>
    </row>
    <row r="1893" spans="1:18" x14ac:dyDescent="0.25">
      <c r="A1893" s="143">
        <v>44791</v>
      </c>
      <c r="B1893" s="106">
        <v>792.5</v>
      </c>
      <c r="C1893" s="106">
        <v>781.75</v>
      </c>
      <c r="D1893" s="106">
        <v>778</v>
      </c>
      <c r="E1893" s="106">
        <v>782.25</v>
      </c>
      <c r="F1893" s="106">
        <v>781.75</v>
      </c>
      <c r="G1893">
        <v>14516</v>
      </c>
      <c r="H1893" s="106"/>
      <c r="I1893" s="106"/>
      <c r="L1893" s="143">
        <v>44791</v>
      </c>
      <c r="M1893" s="106">
        <v>781.7</v>
      </c>
      <c r="N1893" s="106">
        <v>793.7</v>
      </c>
      <c r="O1893" s="106">
        <v>777.3</v>
      </c>
      <c r="P1893" s="106">
        <v>790</v>
      </c>
      <c r="Q1893" s="106">
        <v>781.7</v>
      </c>
      <c r="R1893">
        <v>901648</v>
      </c>
    </row>
    <row r="1894" spans="1:18" x14ac:dyDescent="0.25">
      <c r="A1894" s="143">
        <v>44792</v>
      </c>
      <c r="B1894" s="106">
        <v>793</v>
      </c>
      <c r="C1894" s="106">
        <v>777.65</v>
      </c>
      <c r="D1894" s="106">
        <v>772.6</v>
      </c>
      <c r="E1894" s="106">
        <v>780</v>
      </c>
      <c r="F1894" s="106">
        <v>777.65</v>
      </c>
      <c r="G1894">
        <v>40435</v>
      </c>
      <c r="H1894" s="106"/>
      <c r="I1894" s="106"/>
      <c r="L1894" s="143">
        <v>44792</v>
      </c>
      <c r="M1894" s="106">
        <v>777.8</v>
      </c>
      <c r="N1894" s="106">
        <v>793</v>
      </c>
      <c r="O1894" s="106">
        <v>772.15</v>
      </c>
      <c r="P1894" s="106">
        <v>781.7</v>
      </c>
      <c r="Q1894" s="106">
        <v>777.8</v>
      </c>
      <c r="R1894">
        <v>1537476</v>
      </c>
    </row>
    <row r="1895" spans="1:18" x14ac:dyDescent="0.25">
      <c r="A1895" s="143">
        <v>44795</v>
      </c>
      <c r="B1895" s="106">
        <v>789.5</v>
      </c>
      <c r="C1895" s="106">
        <v>772.55</v>
      </c>
      <c r="D1895" s="106">
        <v>767.4</v>
      </c>
      <c r="E1895" s="106">
        <v>789.5</v>
      </c>
      <c r="F1895" s="106">
        <v>772.55</v>
      </c>
      <c r="G1895">
        <v>15409</v>
      </c>
      <c r="H1895" s="106"/>
      <c r="I1895" s="106"/>
      <c r="L1895" s="143">
        <v>44795</v>
      </c>
      <c r="M1895" s="106">
        <v>772.35</v>
      </c>
      <c r="N1895" s="106">
        <v>786.45</v>
      </c>
      <c r="O1895" s="106">
        <v>767.1</v>
      </c>
      <c r="P1895" s="106">
        <v>778</v>
      </c>
      <c r="Q1895" s="106">
        <v>772.35</v>
      </c>
      <c r="R1895">
        <v>942701</v>
      </c>
    </row>
    <row r="1896" spans="1:18" x14ac:dyDescent="0.25">
      <c r="A1896" s="143">
        <v>44796</v>
      </c>
      <c r="B1896" s="106">
        <v>789.65</v>
      </c>
      <c r="C1896" s="106">
        <v>787.1</v>
      </c>
      <c r="D1896" s="106">
        <v>760.7</v>
      </c>
      <c r="E1896" s="106">
        <v>760.7</v>
      </c>
      <c r="F1896" s="106">
        <v>787.1</v>
      </c>
      <c r="G1896">
        <v>31572</v>
      </c>
      <c r="H1896" s="106"/>
      <c r="I1896" s="106"/>
      <c r="L1896" s="143">
        <v>44796</v>
      </c>
      <c r="M1896" s="106">
        <v>787.1</v>
      </c>
      <c r="N1896" s="106">
        <v>789.9</v>
      </c>
      <c r="O1896" s="106">
        <v>761</v>
      </c>
      <c r="P1896" s="106">
        <v>761</v>
      </c>
      <c r="Q1896" s="106">
        <v>787.1</v>
      </c>
      <c r="R1896">
        <v>1303352</v>
      </c>
    </row>
    <row r="1897" spans="1:18" x14ac:dyDescent="0.25">
      <c r="A1897" s="143">
        <v>44797</v>
      </c>
      <c r="B1897" s="106">
        <v>800.1</v>
      </c>
      <c r="C1897" s="106">
        <v>798.9</v>
      </c>
      <c r="D1897" s="106">
        <v>784.4</v>
      </c>
      <c r="E1897" s="106">
        <v>787.1</v>
      </c>
      <c r="F1897" s="106">
        <v>798.9</v>
      </c>
      <c r="G1897">
        <v>33894</v>
      </c>
      <c r="H1897" s="106"/>
      <c r="I1897" s="106"/>
      <c r="L1897" s="143">
        <v>44797</v>
      </c>
      <c r="M1897" s="106">
        <v>798.85</v>
      </c>
      <c r="N1897" s="106">
        <v>800.7</v>
      </c>
      <c r="O1897" s="106">
        <v>780.3</v>
      </c>
      <c r="P1897" s="106">
        <v>787.3</v>
      </c>
      <c r="Q1897" s="106">
        <v>798.85</v>
      </c>
      <c r="R1897">
        <v>1614068</v>
      </c>
    </row>
    <row r="1898" spans="1:18" x14ac:dyDescent="0.25">
      <c r="A1898" s="143">
        <v>44798</v>
      </c>
      <c r="B1898" s="106">
        <v>806.05</v>
      </c>
      <c r="C1898" s="106">
        <v>785.7</v>
      </c>
      <c r="D1898" s="106">
        <v>782.55</v>
      </c>
      <c r="E1898" s="106">
        <v>796.05</v>
      </c>
      <c r="F1898" s="106">
        <v>785.7</v>
      </c>
      <c r="G1898">
        <v>27033</v>
      </c>
      <c r="H1898" s="106"/>
      <c r="I1898" s="106"/>
      <c r="L1898" s="143">
        <v>44798</v>
      </c>
      <c r="M1898" s="106">
        <v>785.85</v>
      </c>
      <c r="N1898" s="106">
        <v>806.6</v>
      </c>
      <c r="O1898" s="106">
        <v>782.35</v>
      </c>
      <c r="P1898" s="106">
        <v>802.95</v>
      </c>
      <c r="Q1898" s="106">
        <v>785.85</v>
      </c>
      <c r="R1898">
        <v>1197920</v>
      </c>
    </row>
    <row r="1899" spans="1:18" x14ac:dyDescent="0.25">
      <c r="A1899" s="143">
        <v>44799</v>
      </c>
      <c r="B1899" s="106">
        <v>798.3</v>
      </c>
      <c r="C1899" s="106">
        <v>796.85</v>
      </c>
      <c r="D1899" s="106">
        <v>787</v>
      </c>
      <c r="E1899" s="106">
        <v>790</v>
      </c>
      <c r="F1899" s="106">
        <v>796.85</v>
      </c>
      <c r="G1899">
        <v>15079</v>
      </c>
      <c r="H1899" s="106"/>
      <c r="I1899" s="106"/>
      <c r="L1899" s="143">
        <v>44799</v>
      </c>
      <c r="M1899" s="106">
        <v>796.2</v>
      </c>
      <c r="N1899" s="106">
        <v>798.25</v>
      </c>
      <c r="O1899" s="106">
        <v>787</v>
      </c>
      <c r="P1899" s="106">
        <v>790.5</v>
      </c>
      <c r="Q1899" s="106">
        <v>796.2</v>
      </c>
      <c r="R1899">
        <v>717434</v>
      </c>
    </row>
    <row r="1900" spans="1:18" x14ac:dyDescent="0.25">
      <c r="A1900" s="143">
        <v>44802</v>
      </c>
      <c r="B1900" s="106">
        <v>789.6</v>
      </c>
      <c r="C1900" s="106">
        <v>786.3</v>
      </c>
      <c r="D1900" s="106">
        <v>750.4</v>
      </c>
      <c r="E1900" s="106">
        <v>750.4</v>
      </c>
      <c r="F1900" s="106">
        <v>786.3</v>
      </c>
      <c r="G1900">
        <v>41741</v>
      </c>
      <c r="H1900" s="106"/>
      <c r="I1900" s="106"/>
      <c r="L1900" s="143">
        <v>44802</v>
      </c>
      <c r="M1900" s="106">
        <v>787.45</v>
      </c>
      <c r="N1900" s="106">
        <v>790</v>
      </c>
      <c r="O1900" s="106">
        <v>760.55</v>
      </c>
      <c r="P1900" s="106">
        <v>770.5</v>
      </c>
      <c r="Q1900" s="106">
        <v>787.45</v>
      </c>
      <c r="R1900">
        <v>1334686</v>
      </c>
    </row>
    <row r="1901" spans="1:18" x14ac:dyDescent="0.25">
      <c r="A1901" s="143">
        <v>44803</v>
      </c>
      <c r="B1901" s="106">
        <v>792.6</v>
      </c>
      <c r="C1901" s="106">
        <v>789.4</v>
      </c>
      <c r="D1901" s="106">
        <v>771.7</v>
      </c>
      <c r="E1901" s="106">
        <v>771.75</v>
      </c>
      <c r="F1901" s="106">
        <v>789.4</v>
      </c>
      <c r="G1901">
        <v>54063</v>
      </c>
      <c r="H1901" s="106"/>
      <c r="I1901" s="106"/>
      <c r="L1901" s="143">
        <v>44803</v>
      </c>
      <c r="M1901" s="106">
        <v>790.35</v>
      </c>
      <c r="N1901" s="106">
        <v>793</v>
      </c>
      <c r="O1901" s="106">
        <v>771.55</v>
      </c>
      <c r="P1901" s="106">
        <v>777</v>
      </c>
      <c r="Q1901" s="106">
        <v>790.35</v>
      </c>
      <c r="R1901">
        <v>2342679</v>
      </c>
    </row>
    <row r="1902" spans="1:18" x14ac:dyDescent="0.25">
      <c r="A1902" s="143">
        <v>44805</v>
      </c>
      <c r="B1902" s="106">
        <v>805.3</v>
      </c>
      <c r="C1902" s="106">
        <v>789.6</v>
      </c>
      <c r="D1902" s="106">
        <v>777.6</v>
      </c>
      <c r="E1902" s="106">
        <v>777.6</v>
      </c>
      <c r="F1902" s="106">
        <v>789.6</v>
      </c>
      <c r="G1902">
        <v>27474</v>
      </c>
      <c r="H1902" s="106"/>
      <c r="I1902" s="106"/>
      <c r="L1902" s="143">
        <v>44805</v>
      </c>
      <c r="M1902" s="106">
        <v>789.3</v>
      </c>
      <c r="N1902" s="106">
        <v>805.25</v>
      </c>
      <c r="O1902" s="106">
        <v>782.25</v>
      </c>
      <c r="P1902" s="106">
        <v>782.45</v>
      </c>
      <c r="Q1902" s="106">
        <v>789.3</v>
      </c>
      <c r="R1902">
        <v>1364563</v>
      </c>
    </row>
    <row r="1903" spans="1:18" x14ac:dyDescent="0.25">
      <c r="A1903" s="143">
        <v>44806</v>
      </c>
      <c r="B1903" s="106">
        <v>813.7</v>
      </c>
      <c r="C1903" s="106">
        <v>790.6</v>
      </c>
      <c r="D1903" s="106">
        <v>787.05</v>
      </c>
      <c r="E1903" s="106">
        <v>787.05</v>
      </c>
      <c r="F1903" s="106">
        <v>790.6</v>
      </c>
      <c r="G1903">
        <v>73105</v>
      </c>
      <c r="H1903" s="106"/>
      <c r="I1903" s="106"/>
      <c r="L1903" s="143">
        <v>44806</v>
      </c>
      <c r="M1903" s="106">
        <v>790.5</v>
      </c>
      <c r="N1903" s="106">
        <v>814.4</v>
      </c>
      <c r="O1903" s="106">
        <v>787.4</v>
      </c>
      <c r="P1903" s="106">
        <v>792.8</v>
      </c>
      <c r="Q1903" s="106">
        <v>790.5</v>
      </c>
      <c r="R1903">
        <v>1758580</v>
      </c>
    </row>
    <row r="1904" spans="1:18" x14ac:dyDescent="0.25">
      <c r="A1904" s="143">
        <v>44809</v>
      </c>
      <c r="B1904" s="106">
        <v>802.65</v>
      </c>
      <c r="C1904" s="106">
        <v>799.65</v>
      </c>
      <c r="D1904" s="106">
        <v>789.7</v>
      </c>
      <c r="E1904" s="106">
        <v>789.7</v>
      </c>
      <c r="F1904" s="106">
        <v>799.65</v>
      </c>
      <c r="G1904">
        <v>23278</v>
      </c>
      <c r="H1904" s="106"/>
      <c r="I1904" s="106"/>
      <c r="L1904" s="143">
        <v>44809</v>
      </c>
      <c r="M1904" s="106">
        <v>799.75</v>
      </c>
      <c r="N1904" s="106">
        <v>802.9</v>
      </c>
      <c r="O1904" s="106">
        <v>790.2</v>
      </c>
      <c r="P1904" s="106">
        <v>790.4</v>
      </c>
      <c r="Q1904" s="106">
        <v>799.75</v>
      </c>
      <c r="R1904">
        <v>767862</v>
      </c>
    </row>
    <row r="1905" spans="1:18" x14ac:dyDescent="0.25">
      <c r="A1905" s="143">
        <v>44810</v>
      </c>
      <c r="B1905" s="106">
        <v>817.95</v>
      </c>
      <c r="C1905" s="106">
        <v>803.7</v>
      </c>
      <c r="D1905" s="106">
        <v>799</v>
      </c>
      <c r="E1905" s="106">
        <v>801.95</v>
      </c>
      <c r="F1905" s="106">
        <v>803.7</v>
      </c>
      <c r="G1905">
        <v>42857</v>
      </c>
      <c r="H1905" s="106"/>
      <c r="I1905" s="106"/>
      <c r="L1905" s="143">
        <v>44810</v>
      </c>
      <c r="M1905" s="106">
        <v>801.8</v>
      </c>
      <c r="N1905" s="106">
        <v>817.75</v>
      </c>
      <c r="O1905" s="106">
        <v>798.3</v>
      </c>
      <c r="P1905" s="106">
        <v>801.3</v>
      </c>
      <c r="Q1905" s="106">
        <v>801.8</v>
      </c>
      <c r="R1905">
        <v>2045706</v>
      </c>
    </row>
    <row r="1906" spans="1:18" x14ac:dyDescent="0.25">
      <c r="A1906" s="143">
        <v>44811</v>
      </c>
      <c r="B1906" s="106">
        <v>804.85</v>
      </c>
      <c r="C1906" s="106">
        <v>802.2</v>
      </c>
      <c r="D1906" s="106">
        <v>795.2</v>
      </c>
      <c r="E1906" s="106">
        <v>797.2</v>
      </c>
      <c r="F1906" s="106">
        <v>802.2</v>
      </c>
      <c r="G1906">
        <v>20023</v>
      </c>
      <c r="H1906" s="106"/>
      <c r="I1906" s="106"/>
      <c r="L1906" s="143">
        <v>44811</v>
      </c>
      <c r="M1906" s="106">
        <v>802.2</v>
      </c>
      <c r="N1906" s="106">
        <v>804.8</v>
      </c>
      <c r="O1906" s="106">
        <v>795.1</v>
      </c>
      <c r="P1906" s="106">
        <v>801</v>
      </c>
      <c r="Q1906" s="106">
        <v>802.2</v>
      </c>
      <c r="R1906">
        <v>707821</v>
      </c>
    </row>
    <row r="1907" spans="1:18" x14ac:dyDescent="0.25">
      <c r="A1907" s="143">
        <v>44812</v>
      </c>
      <c r="B1907" s="106">
        <v>807.1</v>
      </c>
      <c r="C1907" s="106">
        <v>801.45</v>
      </c>
      <c r="D1907" s="106">
        <v>795.5</v>
      </c>
      <c r="E1907" s="106">
        <v>800.1</v>
      </c>
      <c r="F1907" s="106">
        <v>801.45</v>
      </c>
      <c r="G1907">
        <v>17367</v>
      </c>
      <c r="H1907" s="106"/>
      <c r="I1907" s="106"/>
      <c r="L1907" s="143">
        <v>44812</v>
      </c>
      <c r="M1907" s="106">
        <v>801.4</v>
      </c>
      <c r="N1907" s="106">
        <v>808.2</v>
      </c>
      <c r="O1907" s="106">
        <v>795.4</v>
      </c>
      <c r="P1907" s="106">
        <v>806</v>
      </c>
      <c r="Q1907" s="106">
        <v>801.4</v>
      </c>
      <c r="R1907">
        <v>615497</v>
      </c>
    </row>
    <row r="1908" spans="1:18" x14ac:dyDescent="0.25">
      <c r="A1908" s="143">
        <v>44813</v>
      </c>
      <c r="B1908" s="106">
        <v>807.05</v>
      </c>
      <c r="C1908" s="106">
        <v>790.4</v>
      </c>
      <c r="D1908" s="106">
        <v>788</v>
      </c>
      <c r="E1908" s="106">
        <v>801.75</v>
      </c>
      <c r="F1908" s="106">
        <v>790.4</v>
      </c>
      <c r="G1908">
        <v>35357</v>
      </c>
      <c r="H1908" s="106"/>
      <c r="I1908" s="106"/>
      <c r="L1908" s="143">
        <v>44813</v>
      </c>
      <c r="M1908" s="106">
        <v>790.75</v>
      </c>
      <c r="N1908" s="106">
        <v>807.95</v>
      </c>
      <c r="O1908" s="106">
        <v>787.05</v>
      </c>
      <c r="P1908" s="106">
        <v>807.95</v>
      </c>
      <c r="Q1908" s="106">
        <v>790.75</v>
      </c>
      <c r="R1908">
        <v>507719</v>
      </c>
    </row>
    <row r="1909" spans="1:18" x14ac:dyDescent="0.25">
      <c r="A1909" s="143">
        <v>44816</v>
      </c>
      <c r="B1909" s="106">
        <v>803.8</v>
      </c>
      <c r="C1909" s="106">
        <v>798.5</v>
      </c>
      <c r="D1909" s="106">
        <v>790.55</v>
      </c>
      <c r="E1909" s="106">
        <v>795</v>
      </c>
      <c r="F1909" s="106">
        <v>798.5</v>
      </c>
      <c r="G1909">
        <v>17571</v>
      </c>
      <c r="H1909" s="106"/>
      <c r="I1909" s="106"/>
      <c r="L1909" s="143">
        <v>44816</v>
      </c>
      <c r="M1909" s="106">
        <v>798.2</v>
      </c>
      <c r="N1909" s="106">
        <v>803.95</v>
      </c>
      <c r="O1909" s="106">
        <v>788.65</v>
      </c>
      <c r="P1909" s="106">
        <v>794.75</v>
      </c>
      <c r="Q1909" s="106">
        <v>798.2</v>
      </c>
      <c r="R1909">
        <v>1569958</v>
      </c>
    </row>
    <row r="1910" spans="1:18" x14ac:dyDescent="0.25">
      <c r="A1910" s="143">
        <v>44817</v>
      </c>
      <c r="B1910" s="106">
        <v>805</v>
      </c>
      <c r="C1910" s="106">
        <v>796.95</v>
      </c>
      <c r="D1910" s="106">
        <v>793</v>
      </c>
      <c r="E1910" s="106">
        <v>799.7</v>
      </c>
      <c r="F1910" s="106">
        <v>796.95</v>
      </c>
      <c r="G1910">
        <v>39764</v>
      </c>
      <c r="H1910" s="106"/>
      <c r="I1910" s="106"/>
      <c r="L1910" s="143">
        <v>44817</v>
      </c>
      <c r="M1910" s="106">
        <v>797.9</v>
      </c>
      <c r="N1910" s="106">
        <v>805</v>
      </c>
      <c r="O1910" s="106">
        <v>794.8</v>
      </c>
      <c r="P1910" s="106">
        <v>802</v>
      </c>
      <c r="Q1910" s="106">
        <v>797.9</v>
      </c>
      <c r="R1910">
        <v>1539094</v>
      </c>
    </row>
    <row r="1911" spans="1:18" x14ac:dyDescent="0.25">
      <c r="A1911" s="143">
        <v>44818</v>
      </c>
      <c r="B1911" s="106">
        <v>803</v>
      </c>
      <c r="C1911" s="106">
        <v>795.25</v>
      </c>
      <c r="D1911" s="106">
        <v>781.2</v>
      </c>
      <c r="E1911" s="106">
        <v>790.4</v>
      </c>
      <c r="F1911" s="106">
        <v>795.25</v>
      </c>
      <c r="G1911">
        <v>21271</v>
      </c>
      <c r="H1911" s="106"/>
      <c r="I1911" s="106"/>
      <c r="L1911" s="143">
        <v>44818</v>
      </c>
      <c r="M1911" s="106">
        <v>794.85</v>
      </c>
      <c r="N1911" s="106">
        <v>802.9</v>
      </c>
      <c r="O1911" s="106">
        <v>781.1</v>
      </c>
      <c r="P1911" s="106">
        <v>789</v>
      </c>
      <c r="Q1911" s="106">
        <v>794.85</v>
      </c>
      <c r="R1911">
        <v>1268116</v>
      </c>
    </row>
    <row r="1912" spans="1:18" x14ac:dyDescent="0.25">
      <c r="A1912" s="143">
        <v>44819</v>
      </c>
      <c r="B1912" s="106">
        <v>812.15</v>
      </c>
      <c r="C1912" s="106">
        <v>794.25</v>
      </c>
      <c r="D1912" s="106">
        <v>787.75</v>
      </c>
      <c r="E1912" s="106">
        <v>795.5</v>
      </c>
      <c r="F1912" s="106">
        <v>794.25</v>
      </c>
      <c r="G1912">
        <v>34049</v>
      </c>
      <c r="H1912" s="106"/>
      <c r="I1912" s="106"/>
      <c r="L1912" s="143">
        <v>44819</v>
      </c>
      <c r="M1912" s="106">
        <v>792.8</v>
      </c>
      <c r="N1912" s="106">
        <v>811.9</v>
      </c>
      <c r="O1912" s="106">
        <v>787.45</v>
      </c>
      <c r="P1912" s="106">
        <v>798.85</v>
      </c>
      <c r="Q1912" s="106">
        <v>792.8</v>
      </c>
      <c r="R1912">
        <v>909647</v>
      </c>
    </row>
    <row r="1913" spans="1:18" x14ac:dyDescent="0.25">
      <c r="A1913" s="143">
        <v>44820</v>
      </c>
      <c r="B1913" s="106">
        <v>798.1</v>
      </c>
      <c r="C1913" s="106">
        <v>767.8</v>
      </c>
      <c r="D1913" s="106">
        <v>756.7</v>
      </c>
      <c r="E1913" s="106">
        <v>789.05</v>
      </c>
      <c r="F1913" s="106">
        <v>767.8</v>
      </c>
      <c r="G1913">
        <v>68633</v>
      </c>
      <c r="H1913" s="106"/>
      <c r="I1913" s="106"/>
      <c r="L1913" s="143">
        <v>44820</v>
      </c>
      <c r="M1913" s="106">
        <v>768.6</v>
      </c>
      <c r="N1913" s="106">
        <v>795</v>
      </c>
      <c r="O1913" s="106">
        <v>756.5</v>
      </c>
      <c r="P1913" s="106">
        <v>795</v>
      </c>
      <c r="Q1913" s="106">
        <v>768.6</v>
      </c>
      <c r="R1913">
        <v>2500295</v>
      </c>
    </row>
    <row r="1914" spans="1:18" x14ac:dyDescent="0.25">
      <c r="A1914" s="143">
        <v>44823</v>
      </c>
      <c r="B1914" s="106">
        <v>788.55</v>
      </c>
      <c r="C1914" s="106">
        <v>785.25</v>
      </c>
      <c r="D1914" s="106">
        <v>765.6</v>
      </c>
      <c r="E1914" s="106">
        <v>768</v>
      </c>
      <c r="F1914" s="106">
        <v>785.25</v>
      </c>
      <c r="G1914">
        <v>452401</v>
      </c>
      <c r="H1914" s="106"/>
      <c r="I1914" s="106"/>
      <c r="L1914" s="143">
        <v>44823</v>
      </c>
      <c r="M1914" s="106">
        <v>785.65</v>
      </c>
      <c r="N1914" s="106">
        <v>788.45</v>
      </c>
      <c r="O1914" s="106">
        <v>765.05</v>
      </c>
      <c r="P1914" s="106">
        <v>772</v>
      </c>
      <c r="Q1914" s="106">
        <v>785.65</v>
      </c>
      <c r="R1914">
        <v>1151570</v>
      </c>
    </row>
    <row r="1915" spans="1:18" x14ac:dyDescent="0.25">
      <c r="A1915" s="143">
        <v>44824</v>
      </c>
      <c r="B1915" s="106">
        <v>798.45</v>
      </c>
      <c r="C1915" s="106">
        <v>786.6</v>
      </c>
      <c r="D1915" s="106">
        <v>785</v>
      </c>
      <c r="E1915" s="106">
        <v>785.05</v>
      </c>
      <c r="F1915" s="106">
        <v>786.6</v>
      </c>
      <c r="G1915">
        <v>11182</v>
      </c>
      <c r="H1915" s="106"/>
      <c r="I1915" s="106"/>
      <c r="L1915" s="143">
        <v>44824</v>
      </c>
      <c r="M1915" s="106">
        <v>786.5</v>
      </c>
      <c r="N1915" s="106">
        <v>798.3</v>
      </c>
      <c r="O1915" s="106">
        <v>782.25</v>
      </c>
      <c r="P1915" s="106">
        <v>789.6</v>
      </c>
      <c r="Q1915" s="106">
        <v>786.5</v>
      </c>
      <c r="R1915">
        <v>722332</v>
      </c>
    </row>
    <row r="1916" spans="1:18" x14ac:dyDescent="0.25">
      <c r="A1916" s="143">
        <v>44825</v>
      </c>
      <c r="B1916" s="106">
        <v>794.35</v>
      </c>
      <c r="C1916" s="106">
        <v>772.2</v>
      </c>
      <c r="D1916" s="106">
        <v>769.25</v>
      </c>
      <c r="E1916" s="106">
        <v>786.15</v>
      </c>
      <c r="F1916" s="106">
        <v>772.2</v>
      </c>
      <c r="G1916">
        <v>21807</v>
      </c>
      <c r="H1916" s="106"/>
      <c r="I1916" s="106"/>
      <c r="L1916" s="143">
        <v>44825</v>
      </c>
      <c r="M1916" s="106">
        <v>772.7</v>
      </c>
      <c r="N1916" s="106">
        <v>795</v>
      </c>
      <c r="O1916" s="106">
        <v>769.5</v>
      </c>
      <c r="P1916" s="106">
        <v>786.95</v>
      </c>
      <c r="Q1916" s="106">
        <v>772.7</v>
      </c>
      <c r="R1916">
        <v>1363648</v>
      </c>
    </row>
    <row r="1917" spans="1:18" x14ac:dyDescent="0.25">
      <c r="A1917" s="143">
        <v>44826</v>
      </c>
      <c r="B1917" s="106">
        <v>785.5</v>
      </c>
      <c r="C1917" s="106">
        <v>784.6</v>
      </c>
      <c r="D1917" s="106">
        <v>759.3</v>
      </c>
      <c r="E1917" s="106">
        <v>763</v>
      </c>
      <c r="F1917" s="106">
        <v>784.6</v>
      </c>
      <c r="G1917">
        <v>34821</v>
      </c>
      <c r="H1917" s="106"/>
      <c r="I1917" s="106"/>
      <c r="L1917" s="143">
        <v>44826</v>
      </c>
      <c r="M1917" s="106">
        <v>784.1</v>
      </c>
      <c r="N1917" s="106">
        <v>785.75</v>
      </c>
      <c r="O1917" s="106">
        <v>759</v>
      </c>
      <c r="P1917" s="106">
        <v>765.8</v>
      </c>
      <c r="Q1917" s="106">
        <v>784.1</v>
      </c>
      <c r="R1917">
        <v>1459136</v>
      </c>
    </row>
    <row r="1918" spans="1:18" x14ac:dyDescent="0.25">
      <c r="A1918" s="143">
        <v>44827</v>
      </c>
      <c r="B1918" s="106">
        <v>780.4</v>
      </c>
      <c r="C1918" s="106">
        <v>738.1</v>
      </c>
      <c r="D1918" s="106">
        <v>733</v>
      </c>
      <c r="E1918" s="106">
        <v>775.05</v>
      </c>
      <c r="F1918" s="106">
        <v>738.1</v>
      </c>
      <c r="G1918">
        <v>87556</v>
      </c>
      <c r="H1918" s="106"/>
      <c r="I1918" s="106"/>
      <c r="L1918" s="143">
        <v>44827</v>
      </c>
      <c r="M1918" s="106">
        <v>738.5</v>
      </c>
      <c r="N1918" s="106">
        <v>781.95</v>
      </c>
      <c r="O1918" s="106">
        <v>732.55</v>
      </c>
      <c r="P1918" s="106">
        <v>781.9</v>
      </c>
      <c r="Q1918" s="106">
        <v>738.5</v>
      </c>
      <c r="R1918">
        <v>3054292</v>
      </c>
    </row>
    <row r="1919" spans="1:18" x14ac:dyDescent="0.25">
      <c r="A1919" s="143">
        <v>44830</v>
      </c>
      <c r="B1919" s="106">
        <v>731.7</v>
      </c>
      <c r="C1919" s="106">
        <v>713.3</v>
      </c>
      <c r="D1919" s="106">
        <v>694.5</v>
      </c>
      <c r="E1919" s="106">
        <v>725.05</v>
      </c>
      <c r="F1919" s="106">
        <v>713.3</v>
      </c>
      <c r="G1919">
        <v>37963</v>
      </c>
      <c r="H1919" s="106"/>
      <c r="I1919" s="106"/>
      <c r="L1919" s="143">
        <v>44830</v>
      </c>
      <c r="M1919" s="106">
        <v>713.95</v>
      </c>
      <c r="N1919" s="106">
        <v>731.95</v>
      </c>
      <c r="O1919" s="106">
        <v>694</v>
      </c>
      <c r="P1919" s="106">
        <v>729.95</v>
      </c>
      <c r="Q1919" s="106">
        <v>713.95</v>
      </c>
      <c r="R1919">
        <v>2167806</v>
      </c>
    </row>
    <row r="1920" spans="1:18" x14ac:dyDescent="0.25">
      <c r="A1920" s="143">
        <v>44831</v>
      </c>
      <c r="B1920" s="106">
        <v>723.75</v>
      </c>
      <c r="C1920" s="106">
        <v>721.3</v>
      </c>
      <c r="D1920" s="106">
        <v>707</v>
      </c>
      <c r="E1920" s="106">
        <v>715.05</v>
      </c>
      <c r="F1920" s="106">
        <v>721.3</v>
      </c>
      <c r="G1920">
        <v>23887</v>
      </c>
      <c r="H1920" s="106"/>
      <c r="I1920" s="106"/>
      <c r="L1920" s="143">
        <v>44831</v>
      </c>
      <c r="M1920" s="106">
        <v>720.65</v>
      </c>
      <c r="N1920" s="106">
        <v>723.95</v>
      </c>
      <c r="O1920" s="106">
        <v>706.75</v>
      </c>
      <c r="P1920" s="106">
        <v>717.55</v>
      </c>
      <c r="Q1920" s="106">
        <v>720.65</v>
      </c>
      <c r="R1920">
        <v>1565209</v>
      </c>
    </row>
    <row r="1921" spans="1:18" x14ac:dyDescent="0.25">
      <c r="A1921" s="143">
        <v>44832</v>
      </c>
      <c r="B1921" s="106">
        <v>729.95</v>
      </c>
      <c r="C1921" s="106">
        <v>719.75</v>
      </c>
      <c r="D1921" s="106">
        <v>707.1</v>
      </c>
      <c r="E1921" s="106">
        <v>719.95</v>
      </c>
      <c r="F1921" s="106">
        <v>719.75</v>
      </c>
      <c r="G1921">
        <v>38095</v>
      </c>
      <c r="H1921" s="106"/>
      <c r="I1921" s="106"/>
      <c r="L1921" s="143">
        <v>44832</v>
      </c>
      <c r="M1921" s="106">
        <v>719.85</v>
      </c>
      <c r="N1921" s="106">
        <v>729.95</v>
      </c>
      <c r="O1921" s="106">
        <v>707.05</v>
      </c>
      <c r="P1921" s="106">
        <v>716.1</v>
      </c>
      <c r="Q1921" s="106">
        <v>719.85</v>
      </c>
      <c r="R1921">
        <v>1116007</v>
      </c>
    </row>
    <row r="1922" spans="1:18" x14ac:dyDescent="0.25">
      <c r="A1922" s="143">
        <v>44833</v>
      </c>
      <c r="B1922" s="106">
        <v>735.3</v>
      </c>
      <c r="C1922" s="106">
        <v>727.6</v>
      </c>
      <c r="D1922" s="106">
        <v>716.1</v>
      </c>
      <c r="E1922" s="106">
        <v>718.3</v>
      </c>
      <c r="F1922" s="106">
        <v>727.6</v>
      </c>
      <c r="G1922">
        <v>25568</v>
      </c>
      <c r="H1922" s="106"/>
      <c r="I1922" s="106"/>
      <c r="L1922" s="143">
        <v>44833</v>
      </c>
      <c r="M1922" s="106">
        <v>727.65</v>
      </c>
      <c r="N1922" s="106">
        <v>735.3</v>
      </c>
      <c r="O1922" s="106">
        <v>716.1</v>
      </c>
      <c r="P1922" s="106">
        <v>723.6</v>
      </c>
      <c r="Q1922" s="106">
        <v>727.65</v>
      </c>
      <c r="R1922">
        <v>1228777</v>
      </c>
    </row>
    <row r="1923" spans="1:18" x14ac:dyDescent="0.25">
      <c r="A1923" s="143">
        <v>44834</v>
      </c>
      <c r="B1923" s="106">
        <v>737.05</v>
      </c>
      <c r="C1923" s="106">
        <v>732.85</v>
      </c>
      <c r="D1923" s="106">
        <v>721.05</v>
      </c>
      <c r="E1923" s="106">
        <v>721.05</v>
      </c>
      <c r="F1923" s="106">
        <v>732.85</v>
      </c>
      <c r="G1923">
        <v>17253</v>
      </c>
      <c r="H1923" s="106"/>
      <c r="I1923" s="106"/>
      <c r="L1923" s="143">
        <v>44834</v>
      </c>
      <c r="M1923" s="106">
        <v>732.2</v>
      </c>
      <c r="N1923" s="106">
        <v>737.65</v>
      </c>
      <c r="O1923" s="106">
        <v>721.2</v>
      </c>
      <c r="P1923" s="106">
        <v>727</v>
      </c>
      <c r="Q1923" s="106">
        <v>732.2</v>
      </c>
      <c r="R1923">
        <v>1157270</v>
      </c>
    </row>
    <row r="1924" spans="1:18" x14ac:dyDescent="0.25">
      <c r="A1924" s="143">
        <v>44837</v>
      </c>
      <c r="B1924" s="106">
        <v>732.85</v>
      </c>
      <c r="C1924" s="106">
        <v>700.3</v>
      </c>
      <c r="D1924" s="106">
        <v>696.8</v>
      </c>
      <c r="E1924" s="106">
        <v>730.05</v>
      </c>
      <c r="F1924" s="106">
        <v>700.3</v>
      </c>
      <c r="G1924">
        <v>44231</v>
      </c>
      <c r="H1924" s="106"/>
      <c r="I1924" s="106"/>
      <c r="L1924" s="143">
        <v>44837</v>
      </c>
      <c r="M1924" s="106">
        <v>699.55</v>
      </c>
      <c r="N1924" s="106">
        <v>733.65</v>
      </c>
      <c r="O1924" s="106">
        <v>696.7</v>
      </c>
      <c r="P1924" s="106">
        <v>733.2</v>
      </c>
      <c r="Q1924" s="106">
        <v>699.55</v>
      </c>
      <c r="R1924">
        <v>1140736</v>
      </c>
    </row>
    <row r="1925" spans="1:18" x14ac:dyDescent="0.25">
      <c r="A1925" s="143">
        <v>44838</v>
      </c>
      <c r="B1925" s="106">
        <v>744.2</v>
      </c>
      <c r="C1925" s="106">
        <v>737.45</v>
      </c>
      <c r="D1925" s="106">
        <v>716</v>
      </c>
      <c r="E1925" s="106">
        <v>716</v>
      </c>
      <c r="F1925" s="106">
        <v>737.45</v>
      </c>
      <c r="G1925">
        <v>65390</v>
      </c>
      <c r="H1925" s="106"/>
      <c r="I1925" s="106"/>
      <c r="L1925" s="143">
        <v>44838</v>
      </c>
      <c r="M1925" s="106">
        <v>737.75</v>
      </c>
      <c r="N1925" s="106">
        <v>744.45</v>
      </c>
      <c r="O1925" s="106">
        <v>716</v>
      </c>
      <c r="P1925" s="106">
        <v>716</v>
      </c>
      <c r="Q1925" s="106">
        <v>737.75</v>
      </c>
      <c r="R1925">
        <v>2855582</v>
      </c>
    </row>
    <row r="1926" spans="1:18" x14ac:dyDescent="0.25">
      <c r="A1926" s="143">
        <v>44840</v>
      </c>
      <c r="B1926" s="106">
        <v>749.1</v>
      </c>
      <c r="C1926" s="106">
        <v>728.45</v>
      </c>
      <c r="D1926" s="106">
        <v>727.4</v>
      </c>
      <c r="E1926" s="106">
        <v>745.2</v>
      </c>
      <c r="F1926" s="106">
        <v>728.45</v>
      </c>
      <c r="G1926">
        <v>30219</v>
      </c>
      <c r="H1926" s="106"/>
      <c r="I1926" s="106"/>
      <c r="L1926" s="143">
        <v>44840</v>
      </c>
      <c r="M1926" s="106">
        <v>728.7</v>
      </c>
      <c r="N1926" s="106">
        <v>748.15</v>
      </c>
      <c r="O1926" s="106">
        <v>726.15</v>
      </c>
      <c r="P1926" s="106">
        <v>746</v>
      </c>
      <c r="Q1926" s="106">
        <v>728.7</v>
      </c>
      <c r="R1926">
        <v>990000</v>
      </c>
    </row>
    <row r="1927" spans="1:18" x14ac:dyDescent="0.25">
      <c r="A1927" s="143">
        <v>44841</v>
      </c>
      <c r="B1927" s="106">
        <v>738.95</v>
      </c>
      <c r="C1927" s="106">
        <v>737.3</v>
      </c>
      <c r="D1927" s="106">
        <v>724.8</v>
      </c>
      <c r="E1927" s="106">
        <v>728.5</v>
      </c>
      <c r="F1927" s="106">
        <v>737.3</v>
      </c>
      <c r="G1927">
        <v>23444</v>
      </c>
      <c r="H1927" s="106"/>
      <c r="I1927" s="106"/>
      <c r="L1927" s="143">
        <v>44841</v>
      </c>
      <c r="M1927" s="106">
        <v>737.15</v>
      </c>
      <c r="N1927" s="106">
        <v>739</v>
      </c>
      <c r="O1927" s="106">
        <v>724.8</v>
      </c>
      <c r="P1927" s="106">
        <v>731.45</v>
      </c>
      <c r="Q1927" s="106">
        <v>737.15</v>
      </c>
      <c r="R1927">
        <v>1025301</v>
      </c>
    </row>
    <row r="1928" spans="1:18" x14ac:dyDescent="0.25">
      <c r="A1928" s="143">
        <v>44844</v>
      </c>
      <c r="B1928" s="106">
        <v>737</v>
      </c>
      <c r="C1928" s="106">
        <v>730</v>
      </c>
      <c r="D1928" s="106">
        <v>722</v>
      </c>
      <c r="E1928" s="106">
        <v>728.4</v>
      </c>
      <c r="F1928" s="106">
        <v>730</v>
      </c>
      <c r="G1928">
        <v>15937</v>
      </c>
      <c r="H1928" s="106"/>
      <c r="I1928" s="106"/>
      <c r="L1928" s="143">
        <v>44844</v>
      </c>
      <c r="M1928" s="106">
        <v>729.85</v>
      </c>
      <c r="N1928" s="106">
        <v>737.3</v>
      </c>
      <c r="O1928" s="106">
        <v>721.9</v>
      </c>
      <c r="P1928" s="106">
        <v>733.55</v>
      </c>
      <c r="Q1928" s="106">
        <v>729.85</v>
      </c>
      <c r="R1928">
        <v>866135</v>
      </c>
    </row>
    <row r="1929" spans="1:18" x14ac:dyDescent="0.25">
      <c r="A1929" s="143">
        <v>44845</v>
      </c>
      <c r="B1929" s="106">
        <v>733.3</v>
      </c>
      <c r="C1929" s="106">
        <v>719.2</v>
      </c>
      <c r="D1929" s="106">
        <v>717</v>
      </c>
      <c r="E1929" s="106">
        <v>729.05</v>
      </c>
      <c r="F1929" s="106">
        <v>719.2</v>
      </c>
      <c r="G1929">
        <v>577989</v>
      </c>
      <c r="H1929" s="106"/>
      <c r="I1929" s="106"/>
      <c r="L1929" s="143">
        <v>44845</v>
      </c>
      <c r="M1929" s="106">
        <v>719.2</v>
      </c>
      <c r="N1929" s="106">
        <v>733.3</v>
      </c>
      <c r="O1929" s="106">
        <v>716</v>
      </c>
      <c r="P1929" s="106">
        <v>732.85</v>
      </c>
      <c r="Q1929" s="106">
        <v>719.2</v>
      </c>
      <c r="R1929">
        <v>1401012</v>
      </c>
    </row>
    <row r="1930" spans="1:18" x14ac:dyDescent="0.25">
      <c r="A1930" s="143">
        <v>44846</v>
      </c>
      <c r="B1930" s="106">
        <v>745.95</v>
      </c>
      <c r="C1930" s="106">
        <v>744.15</v>
      </c>
      <c r="D1930" s="106">
        <v>717.8</v>
      </c>
      <c r="E1930" s="106">
        <v>717.8</v>
      </c>
      <c r="F1930" s="106">
        <v>744.15</v>
      </c>
      <c r="G1930">
        <v>50830</v>
      </c>
      <c r="H1930" s="106"/>
      <c r="I1930" s="106"/>
      <c r="L1930" s="143">
        <v>44846</v>
      </c>
      <c r="M1930" s="106">
        <v>744.6</v>
      </c>
      <c r="N1930" s="106">
        <v>745.95</v>
      </c>
      <c r="O1930" s="106">
        <v>721</v>
      </c>
      <c r="P1930" s="106">
        <v>722.8</v>
      </c>
      <c r="Q1930" s="106">
        <v>744.6</v>
      </c>
      <c r="R1930">
        <v>3320152</v>
      </c>
    </row>
    <row r="1931" spans="1:18" x14ac:dyDescent="0.25">
      <c r="A1931" s="143">
        <v>44847</v>
      </c>
      <c r="B1931" s="106">
        <v>749.75</v>
      </c>
      <c r="C1931" s="106">
        <v>724.5</v>
      </c>
      <c r="D1931" s="106">
        <v>723.1</v>
      </c>
      <c r="E1931" s="106">
        <v>744.15</v>
      </c>
      <c r="F1931" s="106">
        <v>724.5</v>
      </c>
      <c r="G1931">
        <v>18731</v>
      </c>
      <c r="H1931" s="106"/>
      <c r="I1931" s="106"/>
      <c r="L1931" s="143">
        <v>44847</v>
      </c>
      <c r="M1931" s="106">
        <v>724.65</v>
      </c>
      <c r="N1931" s="106">
        <v>749.9</v>
      </c>
      <c r="O1931" s="106">
        <v>723</v>
      </c>
      <c r="P1931" s="106">
        <v>746</v>
      </c>
      <c r="Q1931" s="106">
        <v>724.65</v>
      </c>
      <c r="R1931">
        <v>2075054</v>
      </c>
    </row>
    <row r="1932" spans="1:18" x14ac:dyDescent="0.25">
      <c r="A1932" s="143">
        <v>44848</v>
      </c>
      <c r="B1932" s="106">
        <v>740.1</v>
      </c>
      <c r="C1932" s="106">
        <v>726.4</v>
      </c>
      <c r="D1932" s="106">
        <v>725</v>
      </c>
      <c r="E1932" s="106">
        <v>736.05</v>
      </c>
      <c r="F1932" s="106">
        <v>726.4</v>
      </c>
      <c r="G1932">
        <v>11696</v>
      </c>
      <c r="H1932" s="106"/>
      <c r="I1932" s="106"/>
      <c r="L1932" s="143">
        <v>44848</v>
      </c>
      <c r="M1932" s="106">
        <v>726.6</v>
      </c>
      <c r="N1932" s="106">
        <v>740.3</v>
      </c>
      <c r="O1932" s="106">
        <v>724.5</v>
      </c>
      <c r="P1932" s="106">
        <v>739</v>
      </c>
      <c r="Q1932" s="106">
        <v>726.6</v>
      </c>
      <c r="R1932">
        <v>921483</v>
      </c>
    </row>
    <row r="1933" spans="1:18" x14ac:dyDescent="0.25">
      <c r="A1933" s="143">
        <v>44851</v>
      </c>
      <c r="B1933" s="106">
        <v>734.25</v>
      </c>
      <c r="C1933" s="106">
        <v>732.8</v>
      </c>
      <c r="D1933" s="106">
        <v>714.6</v>
      </c>
      <c r="E1933" s="106">
        <v>720.05</v>
      </c>
      <c r="F1933" s="106">
        <v>732.8</v>
      </c>
      <c r="G1933">
        <v>602639</v>
      </c>
      <c r="H1933" s="106"/>
      <c r="I1933" s="106"/>
      <c r="L1933" s="143">
        <v>44851</v>
      </c>
      <c r="M1933" s="106">
        <v>732.35</v>
      </c>
      <c r="N1933" s="106">
        <v>734.25</v>
      </c>
      <c r="O1933" s="106">
        <v>714.7</v>
      </c>
      <c r="P1933" s="106">
        <v>726.6</v>
      </c>
      <c r="Q1933" s="106">
        <v>732.35</v>
      </c>
      <c r="R1933">
        <v>996499</v>
      </c>
    </row>
    <row r="1934" spans="1:18" x14ac:dyDescent="0.25">
      <c r="A1934" s="143">
        <v>44852</v>
      </c>
      <c r="B1934" s="106">
        <v>749.95</v>
      </c>
      <c r="C1934" s="106">
        <v>746.9</v>
      </c>
      <c r="D1934" s="106">
        <v>733</v>
      </c>
      <c r="E1934" s="106">
        <v>733</v>
      </c>
      <c r="F1934" s="106">
        <v>746.9</v>
      </c>
      <c r="G1934">
        <v>24726</v>
      </c>
      <c r="H1934" s="106"/>
      <c r="I1934" s="106"/>
      <c r="L1934" s="143">
        <v>44852</v>
      </c>
      <c r="M1934" s="106">
        <v>746.8</v>
      </c>
      <c r="N1934" s="106">
        <v>749.2</v>
      </c>
      <c r="O1934" s="106">
        <v>733.4</v>
      </c>
      <c r="P1934" s="106">
        <v>736.05</v>
      </c>
      <c r="Q1934" s="106">
        <v>746.8</v>
      </c>
      <c r="R1934">
        <v>870559</v>
      </c>
    </row>
    <row r="1935" spans="1:18" x14ac:dyDescent="0.25">
      <c r="A1935" s="143">
        <v>44853</v>
      </c>
      <c r="B1935" s="106">
        <v>752.45</v>
      </c>
      <c r="C1935" s="106">
        <v>746.5</v>
      </c>
      <c r="D1935" s="106">
        <v>742.15</v>
      </c>
      <c r="E1935" s="106">
        <v>747.9</v>
      </c>
      <c r="F1935" s="106">
        <v>746.5</v>
      </c>
      <c r="G1935">
        <v>21572</v>
      </c>
      <c r="H1935" s="106"/>
      <c r="I1935" s="106"/>
      <c r="L1935" s="143">
        <v>44853</v>
      </c>
      <c r="M1935" s="106">
        <v>746.45</v>
      </c>
      <c r="N1935" s="106">
        <v>752.85</v>
      </c>
      <c r="O1935" s="106">
        <v>742.6</v>
      </c>
      <c r="P1935" s="106">
        <v>750</v>
      </c>
      <c r="Q1935" s="106">
        <v>746.45</v>
      </c>
      <c r="R1935">
        <v>615231</v>
      </c>
    </row>
    <row r="1936" spans="1:18" x14ac:dyDescent="0.25">
      <c r="A1936" s="143">
        <v>44854</v>
      </c>
      <c r="B1936" s="106">
        <v>742.85</v>
      </c>
      <c r="C1936" s="106">
        <v>728.6</v>
      </c>
      <c r="D1936" s="106">
        <v>720.8</v>
      </c>
      <c r="E1936" s="106">
        <v>741.05</v>
      </c>
      <c r="F1936" s="106">
        <v>728.6</v>
      </c>
      <c r="G1936">
        <v>28661</v>
      </c>
      <c r="H1936" s="106"/>
      <c r="I1936" s="106"/>
      <c r="L1936" s="143">
        <v>44854</v>
      </c>
      <c r="M1936" s="106">
        <v>729.55</v>
      </c>
      <c r="N1936" s="106">
        <v>744.6</v>
      </c>
      <c r="O1936" s="106">
        <v>720.3</v>
      </c>
      <c r="P1936" s="106">
        <v>743.25</v>
      </c>
      <c r="Q1936" s="106">
        <v>729.55</v>
      </c>
      <c r="R1936">
        <v>1396893</v>
      </c>
    </row>
    <row r="1937" spans="1:18" x14ac:dyDescent="0.25">
      <c r="A1937" s="143">
        <v>44855</v>
      </c>
      <c r="B1937" s="106">
        <v>743.8</v>
      </c>
      <c r="C1937" s="106">
        <v>712.75</v>
      </c>
      <c r="D1937" s="106">
        <v>701.75</v>
      </c>
      <c r="E1937" s="106">
        <v>731.35</v>
      </c>
      <c r="F1937" s="106">
        <v>712.75</v>
      </c>
      <c r="G1937">
        <v>46595</v>
      </c>
      <c r="H1937" s="106"/>
      <c r="I1937" s="106"/>
      <c r="L1937" s="143">
        <v>44855</v>
      </c>
      <c r="M1937" s="106">
        <v>712.45</v>
      </c>
      <c r="N1937" s="106">
        <v>743.95</v>
      </c>
      <c r="O1937" s="106">
        <v>701.8</v>
      </c>
      <c r="P1937" s="106">
        <v>733.2</v>
      </c>
      <c r="Q1937" s="106">
        <v>712.45</v>
      </c>
      <c r="R1937">
        <v>2332356</v>
      </c>
    </row>
    <row r="1938" spans="1:18" x14ac:dyDescent="0.25">
      <c r="A1938" s="143">
        <v>44858</v>
      </c>
      <c r="B1938" s="106">
        <v>721</v>
      </c>
      <c r="C1938" s="106">
        <v>713.45</v>
      </c>
      <c r="D1938" s="106">
        <v>709.15</v>
      </c>
      <c r="E1938" s="106">
        <v>720.85</v>
      </c>
      <c r="F1938" s="106">
        <v>713.45</v>
      </c>
      <c r="G1938">
        <v>10730</v>
      </c>
      <c r="H1938" s="106"/>
      <c r="I1938" s="106"/>
      <c r="L1938" s="143">
        <v>44858</v>
      </c>
      <c r="M1938" s="106">
        <v>713.25</v>
      </c>
      <c r="N1938" s="106">
        <v>723.95</v>
      </c>
      <c r="O1938" s="106">
        <v>710</v>
      </c>
      <c r="P1938" s="106">
        <v>718.5</v>
      </c>
      <c r="Q1938" s="106">
        <v>713.25</v>
      </c>
      <c r="R1938">
        <v>165619</v>
      </c>
    </row>
    <row r="1939" spans="1:18" x14ac:dyDescent="0.25">
      <c r="A1939" s="143">
        <v>44859</v>
      </c>
      <c r="B1939" s="106">
        <v>722</v>
      </c>
      <c r="C1939" s="106">
        <v>715.55</v>
      </c>
      <c r="D1939" s="106">
        <v>709.3</v>
      </c>
      <c r="E1939" s="106">
        <v>710.75</v>
      </c>
      <c r="F1939" s="106">
        <v>715.55</v>
      </c>
      <c r="G1939">
        <v>392230</v>
      </c>
      <c r="H1939" s="106"/>
      <c r="I1939" s="106"/>
      <c r="L1939" s="143">
        <v>44859</v>
      </c>
      <c r="M1939" s="106">
        <v>715.75</v>
      </c>
      <c r="N1939" s="106">
        <v>722.6</v>
      </c>
      <c r="O1939" s="106">
        <v>709.25</v>
      </c>
      <c r="P1939" s="106">
        <v>714.5</v>
      </c>
      <c r="Q1939" s="106">
        <v>715.75</v>
      </c>
      <c r="R1939">
        <v>928958</v>
      </c>
    </row>
    <row r="1940" spans="1:18" x14ac:dyDescent="0.25">
      <c r="A1940" s="143">
        <v>44861</v>
      </c>
      <c r="B1940" s="106">
        <v>720</v>
      </c>
      <c r="C1940" s="106">
        <v>717.4</v>
      </c>
      <c r="D1940" s="106">
        <v>708.65</v>
      </c>
      <c r="E1940" s="106">
        <v>714.45</v>
      </c>
      <c r="F1940" s="106">
        <v>717.4</v>
      </c>
      <c r="G1940">
        <v>14834</v>
      </c>
      <c r="H1940" s="106"/>
      <c r="I1940" s="106"/>
      <c r="L1940" s="143">
        <v>44861</v>
      </c>
      <c r="M1940" s="106">
        <v>717.75</v>
      </c>
      <c r="N1940" s="106">
        <v>719.9</v>
      </c>
      <c r="O1940" s="106">
        <v>708.05</v>
      </c>
      <c r="P1940" s="106">
        <v>719.8</v>
      </c>
      <c r="Q1940" s="106">
        <v>717.75</v>
      </c>
      <c r="R1940">
        <v>1073643</v>
      </c>
    </row>
    <row r="1941" spans="1:18" x14ac:dyDescent="0.25">
      <c r="A1941" s="143">
        <v>44862</v>
      </c>
      <c r="B1941" s="106">
        <v>720.2</v>
      </c>
      <c r="C1941" s="106">
        <v>716.4</v>
      </c>
      <c r="D1941" s="106">
        <v>710.65</v>
      </c>
      <c r="E1941" s="106">
        <v>710.65</v>
      </c>
      <c r="F1941" s="106">
        <v>716.4</v>
      </c>
      <c r="G1941">
        <v>20659</v>
      </c>
      <c r="H1941" s="106"/>
      <c r="I1941" s="106"/>
      <c r="L1941" s="143">
        <v>44862</v>
      </c>
      <c r="M1941" s="106">
        <v>716.55</v>
      </c>
      <c r="N1941" s="106">
        <v>720.05</v>
      </c>
      <c r="O1941" s="106">
        <v>714.1</v>
      </c>
      <c r="P1941" s="106">
        <v>720</v>
      </c>
      <c r="Q1941" s="106">
        <v>716.55</v>
      </c>
      <c r="R1941">
        <v>669579</v>
      </c>
    </row>
    <row r="1942" spans="1:18" x14ac:dyDescent="0.25">
      <c r="A1942" s="143">
        <v>44865</v>
      </c>
      <c r="B1942" s="106">
        <v>722.9</v>
      </c>
      <c r="C1942" s="106">
        <v>709.5</v>
      </c>
      <c r="D1942" s="106">
        <v>704.5</v>
      </c>
      <c r="E1942" s="106">
        <v>715.65</v>
      </c>
      <c r="F1942" s="106">
        <v>709.5</v>
      </c>
      <c r="G1942">
        <v>28152</v>
      </c>
      <c r="H1942" s="106"/>
      <c r="I1942" s="106"/>
      <c r="L1942" s="143">
        <v>44865</v>
      </c>
      <c r="M1942" s="106">
        <v>709.35</v>
      </c>
      <c r="N1942" s="106">
        <v>723.1</v>
      </c>
      <c r="O1942" s="106">
        <v>704.3</v>
      </c>
      <c r="P1942" s="106">
        <v>720.15</v>
      </c>
      <c r="Q1942" s="106">
        <v>709.35</v>
      </c>
      <c r="R1942">
        <v>1706648</v>
      </c>
    </row>
    <row r="1943" spans="1:18" x14ac:dyDescent="0.25">
      <c r="A1943" s="143">
        <v>44866</v>
      </c>
      <c r="B1943" s="106">
        <v>714.05</v>
      </c>
      <c r="C1943" s="106">
        <v>709.35</v>
      </c>
      <c r="D1943" s="106">
        <v>701</v>
      </c>
      <c r="E1943" s="106">
        <v>701</v>
      </c>
      <c r="F1943" s="106">
        <v>709.35</v>
      </c>
      <c r="G1943">
        <v>28636</v>
      </c>
      <c r="H1943" s="106"/>
      <c r="I1943" s="106"/>
      <c r="L1943" s="143">
        <v>44866</v>
      </c>
      <c r="M1943" s="106">
        <v>709.5</v>
      </c>
      <c r="N1943" s="106">
        <v>715.95</v>
      </c>
      <c r="O1943" s="106">
        <v>701</v>
      </c>
      <c r="P1943" s="106">
        <v>710</v>
      </c>
      <c r="Q1943" s="106">
        <v>709.5</v>
      </c>
      <c r="R1943">
        <v>1616369</v>
      </c>
    </row>
    <row r="1944" spans="1:18" x14ac:dyDescent="0.25">
      <c r="A1944" s="143">
        <v>44867</v>
      </c>
      <c r="B1944" s="106">
        <v>752.85</v>
      </c>
      <c r="C1944" s="106">
        <v>744.7</v>
      </c>
      <c r="D1944" s="106">
        <v>707.9</v>
      </c>
      <c r="E1944" s="106">
        <v>707.95</v>
      </c>
      <c r="F1944" s="106">
        <v>744.7</v>
      </c>
      <c r="G1944">
        <v>201420</v>
      </c>
      <c r="H1944" s="106"/>
      <c r="I1944" s="106"/>
      <c r="L1944" s="143">
        <v>44867</v>
      </c>
      <c r="M1944" s="106">
        <v>744.7</v>
      </c>
      <c r="N1944" s="106">
        <v>752.85</v>
      </c>
      <c r="O1944" s="106">
        <v>708</v>
      </c>
      <c r="P1944" s="106">
        <v>708</v>
      </c>
      <c r="Q1944" s="106">
        <v>744.7</v>
      </c>
      <c r="R1944">
        <v>6548825</v>
      </c>
    </row>
    <row r="1945" spans="1:18" x14ac:dyDescent="0.25">
      <c r="A1945" s="143">
        <v>44868</v>
      </c>
      <c r="B1945" s="106">
        <v>760.35</v>
      </c>
      <c r="C1945" s="106">
        <v>758.1</v>
      </c>
      <c r="D1945" s="106">
        <v>738.05</v>
      </c>
      <c r="E1945" s="106">
        <v>738.45</v>
      </c>
      <c r="F1945" s="106">
        <v>758.1</v>
      </c>
      <c r="G1945">
        <v>93530</v>
      </c>
      <c r="H1945" s="106"/>
      <c r="I1945" s="106"/>
      <c r="L1945" s="143">
        <v>44868</v>
      </c>
      <c r="M1945" s="106">
        <v>758.6</v>
      </c>
      <c r="N1945" s="106">
        <v>760.8</v>
      </c>
      <c r="O1945" s="106">
        <v>738.3</v>
      </c>
      <c r="P1945" s="106">
        <v>741</v>
      </c>
      <c r="Q1945" s="106">
        <v>758.6</v>
      </c>
      <c r="R1945">
        <v>1865751</v>
      </c>
    </row>
    <row r="1946" spans="1:18" x14ac:dyDescent="0.25">
      <c r="A1946" s="143">
        <v>44869</v>
      </c>
      <c r="B1946" s="106">
        <v>766.5</v>
      </c>
      <c r="C1946" s="106">
        <v>763.5</v>
      </c>
      <c r="D1946" s="106">
        <v>758.05</v>
      </c>
      <c r="E1946" s="106">
        <v>760</v>
      </c>
      <c r="F1946" s="106">
        <v>763.5</v>
      </c>
      <c r="G1946">
        <v>23406</v>
      </c>
      <c r="H1946" s="106"/>
      <c r="I1946" s="106"/>
      <c r="L1946" s="143">
        <v>44869</v>
      </c>
      <c r="M1946" s="106">
        <v>763.6</v>
      </c>
      <c r="N1946" s="106">
        <v>766.8</v>
      </c>
      <c r="O1946" s="106">
        <v>758</v>
      </c>
      <c r="P1946" s="106">
        <v>762.4</v>
      </c>
      <c r="Q1946" s="106">
        <v>763.6</v>
      </c>
      <c r="R1946">
        <v>961403</v>
      </c>
    </row>
    <row r="1947" spans="1:18" x14ac:dyDescent="0.25">
      <c r="A1947" s="143">
        <v>44872</v>
      </c>
      <c r="B1947" s="106">
        <v>766.8</v>
      </c>
      <c r="C1947" s="106">
        <v>748.8</v>
      </c>
      <c r="D1947" s="106">
        <v>738.6</v>
      </c>
      <c r="E1947" s="106">
        <v>764.25</v>
      </c>
      <c r="F1947" s="106">
        <v>748.8</v>
      </c>
      <c r="G1947">
        <v>108091</v>
      </c>
      <c r="H1947" s="106"/>
      <c r="I1947" s="106"/>
      <c r="L1947" s="143">
        <v>44872</v>
      </c>
      <c r="M1947" s="106">
        <v>748.35</v>
      </c>
      <c r="N1947" s="106">
        <v>767.45</v>
      </c>
      <c r="O1947" s="106">
        <v>738.35</v>
      </c>
      <c r="P1947" s="106">
        <v>767.45</v>
      </c>
      <c r="Q1947" s="106">
        <v>748.35</v>
      </c>
      <c r="R1947">
        <v>1496878</v>
      </c>
    </row>
    <row r="1948" spans="1:18" x14ac:dyDescent="0.25">
      <c r="A1948" s="143">
        <v>44874</v>
      </c>
      <c r="B1948" s="106">
        <v>756.8</v>
      </c>
      <c r="C1948" s="106">
        <v>744.5</v>
      </c>
      <c r="D1948" s="106">
        <v>742.25</v>
      </c>
      <c r="E1948" s="106">
        <v>747.4</v>
      </c>
      <c r="F1948" s="106">
        <v>744.5</v>
      </c>
      <c r="G1948">
        <v>50372</v>
      </c>
      <c r="H1948" s="106"/>
      <c r="I1948" s="106"/>
      <c r="L1948" s="143">
        <v>44874</v>
      </c>
      <c r="M1948" s="106">
        <v>744.65</v>
      </c>
      <c r="N1948" s="106">
        <v>756.9</v>
      </c>
      <c r="O1948" s="106">
        <v>742.1</v>
      </c>
      <c r="P1948" s="106">
        <v>745.2</v>
      </c>
      <c r="Q1948" s="106">
        <v>744.65</v>
      </c>
      <c r="R1948">
        <v>863444</v>
      </c>
    </row>
    <row r="1949" spans="1:18" x14ac:dyDescent="0.25">
      <c r="A1949" s="143">
        <v>44875</v>
      </c>
      <c r="B1949" s="106">
        <v>742.25</v>
      </c>
      <c r="C1949" s="106">
        <v>721.8</v>
      </c>
      <c r="D1949" s="106">
        <v>718.6</v>
      </c>
      <c r="E1949" s="106">
        <v>741</v>
      </c>
      <c r="F1949" s="106">
        <v>721.8</v>
      </c>
      <c r="G1949">
        <v>20701</v>
      </c>
      <c r="H1949" s="106"/>
      <c r="I1949" s="106"/>
      <c r="L1949" s="143">
        <v>44875</v>
      </c>
      <c r="M1949" s="106">
        <v>722.1</v>
      </c>
      <c r="N1949" s="106">
        <v>742.35</v>
      </c>
      <c r="O1949" s="106">
        <v>718.4</v>
      </c>
      <c r="P1949" s="106">
        <v>740</v>
      </c>
      <c r="Q1949" s="106">
        <v>722.1</v>
      </c>
      <c r="R1949">
        <v>1836837</v>
      </c>
    </row>
    <row r="1950" spans="1:18" x14ac:dyDescent="0.25">
      <c r="A1950" s="143">
        <v>44876</v>
      </c>
      <c r="B1950" s="106">
        <v>748</v>
      </c>
      <c r="C1950" s="106">
        <v>729</v>
      </c>
      <c r="D1950" s="106">
        <v>725.05</v>
      </c>
      <c r="E1950" s="106">
        <v>725.05</v>
      </c>
      <c r="F1950" s="106">
        <v>729</v>
      </c>
      <c r="G1950">
        <v>96487</v>
      </c>
      <c r="H1950" s="106"/>
      <c r="I1950" s="106"/>
      <c r="L1950" s="143">
        <v>44876</v>
      </c>
      <c r="M1950" s="106">
        <v>728.5</v>
      </c>
      <c r="N1950" s="106">
        <v>748.7</v>
      </c>
      <c r="O1950" s="106">
        <v>725.3</v>
      </c>
      <c r="P1950" s="106">
        <v>728</v>
      </c>
      <c r="Q1950" s="106">
        <v>728.5</v>
      </c>
      <c r="R1950">
        <v>2044099</v>
      </c>
    </row>
    <row r="1951" spans="1:18" x14ac:dyDescent="0.25">
      <c r="A1951" s="143">
        <v>44879</v>
      </c>
      <c r="B1951" s="106">
        <v>726</v>
      </c>
      <c r="C1951" s="106">
        <v>720.9</v>
      </c>
      <c r="D1951" s="106">
        <v>699.95</v>
      </c>
      <c r="E1951" s="106">
        <v>699.95</v>
      </c>
      <c r="F1951" s="106">
        <v>720.9</v>
      </c>
      <c r="G1951">
        <v>32313</v>
      </c>
      <c r="H1951" s="106"/>
      <c r="I1951" s="106"/>
      <c r="L1951" s="143">
        <v>44879</v>
      </c>
      <c r="M1951" s="106">
        <v>720.5</v>
      </c>
      <c r="N1951" s="106">
        <v>726.45</v>
      </c>
      <c r="O1951" s="106">
        <v>695</v>
      </c>
      <c r="P1951" s="106">
        <v>703.25</v>
      </c>
      <c r="Q1951" s="106">
        <v>720.5</v>
      </c>
      <c r="R1951">
        <v>799451</v>
      </c>
    </row>
    <row r="1952" spans="1:18" x14ac:dyDescent="0.25">
      <c r="A1952" s="143">
        <v>44880</v>
      </c>
      <c r="B1952" s="106">
        <v>724.45</v>
      </c>
      <c r="C1952" s="106">
        <v>721.7</v>
      </c>
      <c r="D1952" s="106">
        <v>715</v>
      </c>
      <c r="E1952" s="106">
        <v>721</v>
      </c>
      <c r="F1952" s="106">
        <v>721.7</v>
      </c>
      <c r="G1952">
        <v>55985</v>
      </c>
      <c r="H1952" s="106"/>
      <c r="I1952" s="106"/>
      <c r="L1952" s="143">
        <v>44880</v>
      </c>
      <c r="M1952" s="106">
        <v>721.5</v>
      </c>
      <c r="N1952" s="106">
        <v>724.15</v>
      </c>
      <c r="O1952" s="106">
        <v>715.05</v>
      </c>
      <c r="P1952" s="106">
        <v>724.15</v>
      </c>
      <c r="Q1952" s="106">
        <v>721.5</v>
      </c>
      <c r="R1952">
        <v>774145</v>
      </c>
    </row>
    <row r="1953" spans="1:18" x14ac:dyDescent="0.25">
      <c r="A1953" s="143">
        <v>44881</v>
      </c>
      <c r="B1953" s="106">
        <v>722.4</v>
      </c>
      <c r="C1953" s="106">
        <v>707.05</v>
      </c>
      <c r="D1953" s="106">
        <v>703.55</v>
      </c>
      <c r="E1953" s="106">
        <v>716.05</v>
      </c>
      <c r="F1953" s="106">
        <v>707.05</v>
      </c>
      <c r="G1953">
        <v>31540</v>
      </c>
      <c r="H1953" s="106"/>
      <c r="I1953" s="106"/>
      <c r="L1953" s="143">
        <v>44881</v>
      </c>
      <c r="M1953" s="106">
        <v>707.15</v>
      </c>
      <c r="N1953" s="106">
        <v>723.45</v>
      </c>
      <c r="O1953" s="106">
        <v>703.45</v>
      </c>
      <c r="P1953" s="106">
        <v>721.9</v>
      </c>
      <c r="Q1953" s="106">
        <v>707.15</v>
      </c>
      <c r="R1953">
        <v>801476</v>
      </c>
    </row>
    <row r="1954" spans="1:18" x14ac:dyDescent="0.25">
      <c r="A1954" s="143">
        <v>44882</v>
      </c>
      <c r="B1954" s="106">
        <v>710.55</v>
      </c>
      <c r="C1954" s="106">
        <v>697.25</v>
      </c>
      <c r="D1954" s="106">
        <v>695.4</v>
      </c>
      <c r="E1954" s="106">
        <v>707.05</v>
      </c>
      <c r="F1954" s="106">
        <v>697.25</v>
      </c>
      <c r="G1954">
        <v>15462</v>
      </c>
      <c r="H1954" s="106"/>
      <c r="I1954" s="106"/>
      <c r="L1954" s="143">
        <v>44882</v>
      </c>
      <c r="M1954" s="106">
        <v>697.5</v>
      </c>
      <c r="N1954" s="106">
        <v>711.15</v>
      </c>
      <c r="O1954" s="106">
        <v>695</v>
      </c>
      <c r="P1954" s="106">
        <v>707</v>
      </c>
      <c r="Q1954" s="106">
        <v>697.5</v>
      </c>
      <c r="R1954">
        <v>823928</v>
      </c>
    </row>
    <row r="1955" spans="1:18" x14ac:dyDescent="0.25">
      <c r="A1955" s="143">
        <v>44883</v>
      </c>
      <c r="B1955" s="106">
        <v>715.85</v>
      </c>
      <c r="C1955" s="106">
        <v>714.05</v>
      </c>
      <c r="D1955" s="106">
        <v>684.3</v>
      </c>
      <c r="E1955" s="106">
        <v>697.25</v>
      </c>
      <c r="F1955" s="106">
        <v>714.05</v>
      </c>
      <c r="G1955">
        <v>73292</v>
      </c>
      <c r="H1955" s="106"/>
      <c r="I1955" s="106"/>
      <c r="L1955" s="143">
        <v>44883</v>
      </c>
      <c r="M1955" s="106">
        <v>713.8</v>
      </c>
      <c r="N1955" s="106">
        <v>715.4</v>
      </c>
      <c r="O1955" s="106">
        <v>684.15</v>
      </c>
      <c r="P1955" s="106">
        <v>701</v>
      </c>
      <c r="Q1955" s="106">
        <v>713.8</v>
      </c>
      <c r="R1955">
        <v>3429218</v>
      </c>
    </row>
    <row r="1956" spans="1:18" x14ac:dyDescent="0.25">
      <c r="A1956" s="143">
        <v>44886</v>
      </c>
      <c r="B1956" s="106">
        <v>715.55</v>
      </c>
      <c r="C1956" s="106">
        <v>714.25</v>
      </c>
      <c r="D1956" s="106">
        <v>706.2</v>
      </c>
      <c r="E1956" s="106">
        <v>710</v>
      </c>
      <c r="F1956" s="106">
        <v>714.25</v>
      </c>
      <c r="G1956">
        <v>100432</v>
      </c>
      <c r="H1956" s="106"/>
      <c r="I1956" s="106"/>
      <c r="L1956" s="143">
        <v>44886</v>
      </c>
      <c r="M1956" s="106">
        <v>714</v>
      </c>
      <c r="N1956" s="106">
        <v>715.85</v>
      </c>
      <c r="O1956" s="106">
        <v>706.35</v>
      </c>
      <c r="P1956" s="106">
        <v>713.8</v>
      </c>
      <c r="Q1956" s="106">
        <v>714</v>
      </c>
      <c r="R1956">
        <v>636092</v>
      </c>
    </row>
    <row r="1957" spans="1:18" x14ac:dyDescent="0.25">
      <c r="A1957" s="143">
        <v>44887</v>
      </c>
      <c r="B1957" s="106">
        <v>717.9</v>
      </c>
      <c r="C1957" s="106">
        <v>711</v>
      </c>
      <c r="D1957" s="106">
        <v>708.55</v>
      </c>
      <c r="E1957" s="106">
        <v>712.2</v>
      </c>
      <c r="F1957" s="106">
        <v>711</v>
      </c>
      <c r="G1957">
        <v>20301</v>
      </c>
      <c r="H1957" s="106"/>
      <c r="I1957" s="106"/>
      <c r="L1957" s="143">
        <v>44887</v>
      </c>
      <c r="M1957" s="106">
        <v>711.05</v>
      </c>
      <c r="N1957" s="106">
        <v>717.95</v>
      </c>
      <c r="O1957" s="106">
        <v>708.3</v>
      </c>
      <c r="P1957" s="106">
        <v>715</v>
      </c>
      <c r="Q1957" s="106">
        <v>711.05</v>
      </c>
      <c r="R1957">
        <v>805052</v>
      </c>
    </row>
    <row r="1958" spans="1:18" x14ac:dyDescent="0.25">
      <c r="A1958" s="143">
        <v>44888</v>
      </c>
      <c r="B1958" s="106">
        <v>721.75</v>
      </c>
      <c r="C1958" s="106">
        <v>718.8</v>
      </c>
      <c r="D1958" s="106">
        <v>705.05</v>
      </c>
      <c r="E1958" s="106">
        <v>705.05</v>
      </c>
      <c r="F1958" s="106">
        <v>718.8</v>
      </c>
      <c r="G1958">
        <v>14308</v>
      </c>
      <c r="H1958" s="106"/>
      <c r="I1958" s="106"/>
      <c r="L1958" s="143">
        <v>44888</v>
      </c>
      <c r="M1958" s="106">
        <v>718.65</v>
      </c>
      <c r="N1958" s="106">
        <v>722</v>
      </c>
      <c r="O1958" s="106">
        <v>711.05</v>
      </c>
      <c r="P1958" s="106">
        <v>714.65</v>
      </c>
      <c r="Q1958" s="106">
        <v>718.65</v>
      </c>
      <c r="R1958">
        <v>1002234</v>
      </c>
    </row>
    <row r="1959" spans="1:18" x14ac:dyDescent="0.25">
      <c r="A1959" s="143">
        <v>44889</v>
      </c>
      <c r="B1959" s="106">
        <v>726.9</v>
      </c>
      <c r="C1959" s="106">
        <v>720.8</v>
      </c>
      <c r="D1959" s="106">
        <v>715.25</v>
      </c>
      <c r="E1959" s="106">
        <v>715.25</v>
      </c>
      <c r="F1959" s="106">
        <v>720.8</v>
      </c>
      <c r="G1959">
        <v>21094</v>
      </c>
      <c r="H1959" s="106"/>
      <c r="I1959" s="106"/>
      <c r="L1959" s="143">
        <v>44889</v>
      </c>
      <c r="M1959" s="106">
        <v>722.05</v>
      </c>
      <c r="N1959" s="106">
        <v>727.95</v>
      </c>
      <c r="O1959" s="106">
        <v>717</v>
      </c>
      <c r="P1959" s="106">
        <v>720.9</v>
      </c>
      <c r="Q1959" s="106">
        <v>722.05</v>
      </c>
      <c r="R1959">
        <v>577838</v>
      </c>
    </row>
    <row r="1960" spans="1:18" x14ac:dyDescent="0.25">
      <c r="A1960" s="143">
        <v>44890</v>
      </c>
      <c r="B1960" s="106">
        <v>728.8</v>
      </c>
      <c r="C1960" s="106">
        <v>720.4</v>
      </c>
      <c r="D1960" s="106">
        <v>718.45</v>
      </c>
      <c r="E1960" s="106">
        <v>720.8</v>
      </c>
      <c r="F1960" s="106">
        <v>720.4</v>
      </c>
      <c r="G1960">
        <v>16195</v>
      </c>
      <c r="H1960" s="106"/>
      <c r="I1960" s="106"/>
      <c r="L1960" s="143">
        <v>44890</v>
      </c>
      <c r="M1960" s="106">
        <v>720.75</v>
      </c>
      <c r="N1960" s="106">
        <v>728.75</v>
      </c>
      <c r="O1960" s="106">
        <v>718.25</v>
      </c>
      <c r="P1960" s="106">
        <v>725</v>
      </c>
      <c r="Q1960" s="106">
        <v>720.75</v>
      </c>
      <c r="R1960">
        <v>772119</v>
      </c>
    </row>
    <row r="1961" spans="1:18" x14ac:dyDescent="0.25">
      <c r="A1961" s="143">
        <v>44893</v>
      </c>
      <c r="B1961" s="106">
        <v>726.15</v>
      </c>
      <c r="C1961" s="106">
        <v>720.35</v>
      </c>
      <c r="D1961" s="106">
        <v>715.9</v>
      </c>
      <c r="E1961" s="106">
        <v>720</v>
      </c>
      <c r="F1961" s="106">
        <v>720.35</v>
      </c>
      <c r="G1961">
        <v>8746</v>
      </c>
      <c r="H1961" s="106"/>
      <c r="I1961" s="106"/>
      <c r="L1961" s="143">
        <v>44893</v>
      </c>
      <c r="M1961" s="106">
        <v>720.3</v>
      </c>
      <c r="N1961" s="106">
        <v>726.05</v>
      </c>
      <c r="O1961" s="106">
        <v>715</v>
      </c>
      <c r="P1961" s="106">
        <v>719</v>
      </c>
      <c r="Q1961" s="106">
        <v>720.3</v>
      </c>
      <c r="R1961">
        <v>960285</v>
      </c>
    </row>
    <row r="1962" spans="1:18" x14ac:dyDescent="0.25">
      <c r="A1962" s="143">
        <v>44894</v>
      </c>
      <c r="B1962" s="106">
        <v>720.85</v>
      </c>
      <c r="C1962" s="106">
        <v>714.85</v>
      </c>
      <c r="D1962" s="106">
        <v>712.2</v>
      </c>
      <c r="E1962" s="106">
        <v>719</v>
      </c>
      <c r="F1962" s="106">
        <v>714.85</v>
      </c>
      <c r="G1962">
        <v>24083</v>
      </c>
      <c r="H1962" s="106"/>
      <c r="I1962" s="106"/>
      <c r="L1962" s="143">
        <v>44894</v>
      </c>
      <c r="M1962" s="106">
        <v>714.75</v>
      </c>
      <c r="N1962" s="106">
        <v>720.7</v>
      </c>
      <c r="O1962" s="106">
        <v>712.25</v>
      </c>
      <c r="P1962" s="106">
        <v>720.3</v>
      </c>
      <c r="Q1962" s="106">
        <v>714.75</v>
      </c>
      <c r="R1962">
        <v>797432</v>
      </c>
    </row>
    <row r="1963" spans="1:18" x14ac:dyDescent="0.25">
      <c r="A1963" s="143">
        <v>44895</v>
      </c>
      <c r="B1963" s="106">
        <v>721.5</v>
      </c>
      <c r="C1963" s="106">
        <v>716.8</v>
      </c>
      <c r="D1963" s="106">
        <v>708.85</v>
      </c>
      <c r="E1963" s="106">
        <v>716.85</v>
      </c>
      <c r="F1963" s="106">
        <v>716.8</v>
      </c>
      <c r="G1963">
        <v>77832</v>
      </c>
      <c r="H1963" s="106"/>
      <c r="I1963" s="106"/>
      <c r="L1963" s="143">
        <v>44895</v>
      </c>
      <c r="M1963" s="106">
        <v>714.85</v>
      </c>
      <c r="N1963" s="106">
        <v>721.8</v>
      </c>
      <c r="O1963" s="106">
        <v>708.7</v>
      </c>
      <c r="P1963" s="106">
        <v>714.75</v>
      </c>
      <c r="Q1963" s="106">
        <v>714.85</v>
      </c>
      <c r="R1963">
        <v>2405895</v>
      </c>
    </row>
    <row r="1964" spans="1:18" x14ac:dyDescent="0.25">
      <c r="A1964" s="143">
        <v>44896</v>
      </c>
      <c r="B1964" s="106">
        <v>729.75</v>
      </c>
      <c r="C1964" s="106">
        <v>728.75</v>
      </c>
      <c r="D1964" s="106">
        <v>715.85</v>
      </c>
      <c r="E1964" s="106">
        <v>716.05</v>
      </c>
      <c r="F1964" s="106">
        <v>728.75</v>
      </c>
      <c r="G1964">
        <v>32884</v>
      </c>
      <c r="H1964" s="106"/>
      <c r="I1964" s="106"/>
      <c r="L1964" s="143">
        <v>44896</v>
      </c>
      <c r="M1964" s="106">
        <v>728.9</v>
      </c>
      <c r="N1964" s="106">
        <v>729.9</v>
      </c>
      <c r="O1964" s="106">
        <v>715.8</v>
      </c>
      <c r="P1964" s="106">
        <v>720</v>
      </c>
      <c r="Q1964" s="106">
        <v>728.9</v>
      </c>
      <c r="R1964">
        <v>1437872</v>
      </c>
    </row>
    <row r="1965" spans="1:18" x14ac:dyDescent="0.25">
      <c r="A1965" s="143">
        <v>44897</v>
      </c>
      <c r="B1965" s="106">
        <v>733.65</v>
      </c>
      <c r="C1965" s="106">
        <v>732.05</v>
      </c>
      <c r="D1965" s="106">
        <v>724.4</v>
      </c>
      <c r="E1965" s="106">
        <v>726.1</v>
      </c>
      <c r="F1965" s="106">
        <v>732.05</v>
      </c>
      <c r="G1965">
        <v>22869</v>
      </c>
      <c r="H1965" s="106"/>
      <c r="I1965" s="106"/>
      <c r="L1965" s="143">
        <v>44897</v>
      </c>
      <c r="M1965" s="106">
        <v>731.65</v>
      </c>
      <c r="N1965" s="106">
        <v>733.85</v>
      </c>
      <c r="O1965" s="106">
        <v>724.5</v>
      </c>
      <c r="P1965" s="106">
        <v>729</v>
      </c>
      <c r="Q1965" s="106">
        <v>731.65</v>
      </c>
      <c r="R1965">
        <v>1114418</v>
      </c>
    </row>
    <row r="1966" spans="1:18" x14ac:dyDescent="0.25">
      <c r="A1966" s="143">
        <v>44900</v>
      </c>
      <c r="B1966" s="106">
        <v>742.5</v>
      </c>
      <c r="C1966" s="106">
        <v>737.55</v>
      </c>
      <c r="D1966" s="106">
        <v>727.6</v>
      </c>
      <c r="E1966" s="106">
        <v>736</v>
      </c>
      <c r="F1966" s="106">
        <v>737.55</v>
      </c>
      <c r="G1966">
        <v>67803</v>
      </c>
      <c r="H1966" s="106"/>
      <c r="I1966" s="106"/>
      <c r="L1966" s="143">
        <v>44900</v>
      </c>
      <c r="M1966" s="106">
        <v>737.7</v>
      </c>
      <c r="N1966" s="106">
        <v>742.8</v>
      </c>
      <c r="O1966" s="106">
        <v>727.6</v>
      </c>
      <c r="P1966" s="106">
        <v>735</v>
      </c>
      <c r="Q1966" s="106">
        <v>737.7</v>
      </c>
      <c r="R1966">
        <v>1058745</v>
      </c>
    </row>
    <row r="1967" spans="1:18" x14ac:dyDescent="0.25">
      <c r="A1967" s="143">
        <v>44901</v>
      </c>
      <c r="B1967" s="106">
        <v>742</v>
      </c>
      <c r="C1967" s="106">
        <v>734.8</v>
      </c>
      <c r="D1967" s="106">
        <v>731.5</v>
      </c>
      <c r="E1967" s="106">
        <v>735.1</v>
      </c>
      <c r="F1967" s="106">
        <v>734.8</v>
      </c>
      <c r="G1967">
        <v>16506</v>
      </c>
      <c r="H1967" s="106"/>
      <c r="I1967" s="106"/>
      <c r="L1967" s="143">
        <v>44901</v>
      </c>
      <c r="M1967" s="106">
        <v>734.8</v>
      </c>
      <c r="N1967" s="106">
        <v>742.65</v>
      </c>
      <c r="O1967" s="106">
        <v>731.1</v>
      </c>
      <c r="P1967" s="106">
        <v>737</v>
      </c>
      <c r="Q1967" s="106">
        <v>734.8</v>
      </c>
      <c r="R1967">
        <v>1078054</v>
      </c>
    </row>
    <row r="1968" spans="1:18" x14ac:dyDescent="0.25">
      <c r="A1968" s="143">
        <v>44902</v>
      </c>
      <c r="B1968" s="106">
        <v>740.75</v>
      </c>
      <c r="C1968" s="106">
        <v>735.7</v>
      </c>
      <c r="D1968" s="106">
        <v>731</v>
      </c>
      <c r="E1968" s="106">
        <v>737.45</v>
      </c>
      <c r="F1968" s="106">
        <v>735.7</v>
      </c>
      <c r="G1968">
        <v>24595</v>
      </c>
      <c r="H1968" s="106"/>
      <c r="I1968" s="106"/>
      <c r="L1968" s="143">
        <v>44902</v>
      </c>
      <c r="M1968" s="106">
        <v>735.8</v>
      </c>
      <c r="N1968" s="106">
        <v>741</v>
      </c>
      <c r="O1968" s="106">
        <v>730.2</v>
      </c>
      <c r="P1968" s="106">
        <v>734.8</v>
      </c>
      <c r="Q1968" s="106">
        <v>735.8</v>
      </c>
      <c r="R1968">
        <v>722408</v>
      </c>
    </row>
    <row r="1969" spans="1:18" x14ac:dyDescent="0.25">
      <c r="A1969" s="143">
        <v>44903</v>
      </c>
      <c r="B1969" s="106">
        <v>750.6</v>
      </c>
      <c r="C1969" s="106">
        <v>743.5</v>
      </c>
      <c r="D1969" s="106">
        <v>735.7</v>
      </c>
      <c r="E1969" s="106">
        <v>737</v>
      </c>
      <c r="F1969" s="106">
        <v>743.5</v>
      </c>
      <c r="G1969">
        <v>31056</v>
      </c>
      <c r="H1969" s="106"/>
      <c r="I1969" s="106"/>
      <c r="L1969" s="143">
        <v>44903</v>
      </c>
      <c r="M1969" s="106">
        <v>742.85</v>
      </c>
      <c r="N1969" s="106">
        <v>750.55</v>
      </c>
      <c r="O1969" s="106">
        <v>734.75</v>
      </c>
      <c r="P1969" s="106">
        <v>735.05</v>
      </c>
      <c r="Q1969" s="106">
        <v>742.85</v>
      </c>
      <c r="R1969">
        <v>1310404</v>
      </c>
    </row>
    <row r="1970" spans="1:18" x14ac:dyDescent="0.25">
      <c r="A1970" s="143">
        <v>44904</v>
      </c>
      <c r="B1970" s="106">
        <v>754.6</v>
      </c>
      <c r="C1970" s="106">
        <v>744</v>
      </c>
      <c r="D1970" s="106">
        <v>737.6</v>
      </c>
      <c r="E1970" s="106">
        <v>737.6</v>
      </c>
      <c r="F1970" s="106">
        <v>744</v>
      </c>
      <c r="G1970">
        <v>41035</v>
      </c>
      <c r="H1970" s="106"/>
      <c r="I1970" s="106"/>
      <c r="L1970" s="143">
        <v>44904</v>
      </c>
      <c r="M1970" s="106">
        <v>744.1</v>
      </c>
      <c r="N1970" s="106">
        <v>755</v>
      </c>
      <c r="O1970" s="106">
        <v>739.5</v>
      </c>
      <c r="P1970" s="106">
        <v>743.2</v>
      </c>
      <c r="Q1970" s="106">
        <v>744.1</v>
      </c>
      <c r="R1970">
        <v>1370253</v>
      </c>
    </row>
    <row r="1971" spans="1:18" x14ac:dyDescent="0.25">
      <c r="A1971" s="143">
        <v>44907</v>
      </c>
      <c r="B1971" s="106">
        <v>747.7</v>
      </c>
      <c r="C1971" s="106">
        <v>746.95</v>
      </c>
      <c r="D1971" s="106">
        <v>734</v>
      </c>
      <c r="E1971" s="106">
        <v>745</v>
      </c>
      <c r="F1971" s="106">
        <v>746.95</v>
      </c>
      <c r="G1971">
        <v>20634</v>
      </c>
      <c r="H1971" s="106"/>
      <c r="I1971" s="106"/>
      <c r="L1971" s="143">
        <v>44907</v>
      </c>
      <c r="M1971" s="106">
        <v>746.6</v>
      </c>
      <c r="N1971" s="106">
        <v>748</v>
      </c>
      <c r="O1971" s="106">
        <v>733</v>
      </c>
      <c r="P1971" s="106">
        <v>744.85</v>
      </c>
      <c r="Q1971" s="106">
        <v>746.6</v>
      </c>
      <c r="R1971">
        <v>1341353</v>
      </c>
    </row>
    <row r="1972" spans="1:18" x14ac:dyDescent="0.25">
      <c r="A1972" s="143">
        <v>44908</v>
      </c>
      <c r="B1972" s="106">
        <v>758.95</v>
      </c>
      <c r="C1972" s="106">
        <v>751.65</v>
      </c>
      <c r="D1972" s="106">
        <v>747.45</v>
      </c>
      <c r="E1972" s="106">
        <v>750</v>
      </c>
      <c r="F1972" s="106">
        <v>751.65</v>
      </c>
      <c r="G1972">
        <v>59481</v>
      </c>
      <c r="H1972" s="106"/>
      <c r="I1972" s="106"/>
      <c r="L1972" s="143">
        <v>44908</v>
      </c>
      <c r="M1972" s="106">
        <v>751.6</v>
      </c>
      <c r="N1972" s="106">
        <v>759</v>
      </c>
      <c r="O1972" s="106">
        <v>748.05</v>
      </c>
      <c r="P1972" s="106">
        <v>750.35</v>
      </c>
      <c r="Q1972" s="106">
        <v>751.6</v>
      </c>
      <c r="R1972">
        <v>1117440</v>
      </c>
    </row>
    <row r="1973" spans="1:18" x14ac:dyDescent="0.25">
      <c r="A1973" s="143">
        <v>44909</v>
      </c>
      <c r="B1973" s="106">
        <v>757.75</v>
      </c>
      <c r="C1973" s="106">
        <v>752.1</v>
      </c>
      <c r="D1973" s="106">
        <v>745.05</v>
      </c>
      <c r="E1973" s="106">
        <v>745.05</v>
      </c>
      <c r="F1973" s="106">
        <v>752.1</v>
      </c>
      <c r="G1973">
        <v>16041</v>
      </c>
      <c r="H1973" s="106"/>
      <c r="I1973" s="106"/>
      <c r="L1973" s="143">
        <v>44909</v>
      </c>
      <c r="M1973" s="106">
        <v>752.1</v>
      </c>
      <c r="N1973" s="106">
        <v>757.75</v>
      </c>
      <c r="O1973" s="106">
        <v>749.4</v>
      </c>
      <c r="P1973" s="106">
        <v>751.65</v>
      </c>
      <c r="Q1973" s="106">
        <v>752.1</v>
      </c>
      <c r="R1973">
        <v>675770</v>
      </c>
    </row>
    <row r="1974" spans="1:18" x14ac:dyDescent="0.25">
      <c r="A1974" s="143">
        <v>44910</v>
      </c>
      <c r="B1974" s="106">
        <v>762.2</v>
      </c>
      <c r="C1974" s="106">
        <v>747.85</v>
      </c>
      <c r="D1974" s="106">
        <v>744.5</v>
      </c>
      <c r="E1974" s="106">
        <v>752.95</v>
      </c>
      <c r="F1974" s="106">
        <v>747.85</v>
      </c>
      <c r="G1974">
        <v>20006</v>
      </c>
      <c r="H1974" s="106"/>
      <c r="I1974" s="106"/>
      <c r="L1974" s="143">
        <v>44910</v>
      </c>
      <c r="M1974" s="106">
        <v>747.6</v>
      </c>
      <c r="N1974" s="106">
        <v>762.3</v>
      </c>
      <c r="O1974" s="106">
        <v>743.55</v>
      </c>
      <c r="P1974" s="106">
        <v>750</v>
      </c>
      <c r="Q1974" s="106">
        <v>747.6</v>
      </c>
      <c r="R1974">
        <v>660883</v>
      </c>
    </row>
    <row r="1975" spans="1:18" x14ac:dyDescent="0.25">
      <c r="A1975" s="143">
        <v>44911</v>
      </c>
      <c r="B1975" s="106">
        <v>746.5</v>
      </c>
      <c r="C1975" s="106">
        <v>729.5</v>
      </c>
      <c r="D1975" s="106">
        <v>723.4</v>
      </c>
      <c r="E1975" s="106">
        <v>742.05</v>
      </c>
      <c r="F1975" s="106">
        <v>729.5</v>
      </c>
      <c r="G1975">
        <v>45677</v>
      </c>
      <c r="H1975" s="106"/>
      <c r="I1975" s="106"/>
      <c r="L1975" s="143">
        <v>44911</v>
      </c>
      <c r="M1975" s="106">
        <v>729.85</v>
      </c>
      <c r="N1975" s="106">
        <v>747</v>
      </c>
      <c r="O1975" s="106">
        <v>723</v>
      </c>
      <c r="P1975" s="106">
        <v>744.15</v>
      </c>
      <c r="Q1975" s="106">
        <v>729.85</v>
      </c>
      <c r="R1975">
        <v>1052542</v>
      </c>
    </row>
    <row r="1976" spans="1:18" x14ac:dyDescent="0.25">
      <c r="A1976" s="143">
        <v>44914</v>
      </c>
      <c r="B1976" s="106">
        <v>746.7</v>
      </c>
      <c r="C1976" s="106">
        <v>745</v>
      </c>
      <c r="D1976" s="106">
        <v>721</v>
      </c>
      <c r="E1976" s="106">
        <v>731.5</v>
      </c>
      <c r="F1976" s="106">
        <v>745</v>
      </c>
      <c r="G1976">
        <v>705252</v>
      </c>
      <c r="H1976" s="106"/>
      <c r="I1976" s="106"/>
      <c r="L1976" s="143">
        <v>44914</v>
      </c>
      <c r="M1976" s="106">
        <v>745.15</v>
      </c>
      <c r="N1976" s="106">
        <v>746.85</v>
      </c>
      <c r="O1976" s="106">
        <v>720.55</v>
      </c>
      <c r="P1976" s="106">
        <v>730.95</v>
      </c>
      <c r="Q1976" s="106">
        <v>745.15</v>
      </c>
      <c r="R1976">
        <v>1074203</v>
      </c>
    </row>
    <row r="1977" spans="1:18" x14ac:dyDescent="0.25">
      <c r="A1977" s="143">
        <v>44915</v>
      </c>
      <c r="B1977" s="106">
        <v>749.65</v>
      </c>
      <c r="C1977" s="106">
        <v>746.95</v>
      </c>
      <c r="D1977" s="106">
        <v>735.4</v>
      </c>
      <c r="E1977" s="106">
        <v>735.4</v>
      </c>
      <c r="F1977" s="106">
        <v>746.95</v>
      </c>
      <c r="G1977">
        <v>16393</v>
      </c>
      <c r="H1977" s="106"/>
      <c r="I1977" s="106"/>
      <c r="L1977" s="143">
        <v>44915</v>
      </c>
      <c r="M1977" s="106">
        <v>747.05</v>
      </c>
      <c r="N1977" s="106">
        <v>749.95</v>
      </c>
      <c r="O1977" s="106">
        <v>736.6</v>
      </c>
      <c r="P1977" s="106">
        <v>745.5</v>
      </c>
      <c r="Q1977" s="106">
        <v>747.05</v>
      </c>
      <c r="R1977">
        <v>733807</v>
      </c>
    </row>
    <row r="1978" spans="1:18" x14ac:dyDescent="0.25">
      <c r="A1978" s="143">
        <v>44916</v>
      </c>
      <c r="B1978" s="106">
        <v>757.1</v>
      </c>
      <c r="C1978" s="106">
        <v>721.5</v>
      </c>
      <c r="D1978" s="106">
        <v>719.85</v>
      </c>
      <c r="E1978" s="106">
        <v>735.05</v>
      </c>
      <c r="F1978" s="106">
        <v>721.5</v>
      </c>
      <c r="G1978">
        <v>18743</v>
      </c>
      <c r="H1978" s="106"/>
      <c r="I1978" s="106"/>
      <c r="L1978" s="143">
        <v>44916</v>
      </c>
      <c r="M1978" s="106">
        <v>722.55</v>
      </c>
      <c r="N1978" s="106">
        <v>757</v>
      </c>
      <c r="O1978" s="106">
        <v>720</v>
      </c>
      <c r="P1978" s="106">
        <v>747.05</v>
      </c>
      <c r="Q1978" s="106">
        <v>722.55</v>
      </c>
      <c r="R1978">
        <v>1325543</v>
      </c>
    </row>
    <row r="1979" spans="1:18" x14ac:dyDescent="0.25">
      <c r="A1979" s="143">
        <v>44917</v>
      </c>
      <c r="B1979" s="106">
        <v>730.3</v>
      </c>
      <c r="C1979" s="106">
        <v>717.2</v>
      </c>
      <c r="D1979" s="106">
        <v>712</v>
      </c>
      <c r="E1979" s="106">
        <v>722</v>
      </c>
      <c r="F1979" s="106">
        <v>717.2</v>
      </c>
      <c r="G1979">
        <v>14445</v>
      </c>
      <c r="H1979" s="106"/>
      <c r="I1979" s="106"/>
      <c r="L1979" s="143">
        <v>44917</v>
      </c>
      <c r="M1979" s="106">
        <v>716.85</v>
      </c>
      <c r="N1979" s="106">
        <v>730.7</v>
      </c>
      <c r="O1979" s="106">
        <v>711.6</v>
      </c>
      <c r="P1979" s="106">
        <v>725</v>
      </c>
      <c r="Q1979" s="106">
        <v>716.85</v>
      </c>
      <c r="R1979">
        <v>758437</v>
      </c>
    </row>
    <row r="1980" spans="1:18" x14ac:dyDescent="0.25">
      <c r="A1980" s="143">
        <v>44918</v>
      </c>
      <c r="B1980" s="106">
        <v>714.95</v>
      </c>
      <c r="C1980" s="106">
        <v>698.35</v>
      </c>
      <c r="D1980" s="106">
        <v>694.35</v>
      </c>
      <c r="E1980" s="106">
        <v>714.95</v>
      </c>
      <c r="F1980" s="106">
        <v>698.35</v>
      </c>
      <c r="G1980">
        <v>32518</v>
      </c>
      <c r="H1980" s="106"/>
      <c r="I1980" s="106"/>
      <c r="L1980" s="143">
        <v>44918</v>
      </c>
      <c r="M1980" s="106">
        <v>699.25</v>
      </c>
      <c r="N1980" s="106">
        <v>714.45</v>
      </c>
      <c r="O1980" s="106">
        <v>694.25</v>
      </c>
      <c r="P1980" s="106">
        <v>711.85</v>
      </c>
      <c r="Q1980" s="106">
        <v>699.25</v>
      </c>
      <c r="R1980">
        <v>1314808</v>
      </c>
    </row>
    <row r="1981" spans="1:18" x14ac:dyDescent="0.25">
      <c r="A1981" s="143">
        <v>44921</v>
      </c>
      <c r="B1981" s="106">
        <v>721.45</v>
      </c>
      <c r="C1981" s="106">
        <v>710.2</v>
      </c>
      <c r="D1981" s="106">
        <v>690.05</v>
      </c>
      <c r="E1981" s="106">
        <v>690.05</v>
      </c>
      <c r="F1981" s="106">
        <v>710.2</v>
      </c>
      <c r="G1981">
        <v>19390</v>
      </c>
      <c r="H1981" s="106"/>
      <c r="I1981" s="106"/>
      <c r="L1981" s="143">
        <v>44921</v>
      </c>
      <c r="M1981" s="106">
        <v>710.7</v>
      </c>
      <c r="N1981" s="106">
        <v>721.7</v>
      </c>
      <c r="O1981" s="106">
        <v>691</v>
      </c>
      <c r="P1981" s="106">
        <v>696.65</v>
      </c>
      <c r="Q1981" s="106">
        <v>710.7</v>
      </c>
      <c r="R1981">
        <v>1041754</v>
      </c>
    </row>
    <row r="1982" spans="1:18" x14ac:dyDescent="0.25">
      <c r="A1982" s="143">
        <v>44922</v>
      </c>
      <c r="B1982" s="106">
        <v>718.45</v>
      </c>
      <c r="C1982" s="106">
        <v>707.3</v>
      </c>
      <c r="D1982" s="106">
        <v>701.4</v>
      </c>
      <c r="E1982" s="106">
        <v>710.55</v>
      </c>
      <c r="F1982" s="106">
        <v>707.3</v>
      </c>
      <c r="G1982">
        <v>26628</v>
      </c>
      <c r="H1982" s="106"/>
      <c r="I1982" s="106"/>
      <c r="L1982" s="143">
        <v>44922</v>
      </c>
      <c r="M1982" s="106">
        <v>707.1</v>
      </c>
      <c r="N1982" s="106">
        <v>719.45</v>
      </c>
      <c r="O1982" s="106">
        <v>701.15</v>
      </c>
      <c r="P1982" s="106">
        <v>714.3</v>
      </c>
      <c r="Q1982" s="106">
        <v>707.1</v>
      </c>
      <c r="R1982">
        <v>1047240</v>
      </c>
    </row>
    <row r="1983" spans="1:18" x14ac:dyDescent="0.25">
      <c r="A1983" s="143">
        <v>44923</v>
      </c>
      <c r="B1983" s="106">
        <v>728.4</v>
      </c>
      <c r="C1983" s="106">
        <v>726.15</v>
      </c>
      <c r="D1983" s="106">
        <v>702.05</v>
      </c>
      <c r="E1983" s="106">
        <v>702.05</v>
      </c>
      <c r="F1983" s="106">
        <v>726.15</v>
      </c>
      <c r="G1983">
        <v>26507</v>
      </c>
      <c r="H1983" s="106"/>
      <c r="I1983" s="106"/>
      <c r="L1983" s="143">
        <v>44923</v>
      </c>
      <c r="M1983" s="106">
        <v>725.8</v>
      </c>
      <c r="N1983" s="106">
        <v>728.65</v>
      </c>
      <c r="O1983" s="106">
        <v>705</v>
      </c>
      <c r="P1983" s="106">
        <v>708.8</v>
      </c>
      <c r="Q1983" s="106">
        <v>725.8</v>
      </c>
      <c r="R1983">
        <v>1359579</v>
      </c>
    </row>
    <row r="1984" spans="1:18" x14ac:dyDescent="0.25">
      <c r="A1984" s="143">
        <v>44924</v>
      </c>
      <c r="B1984" s="106">
        <v>726</v>
      </c>
      <c r="C1984" s="106">
        <v>715.4</v>
      </c>
      <c r="D1984" s="106">
        <v>711.9</v>
      </c>
      <c r="E1984" s="106">
        <v>726</v>
      </c>
      <c r="F1984" s="106">
        <v>715.4</v>
      </c>
      <c r="G1984">
        <v>16352</v>
      </c>
      <c r="H1984" s="106"/>
      <c r="I1984" s="106"/>
      <c r="L1984" s="143">
        <v>44924</v>
      </c>
      <c r="M1984" s="106">
        <v>715</v>
      </c>
      <c r="N1984" s="106">
        <v>721.75</v>
      </c>
      <c r="O1984" s="106">
        <v>712</v>
      </c>
      <c r="P1984" s="106">
        <v>720.2</v>
      </c>
      <c r="Q1984" s="106">
        <v>715</v>
      </c>
      <c r="R1984">
        <v>1992059</v>
      </c>
    </row>
    <row r="1985" spans="1:18" x14ac:dyDescent="0.25">
      <c r="A1985" s="143">
        <v>44925</v>
      </c>
      <c r="B1985" s="106">
        <v>728.35</v>
      </c>
      <c r="C1985" s="106">
        <v>723.05</v>
      </c>
      <c r="D1985" s="106">
        <v>718</v>
      </c>
      <c r="E1985" s="106">
        <v>718</v>
      </c>
      <c r="F1985" s="106">
        <v>723.05</v>
      </c>
      <c r="G1985">
        <v>22938</v>
      </c>
      <c r="H1985" s="106"/>
      <c r="I1985" s="106"/>
      <c r="L1985" s="143">
        <v>44925</v>
      </c>
      <c r="M1985" s="106">
        <v>722.9</v>
      </c>
      <c r="N1985" s="106">
        <v>728.9</v>
      </c>
      <c r="O1985" s="106">
        <v>718.1</v>
      </c>
      <c r="P1985" s="106">
        <v>720</v>
      </c>
      <c r="Q1985" s="106">
        <v>722.9</v>
      </c>
      <c r="R1985">
        <v>816670</v>
      </c>
    </row>
    <row r="1986" spans="1:18" x14ac:dyDescent="0.25">
      <c r="A1986" s="143">
        <v>44928</v>
      </c>
      <c r="B1986" s="106">
        <v>737</v>
      </c>
      <c r="C1986" s="106">
        <v>731.95</v>
      </c>
      <c r="D1986" s="106">
        <v>723.05</v>
      </c>
      <c r="E1986" s="106">
        <v>723.05</v>
      </c>
      <c r="F1986" s="106">
        <v>731.95</v>
      </c>
      <c r="G1986">
        <v>31398</v>
      </c>
      <c r="H1986" s="106"/>
      <c r="I1986" s="106"/>
      <c r="L1986" s="143">
        <v>44928</v>
      </c>
      <c r="M1986" s="106">
        <v>731.85</v>
      </c>
      <c r="N1986" s="106">
        <v>737</v>
      </c>
      <c r="O1986" s="106">
        <v>724.55</v>
      </c>
      <c r="P1986" s="106">
        <v>727.8</v>
      </c>
      <c r="Q1986" s="106">
        <v>731.85</v>
      </c>
      <c r="R1986">
        <v>884199</v>
      </c>
    </row>
    <row r="1987" spans="1:18" x14ac:dyDescent="0.25">
      <c r="A1987" s="143">
        <v>44929</v>
      </c>
      <c r="B1987" s="106">
        <v>735.05</v>
      </c>
      <c r="C1987" s="106">
        <v>728.4</v>
      </c>
      <c r="D1987" s="106">
        <v>724.4</v>
      </c>
      <c r="E1987" s="106">
        <v>731.95</v>
      </c>
      <c r="F1987" s="106">
        <v>728.4</v>
      </c>
      <c r="G1987">
        <v>14223</v>
      </c>
      <c r="H1987" s="106"/>
      <c r="I1987" s="106"/>
      <c r="L1987" s="143">
        <v>44929</v>
      </c>
      <c r="M1987" s="106">
        <v>728.5</v>
      </c>
      <c r="N1987" s="106">
        <v>736</v>
      </c>
      <c r="O1987" s="106">
        <v>724.6</v>
      </c>
      <c r="P1987" s="106">
        <v>732.9</v>
      </c>
      <c r="Q1987" s="106">
        <v>728.5</v>
      </c>
      <c r="R1987">
        <v>572618</v>
      </c>
    </row>
    <row r="1988" spans="1:18" x14ac:dyDescent="0.25">
      <c r="A1988" s="143">
        <v>44930</v>
      </c>
      <c r="B1988" s="106">
        <v>738.05</v>
      </c>
      <c r="C1988" s="106">
        <v>718.3</v>
      </c>
      <c r="D1988" s="106">
        <v>716</v>
      </c>
      <c r="E1988" s="106">
        <v>725.3</v>
      </c>
      <c r="F1988" s="106">
        <v>718.3</v>
      </c>
      <c r="G1988">
        <v>20468</v>
      </c>
      <c r="H1988" s="106"/>
      <c r="I1988" s="106"/>
      <c r="L1988" s="143">
        <v>44930</v>
      </c>
      <c r="M1988" s="106">
        <v>718.5</v>
      </c>
      <c r="N1988" s="106">
        <v>737.75</v>
      </c>
      <c r="O1988" s="106">
        <v>715.65</v>
      </c>
      <c r="P1988" s="106">
        <v>728.5</v>
      </c>
      <c r="Q1988" s="106">
        <v>718.5</v>
      </c>
      <c r="R1988">
        <v>1002261</v>
      </c>
    </row>
    <row r="1989" spans="1:18" x14ac:dyDescent="0.25">
      <c r="A1989" s="143">
        <v>44931</v>
      </c>
      <c r="B1989" s="106">
        <v>720.65</v>
      </c>
      <c r="C1989" s="106">
        <v>683.55</v>
      </c>
      <c r="D1989" s="106">
        <v>680</v>
      </c>
      <c r="E1989" s="106">
        <v>716.15</v>
      </c>
      <c r="F1989" s="106">
        <v>683.55</v>
      </c>
      <c r="G1989">
        <v>51402</v>
      </c>
      <c r="H1989" s="106"/>
      <c r="I1989" s="106"/>
      <c r="L1989" s="143">
        <v>44931</v>
      </c>
      <c r="M1989" s="106">
        <v>683.25</v>
      </c>
      <c r="N1989" s="106">
        <v>721.3</v>
      </c>
      <c r="O1989" s="106">
        <v>680</v>
      </c>
      <c r="P1989" s="106">
        <v>720.95</v>
      </c>
      <c r="Q1989" s="106">
        <v>683.25</v>
      </c>
      <c r="R1989">
        <v>3139861</v>
      </c>
    </row>
    <row r="1990" spans="1:18" x14ac:dyDescent="0.25">
      <c r="A1990" s="143">
        <v>44932</v>
      </c>
      <c r="B1990" s="106">
        <v>693.95</v>
      </c>
      <c r="C1990" s="106">
        <v>666.95</v>
      </c>
      <c r="D1990" s="106">
        <v>658</v>
      </c>
      <c r="E1990" s="106">
        <v>687</v>
      </c>
      <c r="F1990" s="106">
        <v>666.95</v>
      </c>
      <c r="G1990">
        <v>113440</v>
      </c>
      <c r="H1990" s="106"/>
      <c r="I1990" s="106"/>
      <c r="L1990" s="143">
        <v>44932</v>
      </c>
      <c r="M1990" s="106">
        <v>667.9</v>
      </c>
      <c r="N1990" s="106">
        <v>693.85</v>
      </c>
      <c r="O1990" s="106">
        <v>658</v>
      </c>
      <c r="P1990" s="106">
        <v>683.45</v>
      </c>
      <c r="Q1990" s="106">
        <v>667.9</v>
      </c>
      <c r="R1990">
        <v>4278558</v>
      </c>
    </row>
    <row r="1991" spans="1:18" x14ac:dyDescent="0.25">
      <c r="A1991" s="143">
        <v>44935</v>
      </c>
      <c r="B1991" s="106">
        <v>685.8</v>
      </c>
      <c r="C1991" s="106">
        <v>679.8</v>
      </c>
      <c r="D1991" s="106">
        <v>658.35</v>
      </c>
      <c r="E1991" s="106">
        <v>670.85</v>
      </c>
      <c r="F1991" s="106">
        <v>679.8</v>
      </c>
      <c r="G1991">
        <v>64004</v>
      </c>
      <c r="H1991" s="106"/>
      <c r="I1991" s="106"/>
      <c r="L1991" s="143">
        <v>44935</v>
      </c>
      <c r="M1991" s="106">
        <v>679.2</v>
      </c>
      <c r="N1991" s="106">
        <v>685.95</v>
      </c>
      <c r="O1991" s="106">
        <v>658.45</v>
      </c>
      <c r="P1991" s="106">
        <v>667</v>
      </c>
      <c r="Q1991" s="106">
        <v>679.2</v>
      </c>
      <c r="R1991">
        <v>3902568</v>
      </c>
    </row>
    <row r="1992" spans="1:18" x14ac:dyDescent="0.25">
      <c r="A1992" s="143">
        <v>44936</v>
      </c>
      <c r="B1992" s="106">
        <v>681.85</v>
      </c>
      <c r="C1992" s="106">
        <v>668.7</v>
      </c>
      <c r="D1992" s="106">
        <v>663.55</v>
      </c>
      <c r="E1992" s="106">
        <v>676.05</v>
      </c>
      <c r="F1992" s="106">
        <v>668.7</v>
      </c>
      <c r="G1992">
        <v>36293</v>
      </c>
      <c r="H1992" s="106"/>
      <c r="I1992" s="106"/>
      <c r="L1992" s="143">
        <v>44936</v>
      </c>
      <c r="M1992" s="106">
        <v>669</v>
      </c>
      <c r="N1992" s="106">
        <v>682.9</v>
      </c>
      <c r="O1992" s="106">
        <v>663.35</v>
      </c>
      <c r="P1992" s="106">
        <v>681.8</v>
      </c>
      <c r="Q1992" s="106">
        <v>669</v>
      </c>
      <c r="R1992">
        <v>1673245</v>
      </c>
    </row>
    <row r="1993" spans="1:18" x14ac:dyDescent="0.25">
      <c r="A1993" s="143">
        <v>44937</v>
      </c>
      <c r="B1993" s="106">
        <v>678.95</v>
      </c>
      <c r="C1993" s="106">
        <v>666.35</v>
      </c>
      <c r="D1993" s="106">
        <v>659.1</v>
      </c>
      <c r="E1993" s="106">
        <v>678.95</v>
      </c>
      <c r="F1993" s="106">
        <v>666.35</v>
      </c>
      <c r="G1993">
        <v>23192</v>
      </c>
      <c r="H1993" s="106"/>
      <c r="I1993" s="106"/>
      <c r="L1993" s="143">
        <v>44937</v>
      </c>
      <c r="M1993" s="106">
        <v>665.95</v>
      </c>
      <c r="N1993" s="106">
        <v>673.15</v>
      </c>
      <c r="O1993" s="106">
        <v>658.95</v>
      </c>
      <c r="P1993" s="106">
        <v>672</v>
      </c>
      <c r="Q1993" s="106">
        <v>665.95</v>
      </c>
      <c r="R1993">
        <v>1779331</v>
      </c>
    </row>
    <row r="1994" spans="1:18" x14ac:dyDescent="0.25">
      <c r="A1994" s="143">
        <v>44938</v>
      </c>
      <c r="B1994" s="106">
        <v>687.75</v>
      </c>
      <c r="C1994" s="106">
        <v>685.8</v>
      </c>
      <c r="D1994" s="106">
        <v>667.3</v>
      </c>
      <c r="E1994" s="106">
        <v>667.3</v>
      </c>
      <c r="F1994" s="106">
        <v>685.8</v>
      </c>
      <c r="G1994">
        <v>115095</v>
      </c>
      <c r="H1994" s="106"/>
      <c r="I1994" s="106"/>
      <c r="L1994" s="143">
        <v>44938</v>
      </c>
      <c r="M1994" s="106">
        <v>685.6</v>
      </c>
      <c r="N1994" s="106">
        <v>687.95</v>
      </c>
      <c r="O1994" s="106">
        <v>668</v>
      </c>
      <c r="P1994" s="106">
        <v>669.85</v>
      </c>
      <c r="Q1994" s="106">
        <v>685.6</v>
      </c>
      <c r="R1994">
        <v>3395939</v>
      </c>
    </row>
    <row r="1995" spans="1:18" x14ac:dyDescent="0.25">
      <c r="A1995" s="143">
        <v>44939</v>
      </c>
      <c r="B1995" s="106">
        <v>713.25</v>
      </c>
      <c r="C1995" s="106">
        <v>711.55</v>
      </c>
      <c r="D1995" s="106">
        <v>685.4</v>
      </c>
      <c r="E1995" s="106">
        <v>686.2</v>
      </c>
      <c r="F1995" s="106">
        <v>711.55</v>
      </c>
      <c r="G1995">
        <v>103734</v>
      </c>
      <c r="H1995" s="106"/>
      <c r="I1995" s="106"/>
      <c r="L1995" s="143">
        <v>44939</v>
      </c>
      <c r="M1995" s="106">
        <v>711.7</v>
      </c>
      <c r="N1995" s="106">
        <v>714.95</v>
      </c>
      <c r="O1995" s="106">
        <v>685.1</v>
      </c>
      <c r="P1995" s="106">
        <v>687</v>
      </c>
      <c r="Q1995" s="106">
        <v>711.7</v>
      </c>
      <c r="R1995">
        <v>3136135</v>
      </c>
    </row>
    <row r="1996" spans="1:18" x14ac:dyDescent="0.25">
      <c r="A1996" s="143">
        <v>44942</v>
      </c>
      <c r="B1996" s="106">
        <v>718</v>
      </c>
      <c r="C1996" s="106">
        <v>690.5</v>
      </c>
      <c r="D1996" s="106">
        <v>688.65</v>
      </c>
      <c r="E1996" s="106">
        <v>713</v>
      </c>
      <c r="F1996" s="106">
        <v>690.5</v>
      </c>
      <c r="G1996">
        <v>34906</v>
      </c>
      <c r="H1996" s="106"/>
      <c r="I1996" s="106"/>
      <c r="L1996" s="143">
        <v>44942</v>
      </c>
      <c r="M1996" s="106">
        <v>691.3</v>
      </c>
      <c r="N1996" s="106">
        <v>717.9</v>
      </c>
      <c r="O1996" s="106">
        <v>688.3</v>
      </c>
      <c r="P1996" s="106">
        <v>712</v>
      </c>
      <c r="Q1996" s="106">
        <v>691.3</v>
      </c>
      <c r="R1996">
        <v>2386105</v>
      </c>
    </row>
    <row r="1997" spans="1:18" x14ac:dyDescent="0.25">
      <c r="A1997" s="143">
        <v>44943</v>
      </c>
      <c r="B1997" s="106">
        <v>694.45</v>
      </c>
      <c r="C1997" s="106">
        <v>681.25</v>
      </c>
      <c r="D1997" s="106">
        <v>675.6</v>
      </c>
      <c r="E1997" s="106">
        <v>693.05</v>
      </c>
      <c r="F1997" s="106">
        <v>681.25</v>
      </c>
      <c r="G1997">
        <v>35296</v>
      </c>
      <c r="H1997" s="106"/>
      <c r="I1997" s="106"/>
      <c r="L1997" s="143">
        <v>44943</v>
      </c>
      <c r="M1997" s="106">
        <v>681.4</v>
      </c>
      <c r="N1997" s="106">
        <v>695</v>
      </c>
      <c r="O1997" s="106">
        <v>675.3</v>
      </c>
      <c r="P1997" s="106">
        <v>693.3</v>
      </c>
      <c r="Q1997" s="106">
        <v>681.4</v>
      </c>
      <c r="R1997">
        <v>1746787</v>
      </c>
    </row>
    <row r="1998" spans="1:18" x14ac:dyDescent="0.25">
      <c r="A1998" s="143">
        <v>44944</v>
      </c>
      <c r="B1998" s="106">
        <v>693</v>
      </c>
      <c r="C1998" s="106">
        <v>691.8</v>
      </c>
      <c r="D1998" s="106">
        <v>681.25</v>
      </c>
      <c r="E1998" s="106">
        <v>683</v>
      </c>
      <c r="F1998" s="106">
        <v>691.8</v>
      </c>
      <c r="G1998">
        <v>16937</v>
      </c>
      <c r="H1998" s="106"/>
      <c r="I1998" s="106"/>
      <c r="L1998" s="143">
        <v>44944</v>
      </c>
      <c r="M1998" s="106">
        <v>692.1</v>
      </c>
      <c r="N1998" s="106">
        <v>694.9</v>
      </c>
      <c r="O1998" s="106">
        <v>680.05</v>
      </c>
      <c r="P1998" s="106">
        <v>683.3</v>
      </c>
      <c r="Q1998" s="106">
        <v>692.1</v>
      </c>
      <c r="R1998">
        <v>856393</v>
      </c>
    </row>
    <row r="1999" spans="1:18" x14ac:dyDescent="0.25">
      <c r="A1999" s="143">
        <v>44945</v>
      </c>
      <c r="B1999" s="106">
        <v>703.3</v>
      </c>
      <c r="C1999" s="106">
        <v>701.3</v>
      </c>
      <c r="D1999" s="106">
        <v>687.5</v>
      </c>
      <c r="E1999" s="106">
        <v>687.5</v>
      </c>
      <c r="F1999" s="106">
        <v>701.3</v>
      </c>
      <c r="G1999">
        <v>22899</v>
      </c>
      <c r="H1999" s="106"/>
      <c r="I1999" s="106"/>
      <c r="L1999" s="143">
        <v>44945</v>
      </c>
      <c r="M1999" s="106">
        <v>701.25</v>
      </c>
      <c r="N1999" s="106">
        <v>703.8</v>
      </c>
      <c r="O1999" s="106">
        <v>689.15</v>
      </c>
      <c r="P1999" s="106">
        <v>690.95</v>
      </c>
      <c r="Q1999" s="106">
        <v>701.25</v>
      </c>
      <c r="R1999">
        <v>1278954</v>
      </c>
    </row>
    <row r="2000" spans="1:18" x14ac:dyDescent="0.25">
      <c r="A2000" s="143">
        <v>44946</v>
      </c>
      <c r="B2000" s="106">
        <v>711</v>
      </c>
      <c r="C2000" s="106">
        <v>706.3</v>
      </c>
      <c r="D2000" s="106">
        <v>700.3</v>
      </c>
      <c r="E2000" s="106">
        <v>700.3</v>
      </c>
      <c r="F2000" s="106">
        <v>706.3</v>
      </c>
      <c r="G2000">
        <v>29680</v>
      </c>
      <c r="H2000" s="106"/>
      <c r="I2000" s="106"/>
      <c r="L2000" s="143">
        <v>44946</v>
      </c>
      <c r="M2000" s="106">
        <v>706.25</v>
      </c>
      <c r="N2000" s="106">
        <v>711.35</v>
      </c>
      <c r="O2000" s="106">
        <v>701.25</v>
      </c>
      <c r="P2000" s="106">
        <v>705.85</v>
      </c>
      <c r="Q2000" s="106">
        <v>706.25</v>
      </c>
      <c r="R2000">
        <v>964737</v>
      </c>
    </row>
    <row r="2001" spans="1:18" x14ac:dyDescent="0.25">
      <c r="A2001" s="143">
        <v>44949</v>
      </c>
      <c r="B2001" s="106">
        <v>717.05</v>
      </c>
      <c r="C2001" s="106">
        <v>712.5</v>
      </c>
      <c r="D2001" s="106">
        <v>703.05</v>
      </c>
      <c r="E2001" s="106">
        <v>703.05</v>
      </c>
      <c r="F2001" s="106">
        <v>712.5</v>
      </c>
      <c r="G2001">
        <v>32984</v>
      </c>
      <c r="H2001" s="106"/>
      <c r="I2001" s="106"/>
      <c r="L2001" s="143">
        <v>44949</v>
      </c>
      <c r="M2001" s="106">
        <v>712.8</v>
      </c>
      <c r="N2001" s="106">
        <v>717.8</v>
      </c>
      <c r="O2001" s="106">
        <v>706.7</v>
      </c>
      <c r="P2001" s="106">
        <v>706.7</v>
      </c>
      <c r="Q2001" s="106">
        <v>712.8</v>
      </c>
      <c r="R2001">
        <v>1252665</v>
      </c>
    </row>
    <row r="2002" spans="1:18" x14ac:dyDescent="0.25">
      <c r="A2002" s="143">
        <v>44950</v>
      </c>
      <c r="B2002" s="106">
        <v>728.35</v>
      </c>
      <c r="C2002" s="106">
        <v>724.7</v>
      </c>
      <c r="D2002" s="106">
        <v>705.05</v>
      </c>
      <c r="E2002" s="106">
        <v>705.05</v>
      </c>
      <c r="F2002" s="106">
        <v>724.7</v>
      </c>
      <c r="G2002">
        <v>24385</v>
      </c>
      <c r="H2002" s="106"/>
      <c r="I2002" s="106"/>
      <c r="L2002" s="143">
        <v>44950</v>
      </c>
      <c r="M2002" s="106">
        <v>725.5</v>
      </c>
      <c r="N2002" s="106">
        <v>729.05</v>
      </c>
      <c r="O2002" s="106">
        <v>711</v>
      </c>
      <c r="P2002" s="106">
        <v>711</v>
      </c>
      <c r="Q2002" s="106">
        <v>725.5</v>
      </c>
      <c r="R2002">
        <v>1287543</v>
      </c>
    </row>
    <row r="2003" spans="1:18" x14ac:dyDescent="0.25">
      <c r="A2003" s="143">
        <v>44951</v>
      </c>
      <c r="B2003" s="106">
        <v>726.95</v>
      </c>
      <c r="C2003" s="106">
        <v>717.95</v>
      </c>
      <c r="D2003" s="106">
        <v>713.45</v>
      </c>
      <c r="E2003" s="106">
        <v>726.95</v>
      </c>
      <c r="F2003" s="106">
        <v>717.95</v>
      </c>
      <c r="G2003">
        <v>14497</v>
      </c>
      <c r="H2003" s="106"/>
      <c r="I2003" s="106"/>
      <c r="L2003" s="143">
        <v>44951</v>
      </c>
      <c r="M2003" s="106">
        <v>718.4</v>
      </c>
      <c r="N2003" s="106">
        <v>726.8</v>
      </c>
      <c r="O2003" s="106">
        <v>713.15</v>
      </c>
      <c r="P2003" s="106">
        <v>724.05</v>
      </c>
      <c r="Q2003" s="106">
        <v>718.4</v>
      </c>
      <c r="R2003">
        <v>478845</v>
      </c>
    </row>
    <row r="2004" spans="1:18" x14ac:dyDescent="0.25">
      <c r="A2004" s="143">
        <v>44953</v>
      </c>
      <c r="B2004" s="106">
        <v>720.55</v>
      </c>
      <c r="C2004" s="106">
        <v>710.15</v>
      </c>
      <c r="D2004" s="106">
        <v>696.95</v>
      </c>
      <c r="E2004" s="106">
        <v>717.95</v>
      </c>
      <c r="F2004" s="106">
        <v>710.15</v>
      </c>
      <c r="G2004">
        <v>42563</v>
      </c>
      <c r="H2004" s="106"/>
      <c r="I2004" s="106"/>
      <c r="L2004" s="143">
        <v>44953</v>
      </c>
      <c r="M2004" s="106">
        <v>709.9</v>
      </c>
      <c r="N2004" s="106">
        <v>720.95</v>
      </c>
      <c r="O2004" s="106">
        <v>696.05</v>
      </c>
      <c r="P2004" s="106">
        <v>718.3</v>
      </c>
      <c r="Q2004" s="106">
        <v>709.9</v>
      </c>
      <c r="R2004">
        <v>1807271</v>
      </c>
    </row>
    <row r="2005" spans="1:18" x14ac:dyDescent="0.25">
      <c r="A2005" s="143">
        <v>44956</v>
      </c>
      <c r="B2005" s="106">
        <v>716.15</v>
      </c>
      <c r="C2005" s="106">
        <v>710.9</v>
      </c>
      <c r="D2005" s="106">
        <v>696.55</v>
      </c>
      <c r="E2005" s="106">
        <v>702.2</v>
      </c>
      <c r="F2005" s="106">
        <v>710.9</v>
      </c>
      <c r="G2005">
        <v>535823</v>
      </c>
      <c r="H2005" s="106"/>
      <c r="I2005" s="106"/>
      <c r="L2005" s="143">
        <v>44956</v>
      </c>
      <c r="M2005" s="106">
        <v>710.75</v>
      </c>
      <c r="N2005" s="106">
        <v>716.1</v>
      </c>
      <c r="O2005" s="106">
        <v>696.75</v>
      </c>
      <c r="P2005" s="106">
        <v>712.4</v>
      </c>
      <c r="Q2005" s="106">
        <v>710.75</v>
      </c>
      <c r="R2005">
        <v>2312104</v>
      </c>
    </row>
    <row r="2006" spans="1:18" x14ac:dyDescent="0.25">
      <c r="A2006" s="143">
        <v>44957</v>
      </c>
      <c r="B2006" s="106">
        <v>715</v>
      </c>
      <c r="C2006" s="106">
        <v>707.4</v>
      </c>
      <c r="D2006" s="106">
        <v>700.9</v>
      </c>
      <c r="E2006" s="106">
        <v>712.05</v>
      </c>
      <c r="F2006" s="106">
        <v>707.4</v>
      </c>
      <c r="G2006">
        <v>25240</v>
      </c>
      <c r="H2006" s="106"/>
      <c r="I2006" s="106"/>
      <c r="L2006" s="143">
        <v>44957</v>
      </c>
      <c r="M2006" s="106">
        <v>706.95</v>
      </c>
      <c r="N2006" s="106">
        <v>715.05</v>
      </c>
      <c r="O2006" s="106">
        <v>701.1</v>
      </c>
      <c r="P2006" s="106">
        <v>715</v>
      </c>
      <c r="Q2006" s="106">
        <v>706.95</v>
      </c>
      <c r="R2006">
        <v>2021320</v>
      </c>
    </row>
    <row r="2007" spans="1:18" x14ac:dyDescent="0.25">
      <c r="A2007" s="143">
        <v>44958</v>
      </c>
      <c r="B2007" s="106">
        <v>773.85</v>
      </c>
      <c r="C2007" s="106">
        <v>749.8</v>
      </c>
      <c r="D2007" s="106">
        <v>725</v>
      </c>
      <c r="E2007" s="106">
        <v>725</v>
      </c>
      <c r="F2007" s="106">
        <v>749.8</v>
      </c>
      <c r="G2007">
        <v>298240</v>
      </c>
      <c r="H2007" s="106"/>
      <c r="I2007" s="106"/>
      <c r="L2007" s="143">
        <v>44958</v>
      </c>
      <c r="M2007" s="106">
        <v>749.8</v>
      </c>
      <c r="N2007" s="106">
        <v>774.3</v>
      </c>
      <c r="O2007" s="106">
        <v>731.1</v>
      </c>
      <c r="P2007" s="106">
        <v>731.1</v>
      </c>
      <c r="Q2007" s="106">
        <v>749.8</v>
      </c>
      <c r="R2007">
        <v>10431675</v>
      </c>
    </row>
    <row r="2008" spans="1:18" x14ac:dyDescent="0.25">
      <c r="A2008" s="143">
        <v>44959</v>
      </c>
      <c r="B2008" s="106">
        <v>777.25</v>
      </c>
      <c r="C2008" s="106">
        <v>774.85</v>
      </c>
      <c r="D2008" s="106">
        <v>742</v>
      </c>
      <c r="E2008" s="106">
        <v>749.55</v>
      </c>
      <c r="F2008" s="106">
        <v>774.85</v>
      </c>
      <c r="G2008">
        <v>70687</v>
      </c>
      <c r="H2008" s="106"/>
      <c r="I2008" s="106"/>
      <c r="L2008" s="143">
        <v>44959</v>
      </c>
      <c r="M2008" s="106">
        <v>775</v>
      </c>
      <c r="N2008" s="106">
        <v>780</v>
      </c>
      <c r="O2008" s="106">
        <v>741.8</v>
      </c>
      <c r="P2008" s="106">
        <v>747</v>
      </c>
      <c r="Q2008" s="106">
        <v>775</v>
      </c>
      <c r="R2008">
        <v>3157794</v>
      </c>
    </row>
    <row r="2009" spans="1:18" x14ac:dyDescent="0.25">
      <c r="A2009" s="143">
        <v>44960</v>
      </c>
      <c r="B2009" s="106">
        <v>784</v>
      </c>
      <c r="C2009" s="106">
        <v>780.1</v>
      </c>
      <c r="D2009" s="106">
        <v>763.85</v>
      </c>
      <c r="E2009" s="106">
        <v>779.95</v>
      </c>
      <c r="F2009" s="106">
        <v>780.1</v>
      </c>
      <c r="G2009">
        <v>32816</v>
      </c>
      <c r="H2009" s="106"/>
      <c r="I2009" s="106"/>
      <c r="L2009" s="143">
        <v>44960</v>
      </c>
      <c r="M2009" s="106">
        <v>781.15</v>
      </c>
      <c r="N2009" s="106">
        <v>785</v>
      </c>
      <c r="O2009" s="106">
        <v>764.05</v>
      </c>
      <c r="P2009" s="106">
        <v>776</v>
      </c>
      <c r="Q2009" s="106">
        <v>781.15</v>
      </c>
      <c r="R2009">
        <v>1264712</v>
      </c>
    </row>
    <row r="2010" spans="1:18" x14ac:dyDescent="0.25">
      <c r="A2010" s="143">
        <v>44963</v>
      </c>
      <c r="B2010" s="106">
        <v>783</v>
      </c>
      <c r="C2010" s="106">
        <v>781.35</v>
      </c>
      <c r="D2010" s="106">
        <v>765</v>
      </c>
      <c r="E2010" s="106">
        <v>779.85</v>
      </c>
      <c r="F2010" s="106">
        <v>781.35</v>
      </c>
      <c r="G2010">
        <v>31537</v>
      </c>
      <c r="H2010" s="106"/>
      <c r="I2010" s="106"/>
      <c r="L2010" s="143">
        <v>44963</v>
      </c>
      <c r="M2010" s="106">
        <v>781.1</v>
      </c>
      <c r="N2010" s="106">
        <v>784</v>
      </c>
      <c r="O2010" s="106">
        <v>764.55</v>
      </c>
      <c r="P2010" s="106">
        <v>777.55</v>
      </c>
      <c r="Q2010" s="106">
        <v>781.1</v>
      </c>
      <c r="R2010">
        <v>1370110</v>
      </c>
    </row>
    <row r="2011" spans="1:18" x14ac:dyDescent="0.25">
      <c r="A2011" s="143">
        <v>44964</v>
      </c>
      <c r="B2011" s="106">
        <v>788.7</v>
      </c>
      <c r="C2011" s="106">
        <v>781.1</v>
      </c>
      <c r="D2011" s="106">
        <v>771.1</v>
      </c>
      <c r="E2011" s="106">
        <v>787.1</v>
      </c>
      <c r="F2011" s="106">
        <v>781.1</v>
      </c>
      <c r="G2011">
        <v>35850</v>
      </c>
      <c r="H2011" s="106"/>
      <c r="I2011" s="106"/>
      <c r="L2011" s="143">
        <v>44964</v>
      </c>
      <c r="M2011" s="106">
        <v>781.4</v>
      </c>
      <c r="N2011" s="106">
        <v>788.5</v>
      </c>
      <c r="O2011" s="106">
        <v>770.8</v>
      </c>
      <c r="P2011" s="106">
        <v>781.1</v>
      </c>
      <c r="Q2011" s="106">
        <v>781.4</v>
      </c>
      <c r="R2011">
        <v>1090651</v>
      </c>
    </row>
    <row r="2012" spans="1:18" x14ac:dyDescent="0.25">
      <c r="A2012" s="143">
        <v>44965</v>
      </c>
      <c r="B2012" s="106">
        <v>800.1</v>
      </c>
      <c r="C2012" s="106">
        <v>796.45</v>
      </c>
      <c r="D2012" s="106">
        <v>778.55</v>
      </c>
      <c r="E2012" s="106">
        <v>780</v>
      </c>
      <c r="F2012" s="106">
        <v>796.45</v>
      </c>
      <c r="G2012">
        <v>49123</v>
      </c>
      <c r="H2012" s="106"/>
      <c r="I2012" s="106"/>
      <c r="L2012" s="143">
        <v>44965</v>
      </c>
      <c r="M2012" s="106">
        <v>796.05</v>
      </c>
      <c r="N2012" s="106">
        <v>800.4</v>
      </c>
      <c r="O2012" s="106">
        <v>778.55</v>
      </c>
      <c r="P2012" s="106">
        <v>782.45</v>
      </c>
      <c r="Q2012" s="106">
        <v>796.05</v>
      </c>
      <c r="R2012">
        <v>1183130</v>
      </c>
    </row>
    <row r="2013" spans="1:18" x14ac:dyDescent="0.25">
      <c r="A2013" s="143">
        <v>44966</v>
      </c>
      <c r="B2013" s="106">
        <v>803</v>
      </c>
      <c r="C2013" s="106">
        <v>795.6</v>
      </c>
      <c r="D2013" s="106">
        <v>790.6</v>
      </c>
      <c r="E2013" s="106">
        <v>792.3</v>
      </c>
      <c r="F2013" s="106">
        <v>795.6</v>
      </c>
      <c r="G2013">
        <v>19199</v>
      </c>
      <c r="H2013" s="106"/>
      <c r="I2013" s="106"/>
      <c r="L2013" s="143">
        <v>44966</v>
      </c>
      <c r="M2013" s="106">
        <v>796.1</v>
      </c>
      <c r="N2013" s="106">
        <v>803.1</v>
      </c>
      <c r="O2013" s="106">
        <v>791</v>
      </c>
      <c r="P2013" s="106">
        <v>796</v>
      </c>
      <c r="Q2013" s="106">
        <v>796.1</v>
      </c>
      <c r="R2013">
        <v>742433</v>
      </c>
    </row>
    <row r="2014" spans="1:18" x14ac:dyDescent="0.25">
      <c r="A2014" s="143">
        <v>44967</v>
      </c>
      <c r="B2014" s="106">
        <v>797.55</v>
      </c>
      <c r="C2014" s="106">
        <v>777.85</v>
      </c>
      <c r="D2014" s="106">
        <v>776</v>
      </c>
      <c r="E2014" s="106">
        <v>789.05</v>
      </c>
      <c r="F2014" s="106">
        <v>777.85</v>
      </c>
      <c r="G2014">
        <v>11289</v>
      </c>
      <c r="H2014" s="106"/>
      <c r="I2014" s="106"/>
      <c r="L2014" s="143">
        <v>44967</v>
      </c>
      <c r="M2014" s="106">
        <v>777.55</v>
      </c>
      <c r="N2014" s="106">
        <v>797.75</v>
      </c>
      <c r="O2014" s="106">
        <v>775</v>
      </c>
      <c r="P2014" s="106">
        <v>794</v>
      </c>
      <c r="Q2014" s="106">
        <v>777.55</v>
      </c>
      <c r="R2014">
        <v>856228</v>
      </c>
    </row>
    <row r="2015" spans="1:18" x14ac:dyDescent="0.25">
      <c r="A2015" s="143">
        <v>44970</v>
      </c>
      <c r="B2015" s="106">
        <v>780.6</v>
      </c>
      <c r="C2015" s="106">
        <v>771.1</v>
      </c>
      <c r="D2015" s="106">
        <v>768.6</v>
      </c>
      <c r="E2015" s="106">
        <v>777.85</v>
      </c>
      <c r="F2015" s="106">
        <v>771.1</v>
      </c>
      <c r="G2015">
        <v>41501</v>
      </c>
      <c r="H2015" s="106"/>
      <c r="I2015" s="106"/>
      <c r="L2015" s="143">
        <v>44970</v>
      </c>
      <c r="M2015" s="106">
        <v>771.2</v>
      </c>
      <c r="N2015" s="106">
        <v>780.85</v>
      </c>
      <c r="O2015" s="106">
        <v>768.05</v>
      </c>
      <c r="P2015" s="106">
        <v>776</v>
      </c>
      <c r="Q2015" s="106">
        <v>771.2</v>
      </c>
      <c r="R2015">
        <v>770758</v>
      </c>
    </row>
    <row r="2016" spans="1:18" x14ac:dyDescent="0.25">
      <c r="A2016" s="143">
        <v>44971</v>
      </c>
      <c r="B2016" s="106">
        <v>778.15</v>
      </c>
      <c r="C2016" s="106">
        <v>776.45</v>
      </c>
      <c r="D2016" s="106">
        <v>765.85</v>
      </c>
      <c r="E2016" s="106">
        <v>766</v>
      </c>
      <c r="F2016" s="106">
        <v>776.45</v>
      </c>
      <c r="G2016">
        <v>11985</v>
      </c>
      <c r="H2016" s="106"/>
      <c r="I2016" s="106"/>
      <c r="L2016" s="143">
        <v>44971</v>
      </c>
      <c r="M2016" s="106">
        <v>776.15</v>
      </c>
      <c r="N2016" s="106">
        <v>778.75</v>
      </c>
      <c r="O2016" s="106">
        <v>765.65</v>
      </c>
      <c r="P2016" s="106">
        <v>772</v>
      </c>
      <c r="Q2016" s="106">
        <v>776.15</v>
      </c>
      <c r="R2016">
        <v>469562</v>
      </c>
    </row>
    <row r="2017" spans="1:18" x14ac:dyDescent="0.25">
      <c r="A2017" s="143">
        <v>44972</v>
      </c>
      <c r="B2017" s="106">
        <v>784.75</v>
      </c>
      <c r="C2017" s="106">
        <v>782.4</v>
      </c>
      <c r="D2017" s="106">
        <v>767.05</v>
      </c>
      <c r="E2017" s="106">
        <v>767.05</v>
      </c>
      <c r="F2017" s="106">
        <v>782.4</v>
      </c>
      <c r="G2017">
        <v>18964</v>
      </c>
      <c r="H2017" s="106"/>
      <c r="I2017" s="106"/>
      <c r="L2017" s="143">
        <v>44972</v>
      </c>
      <c r="M2017" s="106">
        <v>782.65</v>
      </c>
      <c r="N2017" s="106">
        <v>784.95</v>
      </c>
      <c r="O2017" s="106">
        <v>772</v>
      </c>
      <c r="P2017" s="106">
        <v>775</v>
      </c>
      <c r="Q2017" s="106">
        <v>782.65</v>
      </c>
      <c r="R2017">
        <v>657492</v>
      </c>
    </row>
    <row r="2018" spans="1:18" x14ac:dyDescent="0.25">
      <c r="A2018" s="143">
        <v>44973</v>
      </c>
      <c r="B2018" s="106">
        <v>787.2</v>
      </c>
      <c r="C2018" s="106">
        <v>782.2</v>
      </c>
      <c r="D2018" s="106">
        <v>775.55</v>
      </c>
      <c r="E2018" s="106">
        <v>775.55</v>
      </c>
      <c r="F2018" s="106">
        <v>782.2</v>
      </c>
      <c r="G2018">
        <v>11641</v>
      </c>
      <c r="H2018" s="106"/>
      <c r="I2018" s="106"/>
      <c r="L2018" s="143">
        <v>44973</v>
      </c>
      <c r="M2018" s="106">
        <v>782.25</v>
      </c>
      <c r="N2018" s="106">
        <v>787.7</v>
      </c>
      <c r="O2018" s="106">
        <v>777.05</v>
      </c>
      <c r="P2018" s="106">
        <v>783</v>
      </c>
      <c r="Q2018" s="106">
        <v>782.25</v>
      </c>
      <c r="R2018">
        <v>565034</v>
      </c>
    </row>
    <row r="2019" spans="1:18" x14ac:dyDescent="0.25">
      <c r="A2019" s="143">
        <v>44974</v>
      </c>
      <c r="B2019" s="106">
        <v>786.4</v>
      </c>
      <c r="C2019" s="106">
        <v>779.65</v>
      </c>
      <c r="D2019" s="106">
        <v>775.7</v>
      </c>
      <c r="E2019" s="106">
        <v>782.8</v>
      </c>
      <c r="F2019" s="106">
        <v>779.65</v>
      </c>
      <c r="G2019">
        <v>28610</v>
      </c>
      <c r="H2019" s="106"/>
      <c r="I2019" s="106"/>
      <c r="L2019" s="143">
        <v>44974</v>
      </c>
      <c r="M2019" s="106">
        <v>779.35</v>
      </c>
      <c r="N2019" s="106">
        <v>786.75</v>
      </c>
      <c r="O2019" s="106">
        <v>774.05</v>
      </c>
      <c r="P2019" s="106">
        <v>778.25</v>
      </c>
      <c r="Q2019" s="106">
        <v>779.35</v>
      </c>
      <c r="R2019">
        <v>519505</v>
      </c>
    </row>
    <row r="2020" spans="1:18" x14ac:dyDescent="0.25">
      <c r="A2020" s="143">
        <v>44977</v>
      </c>
      <c r="B2020" s="106">
        <v>781.8</v>
      </c>
      <c r="C2020" s="106">
        <v>769.35</v>
      </c>
      <c r="D2020" s="106">
        <v>767.7</v>
      </c>
      <c r="E2020" s="106">
        <v>775.05</v>
      </c>
      <c r="F2020" s="106">
        <v>769.35</v>
      </c>
      <c r="G2020">
        <v>22083</v>
      </c>
      <c r="H2020" s="106"/>
      <c r="I2020" s="106"/>
      <c r="L2020" s="143">
        <v>44977</v>
      </c>
      <c r="M2020" s="106">
        <v>770.1</v>
      </c>
      <c r="N2020" s="106">
        <v>782.4</v>
      </c>
      <c r="O2020" s="106">
        <v>768.65</v>
      </c>
      <c r="P2020" s="106">
        <v>779.35</v>
      </c>
      <c r="Q2020" s="106">
        <v>770.1</v>
      </c>
      <c r="R2020">
        <v>564503</v>
      </c>
    </row>
    <row r="2021" spans="1:18" x14ac:dyDescent="0.25">
      <c r="A2021" s="143">
        <v>44978</v>
      </c>
      <c r="B2021" s="106">
        <v>776.3</v>
      </c>
      <c r="C2021" s="106">
        <v>773.65</v>
      </c>
      <c r="D2021" s="106">
        <v>768.6</v>
      </c>
      <c r="E2021" s="106">
        <v>770</v>
      </c>
      <c r="F2021" s="106">
        <v>773.65</v>
      </c>
      <c r="G2021">
        <v>9838</v>
      </c>
      <c r="H2021" s="106"/>
      <c r="I2021" s="106"/>
      <c r="L2021" s="143">
        <v>44978</v>
      </c>
      <c r="M2021" s="106">
        <v>773.4</v>
      </c>
      <c r="N2021" s="106">
        <v>776.9</v>
      </c>
      <c r="O2021" s="106">
        <v>768.1</v>
      </c>
      <c r="P2021" s="106">
        <v>771</v>
      </c>
      <c r="Q2021" s="106">
        <v>773.4</v>
      </c>
      <c r="R2021">
        <v>439159</v>
      </c>
    </row>
    <row r="2022" spans="1:18" x14ac:dyDescent="0.25">
      <c r="A2022" s="143">
        <v>44979</v>
      </c>
      <c r="B2022" s="106">
        <v>773.95</v>
      </c>
      <c r="C2022" s="106">
        <v>764.1</v>
      </c>
      <c r="D2022" s="106">
        <v>761.05</v>
      </c>
      <c r="E2022" s="106">
        <v>761.05</v>
      </c>
      <c r="F2022" s="106">
        <v>764.1</v>
      </c>
      <c r="G2022">
        <v>17586</v>
      </c>
      <c r="H2022" s="106"/>
      <c r="I2022" s="106"/>
      <c r="L2022" s="143">
        <v>44979</v>
      </c>
      <c r="M2022" s="106">
        <v>765.4</v>
      </c>
      <c r="N2022" s="106">
        <v>774.05</v>
      </c>
      <c r="O2022" s="106">
        <v>762.6</v>
      </c>
      <c r="P2022" s="106">
        <v>772.9</v>
      </c>
      <c r="Q2022" s="106">
        <v>765.4</v>
      </c>
      <c r="R2022">
        <v>675975</v>
      </c>
    </row>
    <row r="2023" spans="1:18" x14ac:dyDescent="0.25">
      <c r="A2023" s="143">
        <v>44980</v>
      </c>
      <c r="B2023" s="106">
        <v>766.25</v>
      </c>
      <c r="C2023" s="106">
        <v>751.5</v>
      </c>
      <c r="D2023" s="106">
        <v>749.75</v>
      </c>
      <c r="E2023" s="106">
        <v>764.75</v>
      </c>
      <c r="F2023" s="106">
        <v>751.5</v>
      </c>
      <c r="G2023">
        <v>12843</v>
      </c>
      <c r="H2023" s="106"/>
      <c r="I2023" s="106"/>
      <c r="L2023" s="143">
        <v>44980</v>
      </c>
      <c r="M2023" s="106">
        <v>751.5</v>
      </c>
      <c r="N2023" s="106">
        <v>767.7</v>
      </c>
      <c r="O2023" s="106">
        <v>749</v>
      </c>
      <c r="P2023" s="106">
        <v>766.4</v>
      </c>
      <c r="Q2023" s="106">
        <v>751.5</v>
      </c>
      <c r="R2023">
        <v>602318</v>
      </c>
    </row>
    <row r="2024" spans="1:18" x14ac:dyDescent="0.25">
      <c r="A2024" s="143">
        <v>44981</v>
      </c>
      <c r="B2024" s="106">
        <v>764.5</v>
      </c>
      <c r="C2024" s="106">
        <v>762.8</v>
      </c>
      <c r="D2024" s="106">
        <v>750</v>
      </c>
      <c r="E2024" s="106">
        <v>752.85</v>
      </c>
      <c r="F2024" s="106">
        <v>762.8</v>
      </c>
      <c r="G2024">
        <v>15627</v>
      </c>
      <c r="H2024" s="106"/>
      <c r="I2024" s="106"/>
      <c r="L2024" s="143">
        <v>44981</v>
      </c>
      <c r="M2024" s="106">
        <v>762.85</v>
      </c>
      <c r="N2024" s="106">
        <v>764.9</v>
      </c>
      <c r="O2024" s="106">
        <v>750.3</v>
      </c>
      <c r="P2024" s="106">
        <v>752.05</v>
      </c>
      <c r="Q2024" s="106">
        <v>762.85</v>
      </c>
      <c r="R2024">
        <v>843827</v>
      </c>
    </row>
    <row r="2025" spans="1:18" x14ac:dyDescent="0.25">
      <c r="A2025" s="143">
        <v>44984</v>
      </c>
      <c r="B2025" s="106">
        <v>769</v>
      </c>
      <c r="C2025" s="106">
        <v>761.55</v>
      </c>
      <c r="D2025" s="106">
        <v>750.3</v>
      </c>
      <c r="E2025" s="106">
        <v>761.95</v>
      </c>
      <c r="F2025" s="106">
        <v>761.55</v>
      </c>
      <c r="G2025">
        <v>12619</v>
      </c>
      <c r="H2025" s="106"/>
      <c r="I2025" s="106"/>
      <c r="L2025" s="143">
        <v>44984</v>
      </c>
      <c r="M2025" s="106">
        <v>762.15</v>
      </c>
      <c r="N2025" s="106">
        <v>768.1</v>
      </c>
      <c r="O2025" s="106">
        <v>750</v>
      </c>
      <c r="P2025" s="106">
        <v>760</v>
      </c>
      <c r="Q2025" s="106">
        <v>762.15</v>
      </c>
      <c r="R2025">
        <v>592151</v>
      </c>
    </row>
    <row r="2026" spans="1:18" x14ac:dyDescent="0.25">
      <c r="A2026" s="143">
        <v>44985</v>
      </c>
      <c r="B2026" s="106">
        <v>770</v>
      </c>
      <c r="C2026" s="106">
        <v>756.5</v>
      </c>
      <c r="D2026" s="106">
        <v>751.6</v>
      </c>
      <c r="E2026" s="106">
        <v>755.1</v>
      </c>
      <c r="F2026" s="106">
        <v>756.5</v>
      </c>
      <c r="G2026">
        <v>9800</v>
      </c>
      <c r="H2026" s="106"/>
      <c r="I2026" s="106"/>
      <c r="L2026" s="143">
        <v>44985</v>
      </c>
      <c r="M2026" s="106">
        <v>756.5</v>
      </c>
      <c r="N2026" s="106">
        <v>770</v>
      </c>
      <c r="O2026" s="106">
        <v>751.4</v>
      </c>
      <c r="P2026" s="106">
        <v>763</v>
      </c>
      <c r="Q2026" s="106">
        <v>756.5</v>
      </c>
      <c r="R2026">
        <v>845969</v>
      </c>
    </row>
    <row r="2027" spans="1:18" x14ac:dyDescent="0.25">
      <c r="A2027" s="143">
        <v>44986</v>
      </c>
      <c r="B2027" s="106">
        <v>771.65</v>
      </c>
      <c r="C2027" s="106">
        <v>766.85</v>
      </c>
      <c r="D2027" s="106">
        <v>751.1</v>
      </c>
      <c r="E2027" s="106">
        <v>751.1</v>
      </c>
      <c r="F2027" s="106">
        <v>766.85</v>
      </c>
      <c r="G2027">
        <v>14507</v>
      </c>
      <c r="H2027" s="106"/>
      <c r="I2027" s="106"/>
      <c r="L2027" s="143">
        <v>44986</v>
      </c>
      <c r="M2027" s="106">
        <v>766.75</v>
      </c>
      <c r="N2027" s="106">
        <v>771.9</v>
      </c>
      <c r="O2027" s="106">
        <v>757.6</v>
      </c>
      <c r="P2027" s="106">
        <v>760.05</v>
      </c>
      <c r="Q2027" s="106">
        <v>766.75</v>
      </c>
      <c r="R2027">
        <v>779296</v>
      </c>
    </row>
    <row r="2028" spans="1:18" x14ac:dyDescent="0.25">
      <c r="A2028" s="143">
        <v>44987</v>
      </c>
      <c r="B2028" s="106">
        <v>771</v>
      </c>
      <c r="C2028" s="106">
        <v>749.4</v>
      </c>
      <c r="D2028" s="106">
        <v>748.1</v>
      </c>
      <c r="E2028" s="106">
        <v>768.5</v>
      </c>
      <c r="F2028" s="106">
        <v>749.4</v>
      </c>
      <c r="G2028">
        <v>17091</v>
      </c>
      <c r="H2028" s="106"/>
      <c r="I2028" s="106"/>
      <c r="L2028" s="143">
        <v>44987</v>
      </c>
      <c r="M2028" s="106">
        <v>750</v>
      </c>
      <c r="N2028" s="106">
        <v>771.4</v>
      </c>
      <c r="O2028" s="106">
        <v>747.95</v>
      </c>
      <c r="P2028" s="106">
        <v>770.65</v>
      </c>
      <c r="Q2028" s="106">
        <v>750</v>
      </c>
      <c r="R2028">
        <v>658126</v>
      </c>
    </row>
    <row r="2029" spans="1:18" x14ac:dyDescent="0.25">
      <c r="A2029" s="143">
        <v>44988</v>
      </c>
      <c r="B2029" s="106">
        <v>759.85</v>
      </c>
      <c r="C2029" s="106">
        <v>750.25</v>
      </c>
      <c r="D2029" s="106">
        <v>749.45</v>
      </c>
      <c r="E2029" s="106">
        <v>749.45</v>
      </c>
      <c r="F2029" s="106">
        <v>750.25</v>
      </c>
      <c r="G2029">
        <v>11305</v>
      </c>
      <c r="H2029" s="106"/>
      <c r="I2029" s="106"/>
      <c r="L2029" s="143">
        <v>44988</v>
      </c>
      <c r="M2029" s="106">
        <v>750.2</v>
      </c>
      <c r="N2029" s="106">
        <v>760.2</v>
      </c>
      <c r="O2029" s="106">
        <v>749.3</v>
      </c>
      <c r="P2029" s="106">
        <v>756.45</v>
      </c>
      <c r="Q2029" s="106">
        <v>750.2</v>
      </c>
      <c r="R2029">
        <v>533836</v>
      </c>
    </row>
    <row r="2030" spans="1:18" x14ac:dyDescent="0.25">
      <c r="A2030" s="143">
        <v>44991</v>
      </c>
      <c r="B2030" s="106">
        <v>775.5</v>
      </c>
      <c r="C2030" s="106">
        <v>768.7</v>
      </c>
      <c r="D2030" s="106">
        <v>752.05</v>
      </c>
      <c r="E2030" s="106">
        <v>752.05</v>
      </c>
      <c r="F2030" s="106">
        <v>768.7</v>
      </c>
      <c r="G2030">
        <v>38532</v>
      </c>
      <c r="H2030" s="106"/>
      <c r="I2030" s="106"/>
      <c r="L2030" s="143">
        <v>44991</v>
      </c>
      <c r="M2030" s="106">
        <v>769.3</v>
      </c>
      <c r="N2030" s="106">
        <v>775.9</v>
      </c>
      <c r="O2030" s="106">
        <v>753</v>
      </c>
      <c r="P2030" s="106">
        <v>755</v>
      </c>
      <c r="Q2030" s="106">
        <v>769.3</v>
      </c>
      <c r="R2030">
        <v>1511840</v>
      </c>
    </row>
    <row r="2031" spans="1:18" x14ac:dyDescent="0.25">
      <c r="A2031" s="143">
        <v>44993</v>
      </c>
      <c r="B2031" s="106">
        <v>773.15</v>
      </c>
      <c r="C2031" s="106">
        <v>767.75</v>
      </c>
      <c r="D2031" s="106">
        <v>756.5</v>
      </c>
      <c r="E2031" s="106">
        <v>767.7</v>
      </c>
      <c r="F2031" s="106">
        <v>767.75</v>
      </c>
      <c r="G2031">
        <v>19276</v>
      </c>
      <c r="H2031" s="106"/>
      <c r="I2031" s="106"/>
      <c r="L2031" s="143">
        <v>44993</v>
      </c>
      <c r="M2031" s="106">
        <v>766.6</v>
      </c>
      <c r="N2031" s="106">
        <v>772</v>
      </c>
      <c r="O2031" s="106">
        <v>756.1</v>
      </c>
      <c r="P2031" s="106">
        <v>769.2</v>
      </c>
      <c r="Q2031" s="106">
        <v>766.6</v>
      </c>
      <c r="R2031">
        <v>736004</v>
      </c>
    </row>
    <row r="2032" spans="1:18" x14ac:dyDescent="0.25">
      <c r="A2032" s="143">
        <v>44994</v>
      </c>
      <c r="B2032" s="106">
        <v>775</v>
      </c>
      <c r="C2032" s="106">
        <v>766.5</v>
      </c>
      <c r="D2032" s="106">
        <v>762.35</v>
      </c>
      <c r="E2032" s="106">
        <v>764.95</v>
      </c>
      <c r="F2032" s="106">
        <v>766.5</v>
      </c>
      <c r="G2032">
        <v>33135</v>
      </c>
      <c r="H2032" s="106"/>
      <c r="I2032" s="106"/>
      <c r="L2032" s="143">
        <v>44994</v>
      </c>
      <c r="M2032" s="106">
        <v>766.65</v>
      </c>
      <c r="N2032" s="106">
        <v>775.5</v>
      </c>
      <c r="O2032" s="106">
        <v>762.05</v>
      </c>
      <c r="P2032" s="106">
        <v>764.55</v>
      </c>
      <c r="Q2032" s="106">
        <v>766.65</v>
      </c>
      <c r="R2032">
        <v>1135186</v>
      </c>
    </row>
    <row r="2033" spans="1:18" x14ac:dyDescent="0.25">
      <c r="A2033" s="143">
        <v>44995</v>
      </c>
      <c r="B2033" s="106">
        <v>762.15</v>
      </c>
      <c r="C2033" s="106">
        <v>751.95</v>
      </c>
      <c r="D2033" s="106">
        <v>749.5</v>
      </c>
      <c r="E2033" s="106">
        <v>754.05</v>
      </c>
      <c r="F2033" s="106">
        <v>751.95</v>
      </c>
      <c r="G2033">
        <v>10200</v>
      </c>
      <c r="H2033" s="106"/>
      <c r="I2033" s="106"/>
      <c r="L2033" s="143">
        <v>44995</v>
      </c>
      <c r="M2033" s="106">
        <v>752.75</v>
      </c>
      <c r="N2033" s="106">
        <v>762</v>
      </c>
      <c r="O2033" s="106">
        <v>749.55</v>
      </c>
      <c r="P2033" s="106">
        <v>761</v>
      </c>
      <c r="Q2033" s="106">
        <v>752.75</v>
      </c>
      <c r="R2033">
        <v>554915</v>
      </c>
    </row>
    <row r="2034" spans="1:18" x14ac:dyDescent="0.25">
      <c r="A2034" s="143">
        <v>44998</v>
      </c>
      <c r="B2034" s="106">
        <v>752.75</v>
      </c>
      <c r="C2034" s="106">
        <v>740.2</v>
      </c>
      <c r="D2034" s="106">
        <v>737.75</v>
      </c>
      <c r="E2034" s="106">
        <v>745</v>
      </c>
      <c r="F2034" s="106">
        <v>740.2</v>
      </c>
      <c r="G2034">
        <v>27797</v>
      </c>
      <c r="H2034" s="106"/>
      <c r="I2034" s="106"/>
      <c r="L2034" s="143">
        <v>44998</v>
      </c>
      <c r="M2034" s="106">
        <v>739.8</v>
      </c>
      <c r="N2034" s="106">
        <v>753</v>
      </c>
      <c r="O2034" s="106">
        <v>737.8</v>
      </c>
      <c r="P2034" s="106">
        <v>748</v>
      </c>
      <c r="Q2034" s="106">
        <v>739.8</v>
      </c>
      <c r="R2034">
        <v>1506345</v>
      </c>
    </row>
    <row r="2035" spans="1:18" x14ac:dyDescent="0.25">
      <c r="A2035" s="143">
        <v>44999</v>
      </c>
      <c r="B2035" s="106">
        <v>748.8</v>
      </c>
      <c r="C2035" s="106">
        <v>743.3</v>
      </c>
      <c r="D2035" s="106">
        <v>731.35</v>
      </c>
      <c r="E2035" s="106">
        <v>740.2</v>
      </c>
      <c r="F2035" s="106">
        <v>743.3</v>
      </c>
      <c r="G2035">
        <v>27485</v>
      </c>
      <c r="H2035" s="106"/>
      <c r="I2035" s="106"/>
      <c r="L2035" s="143">
        <v>44999</v>
      </c>
      <c r="M2035" s="106">
        <v>744.2</v>
      </c>
      <c r="N2035" s="106">
        <v>748.9</v>
      </c>
      <c r="O2035" s="106">
        <v>731.35</v>
      </c>
      <c r="P2035" s="106">
        <v>738.95</v>
      </c>
      <c r="Q2035" s="106">
        <v>744.2</v>
      </c>
      <c r="R2035">
        <v>955817</v>
      </c>
    </row>
    <row r="2036" spans="1:18" x14ac:dyDescent="0.25">
      <c r="A2036" s="143">
        <v>45000</v>
      </c>
      <c r="B2036" s="106">
        <v>759.5</v>
      </c>
      <c r="C2036" s="106">
        <v>746.55</v>
      </c>
      <c r="D2036" s="106">
        <v>740.9</v>
      </c>
      <c r="E2036" s="106">
        <v>740.9</v>
      </c>
      <c r="F2036" s="106">
        <v>746.55</v>
      </c>
      <c r="G2036">
        <v>21124</v>
      </c>
      <c r="H2036" s="106"/>
      <c r="I2036" s="106"/>
      <c r="L2036" s="143">
        <v>45000</v>
      </c>
      <c r="M2036" s="106">
        <v>746</v>
      </c>
      <c r="N2036" s="106">
        <v>759.95</v>
      </c>
      <c r="O2036" s="106">
        <v>742.15</v>
      </c>
      <c r="P2036" s="106">
        <v>746.65</v>
      </c>
      <c r="Q2036" s="106">
        <v>746</v>
      </c>
      <c r="R2036">
        <v>893300</v>
      </c>
    </row>
    <row r="2037" spans="1:18" x14ac:dyDescent="0.25">
      <c r="A2037" s="143">
        <v>45001</v>
      </c>
      <c r="B2037" s="106">
        <v>753.5</v>
      </c>
      <c r="C2037" s="106">
        <v>748.9</v>
      </c>
      <c r="D2037" s="106">
        <v>740.3</v>
      </c>
      <c r="E2037" s="106">
        <v>742.1</v>
      </c>
      <c r="F2037" s="106">
        <v>748.9</v>
      </c>
      <c r="G2037">
        <v>34560</v>
      </c>
      <c r="H2037" s="106"/>
      <c r="I2037" s="106"/>
      <c r="L2037" s="143">
        <v>45001</v>
      </c>
      <c r="M2037" s="106">
        <v>746.65</v>
      </c>
      <c r="N2037" s="106">
        <v>753.8</v>
      </c>
      <c r="O2037" s="106">
        <v>739.9</v>
      </c>
      <c r="P2037" s="106">
        <v>747</v>
      </c>
      <c r="Q2037" s="106">
        <v>746.65</v>
      </c>
      <c r="R2037">
        <v>848375</v>
      </c>
    </row>
    <row r="2038" spans="1:18" x14ac:dyDescent="0.25">
      <c r="A2038" s="143">
        <v>45002</v>
      </c>
      <c r="B2038" s="106">
        <v>767.1</v>
      </c>
      <c r="C2038" s="106">
        <v>763.65</v>
      </c>
      <c r="D2038" s="106">
        <v>749.3</v>
      </c>
      <c r="E2038" s="106">
        <v>749.3</v>
      </c>
      <c r="F2038" s="106">
        <v>763.65</v>
      </c>
      <c r="G2038">
        <v>57575</v>
      </c>
      <c r="H2038" s="106"/>
      <c r="I2038" s="106"/>
      <c r="L2038" s="143">
        <v>45002</v>
      </c>
      <c r="M2038" s="106">
        <v>763.7</v>
      </c>
      <c r="N2038" s="106">
        <v>766.05</v>
      </c>
      <c r="O2038" s="106">
        <v>748</v>
      </c>
      <c r="P2038" s="106">
        <v>753.4</v>
      </c>
      <c r="Q2038" s="106">
        <v>763.7</v>
      </c>
      <c r="R2038">
        <v>1183335</v>
      </c>
    </row>
    <row r="2039" spans="1:18" x14ac:dyDescent="0.25">
      <c r="A2039" s="143">
        <v>45005</v>
      </c>
      <c r="B2039" s="106">
        <v>766.3</v>
      </c>
      <c r="C2039" s="106">
        <v>745.25</v>
      </c>
      <c r="D2039" s="106">
        <v>743.45</v>
      </c>
      <c r="E2039" s="106">
        <v>752.4</v>
      </c>
      <c r="F2039" s="106">
        <v>745.25</v>
      </c>
      <c r="G2039">
        <v>21028</v>
      </c>
      <c r="H2039" s="106"/>
      <c r="I2039" s="106"/>
      <c r="L2039" s="143">
        <v>45005</v>
      </c>
      <c r="M2039" s="106">
        <v>745.95</v>
      </c>
      <c r="N2039" s="106">
        <v>768</v>
      </c>
      <c r="O2039" s="106">
        <v>742.85</v>
      </c>
      <c r="P2039" s="106">
        <v>757</v>
      </c>
      <c r="Q2039" s="106">
        <v>745.95</v>
      </c>
      <c r="R2039">
        <v>1266819</v>
      </c>
    </row>
    <row r="2040" spans="1:18" x14ac:dyDescent="0.25">
      <c r="A2040" s="143">
        <v>45006</v>
      </c>
      <c r="B2040" s="106">
        <v>757.65</v>
      </c>
      <c r="C2040" s="106">
        <v>754.1</v>
      </c>
      <c r="D2040" s="106">
        <v>743.55</v>
      </c>
      <c r="E2040" s="106">
        <v>745</v>
      </c>
      <c r="F2040" s="106">
        <v>754.1</v>
      </c>
      <c r="G2040">
        <v>22359</v>
      </c>
      <c r="H2040" s="106"/>
      <c r="I2040" s="106"/>
      <c r="L2040" s="143">
        <v>45006</v>
      </c>
      <c r="M2040" s="106">
        <v>754.6</v>
      </c>
      <c r="N2040" s="106">
        <v>758.15</v>
      </c>
      <c r="O2040" s="106">
        <v>742.2</v>
      </c>
      <c r="P2040" s="106">
        <v>749.7</v>
      </c>
      <c r="Q2040" s="106">
        <v>754.6</v>
      </c>
      <c r="R2040">
        <v>1896931</v>
      </c>
    </row>
    <row r="2041" spans="1:18" x14ac:dyDescent="0.25">
      <c r="A2041" s="143">
        <v>45007</v>
      </c>
      <c r="B2041" s="106">
        <v>761.7</v>
      </c>
      <c r="C2041" s="106">
        <v>745.95</v>
      </c>
      <c r="D2041" s="106">
        <v>744.95</v>
      </c>
      <c r="E2041" s="106">
        <v>760.35</v>
      </c>
      <c r="F2041" s="106">
        <v>745.95</v>
      </c>
      <c r="G2041">
        <v>29130</v>
      </c>
      <c r="H2041" s="106"/>
      <c r="I2041" s="106"/>
      <c r="L2041" s="143">
        <v>45007</v>
      </c>
      <c r="M2041" s="106">
        <v>747.1</v>
      </c>
      <c r="N2041" s="106">
        <v>761.15</v>
      </c>
      <c r="O2041" s="106">
        <v>744.85</v>
      </c>
      <c r="P2041" s="106">
        <v>756</v>
      </c>
      <c r="Q2041" s="106">
        <v>747.1</v>
      </c>
      <c r="R2041">
        <v>1344801</v>
      </c>
    </row>
    <row r="2042" spans="1:18" x14ac:dyDescent="0.25">
      <c r="A2042" s="143">
        <v>45008</v>
      </c>
      <c r="B2042" s="106">
        <v>751.7</v>
      </c>
      <c r="C2042" s="106">
        <v>746.85</v>
      </c>
      <c r="D2042" s="106">
        <v>740.9</v>
      </c>
      <c r="E2042" s="106">
        <v>747.1</v>
      </c>
      <c r="F2042" s="106">
        <v>746.85</v>
      </c>
      <c r="G2042">
        <v>15756</v>
      </c>
      <c r="H2042" s="106"/>
      <c r="I2042" s="106"/>
      <c r="L2042" s="143">
        <v>45008</v>
      </c>
      <c r="M2042" s="106">
        <v>746.7</v>
      </c>
      <c r="N2042" s="106">
        <v>752</v>
      </c>
      <c r="O2042" s="106">
        <v>740.6</v>
      </c>
      <c r="P2042" s="106">
        <v>748.8</v>
      </c>
      <c r="Q2042" s="106">
        <v>746.7</v>
      </c>
      <c r="R2042">
        <v>836254</v>
      </c>
    </row>
    <row r="2043" spans="1:18" x14ac:dyDescent="0.25">
      <c r="A2043" s="143">
        <v>45009</v>
      </c>
      <c r="B2043" s="106">
        <v>742.45</v>
      </c>
      <c r="C2043" s="106">
        <v>728.55</v>
      </c>
      <c r="D2043" s="106">
        <v>714.65</v>
      </c>
      <c r="E2043" s="106">
        <v>740.1</v>
      </c>
      <c r="F2043" s="106">
        <v>728.55</v>
      </c>
      <c r="G2043">
        <v>29278</v>
      </c>
      <c r="H2043" s="106"/>
      <c r="I2043" s="106"/>
      <c r="L2043" s="143">
        <v>45009</v>
      </c>
      <c r="M2043" s="106">
        <v>727.65</v>
      </c>
      <c r="N2043" s="106">
        <v>744.65</v>
      </c>
      <c r="O2043" s="106">
        <v>722.75</v>
      </c>
      <c r="P2043" s="106">
        <v>741.5</v>
      </c>
      <c r="Q2043" s="106">
        <v>727.65</v>
      </c>
      <c r="R2043">
        <v>1218088</v>
      </c>
    </row>
    <row r="2044" spans="1:18" x14ac:dyDescent="0.25">
      <c r="A2044" s="143">
        <v>45012</v>
      </c>
      <c r="B2044" s="106">
        <v>732</v>
      </c>
      <c r="C2044" s="106">
        <v>717.4</v>
      </c>
      <c r="D2044" s="106">
        <v>709.85</v>
      </c>
      <c r="E2044" s="106">
        <v>728.55</v>
      </c>
      <c r="F2044" s="106">
        <v>717.4</v>
      </c>
      <c r="G2044">
        <v>58509</v>
      </c>
      <c r="H2044" s="106"/>
      <c r="I2044" s="106"/>
      <c r="L2044" s="143">
        <v>45012</v>
      </c>
      <c r="M2044" s="106">
        <v>715.85</v>
      </c>
      <c r="N2044" s="106">
        <v>729.95</v>
      </c>
      <c r="O2044" s="106">
        <v>709.9</v>
      </c>
      <c r="P2044" s="106">
        <v>727.65</v>
      </c>
      <c r="Q2044" s="106">
        <v>715.85</v>
      </c>
      <c r="R2044">
        <v>1826050</v>
      </c>
    </row>
    <row r="2045" spans="1:18" x14ac:dyDescent="0.25">
      <c r="A2045" s="143">
        <v>45013</v>
      </c>
      <c r="B2045" s="106">
        <v>736.75</v>
      </c>
      <c r="C2045" s="106">
        <v>732.95</v>
      </c>
      <c r="D2045" s="106">
        <v>710.75</v>
      </c>
      <c r="E2045" s="106">
        <v>710.75</v>
      </c>
      <c r="F2045" s="106">
        <v>732.95</v>
      </c>
      <c r="G2045">
        <v>71372</v>
      </c>
      <c r="H2045" s="106"/>
      <c r="I2045" s="106"/>
      <c r="L2045" s="143">
        <v>45013</v>
      </c>
      <c r="M2045" s="106">
        <v>732.15</v>
      </c>
      <c r="N2045" s="106">
        <v>737</v>
      </c>
      <c r="O2045" s="106">
        <v>717.85</v>
      </c>
      <c r="P2045" s="106">
        <v>717.85</v>
      </c>
      <c r="Q2045" s="106">
        <v>732.15</v>
      </c>
      <c r="R2045">
        <v>1411125</v>
      </c>
    </row>
    <row r="2046" spans="1:18" x14ac:dyDescent="0.25">
      <c r="A2046" s="143">
        <v>45014</v>
      </c>
      <c r="B2046" s="106">
        <v>751</v>
      </c>
      <c r="C2046" s="106">
        <v>748.55</v>
      </c>
      <c r="D2046" s="106">
        <v>731</v>
      </c>
      <c r="E2046" s="106">
        <v>731</v>
      </c>
      <c r="F2046" s="106">
        <v>748.55</v>
      </c>
      <c r="G2046">
        <v>39605</v>
      </c>
      <c r="H2046" s="106"/>
      <c r="I2046" s="106"/>
      <c r="L2046" s="143">
        <v>45014</v>
      </c>
      <c r="M2046" s="106">
        <v>747.85</v>
      </c>
      <c r="N2046" s="106">
        <v>751.5</v>
      </c>
      <c r="O2046" s="106">
        <v>730.7</v>
      </c>
      <c r="P2046" s="106">
        <v>732.15</v>
      </c>
      <c r="Q2046" s="106">
        <v>747.85</v>
      </c>
      <c r="R2046">
        <v>1143861</v>
      </c>
    </row>
    <row r="2047" spans="1:18" x14ac:dyDescent="0.25">
      <c r="A2047" s="143">
        <v>45016</v>
      </c>
      <c r="B2047" s="106">
        <v>764.5</v>
      </c>
      <c r="C2047" s="106">
        <v>761.6</v>
      </c>
      <c r="D2047" s="106">
        <v>732.9</v>
      </c>
      <c r="E2047" s="106">
        <v>732.9</v>
      </c>
      <c r="F2047" s="106">
        <v>761.6</v>
      </c>
      <c r="G2047">
        <v>29701</v>
      </c>
      <c r="H2047" s="106"/>
      <c r="I2047" s="106"/>
      <c r="L2047" s="143">
        <v>45016</v>
      </c>
      <c r="M2047" s="106">
        <v>761.3</v>
      </c>
      <c r="N2047" s="106">
        <v>764.1</v>
      </c>
      <c r="O2047" s="106">
        <v>748.5</v>
      </c>
      <c r="P2047" s="106">
        <v>748.5</v>
      </c>
      <c r="Q2047" s="106">
        <v>761.3</v>
      </c>
      <c r="R2047">
        <v>1255439</v>
      </c>
    </row>
    <row r="2048" spans="1:18" x14ac:dyDescent="0.25">
      <c r="A2048" s="143">
        <v>45019</v>
      </c>
      <c r="B2048" s="106">
        <v>780.5</v>
      </c>
      <c r="C2048" s="106">
        <v>778.75</v>
      </c>
      <c r="D2048" s="106">
        <v>763.4</v>
      </c>
      <c r="E2048" s="106">
        <v>764.5</v>
      </c>
      <c r="F2048" s="106">
        <v>778.75</v>
      </c>
      <c r="G2048">
        <v>31306</v>
      </c>
      <c r="H2048" s="106"/>
      <c r="I2048" s="106"/>
      <c r="L2048" s="143">
        <v>45019</v>
      </c>
      <c r="M2048" s="106">
        <v>778.6</v>
      </c>
      <c r="N2048" s="106">
        <v>780.8</v>
      </c>
      <c r="O2048" s="106">
        <v>764</v>
      </c>
      <c r="P2048" s="106">
        <v>764</v>
      </c>
      <c r="Q2048" s="106">
        <v>778.6</v>
      </c>
      <c r="R2048">
        <v>1271784</v>
      </c>
    </row>
    <row r="2049" spans="1:18" x14ac:dyDescent="0.25">
      <c r="A2049" s="143">
        <v>45021</v>
      </c>
      <c r="B2049" s="106">
        <v>791.35</v>
      </c>
      <c r="C2049" s="106">
        <v>781.5</v>
      </c>
      <c r="D2049" s="106">
        <v>773.95</v>
      </c>
      <c r="E2049" s="106">
        <v>773.95</v>
      </c>
      <c r="F2049" s="106">
        <v>781.5</v>
      </c>
      <c r="G2049">
        <v>65556</v>
      </c>
      <c r="H2049" s="106"/>
      <c r="I2049" s="106"/>
      <c r="L2049" s="143">
        <v>45021</v>
      </c>
      <c r="M2049" s="106">
        <v>782.65</v>
      </c>
      <c r="N2049" s="106">
        <v>791.6</v>
      </c>
      <c r="O2049" s="106">
        <v>775.35</v>
      </c>
      <c r="P2049" s="106">
        <v>778.95</v>
      </c>
      <c r="Q2049" s="106">
        <v>782.65</v>
      </c>
      <c r="R2049">
        <v>2070273</v>
      </c>
    </row>
    <row r="2050" spans="1:18" x14ac:dyDescent="0.25">
      <c r="A2050" s="143">
        <v>45022</v>
      </c>
      <c r="B2050" s="106">
        <v>846</v>
      </c>
      <c r="C2050" s="106">
        <v>841.4</v>
      </c>
      <c r="D2050" s="106">
        <v>794.9</v>
      </c>
      <c r="E2050" s="106">
        <v>794.9</v>
      </c>
      <c r="F2050" s="106">
        <v>841.4</v>
      </c>
      <c r="G2050">
        <v>284574</v>
      </c>
      <c r="H2050" s="106"/>
      <c r="I2050" s="106"/>
      <c r="L2050" s="143">
        <v>45022</v>
      </c>
      <c r="M2050" s="106">
        <v>841.4</v>
      </c>
      <c r="N2050" s="106">
        <v>847.05</v>
      </c>
      <c r="O2050" s="106">
        <v>795</v>
      </c>
      <c r="P2050" s="106">
        <v>795</v>
      </c>
      <c r="Q2050" s="106">
        <v>841.4</v>
      </c>
      <c r="R2050">
        <v>12172829</v>
      </c>
    </row>
    <row r="2051" spans="1:18" x14ac:dyDescent="0.25">
      <c r="A2051" s="143">
        <v>45026</v>
      </c>
      <c r="B2051" s="106">
        <v>848</v>
      </c>
      <c r="C2051" s="106">
        <v>829.15</v>
      </c>
      <c r="D2051" s="106">
        <v>827.8</v>
      </c>
      <c r="E2051" s="106">
        <v>848</v>
      </c>
      <c r="F2051" s="106">
        <v>829.15</v>
      </c>
      <c r="G2051">
        <v>68718</v>
      </c>
      <c r="H2051" s="106"/>
      <c r="I2051" s="106"/>
      <c r="L2051" s="143">
        <v>45026</v>
      </c>
      <c r="M2051" s="106">
        <v>829.2</v>
      </c>
      <c r="N2051" s="106">
        <v>847.8</v>
      </c>
      <c r="O2051" s="106">
        <v>827.1</v>
      </c>
      <c r="P2051" s="106">
        <v>847.8</v>
      </c>
      <c r="Q2051" s="106">
        <v>829.2</v>
      </c>
      <c r="R2051">
        <v>2850243</v>
      </c>
    </row>
    <row r="2052" spans="1:18" x14ac:dyDescent="0.25">
      <c r="A2052" s="143">
        <v>45027</v>
      </c>
      <c r="B2052" s="106">
        <v>842.4</v>
      </c>
      <c r="C2052" s="106">
        <v>841.05</v>
      </c>
      <c r="D2052" s="106">
        <v>822</v>
      </c>
      <c r="E2052" s="106">
        <v>832.05</v>
      </c>
      <c r="F2052" s="106">
        <v>841.05</v>
      </c>
      <c r="G2052">
        <v>58443</v>
      </c>
      <c r="H2052" s="106"/>
      <c r="I2052" s="106"/>
      <c r="L2052" s="143">
        <v>45027</v>
      </c>
      <c r="M2052" s="106">
        <v>840.85</v>
      </c>
      <c r="N2052" s="106">
        <v>842.3</v>
      </c>
      <c r="O2052" s="106">
        <v>821.6</v>
      </c>
      <c r="P2052" s="106">
        <v>835.55</v>
      </c>
      <c r="Q2052" s="106">
        <v>840.85</v>
      </c>
      <c r="R2052">
        <v>2938742</v>
      </c>
    </row>
    <row r="2053" spans="1:18" x14ac:dyDescent="0.25">
      <c r="A2053" s="143">
        <v>45028</v>
      </c>
      <c r="B2053" s="106">
        <v>836.4</v>
      </c>
      <c r="C2053" s="106">
        <v>820.1</v>
      </c>
      <c r="D2053" s="106">
        <v>818.65</v>
      </c>
      <c r="E2053" s="106">
        <v>835.05</v>
      </c>
      <c r="F2053" s="106">
        <v>820.1</v>
      </c>
      <c r="G2053">
        <v>37343</v>
      </c>
      <c r="H2053" s="106"/>
      <c r="I2053" s="106"/>
      <c r="L2053" s="143">
        <v>45028</v>
      </c>
      <c r="M2053" s="106">
        <v>820.25</v>
      </c>
      <c r="N2053" s="106">
        <v>839.5</v>
      </c>
      <c r="O2053" s="106">
        <v>818.85</v>
      </c>
      <c r="P2053" s="106">
        <v>835.85</v>
      </c>
      <c r="Q2053" s="106">
        <v>820.25</v>
      </c>
      <c r="R2053">
        <v>1745975</v>
      </c>
    </row>
    <row r="2054" spans="1:18" x14ac:dyDescent="0.25">
      <c r="A2054" s="143">
        <v>45029</v>
      </c>
      <c r="B2054" s="106">
        <v>825.4</v>
      </c>
      <c r="C2054" s="106">
        <v>820.4</v>
      </c>
      <c r="D2054" s="106">
        <v>815.3</v>
      </c>
      <c r="E2054" s="106">
        <v>820.1</v>
      </c>
      <c r="F2054" s="106">
        <v>820.4</v>
      </c>
      <c r="G2054">
        <v>44344</v>
      </c>
      <c r="H2054" s="106"/>
      <c r="I2054" s="106"/>
      <c r="L2054" s="143">
        <v>45029</v>
      </c>
      <c r="M2054" s="106">
        <v>820.95</v>
      </c>
      <c r="N2054" s="106">
        <v>826.3</v>
      </c>
      <c r="O2054" s="106">
        <v>815.35</v>
      </c>
      <c r="P2054" s="106">
        <v>821</v>
      </c>
      <c r="Q2054" s="106">
        <v>820.95</v>
      </c>
      <c r="R2054">
        <v>2265370</v>
      </c>
    </row>
    <row r="2055" spans="1:18" x14ac:dyDescent="0.25">
      <c r="A2055" s="143">
        <v>45033</v>
      </c>
      <c r="B2055" s="106">
        <v>839.85</v>
      </c>
      <c r="C2055" s="106">
        <v>836.95</v>
      </c>
      <c r="D2055" s="106">
        <v>819</v>
      </c>
      <c r="E2055" s="106">
        <v>820</v>
      </c>
      <c r="F2055" s="106">
        <v>836.95</v>
      </c>
      <c r="G2055">
        <v>32383</v>
      </c>
      <c r="H2055" s="106"/>
      <c r="I2055" s="106"/>
      <c r="L2055" s="143">
        <v>45033</v>
      </c>
      <c r="M2055" s="106">
        <v>836.45</v>
      </c>
      <c r="N2055" s="106">
        <v>839.9</v>
      </c>
      <c r="O2055" s="106">
        <v>819.3</v>
      </c>
      <c r="P2055" s="106">
        <v>821</v>
      </c>
      <c r="Q2055" s="106">
        <v>836.45</v>
      </c>
      <c r="R2055">
        <v>2526926</v>
      </c>
    </row>
    <row r="2056" spans="1:18" x14ac:dyDescent="0.25">
      <c r="A2056" s="143">
        <v>45034</v>
      </c>
      <c r="B2056" s="106">
        <v>851.8</v>
      </c>
      <c r="C2056" s="106">
        <v>839.9</v>
      </c>
      <c r="D2056" s="106">
        <v>828.2</v>
      </c>
      <c r="E2056" s="106">
        <v>828.2</v>
      </c>
      <c r="F2056" s="106">
        <v>839.9</v>
      </c>
      <c r="G2056">
        <v>44073</v>
      </c>
      <c r="H2056" s="106"/>
      <c r="I2056" s="106"/>
      <c r="L2056" s="143">
        <v>45034</v>
      </c>
      <c r="M2056" s="106">
        <v>839.6</v>
      </c>
      <c r="N2056" s="106">
        <v>851.9</v>
      </c>
      <c r="O2056" s="106">
        <v>833.15</v>
      </c>
      <c r="P2056" s="106">
        <v>833.35</v>
      </c>
      <c r="Q2056" s="106">
        <v>839.6</v>
      </c>
      <c r="R2056">
        <v>1240081</v>
      </c>
    </row>
    <row r="2057" spans="1:18" x14ac:dyDescent="0.25">
      <c r="A2057" s="143">
        <v>45035</v>
      </c>
      <c r="B2057" s="106">
        <v>851.15</v>
      </c>
      <c r="C2057" s="106">
        <v>847.85</v>
      </c>
      <c r="D2057" s="106">
        <v>838.2</v>
      </c>
      <c r="E2057" s="106">
        <v>840</v>
      </c>
      <c r="F2057" s="106">
        <v>847.85</v>
      </c>
      <c r="G2057">
        <v>32420</v>
      </c>
      <c r="H2057" s="106"/>
      <c r="I2057" s="106"/>
      <c r="L2057" s="143">
        <v>45035</v>
      </c>
      <c r="M2057" s="106">
        <v>846.9</v>
      </c>
      <c r="N2057" s="106">
        <v>851.15</v>
      </c>
      <c r="O2057" s="106">
        <v>838.2</v>
      </c>
      <c r="P2057" s="106">
        <v>840</v>
      </c>
      <c r="Q2057" s="106">
        <v>846.9</v>
      </c>
      <c r="R2057">
        <v>1267087</v>
      </c>
    </row>
    <row r="2058" spans="1:18" x14ac:dyDescent="0.25">
      <c r="A2058" s="143">
        <v>45036</v>
      </c>
      <c r="B2058" s="106">
        <v>850.75</v>
      </c>
      <c r="C2058" s="106">
        <v>843.1</v>
      </c>
      <c r="D2058" s="106">
        <v>839</v>
      </c>
      <c r="E2058" s="106">
        <v>845.25</v>
      </c>
      <c r="F2058" s="106">
        <v>843.1</v>
      </c>
      <c r="G2058">
        <v>17595</v>
      </c>
      <c r="H2058" s="106"/>
      <c r="I2058" s="106"/>
      <c r="L2058" s="143">
        <v>45036</v>
      </c>
      <c r="M2058" s="106">
        <v>843.3</v>
      </c>
      <c r="N2058" s="106">
        <v>850.7</v>
      </c>
      <c r="O2058" s="106">
        <v>838.75</v>
      </c>
      <c r="P2058" s="106">
        <v>846.9</v>
      </c>
      <c r="Q2058" s="106">
        <v>843.3</v>
      </c>
      <c r="R2058">
        <v>554220</v>
      </c>
    </row>
    <row r="2059" spans="1:18" x14ac:dyDescent="0.25">
      <c r="A2059" s="143">
        <v>45037</v>
      </c>
      <c r="B2059" s="106">
        <v>844.4</v>
      </c>
      <c r="C2059" s="106">
        <v>837.65</v>
      </c>
      <c r="D2059" s="106">
        <v>823.4</v>
      </c>
      <c r="E2059" s="106">
        <v>831.15</v>
      </c>
      <c r="F2059" s="106">
        <v>837.65</v>
      </c>
      <c r="G2059">
        <v>13468</v>
      </c>
      <c r="H2059" s="106"/>
      <c r="I2059" s="106"/>
      <c r="L2059" s="143">
        <v>45037</v>
      </c>
      <c r="M2059" s="106">
        <v>837.35</v>
      </c>
      <c r="N2059" s="106">
        <v>844.8</v>
      </c>
      <c r="O2059" s="106">
        <v>823.15</v>
      </c>
      <c r="P2059" s="106">
        <v>839.95</v>
      </c>
      <c r="Q2059" s="106">
        <v>837.35</v>
      </c>
      <c r="R2059">
        <v>990268</v>
      </c>
    </row>
    <row r="2060" spans="1:18" x14ac:dyDescent="0.25">
      <c r="A2060" s="143">
        <v>45040</v>
      </c>
      <c r="B2060" s="106">
        <v>851.1</v>
      </c>
      <c r="C2060" s="106">
        <v>840.15</v>
      </c>
      <c r="D2060" s="106">
        <v>837.85</v>
      </c>
      <c r="E2060" s="106">
        <v>838.05</v>
      </c>
      <c r="F2060" s="106">
        <v>840.15</v>
      </c>
      <c r="G2060">
        <v>26632</v>
      </c>
      <c r="H2060" s="106"/>
      <c r="I2060" s="106"/>
      <c r="L2060" s="143">
        <v>45040</v>
      </c>
      <c r="M2060" s="106">
        <v>840.35</v>
      </c>
      <c r="N2060" s="106">
        <v>851.4</v>
      </c>
      <c r="O2060" s="106">
        <v>838</v>
      </c>
      <c r="P2060" s="106">
        <v>839.95</v>
      </c>
      <c r="Q2060" s="106">
        <v>840.35</v>
      </c>
      <c r="R2060">
        <v>1881240</v>
      </c>
    </row>
    <row r="2061" spans="1:18" x14ac:dyDescent="0.25">
      <c r="A2061" s="143">
        <v>45041</v>
      </c>
      <c r="B2061" s="106">
        <v>845.2</v>
      </c>
      <c r="C2061" s="106">
        <v>838.7</v>
      </c>
      <c r="D2061" s="106">
        <v>836.6</v>
      </c>
      <c r="E2061" s="106">
        <v>840.3</v>
      </c>
      <c r="F2061" s="106">
        <v>838.7</v>
      </c>
      <c r="G2061">
        <v>8421</v>
      </c>
      <c r="H2061" s="106"/>
      <c r="I2061" s="106"/>
      <c r="L2061" s="143">
        <v>45041</v>
      </c>
      <c r="M2061" s="106">
        <v>838.55</v>
      </c>
      <c r="N2061" s="106">
        <v>845.95</v>
      </c>
      <c r="O2061" s="106">
        <v>836</v>
      </c>
      <c r="P2061" s="106">
        <v>841.95</v>
      </c>
      <c r="Q2061" s="106">
        <v>838.55</v>
      </c>
      <c r="R2061">
        <v>839455</v>
      </c>
    </row>
    <row r="2062" spans="1:18" x14ac:dyDescent="0.25">
      <c r="A2062" s="143">
        <v>45042</v>
      </c>
      <c r="B2062" s="106">
        <v>844.9</v>
      </c>
      <c r="C2062" s="106">
        <v>837.95</v>
      </c>
      <c r="D2062" s="106">
        <v>835.05</v>
      </c>
      <c r="E2062" s="106">
        <v>836.15</v>
      </c>
      <c r="F2062" s="106">
        <v>837.95</v>
      </c>
      <c r="G2062">
        <v>18611</v>
      </c>
      <c r="H2062" s="106"/>
      <c r="I2062" s="106"/>
      <c r="L2062" s="143">
        <v>45042</v>
      </c>
      <c r="M2062" s="106">
        <v>838.3</v>
      </c>
      <c r="N2062" s="106">
        <v>845</v>
      </c>
      <c r="O2062" s="106">
        <v>835</v>
      </c>
      <c r="P2062" s="106">
        <v>840</v>
      </c>
      <c r="Q2062" s="106">
        <v>838.3</v>
      </c>
      <c r="R2062">
        <v>458067</v>
      </c>
    </row>
    <row r="2063" spans="1:18" x14ac:dyDescent="0.25">
      <c r="A2063" s="143">
        <v>45043</v>
      </c>
      <c r="B2063" s="106">
        <v>857</v>
      </c>
      <c r="C2063" s="106">
        <v>853.7</v>
      </c>
      <c r="D2063" s="106">
        <v>831.05</v>
      </c>
      <c r="E2063" s="106">
        <v>831.05</v>
      </c>
      <c r="F2063" s="106">
        <v>853.7</v>
      </c>
      <c r="G2063">
        <v>19667</v>
      </c>
      <c r="H2063" s="106"/>
      <c r="I2063" s="106"/>
      <c r="L2063" s="143">
        <v>45043</v>
      </c>
      <c r="M2063" s="106">
        <v>854.4</v>
      </c>
      <c r="N2063" s="106">
        <v>857</v>
      </c>
      <c r="O2063" s="106">
        <v>832.55</v>
      </c>
      <c r="P2063" s="106">
        <v>838.45</v>
      </c>
      <c r="Q2063" s="106">
        <v>854.4</v>
      </c>
      <c r="R2063">
        <v>1635790</v>
      </c>
    </row>
    <row r="2064" spans="1:18" x14ac:dyDescent="0.25">
      <c r="A2064" s="143">
        <v>45044</v>
      </c>
      <c r="B2064" s="106">
        <v>873</v>
      </c>
      <c r="C2064" s="106">
        <v>871.3</v>
      </c>
      <c r="D2064" s="106">
        <v>856.3</v>
      </c>
      <c r="E2064" s="106">
        <v>859</v>
      </c>
      <c r="F2064" s="106">
        <v>871.3</v>
      </c>
      <c r="G2064">
        <v>28670</v>
      </c>
      <c r="H2064" s="106"/>
      <c r="I2064" s="106"/>
      <c r="L2064" s="143">
        <v>45044</v>
      </c>
      <c r="M2064" s="106">
        <v>871.1</v>
      </c>
      <c r="N2064" s="106">
        <v>873.95</v>
      </c>
      <c r="O2064" s="106">
        <v>855.9</v>
      </c>
      <c r="P2064" s="106">
        <v>860.95</v>
      </c>
      <c r="Q2064" s="106">
        <v>871.1</v>
      </c>
      <c r="R2064">
        <v>1499674</v>
      </c>
    </row>
    <row r="2065" spans="1:18" x14ac:dyDescent="0.25">
      <c r="A2065" s="143">
        <v>45048</v>
      </c>
      <c r="B2065" s="106">
        <v>895</v>
      </c>
      <c r="C2065" s="106">
        <v>874.4</v>
      </c>
      <c r="D2065" s="106">
        <v>872.5</v>
      </c>
      <c r="E2065" s="106">
        <v>872.5</v>
      </c>
      <c r="F2065" s="106">
        <v>874.4</v>
      </c>
      <c r="G2065">
        <v>51134</v>
      </c>
      <c r="H2065" s="106"/>
      <c r="I2065" s="106"/>
      <c r="L2065" s="143">
        <v>45048</v>
      </c>
      <c r="M2065" s="106">
        <v>874.7</v>
      </c>
      <c r="N2065" s="106">
        <v>894.9</v>
      </c>
      <c r="O2065" s="106">
        <v>871.15</v>
      </c>
      <c r="P2065" s="106">
        <v>874.75</v>
      </c>
      <c r="Q2065" s="106">
        <v>874.7</v>
      </c>
      <c r="R2065">
        <v>2287265</v>
      </c>
    </row>
    <row r="2066" spans="1:18" x14ac:dyDescent="0.25">
      <c r="A2066" s="143">
        <v>45049</v>
      </c>
      <c r="B2066" s="106">
        <v>888.45</v>
      </c>
      <c r="C2066" s="106">
        <v>886.45</v>
      </c>
      <c r="D2066" s="106">
        <v>872</v>
      </c>
      <c r="E2066" s="106">
        <v>873.35</v>
      </c>
      <c r="F2066" s="106">
        <v>886.45</v>
      </c>
      <c r="G2066">
        <v>28537</v>
      </c>
      <c r="H2066" s="106"/>
      <c r="I2066" s="106"/>
      <c r="L2066" s="143">
        <v>45049</v>
      </c>
      <c r="M2066" s="106">
        <v>886.6</v>
      </c>
      <c r="N2066" s="106">
        <v>888</v>
      </c>
      <c r="O2066" s="106">
        <v>871.25</v>
      </c>
      <c r="P2066" s="106">
        <v>875.15</v>
      </c>
      <c r="Q2066" s="106">
        <v>886.6</v>
      </c>
      <c r="R2066">
        <v>1796299</v>
      </c>
    </row>
    <row r="2067" spans="1:18" x14ac:dyDescent="0.25">
      <c r="A2067" s="143">
        <v>45050</v>
      </c>
      <c r="B2067" s="106">
        <v>970.2</v>
      </c>
      <c r="C2067" s="106">
        <v>950.1</v>
      </c>
      <c r="D2067" s="106">
        <v>915</v>
      </c>
      <c r="E2067" s="106">
        <v>915</v>
      </c>
      <c r="F2067" s="106">
        <v>950.1</v>
      </c>
      <c r="G2067">
        <v>316641</v>
      </c>
      <c r="H2067" s="106"/>
      <c r="I2067" s="106"/>
      <c r="L2067" s="143">
        <v>45050</v>
      </c>
      <c r="M2067" s="106">
        <v>950.2</v>
      </c>
      <c r="N2067" s="106">
        <v>970</v>
      </c>
      <c r="O2067" s="106">
        <v>920.05</v>
      </c>
      <c r="P2067" s="106">
        <v>920.05</v>
      </c>
      <c r="Q2067" s="106">
        <v>950.2</v>
      </c>
      <c r="R2067">
        <v>12337614</v>
      </c>
    </row>
    <row r="2068" spans="1:18" x14ac:dyDescent="0.25">
      <c r="A2068" s="143">
        <v>45051</v>
      </c>
      <c r="B2068" s="106">
        <v>999.15</v>
      </c>
      <c r="C2068" s="106">
        <v>992.4</v>
      </c>
      <c r="D2068" s="106">
        <v>949.2</v>
      </c>
      <c r="E2068" s="106">
        <v>953.95</v>
      </c>
      <c r="F2068" s="106">
        <v>992.4</v>
      </c>
      <c r="G2068">
        <v>175703</v>
      </c>
      <c r="H2068" s="106"/>
      <c r="I2068" s="106"/>
      <c r="L2068" s="143">
        <v>45051</v>
      </c>
      <c r="M2068" s="106">
        <v>991.85</v>
      </c>
      <c r="N2068" s="106">
        <v>999</v>
      </c>
      <c r="O2068" s="106">
        <v>947.05</v>
      </c>
      <c r="P2068" s="106">
        <v>950</v>
      </c>
      <c r="Q2068" s="106">
        <v>991.85</v>
      </c>
      <c r="R2068">
        <v>6761930</v>
      </c>
    </row>
    <row r="2069" spans="1:18" x14ac:dyDescent="0.25">
      <c r="A2069" s="143">
        <v>45054</v>
      </c>
      <c r="B2069" s="106">
        <v>1005</v>
      </c>
      <c r="C2069" s="106">
        <v>1002</v>
      </c>
      <c r="D2069" s="106">
        <v>978.35</v>
      </c>
      <c r="E2069" s="106">
        <v>991.95</v>
      </c>
      <c r="F2069" s="106">
        <v>1002</v>
      </c>
      <c r="G2069">
        <v>116788</v>
      </c>
      <c r="H2069" s="106"/>
      <c r="I2069" s="106"/>
      <c r="L2069" s="143">
        <v>45054</v>
      </c>
      <c r="M2069" s="106">
        <v>1001.9</v>
      </c>
      <c r="N2069" s="106">
        <v>1004.95</v>
      </c>
      <c r="O2069" s="106">
        <v>978.5</v>
      </c>
      <c r="P2069" s="106">
        <v>990</v>
      </c>
      <c r="Q2069" s="106">
        <v>1001.9</v>
      </c>
      <c r="R2069">
        <v>3345621</v>
      </c>
    </row>
    <row r="2070" spans="1:18" x14ac:dyDescent="0.25">
      <c r="A2070" s="143">
        <v>45055</v>
      </c>
      <c r="B2070" s="106">
        <v>1008</v>
      </c>
      <c r="C2070" s="106">
        <v>983.6</v>
      </c>
      <c r="D2070" s="106">
        <v>978.25</v>
      </c>
      <c r="E2070" s="106">
        <v>1001.8</v>
      </c>
      <c r="F2070" s="106">
        <v>983.6</v>
      </c>
      <c r="G2070">
        <v>74633</v>
      </c>
      <c r="H2070" s="106"/>
      <c r="I2070" s="106"/>
      <c r="L2070" s="143">
        <v>45055</v>
      </c>
      <c r="M2070" s="106">
        <v>983.55</v>
      </c>
      <c r="N2070" s="106">
        <v>1007.95</v>
      </c>
      <c r="O2070" s="106">
        <v>978.55</v>
      </c>
      <c r="P2070" s="106">
        <v>999.95</v>
      </c>
      <c r="Q2070" s="106">
        <v>983.55</v>
      </c>
      <c r="R2070">
        <v>2050600</v>
      </c>
    </row>
    <row r="2071" spans="1:18" x14ac:dyDescent="0.25">
      <c r="A2071" s="143">
        <v>45056</v>
      </c>
      <c r="B2071" s="106">
        <v>993</v>
      </c>
      <c r="C2071" s="106">
        <v>989.45</v>
      </c>
      <c r="D2071" s="106">
        <v>975.75</v>
      </c>
      <c r="E2071" s="106">
        <v>982</v>
      </c>
      <c r="F2071" s="106">
        <v>989.45</v>
      </c>
      <c r="G2071">
        <v>47624</v>
      </c>
      <c r="H2071" s="106"/>
      <c r="I2071" s="106"/>
      <c r="L2071" s="143">
        <v>45056</v>
      </c>
      <c r="M2071" s="106">
        <v>989.6</v>
      </c>
      <c r="N2071" s="106">
        <v>994.8</v>
      </c>
      <c r="O2071" s="106">
        <v>976.05</v>
      </c>
      <c r="P2071" s="106">
        <v>986.95</v>
      </c>
      <c r="Q2071" s="106">
        <v>989.6</v>
      </c>
      <c r="R2071">
        <v>1990297</v>
      </c>
    </row>
    <row r="2072" spans="1:18" x14ac:dyDescent="0.25">
      <c r="A2072" s="143">
        <v>45057</v>
      </c>
      <c r="B2072" s="106">
        <v>1004.45</v>
      </c>
      <c r="C2072" s="106">
        <v>999.55</v>
      </c>
      <c r="D2072" s="106">
        <v>985.05</v>
      </c>
      <c r="E2072" s="106">
        <v>990.05</v>
      </c>
      <c r="F2072" s="106">
        <v>999.55</v>
      </c>
      <c r="G2072">
        <v>292131</v>
      </c>
      <c r="H2072" s="106"/>
      <c r="I2072" s="106"/>
      <c r="L2072" s="143">
        <v>45057</v>
      </c>
      <c r="M2072" s="106">
        <v>998.85</v>
      </c>
      <c r="N2072" s="106">
        <v>1005.95</v>
      </c>
      <c r="O2072" s="106">
        <v>985.1</v>
      </c>
      <c r="P2072" s="106">
        <v>1003.1</v>
      </c>
      <c r="Q2072" s="106">
        <v>998.85</v>
      </c>
      <c r="R2072">
        <v>1466977</v>
      </c>
    </row>
    <row r="2073" spans="1:18" x14ac:dyDescent="0.25">
      <c r="A2073" s="143">
        <v>45058</v>
      </c>
      <c r="B2073" s="106">
        <v>1020.85</v>
      </c>
      <c r="C2073" s="106">
        <v>1004.85</v>
      </c>
      <c r="D2073" s="106">
        <v>993.45</v>
      </c>
      <c r="E2073" s="106">
        <v>1004.95</v>
      </c>
      <c r="F2073" s="106">
        <v>1004.85</v>
      </c>
      <c r="G2073">
        <v>53694</v>
      </c>
      <c r="H2073" s="106"/>
      <c r="I2073" s="106"/>
      <c r="L2073" s="143">
        <v>45058</v>
      </c>
      <c r="M2073" s="106">
        <v>1005.05</v>
      </c>
      <c r="N2073" s="106">
        <v>1021</v>
      </c>
      <c r="O2073" s="106">
        <v>993.45</v>
      </c>
      <c r="P2073" s="106">
        <v>1000.5</v>
      </c>
      <c r="Q2073" s="106">
        <v>1005.05</v>
      </c>
      <c r="R2073">
        <v>2231644</v>
      </c>
    </row>
    <row r="2074" spans="1:18" x14ac:dyDescent="0.25">
      <c r="A2074" s="143">
        <v>45061</v>
      </c>
      <c r="B2074" s="106">
        <v>1014.6</v>
      </c>
      <c r="C2074" s="106">
        <v>1002.3</v>
      </c>
      <c r="D2074" s="106">
        <v>991.3</v>
      </c>
      <c r="E2074" s="106">
        <v>991.3</v>
      </c>
      <c r="F2074" s="106">
        <v>1002.3</v>
      </c>
      <c r="G2074">
        <v>291344</v>
      </c>
      <c r="H2074" s="106"/>
      <c r="I2074" s="106"/>
      <c r="L2074" s="143">
        <v>45061</v>
      </c>
      <c r="M2074" s="106">
        <v>1003.5</v>
      </c>
      <c r="N2074" s="106">
        <v>1015</v>
      </c>
      <c r="O2074" s="106">
        <v>998.85</v>
      </c>
      <c r="P2074" s="106">
        <v>1005.05</v>
      </c>
      <c r="Q2074" s="106">
        <v>1003.5</v>
      </c>
      <c r="R2074">
        <v>1414453</v>
      </c>
    </row>
    <row r="2075" spans="1:18" x14ac:dyDescent="0.25">
      <c r="A2075" s="143">
        <v>45062</v>
      </c>
      <c r="B2075" s="106">
        <v>1024.8499999999999</v>
      </c>
      <c r="C2075" s="106">
        <v>1020.35</v>
      </c>
      <c r="D2075" s="106">
        <v>1002.3</v>
      </c>
      <c r="E2075" s="106">
        <v>1002.3</v>
      </c>
      <c r="F2075" s="106">
        <v>1020.35</v>
      </c>
      <c r="G2075">
        <v>24167</v>
      </c>
      <c r="H2075" s="106"/>
      <c r="I2075" s="106"/>
      <c r="L2075" s="143">
        <v>45062</v>
      </c>
      <c r="M2075" s="106">
        <v>1020.4</v>
      </c>
      <c r="N2075" s="106">
        <v>1024.9000000000001</v>
      </c>
      <c r="O2075" s="106">
        <v>1003.15</v>
      </c>
      <c r="P2075" s="106">
        <v>1003.5</v>
      </c>
      <c r="Q2075" s="106">
        <v>1020.4</v>
      </c>
      <c r="R2075">
        <v>2314978</v>
      </c>
    </row>
    <row r="2076" spans="1:18" x14ac:dyDescent="0.25">
      <c r="A2076" s="143">
        <v>45063</v>
      </c>
      <c r="B2076" s="106">
        <v>1024.6500000000001</v>
      </c>
      <c r="C2076" s="106">
        <v>1011.7</v>
      </c>
      <c r="D2076" s="106">
        <v>1007.95</v>
      </c>
      <c r="E2076" s="106">
        <v>1020</v>
      </c>
      <c r="F2076" s="106">
        <v>1011.7</v>
      </c>
      <c r="G2076">
        <v>25346</v>
      </c>
      <c r="H2076" s="106"/>
      <c r="I2076" s="106"/>
      <c r="L2076" s="143">
        <v>45063</v>
      </c>
      <c r="M2076" s="106">
        <v>1011.6</v>
      </c>
      <c r="N2076" s="106">
        <v>1024</v>
      </c>
      <c r="O2076" s="106">
        <v>1007.2</v>
      </c>
      <c r="P2076" s="106">
        <v>1019.75</v>
      </c>
      <c r="Q2076" s="106">
        <v>1011.6</v>
      </c>
      <c r="R2076">
        <v>1389487</v>
      </c>
    </row>
    <row r="2077" spans="1:18" x14ac:dyDescent="0.25">
      <c r="A2077" s="143">
        <v>45064</v>
      </c>
      <c r="B2077" s="106">
        <v>1048.0999999999999</v>
      </c>
      <c r="C2077" s="106">
        <v>1042.1500000000001</v>
      </c>
      <c r="D2077" s="106">
        <v>1010</v>
      </c>
      <c r="E2077" s="106">
        <v>1010</v>
      </c>
      <c r="F2077" s="106">
        <v>1042.1500000000001</v>
      </c>
      <c r="G2077">
        <v>72999</v>
      </c>
      <c r="H2077" s="106"/>
      <c r="I2077" s="106"/>
      <c r="L2077" s="143">
        <v>45064</v>
      </c>
      <c r="M2077" s="106">
        <v>1042.3</v>
      </c>
      <c r="N2077" s="106">
        <v>1049.95</v>
      </c>
      <c r="O2077" s="106">
        <v>1011.1</v>
      </c>
      <c r="P2077" s="106">
        <v>1011.6</v>
      </c>
      <c r="Q2077" s="106">
        <v>1042.3</v>
      </c>
      <c r="R2077">
        <v>3347392</v>
      </c>
    </row>
    <row r="2078" spans="1:18" x14ac:dyDescent="0.25">
      <c r="A2078" s="143">
        <v>45065</v>
      </c>
      <c r="B2078" s="106">
        <v>1048.95</v>
      </c>
      <c r="C2078" s="106">
        <v>1042.75</v>
      </c>
      <c r="D2078" s="106">
        <v>1026.0999999999999</v>
      </c>
      <c r="E2078" s="106">
        <v>1043</v>
      </c>
      <c r="F2078" s="106">
        <v>1042.75</v>
      </c>
      <c r="G2078">
        <v>287368</v>
      </c>
      <c r="H2078" s="106"/>
      <c r="I2078" s="106"/>
      <c r="L2078" s="143">
        <v>45065</v>
      </c>
      <c r="M2078" s="106">
        <v>1043.4000000000001</v>
      </c>
      <c r="N2078" s="106">
        <v>1049.1500000000001</v>
      </c>
      <c r="O2078" s="106">
        <v>1025.9000000000001</v>
      </c>
      <c r="P2078" s="106">
        <v>1043</v>
      </c>
      <c r="Q2078" s="106">
        <v>1043.4000000000001</v>
      </c>
      <c r="R2078">
        <v>1114239</v>
      </c>
    </row>
    <row r="2079" spans="1:18" x14ac:dyDescent="0.25">
      <c r="A2079" s="143">
        <v>45068</v>
      </c>
      <c r="B2079" s="106">
        <v>1056</v>
      </c>
      <c r="C2079" s="106">
        <v>1053.9000000000001</v>
      </c>
      <c r="D2079" s="106">
        <v>1034.6500000000001</v>
      </c>
      <c r="E2079" s="106">
        <v>1034.6500000000001</v>
      </c>
      <c r="F2079" s="106">
        <v>1053.9000000000001</v>
      </c>
      <c r="G2079">
        <v>16779</v>
      </c>
      <c r="H2079" s="106"/>
      <c r="I2079" s="106"/>
      <c r="L2079" s="143">
        <v>45068</v>
      </c>
      <c r="M2079" s="106">
        <v>1053.7</v>
      </c>
      <c r="N2079" s="106">
        <v>1056.5</v>
      </c>
      <c r="O2079" s="106">
        <v>1034.3499999999999</v>
      </c>
      <c r="P2079" s="106">
        <v>1040.95</v>
      </c>
      <c r="Q2079" s="106">
        <v>1053.7</v>
      </c>
      <c r="R2079">
        <v>975036</v>
      </c>
    </row>
    <row r="2080" spans="1:18" x14ac:dyDescent="0.25">
      <c r="A2080" s="143">
        <v>45069</v>
      </c>
      <c r="B2080" s="106">
        <v>1069.45</v>
      </c>
      <c r="C2080" s="106">
        <v>1060.9000000000001</v>
      </c>
      <c r="D2080" s="106">
        <v>1051.05</v>
      </c>
      <c r="E2080" s="106">
        <v>1054</v>
      </c>
      <c r="F2080" s="106">
        <v>1060.9000000000001</v>
      </c>
      <c r="G2080">
        <v>78601</v>
      </c>
      <c r="H2080" s="106"/>
      <c r="I2080" s="106"/>
      <c r="L2080" s="143">
        <v>45069</v>
      </c>
      <c r="M2080" s="106">
        <v>1060.6500000000001</v>
      </c>
      <c r="N2080" s="106">
        <v>1069.8</v>
      </c>
      <c r="O2080" s="106">
        <v>1051.0999999999999</v>
      </c>
      <c r="P2080" s="106">
        <v>1055</v>
      </c>
      <c r="Q2080" s="106">
        <v>1060.6500000000001</v>
      </c>
      <c r="R2080">
        <v>2106878</v>
      </c>
    </row>
    <row r="2081" spans="1:18" x14ac:dyDescent="0.25">
      <c r="A2081" s="143">
        <v>45070</v>
      </c>
      <c r="B2081" s="106">
        <v>1067.55</v>
      </c>
      <c r="C2081" s="106">
        <v>1052.5</v>
      </c>
      <c r="D2081" s="106">
        <v>1050</v>
      </c>
      <c r="E2081" s="106">
        <v>1064.95</v>
      </c>
      <c r="F2081" s="106">
        <v>1052.5</v>
      </c>
      <c r="G2081">
        <v>21625</v>
      </c>
      <c r="H2081" s="106"/>
      <c r="I2081" s="106"/>
      <c r="L2081" s="143">
        <v>45070</v>
      </c>
      <c r="M2081" s="106">
        <v>1052.2</v>
      </c>
      <c r="N2081" s="106">
        <v>1067.45</v>
      </c>
      <c r="O2081" s="106">
        <v>1050</v>
      </c>
      <c r="P2081" s="106">
        <v>1060</v>
      </c>
      <c r="Q2081" s="106">
        <v>1052.2</v>
      </c>
      <c r="R2081">
        <v>1530243</v>
      </c>
    </row>
    <row r="2082" spans="1:18" x14ac:dyDescent="0.25">
      <c r="A2082" s="143">
        <v>45071</v>
      </c>
      <c r="B2082" s="106">
        <v>1063.8</v>
      </c>
      <c r="C2082" s="106">
        <v>1059.55</v>
      </c>
      <c r="D2082" s="106">
        <v>1047.8</v>
      </c>
      <c r="E2082" s="106">
        <v>1050</v>
      </c>
      <c r="F2082" s="106">
        <v>1059.55</v>
      </c>
      <c r="G2082">
        <v>21512</v>
      </c>
      <c r="H2082" s="106"/>
      <c r="I2082" s="106"/>
      <c r="L2082" s="143">
        <v>45071</v>
      </c>
      <c r="M2082" s="106">
        <v>1059.45</v>
      </c>
      <c r="N2082" s="106">
        <v>1064</v>
      </c>
      <c r="O2082" s="106">
        <v>1047.95</v>
      </c>
      <c r="P2082" s="106">
        <v>1052.2</v>
      </c>
      <c r="Q2082" s="106">
        <v>1059.45</v>
      </c>
      <c r="R2082">
        <v>1180607</v>
      </c>
    </row>
    <row r="2083" spans="1:18" x14ac:dyDescent="0.25">
      <c r="A2083" s="143">
        <v>45072</v>
      </c>
      <c r="B2083" s="106">
        <v>1063.75</v>
      </c>
      <c r="C2083" s="106">
        <v>1050.1500000000001</v>
      </c>
      <c r="D2083" s="106">
        <v>1041.55</v>
      </c>
      <c r="E2083" s="106">
        <v>1059.55</v>
      </c>
      <c r="F2083" s="106">
        <v>1050.1500000000001</v>
      </c>
      <c r="G2083">
        <v>33754</v>
      </c>
      <c r="H2083" s="106"/>
      <c r="I2083" s="106"/>
      <c r="L2083" s="143">
        <v>45072</v>
      </c>
      <c r="M2083" s="106">
        <v>1049.7</v>
      </c>
      <c r="N2083" s="106">
        <v>1063.4000000000001</v>
      </c>
      <c r="O2083" s="106">
        <v>1041.5999999999999</v>
      </c>
      <c r="P2083" s="106">
        <v>1060.05</v>
      </c>
      <c r="Q2083" s="106">
        <v>1049.7</v>
      </c>
      <c r="R2083">
        <v>1013930</v>
      </c>
    </row>
    <row r="2084" spans="1:18" x14ac:dyDescent="0.25">
      <c r="A2084" s="143">
        <v>45075</v>
      </c>
      <c r="B2084" s="106">
        <v>1061.8</v>
      </c>
      <c r="C2084" s="106">
        <v>1055.45</v>
      </c>
      <c r="D2084" s="106">
        <v>1050.2</v>
      </c>
      <c r="E2084" s="106">
        <v>1050.2</v>
      </c>
      <c r="F2084" s="106">
        <v>1055.45</v>
      </c>
      <c r="G2084">
        <v>24176</v>
      </c>
      <c r="H2084" s="106"/>
      <c r="I2084" s="106"/>
      <c r="L2084" s="143">
        <v>45075</v>
      </c>
      <c r="M2084" s="106">
        <v>1055.4000000000001</v>
      </c>
      <c r="N2084" s="106">
        <v>1061.8</v>
      </c>
      <c r="O2084" s="106">
        <v>1051</v>
      </c>
      <c r="P2084" s="106">
        <v>1056</v>
      </c>
      <c r="Q2084" s="106">
        <v>1055.4000000000001</v>
      </c>
      <c r="R2084">
        <v>758768</v>
      </c>
    </row>
    <row r="2085" spans="1:18" x14ac:dyDescent="0.25">
      <c r="A2085" s="143">
        <v>45076</v>
      </c>
      <c r="B2085" s="106">
        <v>1057.0999999999999</v>
      </c>
      <c r="C2085" s="106">
        <v>1045.3</v>
      </c>
      <c r="D2085" s="106">
        <v>1037</v>
      </c>
      <c r="E2085" s="106">
        <v>1055</v>
      </c>
      <c r="F2085" s="106">
        <v>1045.3</v>
      </c>
      <c r="G2085">
        <v>97227</v>
      </c>
      <c r="H2085" s="106"/>
      <c r="I2085" s="106"/>
      <c r="L2085" s="143">
        <v>45076</v>
      </c>
      <c r="M2085" s="106">
        <v>1046.3</v>
      </c>
      <c r="N2085" s="106">
        <v>1058</v>
      </c>
      <c r="O2085" s="106">
        <v>1036.75</v>
      </c>
      <c r="P2085" s="106">
        <v>1058</v>
      </c>
      <c r="Q2085" s="106">
        <v>1046.3</v>
      </c>
      <c r="R2085">
        <v>1051231</v>
      </c>
    </row>
    <row r="2086" spans="1:18" x14ac:dyDescent="0.25">
      <c r="A2086" s="143">
        <v>45077</v>
      </c>
      <c r="B2086" s="106">
        <v>1054.5</v>
      </c>
      <c r="C2086" s="106">
        <v>1050.9000000000001</v>
      </c>
      <c r="D2086" s="106">
        <v>1036.75</v>
      </c>
      <c r="E2086" s="106">
        <v>1045.3</v>
      </c>
      <c r="F2086" s="106">
        <v>1050.9000000000001</v>
      </c>
      <c r="G2086">
        <v>7846</v>
      </c>
      <c r="H2086" s="106"/>
      <c r="I2086" s="106"/>
      <c r="L2086" s="143">
        <v>45077</v>
      </c>
      <c r="M2086" s="106">
        <v>1050.9000000000001</v>
      </c>
      <c r="N2086" s="106">
        <v>1057.8</v>
      </c>
      <c r="O2086" s="106">
        <v>1036.6500000000001</v>
      </c>
      <c r="P2086" s="106">
        <v>1046.5</v>
      </c>
      <c r="Q2086" s="106">
        <v>1050.9000000000001</v>
      </c>
      <c r="R2086">
        <v>2135788</v>
      </c>
    </row>
    <row r="2087" spans="1:18" x14ac:dyDescent="0.25">
      <c r="A2087" s="143">
        <v>45078</v>
      </c>
      <c r="B2087" s="106">
        <v>1050.4000000000001</v>
      </c>
      <c r="C2087" s="106">
        <v>1043.75</v>
      </c>
      <c r="D2087" s="106">
        <v>1037.9000000000001</v>
      </c>
      <c r="E2087" s="106">
        <v>1047.9000000000001</v>
      </c>
      <c r="F2087" s="106">
        <v>1043.75</v>
      </c>
      <c r="G2087">
        <v>19594</v>
      </c>
      <c r="H2087" s="106"/>
      <c r="I2087" s="106"/>
      <c r="L2087" s="143">
        <v>45078</v>
      </c>
      <c r="M2087" s="106">
        <v>1043.9000000000001</v>
      </c>
      <c r="N2087" s="106">
        <v>1051</v>
      </c>
      <c r="O2087" s="106">
        <v>1038</v>
      </c>
      <c r="P2087" s="106">
        <v>1051</v>
      </c>
      <c r="Q2087" s="106">
        <v>1043.9000000000001</v>
      </c>
      <c r="R2087">
        <v>847659</v>
      </c>
    </row>
    <row r="2088" spans="1:18" x14ac:dyDescent="0.25">
      <c r="A2088" s="143">
        <v>45079</v>
      </c>
      <c r="B2088" s="106">
        <v>1048</v>
      </c>
      <c r="C2088" s="106">
        <v>1039.0999999999999</v>
      </c>
      <c r="D2088" s="106">
        <v>1036.25</v>
      </c>
      <c r="E2088" s="106">
        <v>1044</v>
      </c>
      <c r="F2088" s="106">
        <v>1039.0999999999999</v>
      </c>
      <c r="G2088">
        <v>29356</v>
      </c>
      <c r="H2088" s="106"/>
      <c r="I2088" s="106"/>
      <c r="L2088" s="143">
        <v>45079</v>
      </c>
      <c r="M2088" s="106">
        <v>1039.3</v>
      </c>
      <c r="N2088" s="106">
        <v>1049.6500000000001</v>
      </c>
      <c r="O2088" s="106">
        <v>1036.3</v>
      </c>
      <c r="P2088" s="106">
        <v>1045.9000000000001</v>
      </c>
      <c r="Q2088" s="106">
        <v>1039.3</v>
      </c>
      <c r="R2088">
        <v>1447106</v>
      </c>
    </row>
    <row r="2089" spans="1:18" x14ac:dyDescent="0.25">
      <c r="A2089" s="143">
        <v>45082</v>
      </c>
      <c r="B2089" s="106">
        <v>1052</v>
      </c>
      <c r="C2089" s="106">
        <v>1048.4000000000001</v>
      </c>
      <c r="D2089" s="106">
        <v>1036.55</v>
      </c>
      <c r="E2089" s="106">
        <v>1039.25</v>
      </c>
      <c r="F2089" s="106">
        <v>1048.4000000000001</v>
      </c>
      <c r="G2089">
        <v>18294</v>
      </c>
      <c r="H2089" s="106"/>
      <c r="I2089" s="106"/>
      <c r="L2089" s="143">
        <v>45082</v>
      </c>
      <c r="M2089" s="106">
        <v>1048.55</v>
      </c>
      <c r="N2089" s="106">
        <v>1057</v>
      </c>
      <c r="O2089" s="106">
        <v>1036.55</v>
      </c>
      <c r="P2089" s="106">
        <v>1041.1500000000001</v>
      </c>
      <c r="Q2089" s="106">
        <v>1048.55</v>
      </c>
      <c r="R2089">
        <v>1064602</v>
      </c>
    </row>
    <row r="2090" spans="1:18" x14ac:dyDescent="0.25">
      <c r="A2090" s="143">
        <v>45083</v>
      </c>
      <c r="B2090" s="106">
        <v>1061.25</v>
      </c>
      <c r="C2090" s="106">
        <v>1057.0999999999999</v>
      </c>
      <c r="D2090" s="106">
        <v>1045</v>
      </c>
      <c r="E2090" s="106">
        <v>1045.05</v>
      </c>
      <c r="F2090" s="106">
        <v>1057.0999999999999</v>
      </c>
      <c r="G2090">
        <v>11017</v>
      </c>
      <c r="H2090" s="106"/>
      <c r="I2090" s="106"/>
      <c r="L2090" s="143">
        <v>45083</v>
      </c>
      <c r="M2090" s="106">
        <v>1057.25</v>
      </c>
      <c r="N2090" s="106">
        <v>1061</v>
      </c>
      <c r="O2090" s="106">
        <v>1044.75</v>
      </c>
      <c r="P2090" s="106">
        <v>1048.55</v>
      </c>
      <c r="Q2090" s="106">
        <v>1057.25</v>
      </c>
      <c r="R2090">
        <v>734902</v>
      </c>
    </row>
    <row r="2091" spans="1:18" x14ac:dyDescent="0.25">
      <c r="A2091" s="143">
        <v>45084</v>
      </c>
      <c r="B2091" s="106">
        <v>1077.25</v>
      </c>
      <c r="C2091" s="106">
        <v>1073.0999999999999</v>
      </c>
      <c r="D2091" s="106">
        <v>1056</v>
      </c>
      <c r="E2091" s="106">
        <v>1060</v>
      </c>
      <c r="F2091" s="106">
        <v>1073.0999999999999</v>
      </c>
      <c r="G2091">
        <v>18189</v>
      </c>
      <c r="H2091" s="106"/>
      <c r="I2091" s="106"/>
      <c r="L2091" s="143">
        <v>45084</v>
      </c>
      <c r="M2091" s="106">
        <v>1073.2</v>
      </c>
      <c r="N2091" s="106">
        <v>1077</v>
      </c>
      <c r="O2091" s="106">
        <v>1055.8</v>
      </c>
      <c r="P2091" s="106">
        <v>1061</v>
      </c>
      <c r="Q2091" s="106">
        <v>1073.2</v>
      </c>
      <c r="R2091">
        <v>1250088</v>
      </c>
    </row>
    <row r="2092" spans="1:18" x14ac:dyDescent="0.25">
      <c r="A2092" s="143">
        <v>45085</v>
      </c>
      <c r="B2092" s="106">
        <v>1082.25</v>
      </c>
      <c r="C2092" s="106">
        <v>1061.5</v>
      </c>
      <c r="D2092" s="106">
        <v>1060</v>
      </c>
      <c r="E2092" s="106">
        <v>1073.2</v>
      </c>
      <c r="F2092" s="106">
        <v>1061.5</v>
      </c>
      <c r="G2092">
        <v>10295</v>
      </c>
      <c r="H2092" s="106"/>
      <c r="I2092" s="106"/>
      <c r="L2092" s="143">
        <v>45085</v>
      </c>
      <c r="M2092" s="106">
        <v>1061.5999999999999</v>
      </c>
      <c r="N2092" s="106">
        <v>1081.75</v>
      </c>
      <c r="O2092" s="106">
        <v>1058.7</v>
      </c>
      <c r="P2092" s="106">
        <v>1073.2</v>
      </c>
      <c r="Q2092" s="106">
        <v>1061.5999999999999</v>
      </c>
      <c r="R2092">
        <v>746564</v>
      </c>
    </row>
    <row r="2093" spans="1:18" x14ac:dyDescent="0.25">
      <c r="A2093" s="143">
        <v>45086</v>
      </c>
      <c r="B2093" s="106">
        <v>1070.95</v>
      </c>
      <c r="C2093" s="106">
        <v>1065.8499999999999</v>
      </c>
      <c r="D2093" s="106">
        <v>1050.05</v>
      </c>
      <c r="E2093" s="106">
        <v>1050.05</v>
      </c>
      <c r="F2093" s="106">
        <v>1065.8499999999999</v>
      </c>
      <c r="G2093">
        <v>12686</v>
      </c>
      <c r="H2093" s="106"/>
      <c r="I2093" s="106"/>
      <c r="L2093" s="143">
        <v>45086</v>
      </c>
      <c r="M2093" s="106">
        <v>1065.7</v>
      </c>
      <c r="N2093" s="106">
        <v>1071</v>
      </c>
      <c r="O2093" s="106">
        <v>1056</v>
      </c>
      <c r="P2093" s="106">
        <v>1060.95</v>
      </c>
      <c r="Q2093" s="106">
        <v>1065.7</v>
      </c>
      <c r="R2093">
        <v>399906</v>
      </c>
    </row>
    <row r="2094" spans="1:18" x14ac:dyDescent="0.25">
      <c r="A2094" s="143">
        <v>45089</v>
      </c>
      <c r="B2094" s="106">
        <v>1075.9000000000001</v>
      </c>
      <c r="C2094" s="106">
        <v>1073.2</v>
      </c>
      <c r="D2094" s="106">
        <v>1054.5999999999999</v>
      </c>
      <c r="E2094" s="106">
        <v>1065</v>
      </c>
      <c r="F2094" s="106">
        <v>1073.2</v>
      </c>
      <c r="G2094">
        <v>16989</v>
      </c>
      <c r="H2094" s="106"/>
      <c r="I2094" s="106"/>
      <c r="L2094" s="143">
        <v>45089</v>
      </c>
      <c r="M2094" s="106">
        <v>1073.0999999999999</v>
      </c>
      <c r="N2094" s="106">
        <v>1076</v>
      </c>
      <c r="O2094" s="106">
        <v>1054.3</v>
      </c>
      <c r="P2094" s="106">
        <v>1067.5</v>
      </c>
      <c r="Q2094" s="106">
        <v>1073.0999999999999</v>
      </c>
      <c r="R2094">
        <v>492042</v>
      </c>
    </row>
    <row r="2095" spans="1:18" x14ac:dyDescent="0.25">
      <c r="A2095" s="143">
        <v>45090</v>
      </c>
      <c r="B2095" s="106">
        <v>1104.95</v>
      </c>
      <c r="C2095" s="106">
        <v>1101.75</v>
      </c>
      <c r="D2095" s="106">
        <v>1075.4000000000001</v>
      </c>
      <c r="E2095" s="106">
        <v>1075.4000000000001</v>
      </c>
      <c r="F2095" s="106">
        <v>1101.75</v>
      </c>
      <c r="G2095">
        <v>46587</v>
      </c>
      <c r="H2095" s="106"/>
      <c r="I2095" s="106"/>
      <c r="L2095" s="143">
        <v>45090</v>
      </c>
      <c r="M2095" s="106">
        <v>1101.8</v>
      </c>
      <c r="N2095" s="106">
        <v>1104.4000000000001</v>
      </c>
      <c r="O2095" s="106">
        <v>1075.5999999999999</v>
      </c>
      <c r="P2095" s="106">
        <v>1080.25</v>
      </c>
      <c r="Q2095" s="106">
        <v>1101.8</v>
      </c>
      <c r="R2095">
        <v>1729173</v>
      </c>
    </row>
    <row r="2096" spans="1:18" x14ac:dyDescent="0.25">
      <c r="A2096" s="143">
        <v>45091</v>
      </c>
      <c r="B2096" s="106">
        <v>1102.8499999999999</v>
      </c>
      <c r="C2096" s="106">
        <v>1099.5999999999999</v>
      </c>
      <c r="D2096" s="106">
        <v>1085</v>
      </c>
      <c r="E2096" s="106">
        <v>1101.05</v>
      </c>
      <c r="F2096" s="106">
        <v>1099.5999999999999</v>
      </c>
      <c r="G2096">
        <v>13837</v>
      </c>
      <c r="H2096" s="106"/>
      <c r="I2096" s="106"/>
      <c r="L2096" s="143">
        <v>45091</v>
      </c>
      <c r="M2096" s="106">
        <v>1099.3</v>
      </c>
      <c r="N2096" s="106">
        <v>1103</v>
      </c>
      <c r="O2096" s="106">
        <v>1084.1500000000001</v>
      </c>
      <c r="P2096" s="106">
        <v>1103</v>
      </c>
      <c r="Q2096" s="106">
        <v>1099.3</v>
      </c>
      <c r="R2096">
        <v>2229661</v>
      </c>
    </row>
    <row r="2097" spans="1:18" x14ac:dyDescent="0.25">
      <c r="A2097" s="143">
        <v>45092</v>
      </c>
      <c r="B2097" s="106">
        <v>1123.5999999999999</v>
      </c>
      <c r="C2097" s="106">
        <v>1112.3499999999999</v>
      </c>
      <c r="D2097" s="106">
        <v>1097.75</v>
      </c>
      <c r="E2097" s="106">
        <v>1108</v>
      </c>
      <c r="F2097" s="106">
        <v>1112.3499999999999</v>
      </c>
      <c r="G2097">
        <v>39633</v>
      </c>
      <c r="H2097" s="106"/>
      <c r="I2097" s="106"/>
      <c r="L2097" s="143">
        <v>45092</v>
      </c>
      <c r="M2097" s="106">
        <v>1112.9000000000001</v>
      </c>
      <c r="N2097" s="106">
        <v>1123.55</v>
      </c>
      <c r="O2097" s="106">
        <v>1096.5999999999999</v>
      </c>
      <c r="P2097" s="106">
        <v>1103.5999999999999</v>
      </c>
      <c r="Q2097" s="106">
        <v>1112.9000000000001</v>
      </c>
      <c r="R2097">
        <v>1371182</v>
      </c>
    </row>
    <row r="2098" spans="1:18" x14ac:dyDescent="0.25">
      <c r="A2098" s="143">
        <v>45093</v>
      </c>
      <c r="B2098" s="106">
        <v>1131.05</v>
      </c>
      <c r="C2098" s="106">
        <v>1126.8499999999999</v>
      </c>
      <c r="D2098" s="106">
        <v>1112.55</v>
      </c>
      <c r="E2098" s="106">
        <v>1114</v>
      </c>
      <c r="F2098" s="106">
        <v>1126.8499999999999</v>
      </c>
      <c r="G2098">
        <v>14000</v>
      </c>
      <c r="H2098" s="106"/>
      <c r="I2098" s="106"/>
      <c r="L2098" s="143">
        <v>45093</v>
      </c>
      <c r="M2098" s="106">
        <v>1126.6500000000001</v>
      </c>
      <c r="N2098" s="106">
        <v>1131</v>
      </c>
      <c r="O2098" s="106">
        <v>1112</v>
      </c>
      <c r="P2098" s="106">
        <v>1112.9000000000001</v>
      </c>
      <c r="Q2098" s="106">
        <v>1126.6500000000001</v>
      </c>
      <c r="R2098">
        <v>1238110</v>
      </c>
    </row>
    <row r="2099" spans="1:18" x14ac:dyDescent="0.25">
      <c r="A2099" s="143">
        <v>45096</v>
      </c>
      <c r="B2099" s="106">
        <v>1149.75</v>
      </c>
      <c r="C2099" s="106">
        <v>1132.5</v>
      </c>
      <c r="D2099" s="106">
        <v>1128.3</v>
      </c>
      <c r="E2099" s="106">
        <v>1130.95</v>
      </c>
      <c r="F2099" s="106">
        <v>1132.5</v>
      </c>
      <c r="G2099">
        <v>39273</v>
      </c>
      <c r="H2099" s="106"/>
      <c r="I2099" s="106"/>
      <c r="L2099" s="143">
        <v>45096</v>
      </c>
      <c r="M2099" s="106">
        <v>1132.25</v>
      </c>
      <c r="N2099" s="106">
        <v>1149.9000000000001</v>
      </c>
      <c r="O2099" s="106">
        <v>1127.55</v>
      </c>
      <c r="P2099" s="106">
        <v>1128.45</v>
      </c>
      <c r="Q2099" s="106">
        <v>1132.25</v>
      </c>
      <c r="R2099">
        <v>1000080</v>
      </c>
    </row>
    <row r="2100" spans="1:18" x14ac:dyDescent="0.25">
      <c r="A2100" s="143">
        <v>45097</v>
      </c>
      <c r="B2100" s="106">
        <v>1135.8499999999999</v>
      </c>
      <c r="C2100" s="106">
        <v>1122.3</v>
      </c>
      <c r="D2100" s="106">
        <v>1116.8</v>
      </c>
      <c r="E2100" s="106">
        <v>1130</v>
      </c>
      <c r="F2100" s="106">
        <v>1122.3</v>
      </c>
      <c r="G2100">
        <v>27544</v>
      </c>
      <c r="H2100" s="106"/>
      <c r="I2100" s="106"/>
      <c r="L2100" s="143">
        <v>45097</v>
      </c>
      <c r="M2100" s="106">
        <v>1121.9000000000001</v>
      </c>
      <c r="N2100" s="106">
        <v>1136.3499999999999</v>
      </c>
      <c r="O2100" s="106">
        <v>1117.05</v>
      </c>
      <c r="P2100" s="106">
        <v>1132.25</v>
      </c>
      <c r="Q2100" s="106">
        <v>1121.9000000000001</v>
      </c>
      <c r="R2100">
        <v>1192136</v>
      </c>
    </row>
    <row r="2101" spans="1:18" x14ac:dyDescent="0.25">
      <c r="A2101" s="143">
        <v>45098</v>
      </c>
      <c r="B2101" s="106">
        <v>1155</v>
      </c>
      <c r="C2101" s="106">
        <v>1133.6500000000001</v>
      </c>
      <c r="D2101" s="106">
        <v>1125.05</v>
      </c>
      <c r="E2101" s="106">
        <v>1125.05</v>
      </c>
      <c r="F2101" s="106">
        <v>1133.6500000000001</v>
      </c>
      <c r="G2101">
        <v>29761</v>
      </c>
      <c r="H2101" s="106"/>
      <c r="I2101" s="106"/>
      <c r="L2101" s="143">
        <v>45098</v>
      </c>
      <c r="M2101" s="106">
        <v>1134.3499999999999</v>
      </c>
      <c r="N2101" s="106">
        <v>1155</v>
      </c>
      <c r="O2101" s="106">
        <v>1125.0999999999999</v>
      </c>
      <c r="P2101" s="106">
        <v>1126.9000000000001</v>
      </c>
      <c r="Q2101" s="106">
        <v>1134.3499999999999</v>
      </c>
      <c r="R2101">
        <v>1068007</v>
      </c>
    </row>
    <row r="2102" spans="1:18" x14ac:dyDescent="0.25">
      <c r="A2102" s="143">
        <v>45099</v>
      </c>
      <c r="B2102" s="106">
        <v>1153.9000000000001</v>
      </c>
      <c r="C2102" s="106">
        <v>1099.95</v>
      </c>
      <c r="D2102" s="106">
        <v>1095.6500000000001</v>
      </c>
      <c r="E2102" s="106">
        <v>1153.9000000000001</v>
      </c>
      <c r="F2102" s="106">
        <v>1099.95</v>
      </c>
      <c r="G2102">
        <v>30866</v>
      </c>
      <c r="H2102" s="106"/>
      <c r="I2102" s="106"/>
      <c r="L2102" s="143">
        <v>45099</v>
      </c>
      <c r="M2102" s="106">
        <v>1100.2</v>
      </c>
      <c r="N2102" s="106">
        <v>1135</v>
      </c>
      <c r="O2102" s="106">
        <v>1095</v>
      </c>
      <c r="P2102" s="106">
        <v>1135</v>
      </c>
      <c r="Q2102" s="106">
        <v>1100.2</v>
      </c>
      <c r="R2102">
        <v>824251</v>
      </c>
    </row>
    <row r="2103" spans="1:18" x14ac:dyDescent="0.25">
      <c r="A2103" s="143">
        <v>45100</v>
      </c>
      <c r="B2103" s="106">
        <v>1104</v>
      </c>
      <c r="C2103" s="106">
        <v>1090.4000000000001</v>
      </c>
      <c r="D2103" s="106">
        <v>1078</v>
      </c>
      <c r="E2103" s="106">
        <v>1104</v>
      </c>
      <c r="F2103" s="106">
        <v>1090.4000000000001</v>
      </c>
      <c r="G2103">
        <v>14949</v>
      </c>
      <c r="H2103" s="106"/>
      <c r="I2103" s="106"/>
      <c r="L2103" s="143">
        <v>45100</v>
      </c>
      <c r="M2103" s="106">
        <v>1090.1500000000001</v>
      </c>
      <c r="N2103" s="106">
        <v>1106.05</v>
      </c>
      <c r="O2103" s="106">
        <v>1077.3499999999999</v>
      </c>
      <c r="P2103" s="106">
        <v>1100.25</v>
      </c>
      <c r="Q2103" s="106">
        <v>1090.1500000000001</v>
      </c>
      <c r="R2103">
        <v>976315</v>
      </c>
    </row>
    <row r="2104" spans="1:18" x14ac:dyDescent="0.25">
      <c r="A2104" s="143">
        <v>45103</v>
      </c>
      <c r="B2104" s="106">
        <v>1089.25</v>
      </c>
      <c r="C2104" s="106">
        <v>1078</v>
      </c>
      <c r="D2104" s="106">
        <v>1067.95</v>
      </c>
      <c r="E2104" s="106">
        <v>1086.05</v>
      </c>
      <c r="F2104" s="106">
        <v>1078</v>
      </c>
      <c r="G2104">
        <v>25937</v>
      </c>
      <c r="H2104" s="106"/>
      <c r="I2104" s="106"/>
      <c r="L2104" s="143">
        <v>45103</v>
      </c>
      <c r="M2104" s="106">
        <v>1077.5999999999999</v>
      </c>
      <c r="N2104" s="106">
        <v>1090</v>
      </c>
      <c r="O2104" s="106">
        <v>1068.05</v>
      </c>
      <c r="P2104" s="106">
        <v>1090</v>
      </c>
      <c r="Q2104" s="106">
        <v>1077.5999999999999</v>
      </c>
      <c r="R2104">
        <v>1188620</v>
      </c>
    </row>
    <row r="2105" spans="1:18" x14ac:dyDescent="0.25">
      <c r="A2105" s="143">
        <v>45104</v>
      </c>
      <c r="B2105" s="106">
        <v>1097</v>
      </c>
      <c r="C2105" s="106">
        <v>1092.95</v>
      </c>
      <c r="D2105" s="106">
        <v>1071.7</v>
      </c>
      <c r="E2105" s="106">
        <v>1088.95</v>
      </c>
      <c r="F2105" s="106">
        <v>1092.95</v>
      </c>
      <c r="G2105">
        <v>33702</v>
      </c>
      <c r="H2105" s="106"/>
      <c r="I2105" s="106"/>
      <c r="L2105" s="143">
        <v>45104</v>
      </c>
      <c r="M2105" s="106">
        <v>1093.8499999999999</v>
      </c>
      <c r="N2105" s="106">
        <v>1098</v>
      </c>
      <c r="O2105" s="106">
        <v>1071.45</v>
      </c>
      <c r="P2105" s="106">
        <v>1077</v>
      </c>
      <c r="Q2105" s="106">
        <v>1093.8499999999999</v>
      </c>
      <c r="R2105">
        <v>2266411</v>
      </c>
    </row>
    <row r="2106" spans="1:18" x14ac:dyDescent="0.25">
      <c r="A2106" s="143">
        <v>45105</v>
      </c>
      <c r="B2106" s="106">
        <v>1131.3</v>
      </c>
      <c r="C2106" s="106">
        <v>1125.0999999999999</v>
      </c>
      <c r="D2106" s="106">
        <v>1093.95</v>
      </c>
      <c r="E2106" s="106">
        <v>1093.95</v>
      </c>
      <c r="F2106" s="106">
        <v>1125.0999999999999</v>
      </c>
      <c r="G2106">
        <v>26879</v>
      </c>
      <c r="H2106" s="106"/>
      <c r="I2106" s="106"/>
      <c r="L2106" s="143">
        <v>45105</v>
      </c>
      <c r="M2106" s="106">
        <v>1127.5</v>
      </c>
      <c r="N2106" s="106">
        <v>1131.1500000000001</v>
      </c>
      <c r="O2106" s="106">
        <v>1095.95</v>
      </c>
      <c r="P2106" s="106">
        <v>1102</v>
      </c>
      <c r="Q2106" s="106">
        <v>1127.5</v>
      </c>
      <c r="R2106">
        <v>2480325</v>
      </c>
    </row>
    <row r="2107" spans="1:18" x14ac:dyDescent="0.25">
      <c r="A2107" s="143">
        <v>45107</v>
      </c>
      <c r="B2107" s="106">
        <v>1147.25</v>
      </c>
      <c r="C2107" s="106">
        <v>1141.75</v>
      </c>
      <c r="D2107" s="106">
        <v>1119.6500000000001</v>
      </c>
      <c r="E2107" s="106">
        <v>1125.0999999999999</v>
      </c>
      <c r="F2107" s="106">
        <v>1141.75</v>
      </c>
      <c r="G2107">
        <v>48294</v>
      </c>
      <c r="H2107" s="106"/>
      <c r="I2107" s="106"/>
      <c r="L2107" s="143">
        <v>45107</v>
      </c>
      <c r="M2107" s="106">
        <v>1142</v>
      </c>
      <c r="N2107" s="106">
        <v>1147.45</v>
      </c>
      <c r="O2107" s="106">
        <v>1119.4000000000001</v>
      </c>
      <c r="P2107" s="106">
        <v>1128.0999999999999</v>
      </c>
      <c r="Q2107" s="106">
        <v>1142</v>
      </c>
      <c r="R2107">
        <v>1324535</v>
      </c>
    </row>
    <row r="2108" spans="1:18" x14ac:dyDescent="0.25">
      <c r="A2108" s="143">
        <v>45110</v>
      </c>
      <c r="B2108" s="106">
        <v>1175.5999999999999</v>
      </c>
      <c r="C2108" s="106">
        <v>1169</v>
      </c>
      <c r="D2108" s="106">
        <v>1142.05</v>
      </c>
      <c r="E2108" s="106">
        <v>1142.05</v>
      </c>
      <c r="F2108" s="106">
        <v>1169</v>
      </c>
      <c r="G2108">
        <v>29477</v>
      </c>
      <c r="H2108" s="106"/>
      <c r="I2108" s="106"/>
      <c r="L2108" s="143">
        <v>45110</v>
      </c>
      <c r="M2108" s="106">
        <v>1169.1500000000001</v>
      </c>
      <c r="N2108" s="106">
        <v>1176</v>
      </c>
      <c r="O2108" s="106">
        <v>1145</v>
      </c>
      <c r="P2108" s="106">
        <v>1146.55</v>
      </c>
      <c r="Q2108" s="106">
        <v>1169.1500000000001</v>
      </c>
      <c r="R2108">
        <v>1283781</v>
      </c>
    </row>
    <row r="2109" spans="1:18" x14ac:dyDescent="0.25">
      <c r="A2109" s="143">
        <v>45111</v>
      </c>
      <c r="B2109" s="106">
        <v>1214.5999999999999</v>
      </c>
      <c r="C2109" s="106">
        <v>1187.0999999999999</v>
      </c>
      <c r="D2109" s="106">
        <v>1163.25</v>
      </c>
      <c r="E2109" s="106">
        <v>1177</v>
      </c>
      <c r="F2109" s="106">
        <v>1187.0999999999999</v>
      </c>
      <c r="G2109">
        <v>51626</v>
      </c>
      <c r="H2109" s="106"/>
      <c r="I2109" s="106"/>
      <c r="L2109" s="143">
        <v>45111</v>
      </c>
      <c r="M2109" s="106">
        <v>1187.25</v>
      </c>
      <c r="N2109" s="106">
        <v>1214.5999999999999</v>
      </c>
      <c r="O2109" s="106">
        <v>1162.7</v>
      </c>
      <c r="P2109" s="106">
        <v>1176.1500000000001</v>
      </c>
      <c r="Q2109" s="106">
        <v>1187.25</v>
      </c>
      <c r="R2109">
        <v>2333220</v>
      </c>
    </row>
    <row r="2110" spans="1:18" x14ac:dyDescent="0.25">
      <c r="A2110" s="143">
        <v>45112</v>
      </c>
      <c r="B2110" s="106">
        <v>1205</v>
      </c>
      <c r="C2110" s="106">
        <v>1186.5</v>
      </c>
      <c r="D2110" s="106">
        <v>1170.3499999999999</v>
      </c>
      <c r="E2110" s="106">
        <v>1170.3499999999999</v>
      </c>
      <c r="F2110" s="106">
        <v>1186.5</v>
      </c>
      <c r="G2110">
        <v>16985</v>
      </c>
      <c r="H2110" s="106"/>
      <c r="I2110" s="106"/>
      <c r="L2110" s="143">
        <v>45112</v>
      </c>
      <c r="M2110" s="106">
        <v>1186.45</v>
      </c>
      <c r="N2110" s="106">
        <v>1205.25</v>
      </c>
      <c r="O2110" s="106">
        <v>1177.25</v>
      </c>
      <c r="P2110" s="106">
        <v>1187.25</v>
      </c>
      <c r="Q2110" s="106">
        <v>1186.45</v>
      </c>
      <c r="R2110">
        <v>1314398</v>
      </c>
    </row>
    <row r="2111" spans="1:18" x14ac:dyDescent="0.25">
      <c r="A2111" s="143">
        <v>45113</v>
      </c>
      <c r="B2111" s="106">
        <v>1199.95</v>
      </c>
      <c r="C2111" s="106">
        <v>1165.05</v>
      </c>
      <c r="D2111" s="106">
        <v>1155.25</v>
      </c>
      <c r="E2111" s="106">
        <v>1189.95</v>
      </c>
      <c r="F2111" s="106">
        <v>1165.05</v>
      </c>
      <c r="G2111">
        <v>74367</v>
      </c>
      <c r="H2111" s="106"/>
      <c r="I2111" s="106"/>
      <c r="L2111" s="143">
        <v>45113</v>
      </c>
      <c r="M2111" s="106">
        <v>1165.5</v>
      </c>
      <c r="N2111" s="106">
        <v>1200</v>
      </c>
      <c r="O2111" s="106">
        <v>1155.25</v>
      </c>
      <c r="P2111" s="106">
        <v>1188.9000000000001</v>
      </c>
      <c r="Q2111" s="106">
        <v>1165.5</v>
      </c>
      <c r="R2111">
        <v>2164923</v>
      </c>
    </row>
    <row r="2112" spans="1:18" x14ac:dyDescent="0.25">
      <c r="A2112" s="143">
        <v>45114</v>
      </c>
      <c r="B2112" s="106">
        <v>1190.25</v>
      </c>
      <c r="C2112" s="106">
        <v>1177.25</v>
      </c>
      <c r="D2112" s="106">
        <v>1161.3499999999999</v>
      </c>
      <c r="E2112" s="106">
        <v>1165.5</v>
      </c>
      <c r="F2112" s="106">
        <v>1177.25</v>
      </c>
      <c r="G2112">
        <v>42769</v>
      </c>
      <c r="H2112" s="106"/>
      <c r="I2112" s="106"/>
      <c r="L2112" s="143">
        <v>45114</v>
      </c>
      <c r="M2112" s="106">
        <v>1176.75</v>
      </c>
      <c r="N2112" s="106">
        <v>1190</v>
      </c>
      <c r="O2112" s="106">
        <v>1160.5</v>
      </c>
      <c r="P2112" s="106">
        <v>1170</v>
      </c>
      <c r="Q2112" s="106">
        <v>1176.75</v>
      </c>
      <c r="R2112">
        <v>2423669</v>
      </c>
    </row>
    <row r="2113" spans="1:18" x14ac:dyDescent="0.25">
      <c r="A2113" s="143">
        <v>45117</v>
      </c>
      <c r="B2113" s="106">
        <v>1195</v>
      </c>
      <c r="C2113" s="106">
        <v>1151.7</v>
      </c>
      <c r="D2113" s="106">
        <v>1141.6500000000001</v>
      </c>
      <c r="E2113" s="106">
        <v>1190</v>
      </c>
      <c r="F2113" s="106">
        <v>1151.7</v>
      </c>
      <c r="G2113">
        <v>52392</v>
      </c>
      <c r="H2113" s="106"/>
      <c r="I2113" s="106"/>
      <c r="L2113" s="143">
        <v>45117</v>
      </c>
      <c r="M2113" s="106">
        <v>1151.3499999999999</v>
      </c>
      <c r="N2113" s="106">
        <v>1193.2</v>
      </c>
      <c r="O2113" s="106">
        <v>1141.4000000000001</v>
      </c>
      <c r="P2113" s="106">
        <v>1188.6500000000001</v>
      </c>
      <c r="Q2113" s="106">
        <v>1151.3499999999999</v>
      </c>
      <c r="R2113">
        <v>1855765</v>
      </c>
    </row>
    <row r="2114" spans="1:18" x14ac:dyDescent="0.25">
      <c r="A2114" s="143">
        <v>45118</v>
      </c>
      <c r="B2114" s="106">
        <v>1174</v>
      </c>
      <c r="C2114" s="106">
        <v>1132.3499999999999</v>
      </c>
      <c r="D2114" s="106">
        <v>1129.0999999999999</v>
      </c>
      <c r="E2114" s="106">
        <v>1157.25</v>
      </c>
      <c r="F2114" s="106">
        <v>1132.3499999999999</v>
      </c>
      <c r="G2114">
        <v>158471</v>
      </c>
      <c r="H2114" s="106"/>
      <c r="I2114" s="106"/>
      <c r="L2114" s="143">
        <v>45118</v>
      </c>
      <c r="M2114" s="106">
        <v>1132</v>
      </c>
      <c r="N2114" s="106">
        <v>1174.7</v>
      </c>
      <c r="O2114" s="106">
        <v>1128.5999999999999</v>
      </c>
      <c r="P2114" s="106">
        <v>1157.7</v>
      </c>
      <c r="Q2114" s="106">
        <v>1132</v>
      </c>
      <c r="R2114">
        <v>2060175</v>
      </c>
    </row>
    <row r="2115" spans="1:18" x14ac:dyDescent="0.25">
      <c r="A2115" s="143">
        <v>45119</v>
      </c>
      <c r="B2115" s="106">
        <v>1151.95</v>
      </c>
      <c r="C2115" s="106">
        <v>1149</v>
      </c>
      <c r="D2115" s="106">
        <v>1121.2</v>
      </c>
      <c r="E2115" s="106">
        <v>1135.95</v>
      </c>
      <c r="F2115" s="106">
        <v>1149</v>
      </c>
      <c r="G2115">
        <v>37922</v>
      </c>
      <c r="H2115" s="106"/>
      <c r="I2115" s="106"/>
      <c r="L2115" s="143">
        <v>45119</v>
      </c>
      <c r="M2115" s="106">
        <v>1148.55</v>
      </c>
      <c r="N2115" s="106">
        <v>1151.75</v>
      </c>
      <c r="O2115" s="106">
        <v>1121.4000000000001</v>
      </c>
      <c r="P2115" s="106">
        <v>1138.75</v>
      </c>
      <c r="Q2115" s="106">
        <v>1148.55</v>
      </c>
      <c r="R2115">
        <v>1741178</v>
      </c>
    </row>
    <row r="2116" spans="1:18" x14ac:dyDescent="0.25">
      <c r="A2116" s="143">
        <v>45120</v>
      </c>
      <c r="B2116" s="106">
        <v>1164.55</v>
      </c>
      <c r="C2116" s="106">
        <v>1151.0999999999999</v>
      </c>
      <c r="D2116" s="106">
        <v>1142.45</v>
      </c>
      <c r="E2116" s="106">
        <v>1159.95</v>
      </c>
      <c r="F2116" s="106">
        <v>1151.0999999999999</v>
      </c>
      <c r="G2116">
        <v>41698</v>
      </c>
      <c r="H2116" s="106"/>
      <c r="I2116" s="106"/>
      <c r="L2116" s="143">
        <v>45120</v>
      </c>
      <c r="M2116" s="106">
        <v>1150.8</v>
      </c>
      <c r="N2116" s="106">
        <v>1164.9000000000001</v>
      </c>
      <c r="O2116" s="106">
        <v>1142</v>
      </c>
      <c r="P2116" s="106">
        <v>1154.55</v>
      </c>
      <c r="Q2116" s="106">
        <v>1150.8</v>
      </c>
      <c r="R2116">
        <v>1156904</v>
      </c>
    </row>
    <row r="2117" spans="1:18" x14ac:dyDescent="0.25">
      <c r="A2117" s="143">
        <v>45121</v>
      </c>
      <c r="B2117" s="106">
        <v>1174.1500000000001</v>
      </c>
      <c r="C2117" s="106">
        <v>1164.5</v>
      </c>
      <c r="D2117" s="106">
        <v>1152.8</v>
      </c>
      <c r="E2117" s="106">
        <v>1167.2</v>
      </c>
      <c r="F2117" s="106">
        <v>1164.5</v>
      </c>
      <c r="G2117">
        <v>45499</v>
      </c>
      <c r="H2117" s="106"/>
      <c r="I2117" s="106"/>
      <c r="L2117" s="143">
        <v>45121</v>
      </c>
      <c r="M2117" s="106">
        <v>1164.3499999999999</v>
      </c>
      <c r="N2117" s="106">
        <v>1175</v>
      </c>
      <c r="O2117" s="106">
        <v>1152.75</v>
      </c>
      <c r="P2117" s="106">
        <v>1167.05</v>
      </c>
      <c r="Q2117" s="106">
        <v>1164.3499999999999</v>
      </c>
      <c r="R2117">
        <v>1162429</v>
      </c>
    </row>
    <row r="2118" spans="1:18" x14ac:dyDescent="0.25">
      <c r="A2118" s="143">
        <v>45124</v>
      </c>
      <c r="B2118" s="106">
        <v>1173</v>
      </c>
      <c r="C2118" s="106">
        <v>1164.45</v>
      </c>
      <c r="D2118" s="106">
        <v>1160.45</v>
      </c>
      <c r="E2118" s="106">
        <v>1162.95</v>
      </c>
      <c r="F2118" s="106">
        <v>1164.45</v>
      </c>
      <c r="G2118">
        <v>28859</v>
      </c>
      <c r="H2118" s="106"/>
      <c r="I2118" s="106"/>
      <c r="L2118" s="143">
        <v>45124</v>
      </c>
      <c r="M2118" s="106">
        <v>1164.6500000000001</v>
      </c>
      <c r="N2118" s="106">
        <v>1173.6500000000001</v>
      </c>
      <c r="O2118" s="106">
        <v>1160.4000000000001</v>
      </c>
      <c r="P2118" s="106">
        <v>1166.25</v>
      </c>
      <c r="Q2118" s="106">
        <v>1164.6500000000001</v>
      </c>
      <c r="R2118">
        <v>1017237</v>
      </c>
    </row>
    <row r="2119" spans="1:18" x14ac:dyDescent="0.25">
      <c r="A2119" s="143">
        <v>45125</v>
      </c>
      <c r="B2119" s="106">
        <v>1174.95</v>
      </c>
      <c r="C2119" s="106">
        <v>1146.3</v>
      </c>
      <c r="D2119" s="106">
        <v>1134.7</v>
      </c>
      <c r="E2119" s="106">
        <v>1174.95</v>
      </c>
      <c r="F2119" s="106">
        <v>1146.3</v>
      </c>
      <c r="G2119">
        <v>27271</v>
      </c>
      <c r="H2119" s="106"/>
      <c r="I2119" s="106"/>
      <c r="L2119" s="143">
        <v>45125</v>
      </c>
      <c r="M2119" s="106">
        <v>1145.95</v>
      </c>
      <c r="N2119" s="106">
        <v>1167.95</v>
      </c>
      <c r="O2119" s="106">
        <v>1134.3499999999999</v>
      </c>
      <c r="P2119" s="106">
        <v>1167</v>
      </c>
      <c r="Q2119" s="106">
        <v>1145.95</v>
      </c>
      <c r="R2119">
        <v>1648553</v>
      </c>
    </row>
    <row r="2120" spans="1:18" x14ac:dyDescent="0.25">
      <c r="A2120" s="143">
        <v>45126</v>
      </c>
      <c r="B2120" s="106">
        <v>1173.25</v>
      </c>
      <c r="C2120" s="106">
        <v>1169.75</v>
      </c>
      <c r="D2120" s="106">
        <v>1144.5999999999999</v>
      </c>
      <c r="E2120" s="106">
        <v>1146.4000000000001</v>
      </c>
      <c r="F2120" s="106">
        <v>1169.75</v>
      </c>
      <c r="G2120">
        <v>41276</v>
      </c>
      <c r="H2120" s="106"/>
      <c r="I2120" s="106"/>
      <c r="L2120" s="143">
        <v>45126</v>
      </c>
      <c r="M2120" s="106">
        <v>1170.3</v>
      </c>
      <c r="N2120" s="106">
        <v>1173.75</v>
      </c>
      <c r="O2120" s="106">
        <v>1143.55</v>
      </c>
      <c r="P2120" s="106">
        <v>1147.0999999999999</v>
      </c>
      <c r="Q2120" s="106">
        <v>1170.3</v>
      </c>
      <c r="R2120">
        <v>855773</v>
      </c>
    </row>
    <row r="2121" spans="1:18" x14ac:dyDescent="0.25">
      <c r="A2121" s="143">
        <v>45127</v>
      </c>
      <c r="B2121" s="106">
        <v>1177.55</v>
      </c>
      <c r="C2121" s="106">
        <v>1157.25</v>
      </c>
      <c r="D2121" s="106">
        <v>1127.8499999999999</v>
      </c>
      <c r="E2121" s="106">
        <v>1170.5</v>
      </c>
      <c r="F2121" s="106">
        <v>1157.25</v>
      </c>
      <c r="G2121">
        <v>37183</v>
      </c>
      <c r="H2121" s="106"/>
      <c r="I2121" s="106"/>
      <c r="L2121" s="143">
        <v>45127</v>
      </c>
      <c r="M2121" s="106">
        <v>1158.55</v>
      </c>
      <c r="N2121" s="106">
        <v>1177.8</v>
      </c>
      <c r="O2121" s="106">
        <v>1127.9000000000001</v>
      </c>
      <c r="P2121" s="106">
        <v>1175.45</v>
      </c>
      <c r="Q2121" s="106">
        <v>1158.55</v>
      </c>
      <c r="R2121">
        <v>2683274</v>
      </c>
    </row>
    <row r="2122" spans="1:18" x14ac:dyDescent="0.25">
      <c r="A2122" s="143">
        <v>45128</v>
      </c>
      <c r="B2122" s="106">
        <v>1163.95</v>
      </c>
      <c r="C2122" s="106">
        <v>1135.05</v>
      </c>
      <c r="D2122" s="106">
        <v>1131.6500000000001</v>
      </c>
      <c r="E2122" s="106">
        <v>1154.05</v>
      </c>
      <c r="F2122" s="106">
        <v>1135.05</v>
      </c>
      <c r="G2122">
        <v>37815</v>
      </c>
      <c r="H2122" s="106"/>
      <c r="I2122" s="106"/>
      <c r="L2122" s="143">
        <v>45128</v>
      </c>
      <c r="M2122" s="106">
        <v>1134.75</v>
      </c>
      <c r="N2122" s="106">
        <v>1164.2</v>
      </c>
      <c r="O2122" s="106">
        <v>1131.7</v>
      </c>
      <c r="P2122" s="106">
        <v>1158.55</v>
      </c>
      <c r="Q2122" s="106">
        <v>1134.75</v>
      </c>
      <c r="R2122">
        <v>1743039</v>
      </c>
    </row>
    <row r="2123" spans="1:18" x14ac:dyDescent="0.25">
      <c r="A2123" s="143">
        <v>45131</v>
      </c>
      <c r="B2123" s="106">
        <v>1149.1500000000001</v>
      </c>
      <c r="C2123" s="106">
        <v>1145.25</v>
      </c>
      <c r="D2123" s="106">
        <v>1128.75</v>
      </c>
      <c r="E2123" s="106">
        <v>1135.5999999999999</v>
      </c>
      <c r="F2123" s="106">
        <v>1145.25</v>
      </c>
      <c r="G2123">
        <v>26682</v>
      </c>
      <c r="H2123" s="106"/>
      <c r="I2123" s="106"/>
      <c r="L2123" s="143">
        <v>45131</v>
      </c>
      <c r="M2123" s="106">
        <v>1145.3499999999999</v>
      </c>
      <c r="N2123" s="106">
        <v>1149.4000000000001</v>
      </c>
      <c r="O2123" s="106">
        <v>1128.6500000000001</v>
      </c>
      <c r="P2123" s="106">
        <v>1135</v>
      </c>
      <c r="Q2123" s="106">
        <v>1145.3499999999999</v>
      </c>
      <c r="R2123">
        <v>1186393</v>
      </c>
    </row>
    <row r="2124" spans="1:18" x14ac:dyDescent="0.25">
      <c r="A2124" s="143">
        <v>45132</v>
      </c>
      <c r="B2124" s="106">
        <v>1153.2</v>
      </c>
      <c r="C2124" s="106">
        <v>1127.4000000000001</v>
      </c>
      <c r="D2124" s="106">
        <v>1120.2</v>
      </c>
      <c r="E2124" s="106">
        <v>1145.25</v>
      </c>
      <c r="F2124" s="106">
        <v>1127.4000000000001</v>
      </c>
      <c r="G2124">
        <v>26420</v>
      </c>
      <c r="H2124" s="106"/>
      <c r="I2124" s="106"/>
      <c r="L2124" s="143">
        <v>45132</v>
      </c>
      <c r="M2124" s="106">
        <v>1127.4000000000001</v>
      </c>
      <c r="N2124" s="106">
        <v>1154.2</v>
      </c>
      <c r="O2124" s="106">
        <v>1120</v>
      </c>
      <c r="P2124" s="106">
        <v>1145.5</v>
      </c>
      <c r="Q2124" s="106">
        <v>1127.4000000000001</v>
      </c>
      <c r="R2124">
        <v>1848535</v>
      </c>
    </row>
    <row r="2125" spans="1:18" x14ac:dyDescent="0.25">
      <c r="A2125" s="143">
        <v>45133</v>
      </c>
      <c r="B2125" s="106">
        <v>1152.5999999999999</v>
      </c>
      <c r="C2125" s="106">
        <v>1141.5</v>
      </c>
      <c r="D2125" s="106">
        <v>1130.6500000000001</v>
      </c>
      <c r="E2125" s="106">
        <v>1144.8</v>
      </c>
      <c r="F2125" s="106">
        <v>1141.5</v>
      </c>
      <c r="G2125">
        <v>33538</v>
      </c>
      <c r="H2125" s="106"/>
      <c r="I2125" s="106"/>
      <c r="L2125" s="143">
        <v>45133</v>
      </c>
      <c r="M2125" s="106">
        <v>1141.55</v>
      </c>
      <c r="N2125" s="106">
        <v>1152.8</v>
      </c>
      <c r="O2125" s="106">
        <v>1130</v>
      </c>
      <c r="P2125" s="106">
        <v>1137</v>
      </c>
      <c r="Q2125" s="106">
        <v>1141.55</v>
      </c>
      <c r="R2125">
        <v>1192657</v>
      </c>
    </row>
    <row r="2126" spans="1:18" x14ac:dyDescent="0.25">
      <c r="A2126" s="143">
        <v>45134</v>
      </c>
      <c r="B2126" s="106">
        <v>1155.0999999999999</v>
      </c>
      <c r="C2126" s="106">
        <v>1135.6500000000001</v>
      </c>
      <c r="D2126" s="106">
        <v>1130.05</v>
      </c>
      <c r="E2126" s="106">
        <v>1130.05</v>
      </c>
      <c r="F2126" s="106">
        <v>1135.6500000000001</v>
      </c>
      <c r="G2126">
        <v>16870</v>
      </c>
      <c r="H2126" s="106"/>
      <c r="I2126" s="106"/>
      <c r="L2126" s="143">
        <v>45134</v>
      </c>
      <c r="M2126" s="106">
        <v>1135.95</v>
      </c>
      <c r="N2126" s="106">
        <v>1155.8499999999999</v>
      </c>
      <c r="O2126" s="106">
        <v>1130.5</v>
      </c>
      <c r="P2126" s="106">
        <v>1142.75</v>
      </c>
      <c r="Q2126" s="106">
        <v>1135.95</v>
      </c>
      <c r="R2126">
        <v>1048117</v>
      </c>
    </row>
    <row r="2127" spans="1:18" x14ac:dyDescent="0.25">
      <c r="A2127" s="143">
        <v>45135</v>
      </c>
      <c r="B2127" s="106">
        <v>1151.75</v>
      </c>
      <c r="C2127" s="106">
        <v>1136.5</v>
      </c>
      <c r="D2127" s="106">
        <v>1127.5</v>
      </c>
      <c r="E2127" s="106">
        <v>1133.6500000000001</v>
      </c>
      <c r="F2127" s="106">
        <v>1136.5</v>
      </c>
      <c r="G2127">
        <v>21599</v>
      </c>
      <c r="H2127" s="106"/>
      <c r="I2127" s="106"/>
      <c r="L2127" s="143">
        <v>45135</v>
      </c>
      <c r="M2127" s="106">
        <v>1137.5999999999999</v>
      </c>
      <c r="N2127" s="106">
        <v>1151.95</v>
      </c>
      <c r="O2127" s="106">
        <v>1127.25</v>
      </c>
      <c r="P2127" s="106">
        <v>1139.9000000000001</v>
      </c>
      <c r="Q2127" s="106">
        <v>1137.5999999999999</v>
      </c>
      <c r="R2127">
        <v>1541596</v>
      </c>
    </row>
    <row r="2128" spans="1:18" x14ac:dyDescent="0.25">
      <c r="A2128" s="143">
        <v>45138</v>
      </c>
      <c r="B2128" s="106">
        <v>1144.3499999999999</v>
      </c>
      <c r="C2128" s="106">
        <v>1131.6500000000001</v>
      </c>
      <c r="D2128" s="106">
        <v>1127</v>
      </c>
      <c r="E2128" s="106">
        <v>1129</v>
      </c>
      <c r="F2128" s="106">
        <v>1131.6500000000001</v>
      </c>
      <c r="G2128">
        <v>191551</v>
      </c>
      <c r="H2128" s="106"/>
      <c r="I2128" s="106"/>
      <c r="L2128" s="143">
        <v>45138</v>
      </c>
      <c r="M2128" s="106">
        <v>1132.0999999999999</v>
      </c>
      <c r="N2128" s="106">
        <v>1144.8</v>
      </c>
      <c r="O2128" s="106">
        <v>1119.2</v>
      </c>
      <c r="P2128" s="106">
        <v>1119.2</v>
      </c>
      <c r="Q2128" s="106">
        <v>1132.0999999999999</v>
      </c>
      <c r="R2128">
        <v>1153814</v>
      </c>
    </row>
    <row r="2129" spans="1:18" x14ac:dyDescent="0.25">
      <c r="A2129" s="143">
        <v>45139</v>
      </c>
      <c r="B2129" s="106">
        <v>1144.1500000000001</v>
      </c>
      <c r="C2129" s="106">
        <v>1130.6500000000001</v>
      </c>
      <c r="D2129" s="106">
        <v>1125.7</v>
      </c>
      <c r="E2129" s="106">
        <v>1144.1500000000001</v>
      </c>
      <c r="F2129" s="106">
        <v>1130.6500000000001</v>
      </c>
      <c r="G2129">
        <v>25909</v>
      </c>
      <c r="H2129" s="106"/>
      <c r="I2129" s="106"/>
      <c r="L2129" s="143">
        <v>45139</v>
      </c>
      <c r="M2129" s="106">
        <v>1130.45</v>
      </c>
      <c r="N2129" s="106">
        <v>1138.45</v>
      </c>
      <c r="O2129" s="106">
        <v>1125</v>
      </c>
      <c r="P2129" s="106">
        <v>1135.9000000000001</v>
      </c>
      <c r="Q2129" s="106">
        <v>1130.45</v>
      </c>
      <c r="R2129">
        <v>1034376</v>
      </c>
    </row>
    <row r="2130" spans="1:18" x14ac:dyDescent="0.25">
      <c r="A2130" s="143">
        <v>45140</v>
      </c>
      <c r="B2130" s="106">
        <v>1125.25</v>
      </c>
      <c r="C2130" s="106">
        <v>1099.6500000000001</v>
      </c>
      <c r="D2130" s="106">
        <v>1073.5999999999999</v>
      </c>
      <c r="E2130" s="106">
        <v>1095</v>
      </c>
      <c r="F2130" s="106">
        <v>1099.6500000000001</v>
      </c>
      <c r="G2130">
        <v>221369</v>
      </c>
      <c r="H2130" s="106"/>
      <c r="I2130" s="106"/>
      <c r="L2130" s="143">
        <v>45140</v>
      </c>
      <c r="M2130" s="106">
        <v>1099.4000000000001</v>
      </c>
      <c r="N2130" s="106">
        <v>1126.4000000000001</v>
      </c>
      <c r="O2130" s="106">
        <v>1073.45</v>
      </c>
      <c r="P2130" s="106">
        <v>1099</v>
      </c>
      <c r="Q2130" s="106">
        <v>1099.4000000000001</v>
      </c>
      <c r="R2130">
        <v>9033508</v>
      </c>
    </row>
    <row r="2131" spans="1:18" x14ac:dyDescent="0.25">
      <c r="A2131" s="143">
        <v>45141</v>
      </c>
      <c r="B2131" s="106">
        <v>1105.4000000000001</v>
      </c>
      <c r="C2131" s="106">
        <v>1068.7</v>
      </c>
      <c r="D2131" s="106">
        <v>1051</v>
      </c>
      <c r="E2131" s="106">
        <v>1102.8</v>
      </c>
      <c r="F2131" s="106">
        <v>1068.7</v>
      </c>
      <c r="G2131">
        <v>114271</v>
      </c>
      <c r="H2131" s="106"/>
      <c r="I2131" s="106"/>
      <c r="L2131" s="143">
        <v>45141</v>
      </c>
      <c r="M2131" s="106">
        <v>1070.45</v>
      </c>
      <c r="N2131" s="106">
        <v>1106.2</v>
      </c>
      <c r="O2131" s="106">
        <v>1051</v>
      </c>
      <c r="P2131" s="106">
        <v>1099.95</v>
      </c>
      <c r="Q2131" s="106">
        <v>1070.45</v>
      </c>
      <c r="R2131">
        <v>2445500</v>
      </c>
    </row>
    <row r="2132" spans="1:18" x14ac:dyDescent="0.25">
      <c r="A2132" s="143">
        <v>45142</v>
      </c>
      <c r="B2132" s="106">
        <v>1092.05</v>
      </c>
      <c r="C2132" s="106">
        <v>1084.5999999999999</v>
      </c>
      <c r="D2132" s="106">
        <v>1073</v>
      </c>
      <c r="E2132" s="106">
        <v>1075.3</v>
      </c>
      <c r="F2132" s="106">
        <v>1084.5999999999999</v>
      </c>
      <c r="G2132">
        <v>28571</v>
      </c>
      <c r="H2132" s="106"/>
      <c r="I2132" s="106"/>
      <c r="L2132" s="143">
        <v>45142</v>
      </c>
      <c r="M2132" s="106">
        <v>1085.3</v>
      </c>
      <c r="N2132" s="106">
        <v>1092</v>
      </c>
      <c r="O2132" s="106">
        <v>1072.1500000000001</v>
      </c>
      <c r="P2132" s="106">
        <v>1083.9000000000001</v>
      </c>
      <c r="Q2132" s="106">
        <v>1085.3</v>
      </c>
      <c r="R2132">
        <v>1562887</v>
      </c>
    </row>
    <row r="2133" spans="1:18" x14ac:dyDescent="0.25">
      <c r="A2133" s="143">
        <v>45145</v>
      </c>
      <c r="B2133" s="106">
        <v>1085</v>
      </c>
      <c r="C2133" s="106">
        <v>1067.0999999999999</v>
      </c>
      <c r="D2133" s="106">
        <v>1063.9000000000001</v>
      </c>
      <c r="E2133" s="106">
        <v>1085</v>
      </c>
      <c r="F2133" s="106">
        <v>1067.0999999999999</v>
      </c>
      <c r="G2133">
        <v>29082</v>
      </c>
      <c r="H2133" s="106"/>
      <c r="I2133" s="106"/>
      <c r="L2133" s="143">
        <v>45145</v>
      </c>
      <c r="M2133" s="106">
        <v>1067.95</v>
      </c>
      <c r="N2133" s="106">
        <v>1083.8</v>
      </c>
      <c r="O2133" s="106">
        <v>1063.2</v>
      </c>
      <c r="P2133" s="106">
        <v>1082</v>
      </c>
      <c r="Q2133" s="106">
        <v>1067.95</v>
      </c>
      <c r="R2133">
        <v>1332355</v>
      </c>
    </row>
    <row r="2134" spans="1:18" x14ac:dyDescent="0.25">
      <c r="A2134" s="143">
        <v>45146</v>
      </c>
      <c r="B2134" s="106">
        <v>1073.4000000000001</v>
      </c>
      <c r="C2134" s="106">
        <v>1057.7</v>
      </c>
      <c r="D2134" s="106">
        <v>1050.95</v>
      </c>
      <c r="E2134" s="106">
        <v>1060.0999999999999</v>
      </c>
      <c r="F2134" s="106">
        <v>1057.7</v>
      </c>
      <c r="G2134">
        <v>13453</v>
      </c>
      <c r="H2134" s="106"/>
      <c r="I2134" s="106"/>
      <c r="L2134" s="143">
        <v>45146</v>
      </c>
      <c r="M2134" s="106">
        <v>1057.8</v>
      </c>
      <c r="N2134" s="106">
        <v>1073.3</v>
      </c>
      <c r="O2134" s="106">
        <v>1050.95</v>
      </c>
      <c r="P2134" s="106">
        <v>1067.95</v>
      </c>
      <c r="Q2134" s="106">
        <v>1057.8</v>
      </c>
      <c r="R2134">
        <v>1948626</v>
      </c>
    </row>
    <row r="2135" spans="1:18" x14ac:dyDescent="0.25">
      <c r="A2135" s="143">
        <v>45147</v>
      </c>
      <c r="B2135" s="106">
        <v>1065.3</v>
      </c>
      <c r="C2135" s="106">
        <v>1056</v>
      </c>
      <c r="D2135" s="106">
        <v>1050.1500000000001</v>
      </c>
      <c r="E2135" s="106">
        <v>1050.75</v>
      </c>
      <c r="F2135" s="106">
        <v>1056</v>
      </c>
      <c r="G2135">
        <v>17092</v>
      </c>
      <c r="H2135" s="106"/>
      <c r="I2135" s="106"/>
      <c r="L2135" s="143">
        <v>45147</v>
      </c>
      <c r="M2135" s="106">
        <v>1055.6500000000001</v>
      </c>
      <c r="N2135" s="106">
        <v>1065.9000000000001</v>
      </c>
      <c r="O2135" s="106">
        <v>1049.8499999999999</v>
      </c>
      <c r="P2135" s="106">
        <v>1057.8</v>
      </c>
      <c r="Q2135" s="106">
        <v>1055.6500000000001</v>
      </c>
      <c r="R2135">
        <v>847254</v>
      </c>
    </row>
    <row r="2136" spans="1:18" x14ac:dyDescent="0.25">
      <c r="A2136" s="143">
        <v>45148</v>
      </c>
      <c r="B2136" s="106">
        <v>1070</v>
      </c>
      <c r="C2136" s="106">
        <v>1061.25</v>
      </c>
      <c r="D2136" s="106">
        <v>1038.5</v>
      </c>
      <c r="E2136" s="106">
        <v>1052.3499999999999</v>
      </c>
      <c r="F2136" s="106">
        <v>1061.25</v>
      </c>
      <c r="G2136">
        <v>42690</v>
      </c>
      <c r="H2136" s="106"/>
      <c r="I2136" s="106"/>
      <c r="L2136" s="143">
        <v>45148</v>
      </c>
      <c r="M2136" s="106">
        <v>1060.25</v>
      </c>
      <c r="N2136" s="106">
        <v>1070.7</v>
      </c>
      <c r="O2136" s="106">
        <v>1038.25</v>
      </c>
      <c r="P2136" s="106">
        <v>1054.5999999999999</v>
      </c>
      <c r="Q2136" s="106">
        <v>1060.25</v>
      </c>
      <c r="R2136">
        <v>2808684</v>
      </c>
    </row>
    <row r="2137" spans="1:18" x14ac:dyDescent="0.25">
      <c r="A2137" s="143">
        <v>45149</v>
      </c>
      <c r="B2137" s="106">
        <v>1065.9000000000001</v>
      </c>
      <c r="C2137" s="106">
        <v>1043.0999999999999</v>
      </c>
      <c r="D2137" s="106">
        <v>1040.05</v>
      </c>
      <c r="E2137" s="106">
        <v>1061.3</v>
      </c>
      <c r="F2137" s="106">
        <v>1043.0999999999999</v>
      </c>
      <c r="G2137">
        <v>39479</v>
      </c>
      <c r="H2137" s="106"/>
      <c r="I2137" s="106"/>
      <c r="L2137" s="143">
        <v>45149</v>
      </c>
      <c r="M2137" s="106">
        <v>1043.25</v>
      </c>
      <c r="N2137" s="106">
        <v>1066.75</v>
      </c>
      <c r="O2137" s="106">
        <v>1040</v>
      </c>
      <c r="P2137" s="106">
        <v>1064.95</v>
      </c>
      <c r="Q2137" s="106">
        <v>1043.25</v>
      </c>
      <c r="R2137">
        <v>1319743</v>
      </c>
    </row>
    <row r="2138" spans="1:18" x14ac:dyDescent="0.25">
      <c r="A2138" s="143">
        <v>45152</v>
      </c>
      <c r="B2138" s="106">
        <v>1042</v>
      </c>
      <c r="C2138" s="106">
        <v>1037.25</v>
      </c>
      <c r="D2138" s="106">
        <v>1022.45</v>
      </c>
      <c r="E2138" s="106">
        <v>1042</v>
      </c>
      <c r="F2138" s="106">
        <v>1037.25</v>
      </c>
      <c r="G2138">
        <v>24784</v>
      </c>
      <c r="H2138" s="106"/>
      <c r="I2138" s="106"/>
      <c r="L2138" s="143">
        <v>45152</v>
      </c>
      <c r="M2138" s="106">
        <v>1037.8</v>
      </c>
      <c r="N2138" s="106">
        <v>1041.9000000000001</v>
      </c>
      <c r="O2138" s="106">
        <v>1022.1</v>
      </c>
      <c r="P2138" s="106">
        <v>1038.55</v>
      </c>
      <c r="Q2138" s="106">
        <v>1037.8</v>
      </c>
      <c r="R2138">
        <v>899825</v>
      </c>
    </row>
    <row r="2139" spans="1:18" x14ac:dyDescent="0.25">
      <c r="A2139" s="143">
        <v>45154</v>
      </c>
      <c r="B2139" s="106">
        <v>1030</v>
      </c>
      <c r="C2139" s="106">
        <v>1017.1</v>
      </c>
      <c r="D2139" s="106">
        <v>1013.6</v>
      </c>
      <c r="E2139" s="106">
        <v>1030</v>
      </c>
      <c r="F2139" s="106">
        <v>1017.1</v>
      </c>
      <c r="G2139">
        <v>15013</v>
      </c>
      <c r="H2139" s="106"/>
      <c r="I2139" s="106"/>
      <c r="L2139" s="143">
        <v>45154</v>
      </c>
      <c r="M2139" s="106">
        <v>1017.15</v>
      </c>
      <c r="N2139" s="106">
        <v>1032.55</v>
      </c>
      <c r="O2139" s="106">
        <v>1012.5</v>
      </c>
      <c r="P2139" s="106">
        <v>1032.55</v>
      </c>
      <c r="Q2139" s="106">
        <v>1017.15</v>
      </c>
      <c r="R2139">
        <v>1521299</v>
      </c>
    </row>
    <row r="2140" spans="1:18" x14ac:dyDescent="0.25">
      <c r="A2140" s="143">
        <v>45155</v>
      </c>
      <c r="B2140" s="106">
        <v>1036</v>
      </c>
      <c r="C2140" s="106">
        <v>1020.8</v>
      </c>
      <c r="D2140" s="106">
        <v>1014.95</v>
      </c>
      <c r="E2140" s="106">
        <v>1017.1</v>
      </c>
      <c r="F2140" s="106">
        <v>1020.8</v>
      </c>
      <c r="G2140">
        <v>242102</v>
      </c>
      <c r="H2140" s="106"/>
      <c r="I2140" s="106"/>
      <c r="L2140" s="143">
        <v>45155</v>
      </c>
      <c r="M2140" s="106">
        <v>1020.8</v>
      </c>
      <c r="N2140" s="106">
        <v>1036.3</v>
      </c>
      <c r="O2140" s="106">
        <v>1015</v>
      </c>
      <c r="P2140" s="106">
        <v>1017</v>
      </c>
      <c r="Q2140" s="106">
        <v>1020.8</v>
      </c>
      <c r="R2140">
        <v>875661</v>
      </c>
    </row>
    <row r="2141" spans="1:18" x14ac:dyDescent="0.25">
      <c r="A2141" s="143">
        <v>45156</v>
      </c>
      <c r="B2141" s="106">
        <v>1019.3</v>
      </c>
      <c r="C2141" s="106">
        <v>1016.65</v>
      </c>
      <c r="D2141" s="106">
        <v>997.4</v>
      </c>
      <c r="E2141" s="106">
        <v>1018</v>
      </c>
      <c r="F2141" s="106">
        <v>1016.65</v>
      </c>
      <c r="G2141">
        <v>56025</v>
      </c>
      <c r="H2141" s="106"/>
      <c r="I2141" s="106"/>
      <c r="L2141" s="143">
        <v>45156</v>
      </c>
      <c r="M2141" s="106">
        <v>1016.95</v>
      </c>
      <c r="N2141" s="106">
        <v>1020</v>
      </c>
      <c r="O2141" s="106">
        <v>997.25</v>
      </c>
      <c r="P2141" s="106">
        <v>1018.9</v>
      </c>
      <c r="Q2141" s="106">
        <v>1016.95</v>
      </c>
      <c r="R2141">
        <v>2064231</v>
      </c>
    </row>
    <row r="2142" spans="1:18" x14ac:dyDescent="0.25">
      <c r="A2142" s="143">
        <v>45159</v>
      </c>
      <c r="B2142" s="106">
        <v>1052.0999999999999</v>
      </c>
      <c r="C2142" s="106">
        <v>1044.9000000000001</v>
      </c>
      <c r="D2142" s="106">
        <v>1019</v>
      </c>
      <c r="E2142" s="106">
        <v>1022.35</v>
      </c>
      <c r="F2142" s="106">
        <v>1044.9000000000001</v>
      </c>
      <c r="G2142">
        <v>48909</v>
      </c>
      <c r="H2142" s="106"/>
      <c r="I2142" s="106"/>
      <c r="L2142" s="143">
        <v>45159</v>
      </c>
      <c r="M2142" s="106">
        <v>1044.8499999999999</v>
      </c>
      <c r="N2142" s="106">
        <v>1052.25</v>
      </c>
      <c r="O2142" s="106">
        <v>1018.25</v>
      </c>
      <c r="P2142" s="106">
        <v>1028.95</v>
      </c>
      <c r="Q2142" s="106">
        <v>1044.8499999999999</v>
      </c>
      <c r="R2142">
        <v>2226515</v>
      </c>
    </row>
    <row r="2143" spans="1:18" x14ac:dyDescent="0.25">
      <c r="A2143" s="143">
        <v>45160</v>
      </c>
      <c r="B2143" s="106">
        <v>1069</v>
      </c>
      <c r="C2143" s="106">
        <v>1061.8</v>
      </c>
      <c r="D2143" s="106">
        <v>1034.7</v>
      </c>
      <c r="E2143" s="106">
        <v>1034.7</v>
      </c>
      <c r="F2143" s="106">
        <v>1061.8</v>
      </c>
      <c r="G2143">
        <v>38699</v>
      </c>
      <c r="H2143" s="106"/>
      <c r="I2143" s="106"/>
      <c r="L2143" s="143">
        <v>45160</v>
      </c>
      <c r="M2143" s="106">
        <v>1062.3499999999999</v>
      </c>
      <c r="N2143" s="106">
        <v>1069.5999999999999</v>
      </c>
      <c r="O2143" s="106">
        <v>1041</v>
      </c>
      <c r="P2143" s="106">
        <v>1046.95</v>
      </c>
      <c r="Q2143" s="106">
        <v>1062.3499999999999</v>
      </c>
      <c r="R2143">
        <v>1345173</v>
      </c>
    </row>
    <row r="2144" spans="1:18" x14ac:dyDescent="0.25">
      <c r="A2144" s="143">
        <v>45161</v>
      </c>
      <c r="B2144" s="106">
        <v>1089.6500000000001</v>
      </c>
      <c r="C2144" s="106">
        <v>1087</v>
      </c>
      <c r="D2144" s="106">
        <v>1062.3</v>
      </c>
      <c r="E2144" s="106">
        <v>1063</v>
      </c>
      <c r="F2144" s="106">
        <v>1087</v>
      </c>
      <c r="G2144">
        <v>29039</v>
      </c>
      <c r="H2144" s="106"/>
      <c r="I2144" s="106"/>
      <c r="L2144" s="143">
        <v>45161</v>
      </c>
      <c r="M2144" s="106">
        <v>1086.45</v>
      </c>
      <c r="N2144" s="106">
        <v>1090.05</v>
      </c>
      <c r="O2144" s="106">
        <v>1057.8</v>
      </c>
      <c r="P2144" s="106">
        <v>1062.95</v>
      </c>
      <c r="Q2144" s="106">
        <v>1086.45</v>
      </c>
      <c r="R2144">
        <v>1946131</v>
      </c>
    </row>
    <row r="2145" spans="1:18" x14ac:dyDescent="0.25">
      <c r="A2145" s="143">
        <v>45162</v>
      </c>
      <c r="B2145" s="106">
        <v>1105</v>
      </c>
      <c r="C2145" s="106">
        <v>1084.5999999999999</v>
      </c>
      <c r="D2145" s="106">
        <v>1081.6500000000001</v>
      </c>
      <c r="E2145" s="106">
        <v>1102.6500000000001</v>
      </c>
      <c r="F2145" s="106">
        <v>1084.5999999999999</v>
      </c>
      <c r="G2145">
        <v>42487</v>
      </c>
      <c r="H2145" s="106"/>
      <c r="I2145" s="106"/>
      <c r="L2145" s="143">
        <v>45162</v>
      </c>
      <c r="M2145" s="106">
        <v>1085.05</v>
      </c>
      <c r="N2145" s="106">
        <v>1105</v>
      </c>
      <c r="O2145" s="106">
        <v>1081.0999999999999</v>
      </c>
      <c r="P2145" s="106">
        <v>1095</v>
      </c>
      <c r="Q2145" s="106">
        <v>1085.05</v>
      </c>
      <c r="R2145">
        <v>1591659</v>
      </c>
    </row>
    <row r="2146" spans="1:18" x14ac:dyDescent="0.25">
      <c r="A2146" s="143">
        <v>45163</v>
      </c>
      <c r="B2146" s="106">
        <v>1090</v>
      </c>
      <c r="C2146" s="106">
        <v>1081.2</v>
      </c>
      <c r="D2146" s="106">
        <v>1064.25</v>
      </c>
      <c r="E2146" s="106">
        <v>1084.6500000000001</v>
      </c>
      <c r="F2146" s="106">
        <v>1081.2</v>
      </c>
      <c r="G2146">
        <v>45190</v>
      </c>
      <c r="H2146" s="106"/>
      <c r="I2146" s="106"/>
      <c r="L2146" s="143">
        <v>45163</v>
      </c>
      <c r="M2146" s="106">
        <v>1082.2</v>
      </c>
      <c r="N2146" s="106">
        <v>1090.8</v>
      </c>
      <c r="O2146" s="106">
        <v>1063.75</v>
      </c>
      <c r="P2146" s="106">
        <v>1085.9000000000001</v>
      </c>
      <c r="Q2146" s="106">
        <v>1082.2</v>
      </c>
      <c r="R2146">
        <v>1337630</v>
      </c>
    </row>
    <row r="2147" spans="1:18" x14ac:dyDescent="0.25">
      <c r="A2147" s="143">
        <v>45166</v>
      </c>
      <c r="B2147" s="106">
        <v>1101.6500000000001</v>
      </c>
      <c r="C2147" s="106">
        <v>1093.45</v>
      </c>
      <c r="D2147" s="106">
        <v>1079.8499999999999</v>
      </c>
      <c r="E2147" s="106">
        <v>1081.2</v>
      </c>
      <c r="F2147" s="106">
        <v>1093.45</v>
      </c>
      <c r="G2147">
        <v>22911</v>
      </c>
      <c r="H2147" s="106"/>
      <c r="I2147" s="106"/>
      <c r="L2147" s="143">
        <v>45166</v>
      </c>
      <c r="M2147" s="106">
        <v>1092.95</v>
      </c>
      <c r="N2147" s="106">
        <v>1102</v>
      </c>
      <c r="O2147" s="106">
        <v>1075.0999999999999</v>
      </c>
      <c r="P2147" s="106">
        <v>1082.55</v>
      </c>
      <c r="Q2147" s="106">
        <v>1092.95</v>
      </c>
      <c r="R2147">
        <v>1401965</v>
      </c>
    </row>
    <row r="2148" spans="1:18" x14ac:dyDescent="0.25">
      <c r="A2148" s="143">
        <v>45167</v>
      </c>
      <c r="B2148" s="106">
        <v>1102.95</v>
      </c>
      <c r="C2148" s="106">
        <v>1099</v>
      </c>
      <c r="D2148" s="106">
        <v>1077.5</v>
      </c>
      <c r="E2148" s="106">
        <v>1088.5</v>
      </c>
      <c r="F2148" s="106">
        <v>1099</v>
      </c>
      <c r="G2148">
        <v>46606</v>
      </c>
      <c r="H2148" s="106"/>
      <c r="I2148" s="106"/>
      <c r="L2148" s="143">
        <v>45167</v>
      </c>
      <c r="M2148" s="106">
        <v>1099.05</v>
      </c>
      <c r="N2148" s="106">
        <v>1103</v>
      </c>
      <c r="O2148" s="106">
        <v>1077.5999999999999</v>
      </c>
      <c r="P2148" s="106">
        <v>1092.95</v>
      </c>
      <c r="Q2148" s="106">
        <v>1099.05</v>
      </c>
      <c r="R2148">
        <v>2051824</v>
      </c>
    </row>
    <row r="2149" spans="1:18" x14ac:dyDescent="0.25">
      <c r="A2149" s="143">
        <v>45168</v>
      </c>
      <c r="B2149" s="106">
        <v>1121.3</v>
      </c>
      <c r="C2149" s="106">
        <v>1116.05</v>
      </c>
      <c r="D2149" s="106">
        <v>1099.4000000000001</v>
      </c>
      <c r="E2149" s="106">
        <v>1113.95</v>
      </c>
      <c r="F2149" s="106">
        <v>1116.05</v>
      </c>
      <c r="G2149">
        <v>12268</v>
      </c>
      <c r="H2149" s="106"/>
      <c r="I2149" s="106"/>
      <c r="L2149" s="143">
        <v>45168</v>
      </c>
      <c r="M2149" s="106">
        <v>1116.0999999999999</v>
      </c>
      <c r="N2149" s="106">
        <v>1121.5999999999999</v>
      </c>
      <c r="O2149" s="106">
        <v>1097.5</v>
      </c>
      <c r="P2149" s="106">
        <v>1101.25</v>
      </c>
      <c r="Q2149" s="106">
        <v>1116.0999999999999</v>
      </c>
      <c r="R2149">
        <v>1368163</v>
      </c>
    </row>
    <row r="2150" spans="1:18" x14ac:dyDescent="0.25">
      <c r="A2150" s="143">
        <v>45169</v>
      </c>
      <c r="B2150" s="106">
        <v>1129.1500000000001</v>
      </c>
      <c r="C2150" s="106">
        <v>1122.95</v>
      </c>
      <c r="D2150" s="106">
        <v>1114.3499999999999</v>
      </c>
      <c r="E2150" s="106">
        <v>1117.05</v>
      </c>
      <c r="F2150" s="106">
        <v>1122.95</v>
      </c>
      <c r="G2150">
        <v>25222</v>
      </c>
      <c r="H2150" s="106"/>
      <c r="I2150" s="106"/>
      <c r="L2150" s="143">
        <v>45169</v>
      </c>
      <c r="M2150" s="106">
        <v>1121.8499999999999</v>
      </c>
      <c r="N2150" s="106">
        <v>1129.45</v>
      </c>
      <c r="O2150" s="106">
        <v>1113.7</v>
      </c>
      <c r="P2150" s="106">
        <v>1119.95</v>
      </c>
      <c r="Q2150" s="106">
        <v>1121.8499999999999</v>
      </c>
      <c r="R2150">
        <v>2611207</v>
      </c>
    </row>
    <row r="2151" spans="1:18" x14ac:dyDescent="0.25">
      <c r="A2151" s="143">
        <v>45170</v>
      </c>
      <c r="B2151" s="106">
        <v>1134.95</v>
      </c>
      <c r="C2151" s="106">
        <v>1127.75</v>
      </c>
      <c r="D2151" s="106">
        <v>1116.5</v>
      </c>
      <c r="E2151" s="106">
        <v>1134.95</v>
      </c>
      <c r="F2151" s="106">
        <v>1127.75</v>
      </c>
      <c r="G2151">
        <v>32350</v>
      </c>
      <c r="H2151" s="106"/>
      <c r="I2151" s="106"/>
      <c r="L2151" s="143">
        <v>45170</v>
      </c>
      <c r="M2151" s="106">
        <v>1128.8499999999999</v>
      </c>
      <c r="N2151" s="106">
        <v>1134</v>
      </c>
      <c r="O2151" s="106">
        <v>1116.5</v>
      </c>
      <c r="P2151" s="106">
        <v>1124</v>
      </c>
      <c r="Q2151" s="106">
        <v>1128.8499999999999</v>
      </c>
      <c r="R2151">
        <v>881841</v>
      </c>
    </row>
    <row r="2152" spans="1:18" x14ac:dyDescent="0.25">
      <c r="A2152" s="143">
        <v>45173</v>
      </c>
      <c r="B2152" s="106">
        <v>1135.1500000000001</v>
      </c>
      <c r="C2152" s="106">
        <v>1103.6500000000001</v>
      </c>
      <c r="D2152" s="106">
        <v>1100.6500000000001</v>
      </c>
      <c r="E2152" s="106">
        <v>1106.1500000000001</v>
      </c>
      <c r="F2152" s="106">
        <v>1103.6500000000001</v>
      </c>
      <c r="G2152">
        <v>25740</v>
      </c>
      <c r="H2152" s="106"/>
      <c r="I2152" s="106"/>
      <c r="L2152" s="143">
        <v>45173</v>
      </c>
      <c r="M2152" s="106">
        <v>1103.95</v>
      </c>
      <c r="N2152" s="106">
        <v>1137.5</v>
      </c>
      <c r="O2152" s="106">
        <v>1100.3</v>
      </c>
      <c r="P2152" s="106">
        <v>1131.0999999999999</v>
      </c>
      <c r="Q2152" s="106">
        <v>1103.95</v>
      </c>
      <c r="R2152">
        <v>1221908</v>
      </c>
    </row>
    <row r="2153" spans="1:18" x14ac:dyDescent="0.25">
      <c r="A2153" s="143">
        <v>45174</v>
      </c>
      <c r="B2153" s="106">
        <v>1112</v>
      </c>
      <c r="C2153" s="106">
        <v>1096.8499999999999</v>
      </c>
      <c r="D2153" s="106">
        <v>1085</v>
      </c>
      <c r="E2153" s="106">
        <v>1100</v>
      </c>
      <c r="F2153" s="106">
        <v>1096.8499999999999</v>
      </c>
      <c r="G2153">
        <v>24272</v>
      </c>
      <c r="H2153" s="106"/>
      <c r="I2153" s="106"/>
      <c r="L2153" s="143">
        <v>45174</v>
      </c>
      <c r="M2153" s="106">
        <v>1096.75</v>
      </c>
      <c r="N2153" s="106">
        <v>1112.25</v>
      </c>
      <c r="O2153" s="106">
        <v>1084.3499999999999</v>
      </c>
      <c r="P2153" s="106">
        <v>1105.9000000000001</v>
      </c>
      <c r="Q2153" s="106">
        <v>1096.75</v>
      </c>
      <c r="R2153">
        <v>2236203</v>
      </c>
    </row>
    <row r="2154" spans="1:18" x14ac:dyDescent="0.25">
      <c r="A2154" s="143">
        <v>45175</v>
      </c>
      <c r="B2154" s="106">
        <v>1117.45</v>
      </c>
      <c r="C2154" s="106">
        <v>1104</v>
      </c>
      <c r="D2154" s="106">
        <v>1090.45</v>
      </c>
      <c r="E2154" s="106">
        <v>1095</v>
      </c>
      <c r="F2154" s="106">
        <v>1104</v>
      </c>
      <c r="G2154">
        <v>35720</v>
      </c>
      <c r="H2154" s="106"/>
      <c r="I2154" s="106"/>
      <c r="L2154" s="143">
        <v>45175</v>
      </c>
      <c r="M2154" s="106">
        <v>1104.8499999999999</v>
      </c>
      <c r="N2154" s="106">
        <v>1117</v>
      </c>
      <c r="O2154" s="106">
        <v>1091.2</v>
      </c>
      <c r="P2154" s="106">
        <v>1096.75</v>
      </c>
      <c r="Q2154" s="106">
        <v>1104.8499999999999</v>
      </c>
      <c r="R2154">
        <v>2224003</v>
      </c>
    </row>
    <row r="2155" spans="1:18" x14ac:dyDescent="0.25">
      <c r="A2155" s="143">
        <v>45176</v>
      </c>
      <c r="B2155" s="106">
        <v>1134.8</v>
      </c>
      <c r="C2155" s="106">
        <v>1129.5</v>
      </c>
      <c r="D2155" s="106">
        <v>1098.6500000000001</v>
      </c>
      <c r="E2155" s="106">
        <v>1104.8499999999999</v>
      </c>
      <c r="F2155" s="106">
        <v>1129.5</v>
      </c>
      <c r="G2155">
        <v>25803</v>
      </c>
      <c r="H2155" s="106"/>
      <c r="I2155" s="106"/>
      <c r="L2155" s="143">
        <v>45176</v>
      </c>
      <c r="M2155" s="106">
        <v>1129.25</v>
      </c>
      <c r="N2155" s="106">
        <v>1134</v>
      </c>
      <c r="O2155" s="106">
        <v>1098.3499999999999</v>
      </c>
      <c r="P2155" s="106">
        <v>1104.8499999999999</v>
      </c>
      <c r="Q2155" s="106">
        <v>1129.25</v>
      </c>
      <c r="R2155">
        <v>1855634</v>
      </c>
    </row>
    <row r="2156" spans="1:18" x14ac:dyDescent="0.25">
      <c r="A2156" s="143">
        <v>45177</v>
      </c>
      <c r="B2156" s="106">
        <v>1187.3</v>
      </c>
      <c r="C2156" s="106">
        <v>1178.0999999999999</v>
      </c>
      <c r="D2156" s="106">
        <v>1129.95</v>
      </c>
      <c r="E2156" s="106">
        <v>1129.95</v>
      </c>
      <c r="F2156" s="106">
        <v>1178.0999999999999</v>
      </c>
      <c r="G2156">
        <v>152001</v>
      </c>
      <c r="H2156" s="106"/>
      <c r="I2156" s="106"/>
      <c r="L2156" s="143">
        <v>45177</v>
      </c>
      <c r="M2156" s="106">
        <v>1175.95</v>
      </c>
      <c r="N2156" s="106">
        <v>1186.7</v>
      </c>
      <c r="O2156" s="106">
        <v>1132</v>
      </c>
      <c r="P2156" s="106">
        <v>1132</v>
      </c>
      <c r="Q2156" s="106">
        <v>1175.95</v>
      </c>
      <c r="R2156">
        <v>4004318</v>
      </c>
    </row>
    <row r="2157" spans="1:18" x14ac:dyDescent="0.25">
      <c r="A2157" s="143">
        <v>45180</v>
      </c>
      <c r="B2157" s="106">
        <v>1200</v>
      </c>
      <c r="C2157" s="106">
        <v>1184.6500000000001</v>
      </c>
      <c r="D2157" s="106">
        <v>1154.45</v>
      </c>
      <c r="E2157" s="106">
        <v>1187.75</v>
      </c>
      <c r="F2157" s="106">
        <v>1184.6500000000001</v>
      </c>
      <c r="G2157">
        <v>87277</v>
      </c>
      <c r="H2157" s="106"/>
      <c r="I2157" s="106"/>
      <c r="L2157" s="143">
        <v>45180</v>
      </c>
      <c r="M2157" s="106">
        <v>1184.4000000000001</v>
      </c>
      <c r="N2157" s="106">
        <v>1201.25</v>
      </c>
      <c r="O2157" s="106">
        <v>1158.75</v>
      </c>
      <c r="P2157" s="106">
        <v>1185</v>
      </c>
      <c r="Q2157" s="106">
        <v>1184.4000000000001</v>
      </c>
      <c r="R2157">
        <v>3363778</v>
      </c>
    </row>
    <row r="2158" spans="1:18" x14ac:dyDescent="0.25">
      <c r="A2158" s="143">
        <v>45181</v>
      </c>
      <c r="B2158" s="106">
        <v>1189.3</v>
      </c>
      <c r="C2158" s="106">
        <v>1170.3</v>
      </c>
      <c r="D2158" s="106">
        <v>1125</v>
      </c>
      <c r="E2158" s="106">
        <v>1178.3499999999999</v>
      </c>
      <c r="F2158" s="106">
        <v>1170.3</v>
      </c>
      <c r="G2158">
        <v>138020</v>
      </c>
      <c r="H2158" s="106"/>
      <c r="I2158" s="106"/>
      <c r="L2158" s="143">
        <v>45181</v>
      </c>
      <c r="M2158" s="106">
        <v>1166.05</v>
      </c>
      <c r="N2158" s="106">
        <v>1191.45</v>
      </c>
      <c r="O2158" s="106">
        <v>1124.45</v>
      </c>
      <c r="P2158" s="106">
        <v>1182.0999999999999</v>
      </c>
      <c r="Q2158" s="106">
        <v>1166.05</v>
      </c>
      <c r="R2158">
        <v>4153703</v>
      </c>
    </row>
    <row r="2159" spans="1:18" x14ac:dyDescent="0.25">
      <c r="A2159" s="143">
        <v>45182</v>
      </c>
      <c r="B2159" s="106">
        <v>1165</v>
      </c>
      <c r="C2159" s="106">
        <v>1159.2</v>
      </c>
      <c r="D2159" s="106">
        <v>1130.75</v>
      </c>
      <c r="E2159" s="106">
        <v>1150</v>
      </c>
      <c r="F2159" s="106">
        <v>1159.2</v>
      </c>
      <c r="G2159">
        <v>49370</v>
      </c>
      <c r="H2159" s="106"/>
      <c r="I2159" s="106"/>
      <c r="L2159" s="143">
        <v>45182</v>
      </c>
      <c r="M2159" s="106">
        <v>1160.2</v>
      </c>
      <c r="N2159" s="106">
        <v>1165.3</v>
      </c>
      <c r="O2159" s="106">
        <v>1131.0999999999999</v>
      </c>
      <c r="P2159" s="106">
        <v>1149.75</v>
      </c>
      <c r="Q2159" s="106">
        <v>1160.2</v>
      </c>
      <c r="R2159">
        <v>1529374</v>
      </c>
    </row>
    <row r="2160" spans="1:18" x14ac:dyDescent="0.25">
      <c r="A2160" s="143">
        <v>45183</v>
      </c>
      <c r="B2160" s="106">
        <v>1213.05</v>
      </c>
      <c r="C2160" s="106">
        <v>1207.55</v>
      </c>
      <c r="D2160" s="106">
        <v>1159.6500000000001</v>
      </c>
      <c r="E2160" s="106">
        <v>1162</v>
      </c>
      <c r="F2160" s="106">
        <v>1207.55</v>
      </c>
      <c r="G2160">
        <v>39777</v>
      </c>
      <c r="H2160" s="106"/>
      <c r="I2160" s="106"/>
      <c r="L2160" s="143">
        <v>45183</v>
      </c>
      <c r="M2160" s="106">
        <v>1208.55</v>
      </c>
      <c r="N2160" s="106">
        <v>1214</v>
      </c>
      <c r="O2160" s="106">
        <v>1159.55</v>
      </c>
      <c r="P2160" s="106">
        <v>1162.2</v>
      </c>
      <c r="Q2160" s="106">
        <v>1208.55</v>
      </c>
      <c r="R2160">
        <v>3511627</v>
      </c>
    </row>
    <row r="2161" spans="1:18" x14ac:dyDescent="0.25">
      <c r="A2161" s="143">
        <v>45184</v>
      </c>
      <c r="B2161" s="106">
        <v>1239.8</v>
      </c>
      <c r="C2161" s="106">
        <v>1227.5999999999999</v>
      </c>
      <c r="D2161" s="106">
        <v>1199.75</v>
      </c>
      <c r="E2161" s="106">
        <v>1210.1500000000001</v>
      </c>
      <c r="F2161" s="106">
        <v>1227.5999999999999</v>
      </c>
      <c r="G2161">
        <v>62236</v>
      </c>
      <c r="H2161" s="106"/>
      <c r="I2161" s="106"/>
      <c r="L2161" s="143">
        <v>45184</v>
      </c>
      <c r="M2161" s="106">
        <v>1227.0999999999999</v>
      </c>
      <c r="N2161" s="106">
        <v>1240</v>
      </c>
      <c r="O2161" s="106">
        <v>1201.5</v>
      </c>
      <c r="P2161" s="106">
        <v>1215</v>
      </c>
      <c r="Q2161" s="106">
        <v>1227.0999999999999</v>
      </c>
      <c r="R2161">
        <v>4663976</v>
      </c>
    </row>
    <row r="2162" spans="1:18" x14ac:dyDescent="0.25">
      <c r="A2162" s="143">
        <v>45187</v>
      </c>
      <c r="B2162" s="106">
        <v>1227.9000000000001</v>
      </c>
      <c r="C2162" s="106">
        <v>1193.05</v>
      </c>
      <c r="D2162" s="106">
        <v>1179</v>
      </c>
      <c r="E2162" s="106">
        <v>1226.3</v>
      </c>
      <c r="F2162" s="106">
        <v>1193.05</v>
      </c>
      <c r="G2162">
        <v>58101</v>
      </c>
      <c r="H2162" s="106"/>
      <c r="I2162" s="106"/>
      <c r="L2162" s="143">
        <v>45187</v>
      </c>
      <c r="M2162" s="106">
        <v>1193.55</v>
      </c>
      <c r="N2162" s="106">
        <v>1230</v>
      </c>
      <c r="O2162" s="106">
        <v>1178.3</v>
      </c>
      <c r="P2162" s="106">
        <v>1230</v>
      </c>
      <c r="Q2162" s="106">
        <v>1193.55</v>
      </c>
      <c r="R2162">
        <v>3265543</v>
      </c>
    </row>
    <row r="2163" spans="1:18" x14ac:dyDescent="0.25">
      <c r="A2163" s="143">
        <v>45189</v>
      </c>
      <c r="B2163" s="106">
        <v>1216.1500000000001</v>
      </c>
      <c r="C2163" s="106">
        <v>1198.3</v>
      </c>
      <c r="D2163" s="106">
        <v>1172.25</v>
      </c>
      <c r="E2163" s="106">
        <v>1190.95</v>
      </c>
      <c r="F2163" s="106">
        <v>1198.3</v>
      </c>
      <c r="G2163">
        <v>33924</v>
      </c>
      <c r="H2163" s="106"/>
      <c r="I2163" s="106"/>
      <c r="L2163" s="143">
        <v>45189</v>
      </c>
      <c r="M2163" s="106">
        <v>1199</v>
      </c>
      <c r="N2163" s="106">
        <v>1216.45</v>
      </c>
      <c r="O2163" s="106">
        <v>1172.55</v>
      </c>
      <c r="P2163" s="106">
        <v>1185</v>
      </c>
      <c r="Q2163" s="106">
        <v>1199</v>
      </c>
      <c r="R2163">
        <v>1903238</v>
      </c>
    </row>
    <row r="2164" spans="1:18" x14ac:dyDescent="0.25">
      <c r="A2164" s="143">
        <v>45190</v>
      </c>
      <c r="B2164" s="106">
        <v>1207.8499999999999</v>
      </c>
      <c r="C2164" s="106">
        <v>1188.05</v>
      </c>
      <c r="D2164" s="106">
        <v>1177.8499999999999</v>
      </c>
      <c r="E2164" s="106">
        <v>1192.1500000000001</v>
      </c>
      <c r="F2164" s="106">
        <v>1188.05</v>
      </c>
      <c r="G2164">
        <v>22614</v>
      </c>
      <c r="H2164" s="106"/>
      <c r="I2164" s="106"/>
      <c r="L2164" s="143">
        <v>45190</v>
      </c>
      <c r="M2164" s="106">
        <v>1188.2</v>
      </c>
      <c r="N2164" s="106">
        <v>1208.95</v>
      </c>
      <c r="O2164" s="106">
        <v>1177.3499999999999</v>
      </c>
      <c r="P2164" s="106">
        <v>1189.05</v>
      </c>
      <c r="Q2164" s="106">
        <v>1188.2</v>
      </c>
      <c r="R2164">
        <v>1528387</v>
      </c>
    </row>
    <row r="2165" spans="1:18" x14ac:dyDescent="0.25">
      <c r="A2165" s="143">
        <v>45191</v>
      </c>
      <c r="B2165" s="106">
        <v>1217.5</v>
      </c>
      <c r="C2165" s="106">
        <v>1188.7</v>
      </c>
      <c r="D2165" s="106">
        <v>1179.5</v>
      </c>
      <c r="E2165" s="106">
        <v>1179.5</v>
      </c>
      <c r="F2165" s="106">
        <v>1188.7</v>
      </c>
      <c r="G2165">
        <v>25742</v>
      </c>
      <c r="H2165" s="106"/>
      <c r="I2165" s="106"/>
      <c r="L2165" s="143">
        <v>45191</v>
      </c>
      <c r="M2165" s="106">
        <v>1188.2</v>
      </c>
      <c r="N2165" s="106">
        <v>1217.95</v>
      </c>
      <c r="O2165" s="106">
        <v>1183</v>
      </c>
      <c r="P2165" s="106">
        <v>1188.25</v>
      </c>
      <c r="Q2165" s="106">
        <v>1188.2</v>
      </c>
      <c r="R2165">
        <v>2166139</v>
      </c>
    </row>
    <row r="2166" spans="1:18" x14ac:dyDescent="0.25">
      <c r="A2166" s="143">
        <v>45194</v>
      </c>
      <c r="B2166" s="106">
        <v>1197</v>
      </c>
      <c r="C2166" s="106">
        <v>1182.6500000000001</v>
      </c>
      <c r="D2166" s="106">
        <v>1175.3499999999999</v>
      </c>
      <c r="E2166" s="106">
        <v>1185</v>
      </c>
      <c r="F2166" s="106">
        <v>1182.6500000000001</v>
      </c>
      <c r="G2166">
        <v>30106</v>
      </c>
      <c r="H2166" s="106"/>
      <c r="I2166" s="106"/>
      <c r="L2166" s="143">
        <v>45194</v>
      </c>
      <c r="M2166" s="106">
        <v>1183.0999999999999</v>
      </c>
      <c r="N2166" s="106">
        <v>1196.9000000000001</v>
      </c>
      <c r="O2166" s="106">
        <v>1170.2</v>
      </c>
      <c r="P2166" s="106">
        <v>1185.2</v>
      </c>
      <c r="Q2166" s="106">
        <v>1183.0999999999999</v>
      </c>
      <c r="R2166">
        <v>2145513</v>
      </c>
    </row>
    <row r="2167" spans="1:18" x14ac:dyDescent="0.25">
      <c r="A2167" s="143">
        <v>45195</v>
      </c>
      <c r="B2167" s="106">
        <v>1206.0999999999999</v>
      </c>
      <c r="C2167" s="106">
        <v>1196.55</v>
      </c>
      <c r="D2167" s="106">
        <v>1176.2</v>
      </c>
      <c r="E2167" s="106">
        <v>1184</v>
      </c>
      <c r="F2167" s="106">
        <v>1196.55</v>
      </c>
      <c r="G2167">
        <v>22044</v>
      </c>
      <c r="H2167" s="106"/>
      <c r="I2167" s="106"/>
      <c r="L2167" s="143">
        <v>45195</v>
      </c>
      <c r="M2167" s="106">
        <v>1195.05</v>
      </c>
      <c r="N2167" s="106">
        <v>1205.8</v>
      </c>
      <c r="O2167" s="106">
        <v>1176.05</v>
      </c>
      <c r="P2167" s="106">
        <v>1183.0999999999999</v>
      </c>
      <c r="Q2167" s="106">
        <v>1195.05</v>
      </c>
      <c r="R2167">
        <v>1981333</v>
      </c>
    </row>
    <row r="2168" spans="1:18" x14ac:dyDescent="0.25">
      <c r="A2168" s="143">
        <v>45196</v>
      </c>
      <c r="B2168" s="106">
        <v>1205.0999999999999</v>
      </c>
      <c r="C2168" s="106">
        <v>1198.3499999999999</v>
      </c>
      <c r="D2168" s="106">
        <v>1189.05</v>
      </c>
      <c r="E2168" s="106">
        <v>1199.95</v>
      </c>
      <c r="F2168" s="106">
        <v>1198.3499999999999</v>
      </c>
      <c r="G2168">
        <v>19027</v>
      </c>
      <c r="H2168" s="106"/>
      <c r="I2168" s="106"/>
      <c r="L2168" s="143">
        <v>45196</v>
      </c>
      <c r="M2168" s="106">
        <v>1198.3</v>
      </c>
      <c r="N2168" s="106">
        <v>1205.4000000000001</v>
      </c>
      <c r="O2168" s="106">
        <v>1188.7</v>
      </c>
      <c r="P2168" s="106">
        <v>1197</v>
      </c>
      <c r="Q2168" s="106">
        <v>1198.3</v>
      </c>
      <c r="R2168">
        <v>791892</v>
      </c>
    </row>
    <row r="2169" spans="1:18" x14ac:dyDescent="0.25">
      <c r="A2169" s="143">
        <v>45197</v>
      </c>
      <c r="B2169" s="106">
        <v>1249.5</v>
      </c>
      <c r="C2169" s="106">
        <v>1219.55</v>
      </c>
      <c r="D2169" s="106">
        <v>1190.05</v>
      </c>
      <c r="E2169" s="106">
        <v>1190.05</v>
      </c>
      <c r="F2169" s="106">
        <v>1219.55</v>
      </c>
      <c r="G2169">
        <v>81777</v>
      </c>
      <c r="H2169" s="106"/>
      <c r="I2169" s="106"/>
      <c r="L2169" s="143">
        <v>45197</v>
      </c>
      <c r="M2169" s="106">
        <v>1219.8</v>
      </c>
      <c r="N2169" s="106">
        <v>1249.45</v>
      </c>
      <c r="O2169" s="106">
        <v>1200</v>
      </c>
      <c r="P2169" s="106">
        <v>1201</v>
      </c>
      <c r="Q2169" s="106">
        <v>1219.8</v>
      </c>
      <c r="R2169">
        <v>3303876</v>
      </c>
    </row>
    <row r="2170" spans="1:18" x14ac:dyDescent="0.25">
      <c r="A2170" s="143">
        <v>45198</v>
      </c>
      <c r="B2170" s="106">
        <v>1245</v>
      </c>
      <c r="C2170" s="106">
        <v>1217.5999999999999</v>
      </c>
      <c r="D2170" s="106">
        <v>1201.5</v>
      </c>
      <c r="E2170" s="106">
        <v>1245</v>
      </c>
      <c r="F2170" s="106">
        <v>1217.5999999999999</v>
      </c>
      <c r="G2170">
        <v>33029</v>
      </c>
      <c r="H2170" s="106"/>
      <c r="I2170" s="106"/>
      <c r="L2170" s="143">
        <v>45198</v>
      </c>
      <c r="M2170" s="106">
        <v>1217.55</v>
      </c>
      <c r="N2170" s="106">
        <v>1246.7</v>
      </c>
      <c r="O2170" s="106">
        <v>1201</v>
      </c>
      <c r="P2170" s="106">
        <v>1245</v>
      </c>
      <c r="Q2170" s="106">
        <v>1217.55</v>
      </c>
      <c r="R2170">
        <v>1374721</v>
      </c>
    </row>
    <row r="2171" spans="1:18" x14ac:dyDescent="0.25">
      <c r="A2171" s="143">
        <v>45202</v>
      </c>
      <c r="B2171" s="106">
        <v>1257</v>
      </c>
      <c r="C2171" s="106">
        <v>1253.95</v>
      </c>
      <c r="D2171" s="106">
        <v>1214.25</v>
      </c>
      <c r="E2171" s="106">
        <v>1226.8499999999999</v>
      </c>
      <c r="F2171" s="106">
        <v>1253.95</v>
      </c>
      <c r="G2171">
        <v>62074</v>
      </c>
      <c r="H2171" s="106"/>
      <c r="I2171" s="106"/>
      <c r="L2171" s="143">
        <v>45202</v>
      </c>
      <c r="M2171" s="106">
        <v>1253.8</v>
      </c>
      <c r="N2171" s="106">
        <v>1257.8499999999999</v>
      </c>
      <c r="O2171" s="106">
        <v>1213.75</v>
      </c>
      <c r="P2171" s="106">
        <v>1218.45</v>
      </c>
      <c r="Q2171" s="106">
        <v>1253.8</v>
      </c>
      <c r="R2171">
        <v>3584950</v>
      </c>
    </row>
    <row r="2172" spans="1:18" x14ac:dyDescent="0.25">
      <c r="A2172" s="143">
        <v>45203</v>
      </c>
      <c r="B2172" s="106">
        <v>1255.05</v>
      </c>
      <c r="C2172" s="106">
        <v>1209.5999999999999</v>
      </c>
      <c r="D2172" s="106">
        <v>1206.25</v>
      </c>
      <c r="E2172" s="106">
        <v>1255.05</v>
      </c>
      <c r="F2172" s="106">
        <v>1209.5999999999999</v>
      </c>
      <c r="G2172">
        <v>218791</v>
      </c>
      <c r="H2172" s="106"/>
      <c r="I2172" s="106"/>
      <c r="L2172" s="143">
        <v>45203</v>
      </c>
      <c r="M2172" s="106">
        <v>1209.6500000000001</v>
      </c>
      <c r="N2172" s="106">
        <v>1253</v>
      </c>
      <c r="O2172" s="106">
        <v>1206</v>
      </c>
      <c r="P2172" s="106">
        <v>1253</v>
      </c>
      <c r="Q2172" s="106">
        <v>1209.6500000000001</v>
      </c>
      <c r="R2172">
        <v>4231028</v>
      </c>
    </row>
    <row r="2173" spans="1:18" x14ac:dyDescent="0.25">
      <c r="A2173" s="143">
        <v>45204</v>
      </c>
      <c r="B2173" s="106">
        <v>1220.05</v>
      </c>
      <c r="C2173" s="106">
        <v>1199.55</v>
      </c>
      <c r="D2173" s="106">
        <v>1186</v>
      </c>
      <c r="E2173" s="106">
        <v>1220.05</v>
      </c>
      <c r="F2173" s="106">
        <v>1199.55</v>
      </c>
      <c r="G2173">
        <v>28121</v>
      </c>
      <c r="H2173" s="106"/>
      <c r="I2173" s="106"/>
      <c r="L2173" s="143">
        <v>45204</v>
      </c>
      <c r="M2173" s="106">
        <v>1199.25</v>
      </c>
      <c r="N2173" s="106">
        <v>1221.8</v>
      </c>
      <c r="O2173" s="106">
        <v>1185.3499999999999</v>
      </c>
      <c r="P2173" s="106">
        <v>1221.8</v>
      </c>
      <c r="Q2173" s="106">
        <v>1199.25</v>
      </c>
      <c r="R2173">
        <v>2974607</v>
      </c>
    </row>
    <row r="2174" spans="1:18" x14ac:dyDescent="0.25">
      <c r="A2174" s="143">
        <v>45205</v>
      </c>
      <c r="B2174" s="106">
        <v>1226.55</v>
      </c>
      <c r="C2174" s="106">
        <v>1219.3</v>
      </c>
      <c r="D2174" s="106">
        <v>1198.8499999999999</v>
      </c>
      <c r="E2174" s="106">
        <v>1200.05</v>
      </c>
      <c r="F2174" s="106">
        <v>1219.3</v>
      </c>
      <c r="G2174">
        <v>32677</v>
      </c>
      <c r="H2174" s="106"/>
      <c r="I2174" s="106"/>
      <c r="L2174" s="143">
        <v>45205</v>
      </c>
      <c r="M2174" s="106">
        <v>1219.55</v>
      </c>
      <c r="N2174" s="106">
        <v>1227</v>
      </c>
      <c r="O2174" s="106">
        <v>1199</v>
      </c>
      <c r="P2174" s="106">
        <v>1211.5</v>
      </c>
      <c r="Q2174" s="106">
        <v>1219.55</v>
      </c>
      <c r="R2174">
        <v>2503438</v>
      </c>
    </row>
    <row r="2175" spans="1:18" x14ac:dyDescent="0.25">
      <c r="A2175" s="143">
        <v>45208</v>
      </c>
      <c r="B2175" s="106">
        <v>1223</v>
      </c>
      <c r="C2175" s="106">
        <v>1219.5</v>
      </c>
      <c r="D2175" s="106">
        <v>1200.05</v>
      </c>
      <c r="E2175" s="106">
        <v>1200.05</v>
      </c>
      <c r="F2175" s="106">
        <v>1219.5</v>
      </c>
      <c r="G2175">
        <v>12625</v>
      </c>
      <c r="H2175" s="106"/>
      <c r="I2175" s="106"/>
      <c r="L2175" s="143">
        <v>45208</v>
      </c>
      <c r="M2175" s="106">
        <v>1219.55</v>
      </c>
      <c r="N2175" s="106">
        <v>1222.7</v>
      </c>
      <c r="O2175" s="106">
        <v>1204.9000000000001</v>
      </c>
      <c r="P2175" s="106">
        <v>1209.95</v>
      </c>
      <c r="Q2175" s="106">
        <v>1219.55</v>
      </c>
      <c r="R2175">
        <v>1641174</v>
      </c>
    </row>
    <row r="2176" spans="1:18" x14ac:dyDescent="0.25">
      <c r="A2176" s="143">
        <v>45209</v>
      </c>
      <c r="B2176" s="106">
        <v>1264</v>
      </c>
      <c r="C2176" s="106">
        <v>1259.45</v>
      </c>
      <c r="D2176" s="106">
        <v>1219.0999999999999</v>
      </c>
      <c r="E2176" s="106">
        <v>1223.05</v>
      </c>
      <c r="F2176" s="106">
        <v>1259.45</v>
      </c>
      <c r="G2176">
        <v>23370</v>
      </c>
      <c r="H2176" s="106"/>
      <c r="I2176" s="106"/>
      <c r="L2176" s="143">
        <v>45209</v>
      </c>
      <c r="M2176" s="106">
        <v>1259.1500000000001</v>
      </c>
      <c r="N2176" s="106">
        <v>1263.95</v>
      </c>
      <c r="O2176" s="106">
        <v>1219.5999999999999</v>
      </c>
      <c r="P2176" s="106">
        <v>1225</v>
      </c>
      <c r="Q2176" s="106">
        <v>1259.1500000000001</v>
      </c>
      <c r="R2176">
        <v>2009992</v>
      </c>
    </row>
    <row r="2177" spans="1:18" x14ac:dyDescent="0.25">
      <c r="A2177" s="143">
        <v>45210</v>
      </c>
      <c r="B2177" s="106">
        <v>1272.8</v>
      </c>
      <c r="C2177" s="106">
        <v>1259.25</v>
      </c>
      <c r="D2177" s="106">
        <v>1251</v>
      </c>
      <c r="E2177" s="106">
        <v>1259.1500000000001</v>
      </c>
      <c r="F2177" s="106">
        <v>1259.25</v>
      </c>
      <c r="G2177">
        <v>33653</v>
      </c>
      <c r="H2177" s="106"/>
      <c r="I2177" s="106"/>
      <c r="L2177" s="143">
        <v>45210</v>
      </c>
      <c r="M2177" s="106">
        <v>1259.7</v>
      </c>
      <c r="N2177" s="106">
        <v>1272.9000000000001</v>
      </c>
      <c r="O2177" s="106">
        <v>1251.7</v>
      </c>
      <c r="P2177" s="106">
        <v>1259</v>
      </c>
      <c r="Q2177" s="106">
        <v>1259.7</v>
      </c>
      <c r="R2177">
        <v>2083878</v>
      </c>
    </row>
    <row r="2178" spans="1:18" x14ac:dyDescent="0.25">
      <c r="A2178" s="143">
        <v>45211</v>
      </c>
      <c r="B2178" s="106">
        <v>1284.45</v>
      </c>
      <c r="C2178" s="106">
        <v>1244.55</v>
      </c>
      <c r="D2178" s="106">
        <v>1242</v>
      </c>
      <c r="E2178" s="106">
        <v>1284.45</v>
      </c>
      <c r="F2178" s="106">
        <v>1244.55</v>
      </c>
      <c r="G2178">
        <v>9865</v>
      </c>
      <c r="H2178" s="106"/>
      <c r="I2178" s="106"/>
      <c r="L2178" s="143">
        <v>45211</v>
      </c>
      <c r="M2178" s="106">
        <v>1244.5999999999999</v>
      </c>
      <c r="N2178" s="106">
        <v>1260.5999999999999</v>
      </c>
      <c r="O2178" s="106">
        <v>1241.1500000000001</v>
      </c>
      <c r="P2178" s="106">
        <v>1259</v>
      </c>
      <c r="Q2178" s="106">
        <v>1244.5999999999999</v>
      </c>
      <c r="R2178">
        <v>607389</v>
      </c>
    </row>
    <row r="2179" spans="1:18" x14ac:dyDescent="0.25">
      <c r="A2179" s="143">
        <v>45212</v>
      </c>
      <c r="B2179" s="106">
        <v>1260.4000000000001</v>
      </c>
      <c r="C2179" s="106">
        <v>1256.75</v>
      </c>
      <c r="D2179" s="106">
        <v>1243.5</v>
      </c>
      <c r="E2179" s="106">
        <v>1245</v>
      </c>
      <c r="F2179" s="106">
        <v>1256.75</v>
      </c>
      <c r="G2179">
        <v>16006</v>
      </c>
      <c r="H2179" s="106"/>
      <c r="I2179" s="106"/>
      <c r="L2179" s="143">
        <v>45212</v>
      </c>
      <c r="M2179" s="106">
        <v>1257.8</v>
      </c>
      <c r="N2179" s="106">
        <v>1261</v>
      </c>
      <c r="O2179" s="106">
        <v>1241.1500000000001</v>
      </c>
      <c r="P2179" s="106">
        <v>1244.5999999999999</v>
      </c>
      <c r="Q2179" s="106">
        <v>1257.8</v>
      </c>
      <c r="R2179">
        <v>843324</v>
      </c>
    </row>
    <row r="2180" spans="1:18" x14ac:dyDescent="0.25">
      <c r="A2180" s="143">
        <v>45215</v>
      </c>
      <c r="B2180" s="106">
        <v>1256.95</v>
      </c>
      <c r="C2180" s="106">
        <v>1246.0999999999999</v>
      </c>
      <c r="D2180" s="106">
        <v>1238.8</v>
      </c>
      <c r="E2180" s="106">
        <v>1256.05</v>
      </c>
      <c r="F2180" s="106">
        <v>1246.0999999999999</v>
      </c>
      <c r="G2180">
        <v>7318</v>
      </c>
      <c r="H2180" s="106"/>
      <c r="I2180" s="106"/>
      <c r="L2180" s="143">
        <v>45215</v>
      </c>
      <c r="M2180" s="106">
        <v>1245.7</v>
      </c>
      <c r="N2180" s="106">
        <v>1257.8</v>
      </c>
      <c r="O2180" s="106">
        <v>1238.8</v>
      </c>
      <c r="P2180" s="106">
        <v>1257.8</v>
      </c>
      <c r="Q2180" s="106">
        <v>1245.7</v>
      </c>
      <c r="R2180">
        <v>1301523</v>
      </c>
    </row>
    <row r="2181" spans="1:18" x14ac:dyDescent="0.25">
      <c r="A2181" s="143">
        <v>45216</v>
      </c>
      <c r="B2181" s="106">
        <v>1257.45</v>
      </c>
      <c r="C2181" s="106">
        <v>1243.7</v>
      </c>
      <c r="D2181" s="106">
        <v>1238.8</v>
      </c>
      <c r="E2181" s="106">
        <v>1245.7</v>
      </c>
      <c r="F2181" s="106">
        <v>1243.7</v>
      </c>
      <c r="G2181">
        <v>26636</v>
      </c>
      <c r="H2181" s="106"/>
      <c r="I2181" s="106"/>
      <c r="L2181" s="143">
        <v>45216</v>
      </c>
      <c r="M2181" s="106">
        <v>1244.6500000000001</v>
      </c>
      <c r="N2181" s="106">
        <v>1257.5999999999999</v>
      </c>
      <c r="O2181" s="106">
        <v>1237.7</v>
      </c>
      <c r="P2181" s="106">
        <v>1247.05</v>
      </c>
      <c r="Q2181" s="106">
        <v>1244.6500000000001</v>
      </c>
      <c r="R2181">
        <v>1228315</v>
      </c>
    </row>
    <row r="2182" spans="1:18" x14ac:dyDescent="0.25">
      <c r="A2182" s="143">
        <v>45217</v>
      </c>
      <c r="B2182" s="106">
        <v>1247.5</v>
      </c>
      <c r="C2182" s="106">
        <v>1216.4000000000001</v>
      </c>
      <c r="D2182" s="106">
        <v>1212.2</v>
      </c>
      <c r="E2182" s="106">
        <v>1240.45</v>
      </c>
      <c r="F2182" s="106">
        <v>1216.4000000000001</v>
      </c>
      <c r="G2182">
        <v>52985</v>
      </c>
      <c r="H2182" s="106"/>
      <c r="I2182" s="106"/>
      <c r="L2182" s="143">
        <v>45217</v>
      </c>
      <c r="M2182" s="106">
        <v>1218.45</v>
      </c>
      <c r="N2182" s="106">
        <v>1248.7</v>
      </c>
      <c r="O2182" s="106">
        <v>1211.8</v>
      </c>
      <c r="P2182" s="106">
        <v>1248.7</v>
      </c>
      <c r="Q2182" s="106">
        <v>1218.45</v>
      </c>
      <c r="R2182">
        <v>1993050</v>
      </c>
    </row>
    <row r="2183" spans="1:18" x14ac:dyDescent="0.25">
      <c r="A2183" s="143">
        <v>45218</v>
      </c>
      <c r="B2183" s="106">
        <v>1215.3</v>
      </c>
      <c r="C2183" s="106">
        <v>1196.8</v>
      </c>
      <c r="D2183" s="106">
        <v>1193.6500000000001</v>
      </c>
      <c r="E2183" s="106">
        <v>1215.3</v>
      </c>
      <c r="F2183" s="106">
        <v>1196.8</v>
      </c>
      <c r="G2183">
        <v>139857</v>
      </c>
      <c r="H2183" s="106"/>
      <c r="I2183" s="106"/>
      <c r="L2183" s="143">
        <v>45218</v>
      </c>
      <c r="M2183" s="106">
        <v>1197.3</v>
      </c>
      <c r="N2183" s="106">
        <v>1216.75</v>
      </c>
      <c r="O2183" s="106">
        <v>1193.3499999999999</v>
      </c>
      <c r="P2183" s="106">
        <v>1207.5</v>
      </c>
      <c r="Q2183" s="106">
        <v>1197.3</v>
      </c>
      <c r="R2183">
        <v>2532926</v>
      </c>
    </row>
    <row r="2184" spans="1:18" x14ac:dyDescent="0.25">
      <c r="A2184" s="143">
        <v>45219</v>
      </c>
      <c r="B2184" s="106">
        <v>1202.7</v>
      </c>
      <c r="C2184" s="106">
        <v>1187.4000000000001</v>
      </c>
      <c r="D2184" s="106">
        <v>1184.25</v>
      </c>
      <c r="E2184" s="106">
        <v>1190</v>
      </c>
      <c r="F2184" s="106">
        <v>1187.4000000000001</v>
      </c>
      <c r="G2184">
        <v>12540</v>
      </c>
      <c r="H2184" s="106"/>
      <c r="I2184" s="106"/>
      <c r="L2184" s="143">
        <v>45219</v>
      </c>
      <c r="M2184" s="106">
        <v>1187.1500000000001</v>
      </c>
      <c r="N2184" s="106">
        <v>1203.3</v>
      </c>
      <c r="O2184" s="106">
        <v>1184.0999999999999</v>
      </c>
      <c r="P2184" s="106">
        <v>1190.05</v>
      </c>
      <c r="Q2184" s="106">
        <v>1187.1500000000001</v>
      </c>
      <c r="R2184">
        <v>1725399</v>
      </c>
    </row>
    <row r="2185" spans="1:18" x14ac:dyDescent="0.25">
      <c r="A2185" s="143">
        <v>45222</v>
      </c>
      <c r="B2185" s="106">
        <v>1198.0999999999999</v>
      </c>
      <c r="C2185" s="106">
        <v>1166.5999999999999</v>
      </c>
      <c r="D2185" s="106">
        <v>1160.7</v>
      </c>
      <c r="E2185" s="106">
        <v>1176.1500000000001</v>
      </c>
      <c r="F2185" s="106">
        <v>1166.5999999999999</v>
      </c>
      <c r="G2185">
        <v>31011</v>
      </c>
      <c r="H2185" s="106"/>
      <c r="I2185" s="106"/>
      <c r="L2185" s="143">
        <v>45222</v>
      </c>
      <c r="M2185" s="106">
        <v>1167.25</v>
      </c>
      <c r="N2185" s="106">
        <v>1198.75</v>
      </c>
      <c r="O2185" s="106">
        <v>1161.1500000000001</v>
      </c>
      <c r="P2185" s="106">
        <v>1186</v>
      </c>
      <c r="Q2185" s="106">
        <v>1167.25</v>
      </c>
      <c r="R2185">
        <v>1121828</v>
      </c>
    </row>
    <row r="2186" spans="1:18" x14ac:dyDescent="0.25">
      <c r="A2186" s="143">
        <v>45224</v>
      </c>
      <c r="B2186" s="106">
        <v>1170.1500000000001</v>
      </c>
      <c r="C2186" s="106">
        <v>1146.7</v>
      </c>
      <c r="D2186" s="106">
        <v>1132.2</v>
      </c>
      <c r="E2186" s="106">
        <v>1164.8</v>
      </c>
      <c r="F2186" s="106">
        <v>1146.7</v>
      </c>
      <c r="G2186">
        <v>13480</v>
      </c>
      <c r="H2186" s="106"/>
      <c r="I2186" s="106"/>
      <c r="L2186" s="143">
        <v>45224</v>
      </c>
      <c r="M2186" s="106">
        <v>1147.05</v>
      </c>
      <c r="N2186" s="106">
        <v>1172.8499999999999</v>
      </c>
      <c r="O2186" s="106">
        <v>1131.4000000000001</v>
      </c>
      <c r="P2186" s="106">
        <v>1166</v>
      </c>
      <c r="Q2186" s="106">
        <v>1147.05</v>
      </c>
      <c r="R2186">
        <v>1758063</v>
      </c>
    </row>
    <row r="2187" spans="1:18" x14ac:dyDescent="0.25">
      <c r="A2187" s="143">
        <v>45225</v>
      </c>
      <c r="B2187" s="106">
        <v>1141.8499999999999</v>
      </c>
      <c r="C2187" s="106">
        <v>1134.55</v>
      </c>
      <c r="D2187" s="106">
        <v>1115</v>
      </c>
      <c r="E2187" s="106">
        <v>1141.8499999999999</v>
      </c>
      <c r="F2187" s="106">
        <v>1134.55</v>
      </c>
      <c r="G2187">
        <v>19920</v>
      </c>
      <c r="H2187" s="106"/>
      <c r="I2187" s="106"/>
      <c r="L2187" s="143">
        <v>45225</v>
      </c>
      <c r="M2187" s="106">
        <v>1134.5</v>
      </c>
      <c r="N2187" s="106">
        <v>1144.45</v>
      </c>
      <c r="O2187" s="106">
        <v>1114.6500000000001</v>
      </c>
      <c r="P2187" s="106">
        <v>1144.45</v>
      </c>
      <c r="Q2187" s="106">
        <v>1134.5</v>
      </c>
      <c r="R2187">
        <v>1472625</v>
      </c>
    </row>
    <row r="2188" spans="1:18" x14ac:dyDescent="0.25">
      <c r="A2188" s="143">
        <v>45226</v>
      </c>
      <c r="B2188" s="106">
        <v>1184.8</v>
      </c>
      <c r="C2188" s="106">
        <v>1168.2</v>
      </c>
      <c r="D2188" s="106">
        <v>1132.0999999999999</v>
      </c>
      <c r="E2188" s="106">
        <v>1132.6500000000001</v>
      </c>
      <c r="F2188" s="106">
        <v>1168.2</v>
      </c>
      <c r="G2188">
        <v>37319</v>
      </c>
      <c r="H2188" s="106"/>
      <c r="I2188" s="106"/>
      <c r="L2188" s="143">
        <v>45226</v>
      </c>
      <c r="M2188" s="106">
        <v>1168.05</v>
      </c>
      <c r="N2188" s="106">
        <v>1185.2</v>
      </c>
      <c r="O2188" s="106">
        <v>1135.0999999999999</v>
      </c>
      <c r="P2188" s="106">
        <v>1136.05</v>
      </c>
      <c r="Q2188" s="106">
        <v>1168.05</v>
      </c>
      <c r="R2188">
        <v>2141573</v>
      </c>
    </row>
    <row r="2189" spans="1:18" x14ac:dyDescent="0.25">
      <c r="A2189" s="143">
        <v>45229</v>
      </c>
      <c r="B2189" s="106">
        <v>1168.2</v>
      </c>
      <c r="C2189" s="106">
        <v>1155.5</v>
      </c>
      <c r="D2189" s="106">
        <v>1138.0999999999999</v>
      </c>
      <c r="E2189" s="106">
        <v>1168.2</v>
      </c>
      <c r="F2189" s="106">
        <v>1155.5</v>
      </c>
      <c r="G2189">
        <v>25847</v>
      </c>
      <c r="H2189" s="106"/>
      <c r="I2189" s="106"/>
      <c r="L2189" s="143">
        <v>45229</v>
      </c>
      <c r="M2189" s="106">
        <v>1155.6500000000001</v>
      </c>
      <c r="N2189" s="106">
        <v>1168.1500000000001</v>
      </c>
      <c r="O2189" s="106">
        <v>1137.4000000000001</v>
      </c>
      <c r="P2189" s="106">
        <v>1166</v>
      </c>
      <c r="Q2189" s="106">
        <v>1155.6500000000001</v>
      </c>
      <c r="R2189">
        <v>872127</v>
      </c>
    </row>
    <row r="2190" spans="1:18" x14ac:dyDescent="0.25">
      <c r="A2190" s="143">
        <v>45230</v>
      </c>
      <c r="B2190" s="106">
        <v>1164.6500000000001</v>
      </c>
      <c r="C2190" s="106">
        <v>1137.25</v>
      </c>
      <c r="D2190" s="106">
        <v>1126.7</v>
      </c>
      <c r="E2190" s="106">
        <v>1156</v>
      </c>
      <c r="F2190" s="106">
        <v>1137.25</v>
      </c>
      <c r="G2190">
        <v>21424</v>
      </c>
      <c r="H2190" s="106"/>
      <c r="I2190" s="106"/>
      <c r="L2190" s="143">
        <v>45230</v>
      </c>
      <c r="M2190" s="106">
        <v>1137.3</v>
      </c>
      <c r="N2190" s="106">
        <v>1165.55</v>
      </c>
      <c r="O2190" s="106">
        <v>1126.2</v>
      </c>
      <c r="P2190" s="106">
        <v>1157</v>
      </c>
      <c r="Q2190" s="106">
        <v>1137.3</v>
      </c>
      <c r="R2190">
        <v>1506570</v>
      </c>
    </row>
    <row r="2191" spans="1:18" x14ac:dyDescent="0.25">
      <c r="A2191" s="143">
        <v>45231</v>
      </c>
      <c r="B2191" s="106">
        <v>1162.7</v>
      </c>
      <c r="C2191" s="106">
        <v>1150.3499999999999</v>
      </c>
      <c r="D2191" s="106">
        <v>1136</v>
      </c>
      <c r="E2191" s="106">
        <v>1144.0999999999999</v>
      </c>
      <c r="F2191" s="106">
        <v>1150.3499999999999</v>
      </c>
      <c r="G2191">
        <v>13459</v>
      </c>
      <c r="H2191" s="106"/>
      <c r="I2191" s="106"/>
      <c r="L2191" s="143">
        <v>45231</v>
      </c>
      <c r="M2191" s="106">
        <v>1149</v>
      </c>
      <c r="N2191" s="106">
        <v>1164</v>
      </c>
      <c r="O2191" s="106">
        <v>1135.2</v>
      </c>
      <c r="P2191" s="106">
        <v>1142.95</v>
      </c>
      <c r="Q2191" s="106">
        <v>1149</v>
      </c>
      <c r="R2191">
        <v>1196729</v>
      </c>
    </row>
    <row r="2192" spans="1:18" x14ac:dyDescent="0.25">
      <c r="A2192" s="143">
        <v>45232</v>
      </c>
      <c r="B2192" s="106">
        <v>1189</v>
      </c>
      <c r="C2192" s="106">
        <v>1178.3</v>
      </c>
      <c r="D2192" s="106">
        <v>1141.05</v>
      </c>
      <c r="E2192" s="106">
        <v>1154.95</v>
      </c>
      <c r="F2192" s="106">
        <v>1178.3</v>
      </c>
      <c r="G2192">
        <v>46077</v>
      </c>
      <c r="H2192" s="106"/>
      <c r="I2192" s="106"/>
      <c r="L2192" s="143">
        <v>45232</v>
      </c>
      <c r="M2192" s="106">
        <v>1177.45</v>
      </c>
      <c r="N2192" s="106">
        <v>1193.9000000000001</v>
      </c>
      <c r="O2192" s="106">
        <v>1141.2</v>
      </c>
      <c r="P2192" s="106">
        <v>1152.5</v>
      </c>
      <c r="Q2192" s="106">
        <v>1177.45</v>
      </c>
      <c r="R2192">
        <v>1331739</v>
      </c>
    </row>
    <row r="2193" spans="1:18" x14ac:dyDescent="0.25">
      <c r="A2193" s="143">
        <v>45233</v>
      </c>
      <c r="B2193" s="106">
        <v>1217</v>
      </c>
      <c r="C2193" s="106">
        <v>1134.5999999999999</v>
      </c>
      <c r="D2193" s="106">
        <v>1128.1500000000001</v>
      </c>
      <c r="E2193" s="106">
        <v>1190</v>
      </c>
      <c r="F2193" s="106">
        <v>1134.5999999999999</v>
      </c>
      <c r="G2193">
        <v>104726</v>
      </c>
      <c r="H2193" s="106"/>
      <c r="I2193" s="106"/>
      <c r="L2193" s="143">
        <v>45233</v>
      </c>
      <c r="M2193" s="106">
        <v>1134.3</v>
      </c>
      <c r="N2193" s="106">
        <v>1217.5</v>
      </c>
      <c r="O2193" s="106">
        <v>1128.5</v>
      </c>
      <c r="P2193" s="106">
        <v>1190.05</v>
      </c>
      <c r="Q2193" s="106">
        <v>1134.3</v>
      </c>
      <c r="R2193">
        <v>4353899</v>
      </c>
    </row>
    <row r="2194" spans="1:18" x14ac:dyDescent="0.25">
      <c r="A2194" s="143">
        <v>45236</v>
      </c>
      <c r="B2194" s="106">
        <v>1154.25</v>
      </c>
      <c r="C2194" s="106">
        <v>1152.55</v>
      </c>
      <c r="D2194" s="106">
        <v>1120.6500000000001</v>
      </c>
      <c r="E2194" s="106">
        <v>1147.8</v>
      </c>
      <c r="F2194" s="106">
        <v>1152.55</v>
      </c>
      <c r="G2194">
        <v>49095</v>
      </c>
      <c r="H2194" s="106"/>
      <c r="I2194" s="106"/>
      <c r="L2194" s="143">
        <v>45236</v>
      </c>
      <c r="M2194" s="106">
        <v>1152.3499999999999</v>
      </c>
      <c r="N2194" s="106">
        <v>1155</v>
      </c>
      <c r="O2194" s="106">
        <v>1121</v>
      </c>
      <c r="P2194" s="106">
        <v>1142</v>
      </c>
      <c r="Q2194" s="106">
        <v>1152.3499999999999</v>
      </c>
      <c r="R2194">
        <v>1566013</v>
      </c>
    </row>
    <row r="2195" spans="1:18" x14ac:dyDescent="0.25">
      <c r="A2195" s="143">
        <v>45237</v>
      </c>
      <c r="B2195" s="106">
        <v>1168.95</v>
      </c>
      <c r="C2195" s="106">
        <v>1142.0999999999999</v>
      </c>
      <c r="D2195" s="106">
        <v>1114.1500000000001</v>
      </c>
      <c r="E2195" s="106">
        <v>1168.95</v>
      </c>
      <c r="F2195" s="106">
        <v>1142.0999999999999</v>
      </c>
      <c r="G2195">
        <v>127632</v>
      </c>
      <c r="H2195" s="106"/>
      <c r="I2195" s="106"/>
      <c r="L2195" s="143">
        <v>45237</v>
      </c>
      <c r="M2195" s="106">
        <v>1142.4000000000001</v>
      </c>
      <c r="N2195" s="106">
        <v>1156</v>
      </c>
      <c r="O2195" s="106">
        <v>1113</v>
      </c>
      <c r="P2195" s="106">
        <v>1156</v>
      </c>
      <c r="Q2195" s="106">
        <v>1142.4000000000001</v>
      </c>
      <c r="R2195">
        <v>2579066</v>
      </c>
    </row>
    <row r="2196" spans="1:18" x14ac:dyDescent="0.25">
      <c r="A2196" s="143">
        <v>45238</v>
      </c>
      <c r="B2196" s="106">
        <v>1148.2</v>
      </c>
      <c r="C2196" s="106">
        <v>1142.95</v>
      </c>
      <c r="D2196" s="106">
        <v>1131.6500000000001</v>
      </c>
      <c r="E2196" s="106">
        <v>1145</v>
      </c>
      <c r="F2196" s="106">
        <v>1142.95</v>
      </c>
      <c r="G2196">
        <v>18201</v>
      </c>
      <c r="H2196" s="106"/>
      <c r="I2196" s="106"/>
      <c r="L2196" s="143">
        <v>45238</v>
      </c>
      <c r="M2196" s="106">
        <v>1143.1500000000001</v>
      </c>
      <c r="N2196" s="106">
        <v>1149.5</v>
      </c>
      <c r="O2196" s="106">
        <v>1130.7</v>
      </c>
      <c r="P2196" s="106">
        <v>1144</v>
      </c>
      <c r="Q2196" s="106">
        <v>1143.1500000000001</v>
      </c>
      <c r="R2196">
        <v>784749</v>
      </c>
    </row>
    <row r="2197" spans="1:18" x14ac:dyDescent="0.25">
      <c r="A2197" s="143">
        <v>45239</v>
      </c>
      <c r="B2197" s="106">
        <v>1154.8</v>
      </c>
      <c r="C2197" s="106">
        <v>1152.4000000000001</v>
      </c>
      <c r="D2197" s="106">
        <v>1135.8499999999999</v>
      </c>
      <c r="E2197" s="106">
        <v>1149.95</v>
      </c>
      <c r="F2197" s="106">
        <v>1152.4000000000001</v>
      </c>
      <c r="G2197">
        <v>7449</v>
      </c>
      <c r="H2197" s="106"/>
      <c r="I2197" s="106"/>
      <c r="L2197" s="143">
        <v>45239</v>
      </c>
      <c r="M2197" s="106">
        <v>1152.05</v>
      </c>
      <c r="N2197" s="106">
        <v>1155.8499999999999</v>
      </c>
      <c r="O2197" s="106">
        <v>1135.25</v>
      </c>
      <c r="P2197" s="106">
        <v>1148.4000000000001</v>
      </c>
      <c r="Q2197" s="106">
        <v>1152.05</v>
      </c>
      <c r="R2197">
        <v>806956</v>
      </c>
    </row>
    <row r="2198" spans="1:18" x14ac:dyDescent="0.25">
      <c r="A2198" s="143">
        <v>45240</v>
      </c>
      <c r="B2198" s="106">
        <v>1151.8</v>
      </c>
      <c r="C2198" s="106">
        <v>1148.3499999999999</v>
      </c>
      <c r="D2198" s="106">
        <v>1132.25</v>
      </c>
      <c r="E2198" s="106">
        <v>1150</v>
      </c>
      <c r="F2198" s="106">
        <v>1148.3499999999999</v>
      </c>
      <c r="G2198">
        <v>21572</v>
      </c>
      <c r="H2198" s="106"/>
      <c r="I2198" s="106"/>
      <c r="L2198" s="143">
        <v>45240</v>
      </c>
      <c r="M2198" s="106">
        <v>1148.25</v>
      </c>
      <c r="N2198" s="106">
        <v>1151.8</v>
      </c>
      <c r="O2198" s="106">
        <v>1132.05</v>
      </c>
      <c r="P2198" s="106">
        <v>1149.95</v>
      </c>
      <c r="Q2198" s="106">
        <v>1148.25</v>
      </c>
      <c r="R2198">
        <v>650284</v>
      </c>
    </row>
    <row r="2199" spans="1:18" x14ac:dyDescent="0.25">
      <c r="A2199" s="143">
        <v>45242</v>
      </c>
      <c r="B2199" s="106">
        <v>1160.45</v>
      </c>
      <c r="C2199" s="106">
        <v>1151.3</v>
      </c>
      <c r="D2199" s="106">
        <v>1149.05</v>
      </c>
      <c r="E2199" s="106">
        <v>1152</v>
      </c>
      <c r="F2199" s="106">
        <v>1151.3</v>
      </c>
      <c r="G2199">
        <v>4904</v>
      </c>
      <c r="H2199" s="106"/>
      <c r="I2199" s="106"/>
      <c r="L2199" s="143">
        <v>45242</v>
      </c>
      <c r="M2199" s="106">
        <v>1151.5</v>
      </c>
      <c r="N2199" s="106">
        <v>1160</v>
      </c>
      <c r="O2199" s="106">
        <v>1149</v>
      </c>
      <c r="P2199" s="106">
        <v>1157.8</v>
      </c>
      <c r="Q2199" s="106">
        <v>1151.5</v>
      </c>
      <c r="R2199">
        <v>50964</v>
      </c>
    </row>
    <row r="2200" spans="1:18" x14ac:dyDescent="0.25">
      <c r="A2200" s="143">
        <v>45243</v>
      </c>
      <c r="B2200" s="106">
        <v>1153</v>
      </c>
      <c r="C2200" s="106">
        <v>1148.5999999999999</v>
      </c>
      <c r="D2200" s="106">
        <v>1135.3</v>
      </c>
      <c r="E2200" s="106">
        <v>1141</v>
      </c>
      <c r="F2200" s="106">
        <v>1148.5999999999999</v>
      </c>
      <c r="G2200">
        <v>8706</v>
      </c>
      <c r="H2200" s="106"/>
      <c r="I2200" s="106"/>
      <c r="L2200" s="143">
        <v>45243</v>
      </c>
      <c r="M2200" s="106">
        <v>1148.9000000000001</v>
      </c>
      <c r="N2200" s="106">
        <v>1153.55</v>
      </c>
      <c r="O2200" s="106">
        <v>1135</v>
      </c>
      <c r="P2200" s="106">
        <v>1147.95</v>
      </c>
      <c r="Q2200" s="106">
        <v>1148.9000000000001</v>
      </c>
      <c r="R2200">
        <v>979664</v>
      </c>
    </row>
    <row r="2201" spans="1:18" x14ac:dyDescent="0.25">
      <c r="A2201" s="143">
        <v>45245</v>
      </c>
      <c r="B2201" s="106">
        <v>1173.9000000000001</v>
      </c>
      <c r="C2201" s="106">
        <v>1168.95</v>
      </c>
      <c r="D2201" s="106">
        <v>1154.6500000000001</v>
      </c>
      <c r="E2201" s="106">
        <v>1158.8499999999999</v>
      </c>
      <c r="F2201" s="106">
        <v>1168.95</v>
      </c>
      <c r="G2201">
        <v>40326</v>
      </c>
      <c r="H2201" s="106"/>
      <c r="I2201" s="106"/>
      <c r="L2201" s="143">
        <v>45245</v>
      </c>
      <c r="M2201" s="106">
        <v>1166.75</v>
      </c>
      <c r="N2201" s="106">
        <v>1174.5999999999999</v>
      </c>
      <c r="O2201" s="106">
        <v>1154</v>
      </c>
      <c r="P2201" s="106">
        <v>1165</v>
      </c>
      <c r="Q2201" s="106">
        <v>1166.75</v>
      </c>
      <c r="R2201">
        <v>1514890</v>
      </c>
    </row>
    <row r="2202" spans="1:18" x14ac:dyDescent="0.25">
      <c r="A2202" s="143">
        <v>45246</v>
      </c>
      <c r="B2202" s="106">
        <v>1176</v>
      </c>
      <c r="C2202" s="106">
        <v>1165.05</v>
      </c>
      <c r="D2202" s="106">
        <v>1156.05</v>
      </c>
      <c r="E2202" s="106">
        <v>1170</v>
      </c>
      <c r="F2202" s="106">
        <v>1165.05</v>
      </c>
      <c r="G2202">
        <v>17583</v>
      </c>
      <c r="H2202" s="106"/>
      <c r="I2202" s="106"/>
      <c r="L2202" s="143">
        <v>45246</v>
      </c>
      <c r="M2202" s="106">
        <v>1165.3</v>
      </c>
      <c r="N2202" s="106">
        <v>1176.0999999999999</v>
      </c>
      <c r="O2202" s="106">
        <v>1156</v>
      </c>
      <c r="P2202" s="106">
        <v>1168.95</v>
      </c>
      <c r="Q2202" s="106">
        <v>1165.3</v>
      </c>
      <c r="R2202">
        <v>848317</v>
      </c>
    </row>
    <row r="2203" spans="1:18" x14ac:dyDescent="0.25">
      <c r="A2203" s="143">
        <v>45247</v>
      </c>
      <c r="B2203" s="106">
        <v>1145.95</v>
      </c>
      <c r="C2203" s="106">
        <v>1125.9000000000001</v>
      </c>
      <c r="D2203" s="106">
        <v>1116.05</v>
      </c>
      <c r="E2203" s="106">
        <v>1141.7</v>
      </c>
      <c r="F2203" s="106">
        <v>1125.9000000000001</v>
      </c>
      <c r="G2203">
        <v>25934</v>
      </c>
      <c r="H2203" s="106"/>
      <c r="I2203" s="106"/>
      <c r="L2203" s="143">
        <v>45247</v>
      </c>
      <c r="M2203" s="106">
        <v>1126.4000000000001</v>
      </c>
      <c r="N2203" s="106">
        <v>1148.8</v>
      </c>
      <c r="O2203" s="106">
        <v>1115.8499999999999</v>
      </c>
      <c r="P2203" s="106">
        <v>1142.05</v>
      </c>
      <c r="Q2203" s="106">
        <v>1126.4000000000001</v>
      </c>
      <c r="R2203">
        <v>2028903</v>
      </c>
    </row>
    <row r="2204" spans="1:18" x14ac:dyDescent="0.25">
      <c r="A2204" s="143">
        <v>45250</v>
      </c>
      <c r="B2204" s="106">
        <v>1138.1500000000001</v>
      </c>
      <c r="C2204" s="106">
        <v>1126.6500000000001</v>
      </c>
      <c r="D2204" s="106">
        <v>1121</v>
      </c>
      <c r="E2204" s="106">
        <v>1135.95</v>
      </c>
      <c r="F2204" s="106">
        <v>1126.6500000000001</v>
      </c>
      <c r="G2204">
        <v>14445</v>
      </c>
      <c r="H2204" s="106"/>
      <c r="I2204" s="106"/>
      <c r="L2204" s="143">
        <v>45250</v>
      </c>
      <c r="M2204" s="106">
        <v>1126.6500000000001</v>
      </c>
      <c r="N2204" s="106">
        <v>1138.5999999999999</v>
      </c>
      <c r="O2204" s="106">
        <v>1120.7</v>
      </c>
      <c r="P2204" s="106">
        <v>1129.9000000000001</v>
      </c>
      <c r="Q2204" s="106">
        <v>1126.6500000000001</v>
      </c>
      <c r="R2204">
        <v>2168137</v>
      </c>
    </row>
    <row r="2205" spans="1:18" x14ac:dyDescent="0.25">
      <c r="A2205" s="143">
        <v>45251</v>
      </c>
      <c r="B2205" s="106">
        <v>1130.05</v>
      </c>
      <c r="C2205" s="106">
        <v>1103.3</v>
      </c>
      <c r="D2205" s="106">
        <v>1098</v>
      </c>
      <c r="E2205" s="106">
        <v>1128.6500000000001</v>
      </c>
      <c r="F2205" s="106">
        <v>1103.3</v>
      </c>
      <c r="G2205">
        <v>46940</v>
      </c>
      <c r="H2205" s="106"/>
      <c r="I2205" s="106"/>
      <c r="L2205" s="143">
        <v>45251</v>
      </c>
      <c r="M2205" s="106">
        <v>1103.8499999999999</v>
      </c>
      <c r="N2205" s="106">
        <v>1132.9000000000001</v>
      </c>
      <c r="O2205" s="106">
        <v>1097.5999999999999</v>
      </c>
      <c r="P2205" s="106">
        <v>1126</v>
      </c>
      <c r="Q2205" s="106">
        <v>1103.8499999999999</v>
      </c>
      <c r="R2205">
        <v>3119172</v>
      </c>
    </row>
    <row r="2206" spans="1:18" x14ac:dyDescent="0.25">
      <c r="A2206" s="143">
        <v>45252</v>
      </c>
      <c r="B2206" s="106">
        <v>1134.25</v>
      </c>
      <c r="C2206" s="106">
        <v>1120.95</v>
      </c>
      <c r="D2206" s="106">
        <v>1103</v>
      </c>
      <c r="E2206" s="106">
        <v>1104</v>
      </c>
      <c r="F2206" s="106">
        <v>1120.95</v>
      </c>
      <c r="G2206">
        <v>29376</v>
      </c>
      <c r="H2206" s="106"/>
      <c r="I2206" s="106"/>
      <c r="L2206" s="143">
        <v>45252</v>
      </c>
      <c r="M2206" s="106">
        <v>1120.95</v>
      </c>
      <c r="N2206" s="106">
        <v>1133.95</v>
      </c>
      <c r="O2206" s="106">
        <v>1101.75</v>
      </c>
      <c r="P2206" s="106">
        <v>1103.8499999999999</v>
      </c>
      <c r="Q2206" s="106">
        <v>1120.95</v>
      </c>
      <c r="R2206">
        <v>1708687</v>
      </c>
    </row>
    <row r="2207" spans="1:18" x14ac:dyDescent="0.25">
      <c r="A2207" s="143">
        <v>45253</v>
      </c>
      <c r="B2207" s="106">
        <v>1134.5</v>
      </c>
      <c r="C2207" s="106">
        <v>1115</v>
      </c>
      <c r="D2207" s="106">
        <v>1112.95</v>
      </c>
      <c r="E2207" s="106">
        <v>1127</v>
      </c>
      <c r="F2207" s="106">
        <v>1115</v>
      </c>
      <c r="G2207">
        <v>21913</v>
      </c>
      <c r="H2207" s="106"/>
      <c r="I2207" s="106"/>
      <c r="L2207" s="143">
        <v>45253</v>
      </c>
      <c r="M2207" s="106">
        <v>1115</v>
      </c>
      <c r="N2207" s="106">
        <v>1137</v>
      </c>
      <c r="O2207" s="106">
        <v>1112.45</v>
      </c>
      <c r="P2207" s="106">
        <v>1130</v>
      </c>
      <c r="Q2207" s="106">
        <v>1115</v>
      </c>
      <c r="R2207">
        <v>696088</v>
      </c>
    </row>
    <row r="2208" spans="1:18" x14ac:dyDescent="0.25">
      <c r="A2208" s="143">
        <v>45254</v>
      </c>
      <c r="B2208" s="106">
        <v>1123.75</v>
      </c>
      <c r="C2208" s="106">
        <v>1094.75</v>
      </c>
      <c r="D2208" s="106">
        <v>1091.5</v>
      </c>
      <c r="E2208" s="106">
        <v>1115.5999999999999</v>
      </c>
      <c r="F2208" s="106">
        <v>1094.75</v>
      </c>
      <c r="G2208">
        <v>44430</v>
      </c>
      <c r="H2208" s="106"/>
      <c r="I2208" s="106"/>
      <c r="L2208" s="143">
        <v>45254</v>
      </c>
      <c r="M2208" s="106">
        <v>1094.5</v>
      </c>
      <c r="N2208" s="106">
        <v>1124.1500000000001</v>
      </c>
      <c r="O2208" s="106">
        <v>1091.3</v>
      </c>
      <c r="P2208" s="106">
        <v>1117</v>
      </c>
      <c r="Q2208" s="106">
        <v>1094.5</v>
      </c>
      <c r="R2208">
        <v>1350899</v>
      </c>
    </row>
    <row r="2209" spans="1:18" x14ac:dyDescent="0.25">
      <c r="A2209" s="143">
        <v>45258</v>
      </c>
      <c r="B2209" s="106">
        <v>1107.6500000000001</v>
      </c>
      <c r="C2209" s="106">
        <v>1106.2</v>
      </c>
      <c r="D2209" s="106">
        <v>1084.9000000000001</v>
      </c>
      <c r="E2209" s="106">
        <v>1094.45</v>
      </c>
      <c r="F2209" s="106">
        <v>1106.2</v>
      </c>
      <c r="G2209">
        <v>37219</v>
      </c>
      <c r="H2209" s="106"/>
      <c r="I2209" s="106"/>
      <c r="L2209" s="143">
        <v>45258</v>
      </c>
      <c r="M2209" s="106">
        <v>1106.25</v>
      </c>
      <c r="N2209" s="106">
        <v>1108</v>
      </c>
      <c r="O2209" s="106">
        <v>1085.4000000000001</v>
      </c>
      <c r="P2209" s="106">
        <v>1092.05</v>
      </c>
      <c r="Q2209" s="106">
        <v>1106.25</v>
      </c>
      <c r="R2209">
        <v>2445247</v>
      </c>
    </row>
    <row r="2210" spans="1:18" x14ac:dyDescent="0.25">
      <c r="A2210" s="143">
        <v>45259</v>
      </c>
      <c r="B2210" s="106">
        <v>1119.25</v>
      </c>
      <c r="C2210" s="106">
        <v>1109.4000000000001</v>
      </c>
      <c r="D2210" s="106">
        <v>1102.7</v>
      </c>
      <c r="E2210" s="106">
        <v>1107</v>
      </c>
      <c r="F2210" s="106">
        <v>1109.4000000000001</v>
      </c>
      <c r="G2210">
        <v>12609</v>
      </c>
      <c r="H2210" s="106"/>
      <c r="I2210" s="106"/>
      <c r="L2210" s="143">
        <v>45259</v>
      </c>
      <c r="M2210" s="106">
        <v>1110.45</v>
      </c>
      <c r="N2210" s="106">
        <v>1119.5</v>
      </c>
      <c r="O2210" s="106">
        <v>1102.25</v>
      </c>
      <c r="P2210" s="106">
        <v>1109</v>
      </c>
      <c r="Q2210" s="106">
        <v>1110.45</v>
      </c>
      <c r="R2210">
        <v>967327</v>
      </c>
    </row>
    <row r="2211" spans="1:18" x14ac:dyDescent="0.25">
      <c r="A2211" s="143">
        <v>45260</v>
      </c>
      <c r="B2211" s="106">
        <v>1126.3</v>
      </c>
      <c r="C2211" s="106">
        <v>1116.5</v>
      </c>
      <c r="D2211" s="106">
        <v>1100</v>
      </c>
      <c r="E2211" s="106">
        <v>1103.05</v>
      </c>
      <c r="F2211" s="106">
        <v>1116.5</v>
      </c>
      <c r="G2211">
        <v>15572</v>
      </c>
      <c r="H2211" s="106"/>
      <c r="I2211" s="106"/>
      <c r="L2211" s="143">
        <v>45260</v>
      </c>
      <c r="M2211" s="106">
        <v>1117.45</v>
      </c>
      <c r="N2211" s="106">
        <v>1126</v>
      </c>
      <c r="O2211" s="106">
        <v>1099.55</v>
      </c>
      <c r="P2211" s="106">
        <v>1109.95</v>
      </c>
      <c r="Q2211" s="106">
        <v>1117.45</v>
      </c>
      <c r="R2211">
        <v>4152570</v>
      </c>
    </row>
    <row r="2212" spans="1:18" x14ac:dyDescent="0.25">
      <c r="A2212" s="143">
        <v>45261</v>
      </c>
      <c r="B2212" s="106">
        <v>1138</v>
      </c>
      <c r="C2212" s="106">
        <v>1128.5</v>
      </c>
      <c r="D2212" s="106">
        <v>1121.05</v>
      </c>
      <c r="E2212" s="106">
        <v>1126.75</v>
      </c>
      <c r="F2212" s="106">
        <v>1128.5</v>
      </c>
      <c r="G2212">
        <v>16324</v>
      </c>
      <c r="H2212" s="106"/>
      <c r="I2212" s="106"/>
      <c r="L2212" s="143">
        <v>45261</v>
      </c>
      <c r="M2212" s="106">
        <v>1128.2</v>
      </c>
      <c r="N2212" s="106">
        <v>1139</v>
      </c>
      <c r="O2212" s="106">
        <v>1120</v>
      </c>
      <c r="P2212" s="106">
        <v>1128.5999999999999</v>
      </c>
      <c r="Q2212" s="106">
        <v>1128.2</v>
      </c>
      <c r="R2212">
        <v>1040604</v>
      </c>
    </row>
    <row r="2213" spans="1:18" x14ac:dyDescent="0.25">
      <c r="A2213" s="143">
        <v>45264</v>
      </c>
      <c r="B2213" s="106">
        <v>1161.2</v>
      </c>
      <c r="C2213" s="106">
        <v>1148.2</v>
      </c>
      <c r="D2213" s="106">
        <v>1132.05</v>
      </c>
      <c r="E2213" s="106">
        <v>1132.05</v>
      </c>
      <c r="F2213" s="106">
        <v>1148.2</v>
      </c>
      <c r="G2213">
        <v>56713</v>
      </c>
      <c r="H2213" s="106"/>
      <c r="I2213" s="106"/>
      <c r="L2213" s="143">
        <v>45264</v>
      </c>
      <c r="M2213" s="106">
        <v>1148.75</v>
      </c>
      <c r="N2213" s="106">
        <v>1161.95</v>
      </c>
      <c r="O2213" s="106">
        <v>1136.5</v>
      </c>
      <c r="P2213" s="106">
        <v>1136.5</v>
      </c>
      <c r="Q2213" s="106">
        <v>1148.75</v>
      </c>
      <c r="R2213">
        <v>2340871</v>
      </c>
    </row>
    <row r="2214" spans="1:18" x14ac:dyDescent="0.25">
      <c r="A2214" s="143">
        <v>45265</v>
      </c>
      <c r="B2214" s="106">
        <v>1150</v>
      </c>
      <c r="C2214" s="106">
        <v>1139.8</v>
      </c>
      <c r="D2214" s="106">
        <v>1129.4000000000001</v>
      </c>
      <c r="E2214" s="106">
        <v>1148.25</v>
      </c>
      <c r="F2214" s="106">
        <v>1139.8</v>
      </c>
      <c r="G2214">
        <v>17116</v>
      </c>
      <c r="H2214" s="106"/>
      <c r="I2214" s="106"/>
      <c r="L2214" s="143">
        <v>45265</v>
      </c>
      <c r="M2214" s="106">
        <v>1139.5999999999999</v>
      </c>
      <c r="N2214" s="106">
        <v>1151.0999999999999</v>
      </c>
      <c r="O2214" s="106">
        <v>1129.5999999999999</v>
      </c>
      <c r="P2214" s="106">
        <v>1150.95</v>
      </c>
      <c r="Q2214" s="106">
        <v>1139.5999999999999</v>
      </c>
      <c r="R2214">
        <v>1382427</v>
      </c>
    </row>
    <row r="2215" spans="1:18" x14ac:dyDescent="0.25">
      <c r="A2215" s="143">
        <v>45266</v>
      </c>
      <c r="B2215" s="106">
        <v>1165.3499999999999</v>
      </c>
      <c r="C2215" s="106">
        <v>1154.0999999999999</v>
      </c>
      <c r="D2215" s="106">
        <v>1138.5999999999999</v>
      </c>
      <c r="E2215" s="106">
        <v>1139.95</v>
      </c>
      <c r="F2215" s="106">
        <v>1154.0999999999999</v>
      </c>
      <c r="G2215">
        <v>49948</v>
      </c>
      <c r="H2215" s="106"/>
      <c r="I2215" s="106"/>
      <c r="L2215" s="143">
        <v>45266</v>
      </c>
      <c r="M2215" s="106">
        <v>1154.2</v>
      </c>
      <c r="N2215" s="106">
        <v>1166</v>
      </c>
      <c r="O2215" s="106">
        <v>1139</v>
      </c>
      <c r="P2215" s="106">
        <v>1139.5999999999999</v>
      </c>
      <c r="Q2215" s="106">
        <v>1154.2</v>
      </c>
      <c r="R2215">
        <v>1216230</v>
      </c>
    </row>
    <row r="2216" spans="1:18" x14ac:dyDescent="0.25">
      <c r="A2216" s="143">
        <v>45267</v>
      </c>
      <c r="B2216" s="106">
        <v>1156</v>
      </c>
      <c r="C2216" s="106">
        <v>1137.0999999999999</v>
      </c>
      <c r="D2216" s="106">
        <v>1132.25</v>
      </c>
      <c r="E2216" s="106">
        <v>1150.05</v>
      </c>
      <c r="F2216" s="106">
        <v>1137.0999999999999</v>
      </c>
      <c r="G2216">
        <v>16547</v>
      </c>
      <c r="H2216" s="106"/>
      <c r="I2216" s="106"/>
      <c r="L2216" s="143">
        <v>45267</v>
      </c>
      <c r="M2216" s="106">
        <v>1137.25</v>
      </c>
      <c r="N2216" s="106">
        <v>1157.9000000000001</v>
      </c>
      <c r="O2216" s="106">
        <v>1132.0999999999999</v>
      </c>
      <c r="P2216" s="106">
        <v>1156.7</v>
      </c>
      <c r="Q2216" s="106">
        <v>1137.25</v>
      </c>
      <c r="R2216">
        <v>1857781</v>
      </c>
    </row>
    <row r="2217" spans="1:18" x14ac:dyDescent="0.25">
      <c r="A2217" s="143">
        <v>45268</v>
      </c>
      <c r="B2217" s="106">
        <v>1174.3499999999999</v>
      </c>
      <c r="C2217" s="106">
        <v>1167.1500000000001</v>
      </c>
      <c r="D2217" s="106">
        <v>1128.55</v>
      </c>
      <c r="E2217" s="106">
        <v>1139.75</v>
      </c>
      <c r="F2217" s="106">
        <v>1167.1500000000001</v>
      </c>
      <c r="G2217">
        <v>47560</v>
      </c>
      <c r="H2217" s="106"/>
      <c r="I2217" s="106"/>
      <c r="L2217" s="143">
        <v>45268</v>
      </c>
      <c r="M2217" s="106">
        <v>1166.6500000000001</v>
      </c>
      <c r="N2217" s="106">
        <v>1174.95</v>
      </c>
      <c r="O2217" s="106">
        <v>1128.25</v>
      </c>
      <c r="P2217" s="106">
        <v>1141</v>
      </c>
      <c r="Q2217" s="106">
        <v>1166.6500000000001</v>
      </c>
      <c r="R2217">
        <v>2802274</v>
      </c>
    </row>
    <row r="2218" spans="1:18" x14ac:dyDescent="0.25">
      <c r="A2218" s="143">
        <v>45271</v>
      </c>
      <c r="B2218" s="106">
        <v>1181.8</v>
      </c>
      <c r="C2218" s="106">
        <v>1175.45</v>
      </c>
      <c r="D2218" s="106">
        <v>1163.4000000000001</v>
      </c>
      <c r="E2218" s="106">
        <v>1179.5999999999999</v>
      </c>
      <c r="F2218" s="106">
        <v>1175.45</v>
      </c>
      <c r="G2218">
        <v>38030</v>
      </c>
      <c r="H2218" s="106"/>
      <c r="I2218" s="106"/>
      <c r="L2218" s="143">
        <v>45271</v>
      </c>
      <c r="M2218" s="106">
        <v>1175.2</v>
      </c>
      <c r="N2218" s="106">
        <v>1182.45</v>
      </c>
      <c r="O2218" s="106">
        <v>1163.5</v>
      </c>
      <c r="P2218" s="106">
        <v>1171</v>
      </c>
      <c r="Q2218" s="106">
        <v>1175.2</v>
      </c>
      <c r="R2218">
        <v>3251789</v>
      </c>
    </row>
    <row r="2219" spans="1:18" x14ac:dyDescent="0.25">
      <c r="A2219" s="143">
        <v>45272</v>
      </c>
      <c r="B2219" s="106">
        <v>1190</v>
      </c>
      <c r="C2219" s="106">
        <v>1176.75</v>
      </c>
      <c r="D2219" s="106">
        <v>1168.95</v>
      </c>
      <c r="E2219" s="106">
        <v>1178.2</v>
      </c>
      <c r="F2219" s="106">
        <v>1176.75</v>
      </c>
      <c r="G2219">
        <v>42805</v>
      </c>
      <c r="H2219" s="106"/>
      <c r="I2219" s="106"/>
      <c r="L2219" s="143">
        <v>45272</v>
      </c>
      <c r="M2219" s="106">
        <v>1177.25</v>
      </c>
      <c r="N2219" s="106">
        <v>1191.45</v>
      </c>
      <c r="O2219" s="106">
        <v>1169.25</v>
      </c>
      <c r="P2219" s="106">
        <v>1177</v>
      </c>
      <c r="Q2219" s="106">
        <v>1177.25</v>
      </c>
      <c r="R2219">
        <v>2154453</v>
      </c>
    </row>
    <row r="2220" spans="1:18" x14ac:dyDescent="0.25">
      <c r="A2220" s="143">
        <v>45273</v>
      </c>
      <c r="B2220" s="106">
        <v>1183.5999999999999</v>
      </c>
      <c r="C2220" s="106">
        <v>1180.55</v>
      </c>
      <c r="D2220" s="106">
        <v>1168.95</v>
      </c>
      <c r="E2220" s="106">
        <v>1177.6500000000001</v>
      </c>
      <c r="F2220" s="106">
        <v>1180.55</v>
      </c>
      <c r="G2220">
        <v>12143</v>
      </c>
      <c r="H2220" s="106"/>
      <c r="I2220" s="106"/>
      <c r="L2220" s="143">
        <v>45273</v>
      </c>
      <c r="M2220" s="106">
        <v>1180.5999999999999</v>
      </c>
      <c r="N2220" s="106">
        <v>1183.6500000000001</v>
      </c>
      <c r="O2220" s="106">
        <v>1167.9000000000001</v>
      </c>
      <c r="P2220" s="106">
        <v>1178.9000000000001</v>
      </c>
      <c r="Q2220" s="106">
        <v>1180.5999999999999</v>
      </c>
      <c r="R2220">
        <v>1409772</v>
      </c>
    </row>
    <row r="2221" spans="1:18" x14ac:dyDescent="0.25">
      <c r="A2221" s="143">
        <v>45274</v>
      </c>
      <c r="B2221" s="106">
        <v>1231.6500000000001</v>
      </c>
      <c r="C2221" s="106">
        <v>1229.05</v>
      </c>
      <c r="D2221" s="106">
        <v>1190</v>
      </c>
      <c r="E2221" s="106">
        <v>1193</v>
      </c>
      <c r="F2221" s="106">
        <v>1229.05</v>
      </c>
      <c r="G2221">
        <v>44123</v>
      </c>
      <c r="H2221" s="106"/>
      <c r="I2221" s="106"/>
      <c r="L2221" s="143">
        <v>45274</v>
      </c>
      <c r="M2221" s="106">
        <v>1228.9000000000001</v>
      </c>
      <c r="N2221" s="106">
        <v>1232</v>
      </c>
      <c r="O2221" s="106">
        <v>1188.5</v>
      </c>
      <c r="P2221" s="106">
        <v>1195</v>
      </c>
      <c r="Q2221" s="106">
        <v>1228.9000000000001</v>
      </c>
      <c r="R2221">
        <v>2353918</v>
      </c>
    </row>
    <row r="2222" spans="1:18" x14ac:dyDescent="0.25">
      <c r="A2222" s="143">
        <v>45275</v>
      </c>
      <c r="B2222" s="106">
        <v>1247</v>
      </c>
      <c r="C2222" s="106">
        <v>1244.3</v>
      </c>
      <c r="D2222" s="106">
        <v>1229</v>
      </c>
      <c r="E2222" s="106">
        <v>1239.8</v>
      </c>
      <c r="F2222" s="106">
        <v>1244.3</v>
      </c>
      <c r="G2222">
        <v>64992</v>
      </c>
      <c r="H2222" s="106"/>
      <c r="I2222" s="106"/>
      <c r="L2222" s="143">
        <v>45275</v>
      </c>
      <c r="M2222" s="106">
        <v>1243.8</v>
      </c>
      <c r="N2222" s="106">
        <v>1247</v>
      </c>
      <c r="O2222" s="106">
        <v>1229.4000000000001</v>
      </c>
      <c r="P2222" s="106">
        <v>1234.8499999999999</v>
      </c>
      <c r="Q2222" s="106">
        <v>1243.8</v>
      </c>
      <c r="R2222">
        <v>2123755</v>
      </c>
    </row>
    <row r="2223" spans="1:18" x14ac:dyDescent="0.25">
      <c r="A2223" s="143">
        <v>45278</v>
      </c>
      <c r="B2223" s="106">
        <v>1254</v>
      </c>
      <c r="C2223" s="106">
        <v>1247.2</v>
      </c>
      <c r="D2223" s="106">
        <v>1241.45</v>
      </c>
      <c r="E2223" s="106">
        <v>1246.05</v>
      </c>
      <c r="F2223" s="106">
        <v>1247.2</v>
      </c>
      <c r="G2223">
        <v>74099</v>
      </c>
      <c r="H2223" s="106"/>
      <c r="I2223" s="106"/>
      <c r="L2223" s="143">
        <v>45278</v>
      </c>
      <c r="M2223" s="106">
        <v>1248.3</v>
      </c>
      <c r="N2223" s="106">
        <v>1254.95</v>
      </c>
      <c r="O2223" s="106">
        <v>1242</v>
      </c>
      <c r="P2223" s="106">
        <v>1253.25</v>
      </c>
      <c r="Q2223" s="106">
        <v>1248.3</v>
      </c>
      <c r="R2223">
        <v>2129177</v>
      </c>
    </row>
    <row r="2224" spans="1:18" x14ac:dyDescent="0.25">
      <c r="A2224" s="143">
        <v>45279</v>
      </c>
      <c r="B2224" s="106">
        <v>1252.95</v>
      </c>
      <c r="C2224" s="106">
        <v>1249.95</v>
      </c>
      <c r="D2224" s="106">
        <v>1240</v>
      </c>
      <c r="E2224" s="106">
        <v>1250.3499999999999</v>
      </c>
      <c r="F2224" s="106">
        <v>1249.95</v>
      </c>
      <c r="G2224">
        <v>13641</v>
      </c>
      <c r="H2224" s="106"/>
      <c r="I2224" s="106"/>
      <c r="L2224" s="143">
        <v>45279</v>
      </c>
      <c r="M2224" s="106">
        <v>1249.6500000000001</v>
      </c>
      <c r="N2224" s="106">
        <v>1254</v>
      </c>
      <c r="O2224" s="106">
        <v>1240</v>
      </c>
      <c r="P2224" s="106">
        <v>1249</v>
      </c>
      <c r="Q2224" s="106">
        <v>1249.6500000000001</v>
      </c>
      <c r="R2224">
        <v>1940755</v>
      </c>
    </row>
    <row r="2225" spans="1:18" x14ac:dyDescent="0.25">
      <c r="A2225" s="143">
        <v>45280</v>
      </c>
      <c r="B2225" s="106">
        <v>1257.25</v>
      </c>
      <c r="C2225" s="106">
        <v>1238.5999999999999</v>
      </c>
      <c r="D2225" s="106">
        <v>1229.75</v>
      </c>
      <c r="E2225" s="106">
        <v>1253</v>
      </c>
      <c r="F2225" s="106">
        <v>1238.5999999999999</v>
      </c>
      <c r="G2225">
        <v>52309</v>
      </c>
      <c r="H2225" s="106"/>
      <c r="I2225" s="106"/>
      <c r="L2225" s="143">
        <v>45280</v>
      </c>
      <c r="M2225" s="106">
        <v>1239.1500000000001</v>
      </c>
      <c r="N2225" s="106">
        <v>1257.8</v>
      </c>
      <c r="O2225" s="106">
        <v>1229.8</v>
      </c>
      <c r="P2225" s="106">
        <v>1252.0999999999999</v>
      </c>
      <c r="Q2225" s="106">
        <v>1239.1500000000001</v>
      </c>
      <c r="R2225">
        <v>2525322</v>
      </c>
    </row>
    <row r="2226" spans="1:18" x14ac:dyDescent="0.25">
      <c r="A2226" s="143">
        <v>45281</v>
      </c>
      <c r="B2226" s="106">
        <v>1238.8499999999999</v>
      </c>
      <c r="C2226" s="106">
        <v>1229.8</v>
      </c>
      <c r="D2226" s="106">
        <v>1211.75</v>
      </c>
      <c r="E2226" s="106">
        <v>1211.75</v>
      </c>
      <c r="F2226" s="106">
        <v>1229.8</v>
      </c>
      <c r="G2226">
        <v>23083</v>
      </c>
      <c r="H2226" s="106"/>
      <c r="I2226" s="106"/>
      <c r="L2226" s="143">
        <v>45281</v>
      </c>
      <c r="M2226" s="106">
        <v>1228.05</v>
      </c>
      <c r="N2226" s="106">
        <v>1239.4000000000001</v>
      </c>
      <c r="O2226" s="106">
        <v>1210.5999999999999</v>
      </c>
      <c r="P2226" s="106">
        <v>1210.5999999999999</v>
      </c>
      <c r="Q2226" s="106">
        <v>1228.05</v>
      </c>
      <c r="R2226">
        <v>1781569</v>
      </c>
    </row>
    <row r="2227" spans="1:18" x14ac:dyDescent="0.25">
      <c r="A2227" s="143">
        <v>45282</v>
      </c>
      <c r="B2227" s="106">
        <v>1263.45</v>
      </c>
      <c r="C2227" s="106">
        <v>1250.3</v>
      </c>
      <c r="D2227" s="106">
        <v>1227.75</v>
      </c>
      <c r="E2227" s="106">
        <v>1229.4000000000001</v>
      </c>
      <c r="F2227" s="106">
        <v>1250.3</v>
      </c>
      <c r="G2227">
        <v>27570</v>
      </c>
      <c r="H2227" s="106"/>
      <c r="I2227" s="106"/>
      <c r="L2227" s="143">
        <v>45282</v>
      </c>
      <c r="M2227" s="106">
        <v>1250.8</v>
      </c>
      <c r="N2227" s="106">
        <v>1263.3</v>
      </c>
      <c r="O2227" s="106">
        <v>1225.45</v>
      </c>
      <c r="P2227" s="106">
        <v>1229.95</v>
      </c>
      <c r="Q2227" s="106">
        <v>1250.8</v>
      </c>
      <c r="R2227">
        <v>1114151</v>
      </c>
    </row>
    <row r="2228" spans="1:18" x14ac:dyDescent="0.25">
      <c r="A2228" s="143">
        <v>45286</v>
      </c>
      <c r="B2228" s="106">
        <v>1260.9000000000001</v>
      </c>
      <c r="C2228" s="106">
        <v>1244.9000000000001</v>
      </c>
      <c r="D2228" s="106">
        <v>1237.5999999999999</v>
      </c>
      <c r="E2228" s="106">
        <v>1251.3499999999999</v>
      </c>
      <c r="F2228" s="106">
        <v>1244.9000000000001</v>
      </c>
      <c r="G2228">
        <v>14640</v>
      </c>
      <c r="H2228" s="106"/>
      <c r="I2228" s="106"/>
      <c r="L2228" s="143">
        <v>45286</v>
      </c>
      <c r="M2228" s="106">
        <v>1245.3</v>
      </c>
      <c r="N2228" s="106">
        <v>1262.2</v>
      </c>
      <c r="O2228" s="106">
        <v>1235</v>
      </c>
      <c r="P2228" s="106">
        <v>1250</v>
      </c>
      <c r="Q2228" s="106">
        <v>1245.3</v>
      </c>
      <c r="R2228">
        <v>1135900</v>
      </c>
    </row>
    <row r="2229" spans="1:18" x14ac:dyDescent="0.25">
      <c r="A2229" s="143">
        <v>45287</v>
      </c>
      <c r="B2229" s="106">
        <v>1264</v>
      </c>
      <c r="C2229" s="106">
        <v>1255.0999999999999</v>
      </c>
      <c r="D2229" s="106">
        <v>1247.3499999999999</v>
      </c>
      <c r="E2229" s="106">
        <v>1249.55</v>
      </c>
      <c r="F2229" s="106">
        <v>1255.0999999999999</v>
      </c>
      <c r="G2229">
        <v>27544</v>
      </c>
      <c r="H2229" s="106"/>
      <c r="I2229" s="106"/>
      <c r="L2229" s="143">
        <v>45287</v>
      </c>
      <c r="M2229" s="106">
        <v>1253.2</v>
      </c>
      <c r="N2229" s="106">
        <v>1264.8</v>
      </c>
      <c r="O2229" s="106">
        <v>1246.3</v>
      </c>
      <c r="P2229" s="106">
        <v>1248.2</v>
      </c>
      <c r="Q2229" s="106">
        <v>1253.2</v>
      </c>
      <c r="R2229">
        <v>1763459</v>
      </c>
    </row>
    <row r="2230" spans="1:18" x14ac:dyDescent="0.25">
      <c r="A2230" s="143">
        <v>45288</v>
      </c>
      <c r="B2230" s="106">
        <v>1278.5</v>
      </c>
      <c r="C2230" s="106">
        <v>1236.9000000000001</v>
      </c>
      <c r="D2230" s="106">
        <v>1230</v>
      </c>
      <c r="E2230" s="106">
        <v>1263</v>
      </c>
      <c r="F2230" s="106">
        <v>1236.9000000000001</v>
      </c>
      <c r="G2230">
        <v>46427</v>
      </c>
      <c r="H2230" s="106"/>
      <c r="I2230" s="106"/>
      <c r="L2230" s="143">
        <v>45288</v>
      </c>
      <c r="M2230" s="106">
        <v>1235.7</v>
      </c>
      <c r="N2230" s="106">
        <v>1278.9000000000001</v>
      </c>
      <c r="O2230" s="106">
        <v>1228.3</v>
      </c>
      <c r="P2230" s="106">
        <v>1265</v>
      </c>
      <c r="Q2230" s="106">
        <v>1235.7</v>
      </c>
      <c r="R2230">
        <v>3153634</v>
      </c>
    </row>
    <row r="2231" spans="1:18" x14ac:dyDescent="0.25">
      <c r="A2231" s="143">
        <v>45289</v>
      </c>
      <c r="B2231" s="106">
        <v>1267.55</v>
      </c>
      <c r="C2231" s="106">
        <v>1260.25</v>
      </c>
      <c r="D2231" s="106">
        <v>1237.25</v>
      </c>
      <c r="E2231" s="106">
        <v>1237.25</v>
      </c>
      <c r="F2231" s="106">
        <v>1260.25</v>
      </c>
      <c r="G2231">
        <v>125150</v>
      </c>
      <c r="H2231" s="106"/>
      <c r="I2231" s="106"/>
      <c r="L2231" s="143">
        <v>45289</v>
      </c>
      <c r="M2231" s="106">
        <v>1259.8</v>
      </c>
      <c r="N2231" s="106">
        <v>1266.95</v>
      </c>
      <c r="O2231" s="106">
        <v>1240.1500000000001</v>
      </c>
      <c r="P2231" s="106">
        <v>1240.1500000000001</v>
      </c>
      <c r="Q2231" s="106">
        <v>1259.8</v>
      </c>
      <c r="R2231">
        <v>1366337</v>
      </c>
    </row>
    <row r="2232" spans="1:18" x14ac:dyDescent="0.25">
      <c r="A2232" s="143">
        <v>45292</v>
      </c>
      <c r="B2232" s="106">
        <v>1260</v>
      </c>
      <c r="C2232" s="106">
        <v>1224.3499999999999</v>
      </c>
      <c r="D2232" s="106">
        <v>1220.7</v>
      </c>
      <c r="E2232" s="106">
        <v>1252.05</v>
      </c>
      <c r="F2232" s="106">
        <v>1224.3499999999999</v>
      </c>
      <c r="G2232">
        <v>44296</v>
      </c>
      <c r="H2232" s="106"/>
      <c r="I2232" s="106"/>
      <c r="L2232" s="143">
        <v>45292</v>
      </c>
      <c r="M2232" s="106">
        <v>1225.3499999999999</v>
      </c>
      <c r="N2232" s="106">
        <v>1260</v>
      </c>
      <c r="O2232" s="106">
        <v>1220</v>
      </c>
      <c r="P2232" s="106">
        <v>1259.7</v>
      </c>
      <c r="Q2232" s="106">
        <v>1225.3499999999999</v>
      </c>
      <c r="R2232">
        <v>726699</v>
      </c>
    </row>
    <row r="2233" spans="1:18" x14ac:dyDescent="0.25">
      <c r="A2233" s="143">
        <v>45293</v>
      </c>
      <c r="B2233" s="106">
        <v>1231</v>
      </c>
      <c r="C2233" s="106">
        <v>1220.05</v>
      </c>
      <c r="D2233" s="106">
        <v>1215</v>
      </c>
      <c r="E2233" s="106">
        <v>1231</v>
      </c>
      <c r="F2233" s="106">
        <v>1220.05</v>
      </c>
      <c r="G2233">
        <v>27819</v>
      </c>
      <c r="H2233" s="106"/>
      <c r="I2233" s="106"/>
      <c r="L2233" s="143">
        <v>45293</v>
      </c>
      <c r="M2233" s="106">
        <v>1220.0999999999999</v>
      </c>
      <c r="N2233" s="106">
        <v>1232</v>
      </c>
      <c r="O2233" s="106">
        <v>1214.55</v>
      </c>
      <c r="P2233" s="106">
        <v>1229.8</v>
      </c>
      <c r="Q2233" s="106">
        <v>1220.0999999999999</v>
      </c>
      <c r="R2233">
        <v>2240606</v>
      </c>
    </row>
    <row r="2234" spans="1:18" x14ac:dyDescent="0.25">
      <c r="A2234" s="143">
        <v>45294</v>
      </c>
      <c r="B2234" s="106">
        <v>1249.9000000000001</v>
      </c>
      <c r="C2234" s="106">
        <v>1239.4000000000001</v>
      </c>
      <c r="D2234" s="106">
        <v>1215.25</v>
      </c>
      <c r="E2234" s="106">
        <v>1215.25</v>
      </c>
      <c r="F2234" s="106">
        <v>1239.4000000000001</v>
      </c>
      <c r="G2234">
        <v>24966</v>
      </c>
      <c r="H2234" s="106"/>
      <c r="I2234" s="106"/>
      <c r="L2234" s="143">
        <v>45294</v>
      </c>
      <c r="M2234" s="106">
        <v>1240.5</v>
      </c>
      <c r="N2234" s="106">
        <v>1250</v>
      </c>
      <c r="O2234" s="106">
        <v>1218.1500000000001</v>
      </c>
      <c r="P2234" s="106">
        <v>1220.95</v>
      </c>
      <c r="Q2234" s="106">
        <v>1240.5</v>
      </c>
      <c r="R2234">
        <v>1378408</v>
      </c>
    </row>
    <row r="2235" spans="1:18" x14ac:dyDescent="0.25">
      <c r="A2235" s="143">
        <v>45295</v>
      </c>
      <c r="B2235" s="106">
        <v>1300.5</v>
      </c>
      <c r="C2235" s="106">
        <v>1297.25</v>
      </c>
      <c r="D2235" s="106">
        <v>1242.25</v>
      </c>
      <c r="E2235" s="106">
        <v>1242.25</v>
      </c>
      <c r="F2235" s="106">
        <v>1297.25</v>
      </c>
      <c r="G2235">
        <v>44747</v>
      </c>
      <c r="H2235" s="106"/>
      <c r="I2235" s="106"/>
      <c r="L2235" s="143">
        <v>45295</v>
      </c>
      <c r="M2235" s="106">
        <v>1297.25</v>
      </c>
      <c r="N2235" s="106">
        <v>1300.75</v>
      </c>
      <c r="O2235" s="106">
        <v>1243.75</v>
      </c>
      <c r="P2235" s="106">
        <v>1247.2</v>
      </c>
      <c r="Q2235" s="106">
        <v>1297.25</v>
      </c>
      <c r="R2235">
        <v>2922785</v>
      </c>
    </row>
    <row r="2236" spans="1:18" x14ac:dyDescent="0.25">
      <c r="A2236" s="143">
        <v>45296</v>
      </c>
      <c r="B2236" s="106">
        <v>1305.05</v>
      </c>
      <c r="C2236" s="106">
        <v>1257.1500000000001</v>
      </c>
      <c r="D2236" s="106">
        <v>1248.6500000000001</v>
      </c>
      <c r="E2236" s="106">
        <v>1301</v>
      </c>
      <c r="F2236" s="106">
        <v>1257.1500000000001</v>
      </c>
      <c r="G2236">
        <v>41369</v>
      </c>
      <c r="H2236" s="106"/>
      <c r="I2236" s="106"/>
      <c r="L2236" s="143">
        <v>45296</v>
      </c>
      <c r="M2236" s="106">
        <v>1257.8499999999999</v>
      </c>
      <c r="N2236" s="106">
        <v>1305.3</v>
      </c>
      <c r="O2236" s="106">
        <v>1248.0999999999999</v>
      </c>
      <c r="P2236" s="106">
        <v>1305.3</v>
      </c>
      <c r="Q2236" s="106">
        <v>1257.8499999999999</v>
      </c>
      <c r="R2236">
        <v>1075135</v>
      </c>
    </row>
    <row r="2237" spans="1:18" x14ac:dyDescent="0.25">
      <c r="A2237" s="143">
        <v>45299</v>
      </c>
      <c r="B2237" s="106">
        <v>1268.3499999999999</v>
      </c>
      <c r="C2237" s="106">
        <v>1230.6500000000001</v>
      </c>
      <c r="D2237" s="106">
        <v>1225</v>
      </c>
      <c r="E2237" s="106">
        <v>1268.3499999999999</v>
      </c>
      <c r="F2237" s="106">
        <v>1230.6500000000001</v>
      </c>
      <c r="G2237">
        <v>33938</v>
      </c>
      <c r="H2237" s="106"/>
      <c r="I2237" s="106"/>
      <c r="L2237" s="143">
        <v>45299</v>
      </c>
      <c r="M2237" s="106">
        <v>1231.1500000000001</v>
      </c>
      <c r="N2237" s="106">
        <v>1267.6500000000001</v>
      </c>
      <c r="O2237" s="106">
        <v>1224.2</v>
      </c>
      <c r="P2237" s="106">
        <v>1267</v>
      </c>
      <c r="Q2237" s="106">
        <v>1231.1500000000001</v>
      </c>
      <c r="R2237">
        <v>985554</v>
      </c>
    </row>
    <row r="2238" spans="1:18" x14ac:dyDescent="0.25">
      <c r="A2238" s="143">
        <v>45300</v>
      </c>
      <c r="B2238" s="106">
        <v>1247</v>
      </c>
      <c r="C2238" s="106">
        <v>1230.7</v>
      </c>
      <c r="D2238" s="106">
        <v>1219.95</v>
      </c>
      <c r="E2238" s="106">
        <v>1234.3</v>
      </c>
      <c r="F2238" s="106">
        <v>1230.7</v>
      </c>
      <c r="G2238">
        <v>14855</v>
      </c>
      <c r="H2238" s="106"/>
      <c r="I2238" s="106"/>
      <c r="L2238" s="143">
        <v>45300</v>
      </c>
      <c r="M2238" s="106">
        <v>1231.45</v>
      </c>
      <c r="N2238" s="106">
        <v>1247.9000000000001</v>
      </c>
      <c r="O2238" s="106">
        <v>1220</v>
      </c>
      <c r="P2238" s="106">
        <v>1233.05</v>
      </c>
      <c r="Q2238" s="106">
        <v>1231.45</v>
      </c>
      <c r="R2238">
        <v>1439320</v>
      </c>
    </row>
    <row r="2239" spans="1:18" x14ac:dyDescent="0.25">
      <c r="A2239" s="143">
        <v>45301</v>
      </c>
      <c r="B2239" s="106">
        <v>1231.8499999999999</v>
      </c>
      <c r="C2239" s="106">
        <v>1216.05</v>
      </c>
      <c r="D2239" s="106">
        <v>1208.95</v>
      </c>
      <c r="E2239" s="106">
        <v>1230.4000000000001</v>
      </c>
      <c r="F2239" s="106">
        <v>1216.05</v>
      </c>
      <c r="G2239">
        <v>13788</v>
      </c>
      <c r="H2239" s="106"/>
      <c r="I2239" s="106"/>
      <c r="L2239" s="143">
        <v>45301</v>
      </c>
      <c r="M2239" s="106">
        <v>1216.25</v>
      </c>
      <c r="N2239" s="106">
        <v>1235.8499999999999</v>
      </c>
      <c r="O2239" s="106">
        <v>1207.6500000000001</v>
      </c>
      <c r="P2239" s="106">
        <v>1231.9000000000001</v>
      </c>
      <c r="Q2239" s="106">
        <v>1216.25</v>
      </c>
      <c r="R2239">
        <v>1003899</v>
      </c>
    </row>
    <row r="2240" spans="1:18" x14ac:dyDescent="0.25">
      <c r="A2240" s="143">
        <v>45302</v>
      </c>
      <c r="B2240" s="106">
        <v>1236.9000000000001</v>
      </c>
      <c r="C2240" s="106">
        <v>1229.5</v>
      </c>
      <c r="D2240" s="106">
        <v>1222.6500000000001</v>
      </c>
      <c r="E2240" s="106">
        <v>1222.6500000000001</v>
      </c>
      <c r="F2240" s="106">
        <v>1229.5</v>
      </c>
      <c r="G2240">
        <v>11697</v>
      </c>
      <c r="H2240" s="106"/>
      <c r="I2240" s="106"/>
      <c r="L2240" s="143">
        <v>45302</v>
      </c>
      <c r="M2240" s="106">
        <v>1231.3499999999999</v>
      </c>
      <c r="N2240" s="106">
        <v>1243</v>
      </c>
      <c r="O2240" s="106">
        <v>1221.7</v>
      </c>
      <c r="P2240" s="106">
        <v>1223.95</v>
      </c>
      <c r="Q2240" s="106">
        <v>1231.3499999999999</v>
      </c>
      <c r="R2240">
        <v>674707</v>
      </c>
    </row>
    <row r="2241" spans="1:18" x14ac:dyDescent="0.25">
      <c r="A2241" s="143">
        <v>45303</v>
      </c>
      <c r="B2241" s="106">
        <v>1252.25</v>
      </c>
      <c r="C2241" s="106">
        <v>1247.5999999999999</v>
      </c>
      <c r="D2241" s="106">
        <v>1225</v>
      </c>
      <c r="E2241" s="106">
        <v>1240.9000000000001</v>
      </c>
      <c r="F2241" s="106">
        <v>1247.5999999999999</v>
      </c>
      <c r="G2241">
        <v>14238</v>
      </c>
      <c r="H2241" s="106"/>
      <c r="I2241" s="106"/>
      <c r="L2241" s="143">
        <v>45303</v>
      </c>
      <c r="M2241" s="106">
        <v>1246.5</v>
      </c>
      <c r="N2241" s="106">
        <v>1252</v>
      </c>
      <c r="O2241" s="106">
        <v>1224.6500000000001</v>
      </c>
      <c r="P2241" s="106">
        <v>1232</v>
      </c>
      <c r="Q2241" s="106">
        <v>1246.5</v>
      </c>
      <c r="R2241">
        <v>1453561</v>
      </c>
    </row>
    <row r="2242" spans="1:18" x14ac:dyDescent="0.25">
      <c r="A2242" s="143">
        <v>45306</v>
      </c>
      <c r="B2242" s="106">
        <v>1289.3499999999999</v>
      </c>
      <c r="C2242" s="106">
        <v>1277.6500000000001</v>
      </c>
      <c r="D2242" s="106">
        <v>1254.95</v>
      </c>
      <c r="E2242" s="106">
        <v>1255.1500000000001</v>
      </c>
      <c r="F2242" s="106">
        <v>1277.6500000000001</v>
      </c>
      <c r="G2242">
        <v>84443</v>
      </c>
      <c r="H2242" s="106"/>
      <c r="I2242" s="106"/>
      <c r="L2242" s="143">
        <v>45306</v>
      </c>
      <c r="M2242" s="106">
        <v>1278.25</v>
      </c>
      <c r="N2242" s="106">
        <v>1289.7</v>
      </c>
      <c r="O2242" s="106">
        <v>1253.45</v>
      </c>
      <c r="P2242" s="106">
        <v>1258</v>
      </c>
      <c r="Q2242" s="106">
        <v>1278.25</v>
      </c>
      <c r="R2242">
        <v>2266938</v>
      </c>
    </row>
    <row r="2243" spans="1:18" x14ac:dyDescent="0.25">
      <c r="A2243" s="143">
        <v>45307</v>
      </c>
      <c r="B2243" s="106">
        <v>1309.75</v>
      </c>
      <c r="C2243" s="106">
        <v>1299.05</v>
      </c>
      <c r="D2243" s="106">
        <v>1277.1500000000001</v>
      </c>
      <c r="E2243" s="106">
        <v>1278.5</v>
      </c>
      <c r="F2243" s="106">
        <v>1299.05</v>
      </c>
      <c r="G2243">
        <v>31626</v>
      </c>
      <c r="H2243" s="106"/>
      <c r="I2243" s="106"/>
      <c r="L2243" s="143">
        <v>45307</v>
      </c>
      <c r="M2243" s="106">
        <v>1299.45</v>
      </c>
      <c r="N2243" s="106">
        <v>1310</v>
      </c>
      <c r="O2243" s="106">
        <v>1276.05</v>
      </c>
      <c r="P2243" s="106">
        <v>1279.8499999999999</v>
      </c>
      <c r="Q2243" s="106">
        <v>1299.45</v>
      </c>
      <c r="R2243">
        <v>2510614</v>
      </c>
    </row>
    <row r="2244" spans="1:18" x14ac:dyDescent="0.25">
      <c r="A2244" s="143">
        <v>45308</v>
      </c>
      <c r="B2244" s="106">
        <v>1306.4000000000001</v>
      </c>
      <c r="C2244" s="106">
        <v>1287.0999999999999</v>
      </c>
      <c r="D2244" s="106">
        <v>1281.1500000000001</v>
      </c>
      <c r="E2244" s="106">
        <v>1297.7</v>
      </c>
      <c r="F2244" s="106">
        <v>1287.0999999999999</v>
      </c>
      <c r="G2244">
        <v>24455</v>
      </c>
      <c r="H2244" s="106"/>
      <c r="I2244" s="106"/>
      <c r="L2244" s="143">
        <v>45308</v>
      </c>
      <c r="M2244" s="106">
        <v>1288.0999999999999</v>
      </c>
      <c r="N2244" s="106">
        <v>1306</v>
      </c>
      <c r="O2244" s="106">
        <v>1280.3</v>
      </c>
      <c r="P2244" s="106">
        <v>1286.5</v>
      </c>
      <c r="Q2244" s="106">
        <v>1288.0999999999999</v>
      </c>
      <c r="R2244">
        <v>2378717</v>
      </c>
    </row>
    <row r="2245" spans="1:18" x14ac:dyDescent="0.25">
      <c r="A2245" s="143">
        <v>45309</v>
      </c>
      <c r="B2245" s="106">
        <v>1298</v>
      </c>
      <c r="C2245" s="106">
        <v>1292.0999999999999</v>
      </c>
      <c r="D2245" s="106">
        <v>1246.55</v>
      </c>
      <c r="E2245" s="106">
        <v>1282.6500000000001</v>
      </c>
      <c r="F2245" s="106">
        <v>1292.0999999999999</v>
      </c>
      <c r="G2245">
        <v>30072</v>
      </c>
      <c r="H2245" s="106"/>
      <c r="I2245" s="106"/>
      <c r="L2245" s="143">
        <v>45309</v>
      </c>
      <c r="M2245" s="106">
        <v>1291.6500000000001</v>
      </c>
      <c r="N2245" s="106">
        <v>1298.3499999999999</v>
      </c>
      <c r="O2245" s="106">
        <v>1246.3</v>
      </c>
      <c r="P2245" s="106">
        <v>1281.9000000000001</v>
      </c>
      <c r="Q2245" s="106">
        <v>1291.6500000000001</v>
      </c>
      <c r="R2245">
        <v>1912562</v>
      </c>
    </row>
    <row r="2246" spans="1:18" x14ac:dyDescent="0.25">
      <c r="A2246" s="143">
        <v>45310</v>
      </c>
      <c r="B2246" s="106">
        <v>1295.6500000000001</v>
      </c>
      <c r="C2246" s="106">
        <v>1265.6500000000001</v>
      </c>
      <c r="D2246" s="106">
        <v>1254.6500000000001</v>
      </c>
      <c r="E2246" s="106">
        <v>1292.0999999999999</v>
      </c>
      <c r="F2246" s="106">
        <v>1265.6500000000001</v>
      </c>
      <c r="G2246">
        <v>34546</v>
      </c>
      <c r="H2246" s="106"/>
      <c r="I2246" s="106"/>
      <c r="L2246" s="143">
        <v>45310</v>
      </c>
      <c r="M2246" s="106">
        <v>1265.55</v>
      </c>
      <c r="N2246" s="106">
        <v>1295.05</v>
      </c>
      <c r="O2246" s="106">
        <v>1254.05</v>
      </c>
      <c r="P2246" s="106">
        <v>1294.9000000000001</v>
      </c>
      <c r="Q2246" s="106">
        <v>1265.55</v>
      </c>
      <c r="R2246">
        <v>1372449</v>
      </c>
    </row>
    <row r="2247" spans="1:18" x14ac:dyDescent="0.25">
      <c r="A2247" s="143">
        <v>45311</v>
      </c>
      <c r="B2247" s="106">
        <v>1273.55</v>
      </c>
      <c r="C2247" s="106">
        <v>1261.3499999999999</v>
      </c>
      <c r="D2247" s="106">
        <v>1242.5999999999999</v>
      </c>
      <c r="E2247" s="106">
        <v>1255.0999999999999</v>
      </c>
      <c r="F2247" s="106">
        <v>1261.3499999999999</v>
      </c>
      <c r="G2247">
        <v>12775</v>
      </c>
      <c r="H2247" s="106"/>
      <c r="I2247" s="106"/>
      <c r="L2247" s="143">
        <v>45311</v>
      </c>
      <c r="M2247" s="106">
        <v>1261.05</v>
      </c>
      <c r="N2247" s="106">
        <v>1273</v>
      </c>
      <c r="O2247" s="106">
        <v>1242.2</v>
      </c>
      <c r="P2247" s="106">
        <v>1265.5</v>
      </c>
      <c r="Q2247" s="106">
        <v>1261.05</v>
      </c>
      <c r="R2247">
        <v>274689</v>
      </c>
    </row>
    <row r="2248" spans="1:18" x14ac:dyDescent="0.25">
      <c r="A2248" s="143">
        <v>45314</v>
      </c>
      <c r="B2248" s="106">
        <v>1296</v>
      </c>
      <c r="C2248" s="106">
        <v>1220.4000000000001</v>
      </c>
      <c r="D2248" s="106">
        <v>1212</v>
      </c>
      <c r="E2248" s="106">
        <v>1247.8499999999999</v>
      </c>
      <c r="F2248" s="106">
        <v>1220.4000000000001</v>
      </c>
      <c r="G2248">
        <v>51312</v>
      </c>
      <c r="H2248" s="106"/>
      <c r="I2248" s="106"/>
      <c r="L2248" s="143">
        <v>45314</v>
      </c>
      <c r="M2248" s="106">
        <v>1220.25</v>
      </c>
      <c r="N2248" s="106">
        <v>1296.3499999999999</v>
      </c>
      <c r="O2248" s="106">
        <v>1209.95</v>
      </c>
      <c r="P2248" s="106">
        <v>1267</v>
      </c>
      <c r="Q2248" s="106">
        <v>1220.25</v>
      </c>
      <c r="R2248">
        <v>2858244</v>
      </c>
    </row>
    <row r="2249" spans="1:18" x14ac:dyDescent="0.25">
      <c r="A2249" s="143">
        <v>45315</v>
      </c>
      <c r="B2249" s="106">
        <v>1275.8499999999999</v>
      </c>
      <c r="C2249" s="106">
        <v>1247.5</v>
      </c>
      <c r="D2249" s="106">
        <v>1200.55</v>
      </c>
      <c r="E2249" s="106">
        <v>1221.5</v>
      </c>
      <c r="F2249" s="106">
        <v>1247.5</v>
      </c>
      <c r="G2249">
        <v>46400</v>
      </c>
      <c r="H2249" s="106"/>
      <c r="I2249" s="106"/>
      <c r="L2249" s="143">
        <v>45315</v>
      </c>
      <c r="M2249" s="106">
        <v>1245.8</v>
      </c>
      <c r="N2249" s="106">
        <v>1277.0999999999999</v>
      </c>
      <c r="O2249" s="106">
        <v>1201.5</v>
      </c>
      <c r="P2249" s="106">
        <v>1220.0999999999999</v>
      </c>
      <c r="Q2249" s="106">
        <v>1245.8</v>
      </c>
      <c r="R2249">
        <v>1810867</v>
      </c>
    </row>
    <row r="2250" spans="1:18" x14ac:dyDescent="0.25">
      <c r="A2250" s="143">
        <v>45316</v>
      </c>
      <c r="B2250" s="106">
        <v>1264</v>
      </c>
      <c r="C2250" s="106">
        <v>1241.25</v>
      </c>
      <c r="D2250" s="106">
        <v>1222.75</v>
      </c>
      <c r="E2250" s="106">
        <v>1250.8499999999999</v>
      </c>
      <c r="F2250" s="106">
        <v>1241.25</v>
      </c>
      <c r="G2250">
        <v>24847</v>
      </c>
      <c r="H2250" s="106"/>
      <c r="I2250" s="106"/>
      <c r="L2250" s="143">
        <v>45316</v>
      </c>
      <c r="M2250" s="106">
        <v>1244.7</v>
      </c>
      <c r="N2250" s="106">
        <v>1265</v>
      </c>
      <c r="O2250" s="106">
        <v>1223.45</v>
      </c>
      <c r="P2250" s="106">
        <v>1249.25</v>
      </c>
      <c r="Q2250" s="106">
        <v>1244.7</v>
      </c>
      <c r="R2250">
        <v>1302157</v>
      </c>
    </row>
    <row r="2251" spans="1:18" x14ac:dyDescent="0.25">
      <c r="A2251" s="143">
        <v>45320</v>
      </c>
      <c r="B2251" s="106">
        <v>1277.3499999999999</v>
      </c>
      <c r="C2251" s="106">
        <v>1230.2</v>
      </c>
      <c r="D2251" s="106">
        <v>1219.05</v>
      </c>
      <c r="E2251" s="106">
        <v>1277.3499999999999</v>
      </c>
      <c r="F2251" s="106">
        <v>1230.2</v>
      </c>
      <c r="G2251">
        <v>33158</v>
      </c>
      <c r="H2251" s="106"/>
      <c r="I2251" s="106"/>
      <c r="L2251" s="143">
        <v>45320</v>
      </c>
      <c r="M2251" s="106">
        <v>1230.8</v>
      </c>
      <c r="N2251" s="106">
        <v>1271.3499999999999</v>
      </c>
      <c r="O2251" s="106">
        <v>1219.5</v>
      </c>
      <c r="P2251" s="106">
        <v>1270</v>
      </c>
      <c r="Q2251" s="106">
        <v>1230.8</v>
      </c>
      <c r="R2251">
        <v>2511468</v>
      </c>
    </row>
    <row r="2252" spans="1:18" x14ac:dyDescent="0.25">
      <c r="A2252" s="143">
        <v>45321</v>
      </c>
      <c r="B2252" s="106">
        <v>1278</v>
      </c>
      <c r="C2252" s="106">
        <v>1214.3</v>
      </c>
      <c r="D2252" s="106">
        <v>1211.05</v>
      </c>
      <c r="E2252" s="106">
        <v>1230.95</v>
      </c>
      <c r="F2252" s="106">
        <v>1214.3</v>
      </c>
      <c r="G2252">
        <v>48529</v>
      </c>
      <c r="H2252" s="106"/>
      <c r="I2252" s="106"/>
      <c r="L2252" s="143">
        <v>45321</v>
      </c>
      <c r="M2252" s="106">
        <v>1214.05</v>
      </c>
      <c r="N2252" s="106">
        <v>1277.8499999999999</v>
      </c>
      <c r="O2252" s="106">
        <v>1210.9000000000001</v>
      </c>
      <c r="P2252" s="106">
        <v>1235.3499999999999</v>
      </c>
      <c r="Q2252" s="106">
        <v>1214.05</v>
      </c>
      <c r="R2252">
        <v>3016003</v>
      </c>
    </row>
    <row r="2253" spans="1:18" x14ac:dyDescent="0.25">
      <c r="A2253" s="143">
        <v>45322</v>
      </c>
      <c r="B2253" s="106">
        <v>1217.7</v>
      </c>
      <c r="C2253" s="106">
        <v>1184.1500000000001</v>
      </c>
      <c r="D2253" s="106">
        <v>1176</v>
      </c>
      <c r="E2253" s="106">
        <v>1217.55</v>
      </c>
      <c r="F2253" s="106">
        <v>1184.1500000000001</v>
      </c>
      <c r="G2253">
        <v>58743</v>
      </c>
      <c r="H2253" s="106"/>
      <c r="I2253" s="106"/>
      <c r="L2253" s="143">
        <v>45322</v>
      </c>
      <c r="M2253" s="106">
        <v>1184.1500000000001</v>
      </c>
      <c r="N2253" s="106">
        <v>1222</v>
      </c>
      <c r="O2253" s="106">
        <v>1175.5</v>
      </c>
      <c r="P2253" s="106">
        <v>1216</v>
      </c>
      <c r="Q2253" s="106">
        <v>1184.1500000000001</v>
      </c>
      <c r="R2253">
        <v>2760030</v>
      </c>
    </row>
    <row r="2254" spans="1:18" x14ac:dyDescent="0.25">
      <c r="A2254" s="143">
        <v>45323</v>
      </c>
      <c r="B2254" s="106">
        <v>1190</v>
      </c>
      <c r="C2254" s="106">
        <v>1146.7</v>
      </c>
      <c r="D2254" s="106">
        <v>1134.05</v>
      </c>
      <c r="E2254" s="106">
        <v>1186.1500000000001</v>
      </c>
      <c r="F2254" s="106">
        <v>1146.7</v>
      </c>
      <c r="G2254">
        <v>74056</v>
      </c>
      <c r="H2254" s="106"/>
      <c r="I2254" s="106"/>
      <c r="L2254" s="143">
        <v>45323</v>
      </c>
      <c r="M2254" s="106">
        <v>1145.05</v>
      </c>
      <c r="N2254" s="106">
        <v>1193.1500000000001</v>
      </c>
      <c r="O2254" s="106">
        <v>1133.8499999999999</v>
      </c>
      <c r="P2254" s="106">
        <v>1190</v>
      </c>
      <c r="Q2254" s="106">
        <v>1145.05</v>
      </c>
      <c r="R2254">
        <v>2884912</v>
      </c>
    </row>
    <row r="2255" spans="1:18" x14ac:dyDescent="0.25">
      <c r="A2255" s="143">
        <v>45324</v>
      </c>
      <c r="B2255" s="106">
        <v>1175.9000000000001</v>
      </c>
      <c r="C2255" s="106">
        <v>1160.95</v>
      </c>
      <c r="D2255" s="106">
        <v>1145</v>
      </c>
      <c r="E2255" s="106">
        <v>1148.55</v>
      </c>
      <c r="F2255" s="106">
        <v>1160.95</v>
      </c>
      <c r="G2255">
        <v>44361</v>
      </c>
      <c r="H2255" s="106"/>
      <c r="I2255" s="106"/>
      <c r="L2255" s="143">
        <v>45324</v>
      </c>
      <c r="M2255" s="106">
        <v>1160.8499999999999</v>
      </c>
      <c r="N2255" s="106">
        <v>1175.8499999999999</v>
      </c>
      <c r="O2255" s="106">
        <v>1143.75</v>
      </c>
      <c r="P2255" s="106">
        <v>1145.05</v>
      </c>
      <c r="Q2255" s="106">
        <v>1160.8499999999999</v>
      </c>
      <c r="R2255">
        <v>1664980</v>
      </c>
    </row>
    <row r="2256" spans="1:18" x14ac:dyDescent="0.25">
      <c r="A2256" s="143">
        <v>45327</v>
      </c>
      <c r="B2256" s="106">
        <v>1173.8499999999999</v>
      </c>
      <c r="C2256" s="106">
        <v>1136.5</v>
      </c>
      <c r="D2256" s="106">
        <v>1130.75</v>
      </c>
      <c r="E2256" s="106">
        <v>1161.95</v>
      </c>
      <c r="F2256" s="106">
        <v>1136.5</v>
      </c>
      <c r="G2256">
        <v>79247</v>
      </c>
      <c r="H2256" s="106"/>
      <c r="I2256" s="106"/>
      <c r="L2256" s="143">
        <v>45327</v>
      </c>
      <c r="M2256" s="106">
        <v>1136.3499999999999</v>
      </c>
      <c r="N2256" s="106">
        <v>1171.75</v>
      </c>
      <c r="O2256" s="106">
        <v>1130.7</v>
      </c>
      <c r="P2256" s="106">
        <v>1162</v>
      </c>
      <c r="Q2256" s="106">
        <v>1136.3499999999999</v>
      </c>
      <c r="R2256">
        <v>1564033</v>
      </c>
    </row>
    <row r="2257" spans="1:18" x14ac:dyDescent="0.25">
      <c r="A2257" s="143">
        <v>45328</v>
      </c>
      <c r="B2257" s="106">
        <v>1163.9000000000001</v>
      </c>
      <c r="C2257" s="106">
        <v>1155.3499999999999</v>
      </c>
      <c r="D2257" s="106">
        <v>1127.9000000000001</v>
      </c>
      <c r="E2257" s="106">
        <v>1142.1500000000001</v>
      </c>
      <c r="F2257" s="106">
        <v>1155.3499999999999</v>
      </c>
      <c r="G2257">
        <v>42726</v>
      </c>
      <c r="H2257" s="106"/>
      <c r="I2257" s="106"/>
      <c r="L2257" s="143">
        <v>45328</v>
      </c>
      <c r="M2257" s="106">
        <v>1157.05</v>
      </c>
      <c r="N2257" s="106">
        <v>1164</v>
      </c>
      <c r="O2257" s="106">
        <v>1127.25</v>
      </c>
      <c r="P2257" s="106">
        <v>1147.7</v>
      </c>
      <c r="Q2257" s="106">
        <v>1157.05</v>
      </c>
      <c r="R2257">
        <v>2243173</v>
      </c>
    </row>
    <row r="2258" spans="1:18" x14ac:dyDescent="0.25">
      <c r="A2258" s="143">
        <v>45329</v>
      </c>
      <c r="B2258" s="106">
        <v>1181.4000000000001</v>
      </c>
      <c r="C2258" s="106">
        <v>1159.6500000000001</v>
      </c>
      <c r="D2258" s="106">
        <v>1148</v>
      </c>
      <c r="E2258" s="106">
        <v>1181.4000000000001</v>
      </c>
      <c r="F2258" s="106">
        <v>1159.6500000000001</v>
      </c>
      <c r="G2258">
        <v>26275</v>
      </c>
      <c r="H2258" s="106"/>
      <c r="I2258" s="106"/>
      <c r="L2258" s="143">
        <v>45329</v>
      </c>
      <c r="M2258" s="106">
        <v>1159.8</v>
      </c>
      <c r="N2258" s="106">
        <v>1172.75</v>
      </c>
      <c r="O2258" s="106">
        <v>1147.05</v>
      </c>
      <c r="P2258" s="106">
        <v>1170</v>
      </c>
      <c r="Q2258" s="106">
        <v>1159.8</v>
      </c>
      <c r="R2258">
        <v>2520205</v>
      </c>
    </row>
    <row r="2259" spans="1:18" x14ac:dyDescent="0.25">
      <c r="A2259" s="143">
        <v>45330</v>
      </c>
      <c r="B2259" s="106">
        <v>1160.1500000000001</v>
      </c>
      <c r="C2259" s="106">
        <v>1133.5999999999999</v>
      </c>
      <c r="D2259" s="106">
        <v>1116.5999999999999</v>
      </c>
      <c r="E2259" s="106">
        <v>1160</v>
      </c>
      <c r="F2259" s="106">
        <v>1133.5999999999999</v>
      </c>
      <c r="G2259">
        <v>27894</v>
      </c>
      <c r="H2259" s="106"/>
      <c r="I2259" s="106"/>
      <c r="L2259" s="143">
        <v>45330</v>
      </c>
      <c r="M2259" s="106">
        <v>1133.45</v>
      </c>
      <c r="N2259" s="106">
        <v>1162.6500000000001</v>
      </c>
      <c r="O2259" s="106">
        <v>1115.0999999999999</v>
      </c>
      <c r="P2259" s="106">
        <v>1155.0999999999999</v>
      </c>
      <c r="Q2259" s="106">
        <v>1133.45</v>
      </c>
      <c r="R2259">
        <v>3061436</v>
      </c>
    </row>
    <row r="2260" spans="1:18" x14ac:dyDescent="0.25">
      <c r="A2260" s="143">
        <v>45331</v>
      </c>
      <c r="B2260" s="106">
        <v>1141.6500000000001</v>
      </c>
      <c r="C2260" s="106">
        <v>1122.3499999999999</v>
      </c>
      <c r="D2260" s="106">
        <v>1101</v>
      </c>
      <c r="E2260" s="106">
        <v>1141.6500000000001</v>
      </c>
      <c r="F2260" s="106">
        <v>1122.3499999999999</v>
      </c>
      <c r="G2260">
        <v>48103</v>
      </c>
      <c r="H2260" s="106"/>
      <c r="I2260" s="106"/>
      <c r="L2260" s="143">
        <v>45331</v>
      </c>
      <c r="M2260" s="106">
        <v>1122.3</v>
      </c>
      <c r="N2260" s="106">
        <v>1140.2</v>
      </c>
      <c r="O2260" s="106">
        <v>1100.2</v>
      </c>
      <c r="P2260" s="106">
        <v>1140.2</v>
      </c>
      <c r="Q2260" s="106">
        <v>1122.3</v>
      </c>
      <c r="R2260">
        <v>2363941</v>
      </c>
    </row>
    <row r="2261" spans="1:18" x14ac:dyDescent="0.25">
      <c r="A2261" s="143">
        <v>45334</v>
      </c>
      <c r="B2261" s="106">
        <v>1132.45</v>
      </c>
      <c r="C2261" s="106">
        <v>1101.2</v>
      </c>
      <c r="D2261" s="106">
        <v>1098.3499999999999</v>
      </c>
      <c r="E2261" s="106">
        <v>1123.1500000000001</v>
      </c>
      <c r="F2261" s="106">
        <v>1101.2</v>
      </c>
      <c r="G2261">
        <v>31378</v>
      </c>
      <c r="H2261" s="106"/>
      <c r="I2261" s="106"/>
      <c r="L2261" s="143">
        <v>45334</v>
      </c>
      <c r="M2261" s="106">
        <v>1101.55</v>
      </c>
      <c r="N2261" s="106">
        <v>1133.95</v>
      </c>
      <c r="O2261" s="106">
        <v>1098</v>
      </c>
      <c r="P2261" s="106">
        <v>1130</v>
      </c>
      <c r="Q2261" s="106">
        <v>1101.55</v>
      </c>
      <c r="R2261">
        <v>850214</v>
      </c>
    </row>
    <row r="2262" spans="1:18" x14ac:dyDescent="0.25">
      <c r="A2262" s="143">
        <v>45335</v>
      </c>
      <c r="B2262" s="106">
        <v>1149.95</v>
      </c>
      <c r="C2262" s="106">
        <v>1142.2</v>
      </c>
      <c r="D2262" s="106">
        <v>1101.45</v>
      </c>
      <c r="E2262" s="106">
        <v>1101.45</v>
      </c>
      <c r="F2262" s="106">
        <v>1142.2</v>
      </c>
      <c r="G2262">
        <v>56624</v>
      </c>
      <c r="H2262" s="106"/>
      <c r="I2262" s="106"/>
      <c r="L2262" s="143">
        <v>45335</v>
      </c>
      <c r="M2262" s="106">
        <v>1141.7</v>
      </c>
      <c r="N2262" s="106">
        <v>1150</v>
      </c>
      <c r="O2262" s="106">
        <v>1103</v>
      </c>
      <c r="P2262" s="106">
        <v>1108</v>
      </c>
      <c r="Q2262" s="106">
        <v>1141.7</v>
      </c>
      <c r="R2262">
        <v>3317561</v>
      </c>
    </row>
    <row r="2263" spans="1:18" x14ac:dyDescent="0.25">
      <c r="A2263" s="143">
        <v>45336</v>
      </c>
      <c r="B2263" s="106">
        <v>1138.1500000000001</v>
      </c>
      <c r="C2263" s="106">
        <v>1125.45</v>
      </c>
      <c r="D2263" s="106">
        <v>1109.3499999999999</v>
      </c>
      <c r="E2263" s="106">
        <v>1138.1500000000001</v>
      </c>
      <c r="F2263" s="106">
        <v>1125.45</v>
      </c>
      <c r="G2263">
        <v>229060</v>
      </c>
      <c r="H2263" s="106"/>
      <c r="I2263" s="106"/>
      <c r="L2263" s="143">
        <v>45336</v>
      </c>
      <c r="M2263" s="106">
        <v>1125.2</v>
      </c>
      <c r="N2263" s="106">
        <v>1136.9000000000001</v>
      </c>
      <c r="O2263" s="106">
        <v>1109.2</v>
      </c>
      <c r="P2263" s="106">
        <v>1136.9000000000001</v>
      </c>
      <c r="Q2263" s="106">
        <v>1125.2</v>
      </c>
      <c r="R2263">
        <v>775287</v>
      </c>
    </row>
    <row r="2264" spans="1:18" x14ac:dyDescent="0.25">
      <c r="A2264" s="143">
        <v>45337</v>
      </c>
      <c r="B2264" s="106">
        <v>1151</v>
      </c>
      <c r="C2264" s="106">
        <v>1124.0999999999999</v>
      </c>
      <c r="D2264" s="106">
        <v>1121.5</v>
      </c>
      <c r="E2264" s="106">
        <v>1134.25</v>
      </c>
      <c r="F2264" s="106">
        <v>1124.0999999999999</v>
      </c>
      <c r="G2264">
        <v>47454</v>
      </c>
      <c r="H2264" s="106"/>
      <c r="I2264" s="106"/>
      <c r="L2264" s="143">
        <v>45337</v>
      </c>
      <c r="M2264" s="106">
        <v>1124.5</v>
      </c>
      <c r="N2264" s="106">
        <v>1151.7</v>
      </c>
      <c r="O2264" s="106">
        <v>1120.55</v>
      </c>
      <c r="P2264" s="106">
        <v>1132.8</v>
      </c>
      <c r="Q2264" s="106">
        <v>1124.5</v>
      </c>
      <c r="R2264">
        <v>1815648</v>
      </c>
    </row>
    <row r="2265" spans="1:18" x14ac:dyDescent="0.25">
      <c r="A2265" s="143">
        <v>45338</v>
      </c>
      <c r="B2265" s="106">
        <v>1145.5</v>
      </c>
      <c r="C2265" s="106">
        <v>1143.7</v>
      </c>
      <c r="D2265" s="106">
        <v>1124</v>
      </c>
      <c r="E2265" s="106">
        <v>1125.1500000000001</v>
      </c>
      <c r="F2265" s="106">
        <v>1143.7</v>
      </c>
      <c r="G2265">
        <v>18910</v>
      </c>
      <c r="H2265" s="106"/>
      <c r="I2265" s="106"/>
      <c r="L2265" s="143">
        <v>45338</v>
      </c>
      <c r="M2265" s="106">
        <v>1144</v>
      </c>
      <c r="N2265" s="106">
        <v>1146.1500000000001</v>
      </c>
      <c r="O2265" s="106">
        <v>1123.9000000000001</v>
      </c>
      <c r="P2265" s="106">
        <v>1131.75</v>
      </c>
      <c r="Q2265" s="106">
        <v>1144</v>
      </c>
      <c r="R2265">
        <v>1011354</v>
      </c>
    </row>
    <row r="2266" spans="1:18" x14ac:dyDescent="0.25">
      <c r="A2266" s="143">
        <v>45341</v>
      </c>
      <c r="B2266" s="106">
        <v>1159.8499999999999</v>
      </c>
      <c r="C2266" s="106">
        <v>1132.45</v>
      </c>
      <c r="D2266" s="106">
        <v>1129</v>
      </c>
      <c r="E2266" s="106">
        <v>1159.8499999999999</v>
      </c>
      <c r="F2266" s="106">
        <v>1132.45</v>
      </c>
      <c r="G2266">
        <v>27502</v>
      </c>
      <c r="H2266" s="106"/>
      <c r="I2266" s="106"/>
      <c r="L2266" s="143">
        <v>45341</v>
      </c>
      <c r="M2266" s="106">
        <v>1133.3499999999999</v>
      </c>
      <c r="N2266" s="106">
        <v>1155.55</v>
      </c>
      <c r="O2266" s="106">
        <v>1127.95</v>
      </c>
      <c r="P2266" s="106">
        <v>1152.45</v>
      </c>
      <c r="Q2266" s="106">
        <v>1133.3499999999999</v>
      </c>
      <c r="R2266">
        <v>911475</v>
      </c>
    </row>
    <row r="2267" spans="1:18" x14ac:dyDescent="0.25">
      <c r="A2267" s="143">
        <v>45342</v>
      </c>
      <c r="B2267" s="106">
        <v>1129.55</v>
      </c>
      <c r="C2267" s="106">
        <v>1099.8</v>
      </c>
      <c r="D2267" s="106">
        <v>1091.0999999999999</v>
      </c>
      <c r="E2267" s="106">
        <v>1129.55</v>
      </c>
      <c r="F2267" s="106">
        <v>1099.8</v>
      </c>
      <c r="G2267">
        <v>79246</v>
      </c>
      <c r="H2267" s="106"/>
      <c r="I2267" s="106"/>
      <c r="L2267" s="143">
        <v>45342</v>
      </c>
      <c r="M2267" s="106">
        <v>1099.9000000000001</v>
      </c>
      <c r="N2267" s="106">
        <v>1124</v>
      </c>
      <c r="O2267" s="106">
        <v>1091.8499999999999</v>
      </c>
      <c r="P2267" s="106">
        <v>1124</v>
      </c>
      <c r="Q2267" s="106">
        <v>1099.9000000000001</v>
      </c>
      <c r="R2267">
        <v>2572662</v>
      </c>
    </row>
    <row r="2268" spans="1:18" x14ac:dyDescent="0.25">
      <c r="A2268" s="143">
        <v>45343</v>
      </c>
      <c r="B2268" s="106">
        <v>1110.2</v>
      </c>
      <c r="C2268" s="106">
        <v>1085.4000000000001</v>
      </c>
      <c r="D2268" s="106">
        <v>1080.95</v>
      </c>
      <c r="E2268" s="106">
        <v>1098.75</v>
      </c>
      <c r="F2268" s="106">
        <v>1085.4000000000001</v>
      </c>
      <c r="G2268">
        <v>21590</v>
      </c>
      <c r="H2268" s="106"/>
      <c r="I2268" s="106"/>
      <c r="L2268" s="143">
        <v>45343</v>
      </c>
      <c r="M2268" s="106">
        <v>1085.55</v>
      </c>
      <c r="N2268" s="106">
        <v>1109.9000000000001</v>
      </c>
      <c r="O2268" s="106">
        <v>1081</v>
      </c>
      <c r="P2268" s="106">
        <v>1097.55</v>
      </c>
      <c r="Q2268" s="106">
        <v>1085.55</v>
      </c>
      <c r="R2268">
        <v>2133034</v>
      </c>
    </row>
    <row r="2269" spans="1:18" x14ac:dyDescent="0.25">
      <c r="A2269" s="143">
        <v>45344</v>
      </c>
      <c r="B2269" s="106">
        <v>1096.0999999999999</v>
      </c>
      <c r="C2269" s="106">
        <v>1081.5999999999999</v>
      </c>
      <c r="D2269" s="106">
        <v>1068</v>
      </c>
      <c r="E2269" s="106">
        <v>1083.75</v>
      </c>
      <c r="F2269" s="106">
        <v>1081.5999999999999</v>
      </c>
      <c r="G2269">
        <v>25614</v>
      </c>
      <c r="H2269" s="106"/>
      <c r="I2269" s="106"/>
      <c r="L2269" s="143">
        <v>45344</v>
      </c>
      <c r="M2269" s="106">
        <v>1082.45</v>
      </c>
      <c r="N2269" s="106">
        <v>1090.55</v>
      </c>
      <c r="O2269" s="106">
        <v>1067.4000000000001</v>
      </c>
      <c r="P2269" s="106">
        <v>1088.7</v>
      </c>
      <c r="Q2269" s="106">
        <v>1082.45</v>
      </c>
      <c r="R2269">
        <v>1546459</v>
      </c>
    </row>
    <row r="2270" spans="1:18" x14ac:dyDescent="0.25">
      <c r="A2270" s="143">
        <v>45345</v>
      </c>
      <c r="B2270" s="106">
        <v>1109.5</v>
      </c>
      <c r="C2270" s="106">
        <v>1104.8</v>
      </c>
      <c r="D2270" s="106">
        <v>1080</v>
      </c>
      <c r="E2270" s="106">
        <v>1083.75</v>
      </c>
      <c r="F2270" s="106">
        <v>1104.8</v>
      </c>
      <c r="G2270">
        <v>219148</v>
      </c>
      <c r="H2270" s="106"/>
      <c r="I2270" s="106"/>
      <c r="L2270" s="143">
        <v>45345</v>
      </c>
      <c r="M2270" s="106">
        <v>1105.4000000000001</v>
      </c>
      <c r="N2270" s="106">
        <v>1109.7</v>
      </c>
      <c r="O2270" s="106">
        <v>1079.0999999999999</v>
      </c>
      <c r="P2270" s="106">
        <v>1089.3499999999999</v>
      </c>
      <c r="Q2270" s="106">
        <v>1105.4000000000001</v>
      </c>
      <c r="R2270">
        <v>1687284</v>
      </c>
    </row>
    <row r="2271" spans="1:18" x14ac:dyDescent="0.25">
      <c r="A2271" s="143">
        <v>45348</v>
      </c>
      <c r="B2271" s="106">
        <v>1114.2</v>
      </c>
      <c r="C2271" s="106">
        <v>1111.25</v>
      </c>
      <c r="D2271" s="106">
        <v>1095.8</v>
      </c>
      <c r="E2271" s="106">
        <v>1100.55</v>
      </c>
      <c r="F2271" s="106">
        <v>1111.25</v>
      </c>
      <c r="G2271">
        <v>14270</v>
      </c>
      <c r="H2271" s="106"/>
      <c r="I2271" s="106"/>
      <c r="L2271" s="143">
        <v>45348</v>
      </c>
      <c r="M2271" s="106">
        <v>1110.8499999999999</v>
      </c>
      <c r="N2271" s="106">
        <v>1114.9000000000001</v>
      </c>
      <c r="O2271" s="106">
        <v>1093</v>
      </c>
      <c r="P2271" s="106">
        <v>1105.1500000000001</v>
      </c>
      <c r="Q2271" s="106">
        <v>1110.8499999999999</v>
      </c>
      <c r="R2271">
        <v>1112759</v>
      </c>
    </row>
    <row r="2272" spans="1:18" x14ac:dyDescent="0.25">
      <c r="A2272" s="143">
        <v>45349</v>
      </c>
      <c r="B2272" s="106">
        <v>1126.75</v>
      </c>
      <c r="C2272" s="106">
        <v>1098.2</v>
      </c>
      <c r="D2272" s="106">
        <v>1085.8499999999999</v>
      </c>
      <c r="E2272" s="106">
        <v>1107.8499999999999</v>
      </c>
      <c r="F2272" s="106">
        <v>1098.2</v>
      </c>
      <c r="G2272">
        <v>52428</v>
      </c>
      <c r="H2272" s="106"/>
      <c r="I2272" s="106"/>
      <c r="L2272" s="143">
        <v>45349</v>
      </c>
      <c r="M2272" s="106">
        <v>1098.6500000000001</v>
      </c>
      <c r="N2272" s="106">
        <v>1127.05</v>
      </c>
      <c r="O2272" s="106">
        <v>1085.5</v>
      </c>
      <c r="P2272" s="106">
        <v>1104.0999999999999</v>
      </c>
      <c r="Q2272" s="106">
        <v>1098.6500000000001</v>
      </c>
      <c r="R2272">
        <v>1977469</v>
      </c>
    </row>
    <row r="2273" spans="1:18" x14ac:dyDescent="0.25">
      <c r="A2273" s="143">
        <v>45350</v>
      </c>
      <c r="B2273" s="106">
        <v>1113</v>
      </c>
      <c r="C2273" s="106">
        <v>1069.2</v>
      </c>
      <c r="D2273" s="106">
        <v>1061.4000000000001</v>
      </c>
      <c r="E2273" s="106">
        <v>1112.95</v>
      </c>
      <c r="F2273" s="106">
        <v>1069.2</v>
      </c>
      <c r="G2273">
        <v>15596</v>
      </c>
      <c r="H2273" s="106"/>
      <c r="I2273" s="106"/>
      <c r="L2273" s="143">
        <v>45350</v>
      </c>
      <c r="M2273" s="106">
        <v>1069.7</v>
      </c>
      <c r="N2273" s="106">
        <v>1105</v>
      </c>
      <c r="O2273" s="106">
        <v>1061.55</v>
      </c>
      <c r="P2273" s="106">
        <v>1101</v>
      </c>
      <c r="Q2273" s="106">
        <v>1069.7</v>
      </c>
      <c r="R2273">
        <v>1184413</v>
      </c>
    </row>
    <row r="2274" spans="1:18" x14ac:dyDescent="0.25">
      <c r="A2274" s="143">
        <v>45351</v>
      </c>
      <c r="B2274" s="106">
        <v>1094.55</v>
      </c>
      <c r="C2274" s="106">
        <v>1089</v>
      </c>
      <c r="D2274" s="106">
        <v>1062.5999999999999</v>
      </c>
      <c r="E2274" s="106">
        <v>1079.95</v>
      </c>
      <c r="F2274" s="106">
        <v>1089</v>
      </c>
      <c r="G2274">
        <v>13915</v>
      </c>
      <c r="H2274" s="106"/>
      <c r="I2274" s="106"/>
      <c r="L2274" s="143">
        <v>45351</v>
      </c>
      <c r="M2274" s="106">
        <v>1089.2</v>
      </c>
      <c r="N2274" s="106">
        <v>1095</v>
      </c>
      <c r="O2274" s="106">
        <v>1062</v>
      </c>
      <c r="P2274" s="106">
        <v>1070</v>
      </c>
      <c r="Q2274" s="106">
        <v>1089.2</v>
      </c>
      <c r="R2274">
        <v>1362002</v>
      </c>
    </row>
    <row r="2275" spans="1:18" x14ac:dyDescent="0.25">
      <c r="A2275" s="143">
        <v>45352</v>
      </c>
      <c r="B2275" s="106">
        <v>1099.5999999999999</v>
      </c>
      <c r="C2275" s="106">
        <v>1095.5999999999999</v>
      </c>
      <c r="D2275" s="106">
        <v>1080.1500000000001</v>
      </c>
      <c r="E2275" s="106">
        <v>1093</v>
      </c>
      <c r="F2275" s="106">
        <v>1095.5999999999999</v>
      </c>
      <c r="G2275">
        <v>143224</v>
      </c>
      <c r="H2275" s="106"/>
      <c r="I2275" s="106"/>
      <c r="L2275" s="143">
        <v>45352</v>
      </c>
      <c r="M2275" s="106">
        <v>1095.8499999999999</v>
      </c>
      <c r="N2275" s="106">
        <v>1099</v>
      </c>
      <c r="O2275" s="106">
        <v>1080.5</v>
      </c>
      <c r="P2275" s="106">
        <v>1090.05</v>
      </c>
      <c r="Q2275" s="106">
        <v>1095.8499999999999</v>
      </c>
      <c r="R2275">
        <v>639779</v>
      </c>
    </row>
    <row r="2276" spans="1:18" x14ac:dyDescent="0.25">
      <c r="A2276" s="143">
        <v>45353</v>
      </c>
      <c r="B2276" s="106">
        <v>1099.95</v>
      </c>
      <c r="C2276" s="106">
        <v>1099.3</v>
      </c>
      <c r="D2276" s="106">
        <v>1092.5</v>
      </c>
      <c r="E2276" s="106">
        <v>1099.6500000000001</v>
      </c>
      <c r="F2276" s="106">
        <v>1099.3</v>
      </c>
      <c r="G2276">
        <v>598</v>
      </c>
      <c r="H2276" s="106"/>
      <c r="I2276" s="106"/>
      <c r="L2276" s="143">
        <v>45353</v>
      </c>
      <c r="M2276" s="106">
        <v>1098.4000000000001</v>
      </c>
      <c r="N2276" s="106">
        <v>1104</v>
      </c>
      <c r="O2276" s="106">
        <v>1090.05</v>
      </c>
      <c r="P2276" s="106">
        <v>1104</v>
      </c>
      <c r="Q2276" s="106">
        <v>1098.4000000000001</v>
      </c>
      <c r="R2276">
        <v>24104</v>
      </c>
    </row>
    <row r="2277" spans="1:18" x14ac:dyDescent="0.25">
      <c r="A2277" s="143">
        <v>45355</v>
      </c>
      <c r="B2277" s="106">
        <v>1094.7</v>
      </c>
      <c r="C2277" s="106">
        <v>1074.45</v>
      </c>
      <c r="D2277" s="106">
        <v>1071.3</v>
      </c>
      <c r="E2277" s="106">
        <v>1080.1500000000001</v>
      </c>
      <c r="F2277" s="106">
        <v>1074.45</v>
      </c>
      <c r="G2277">
        <v>40871</v>
      </c>
      <c r="H2277" s="106"/>
      <c r="I2277" s="106"/>
      <c r="L2277" s="143">
        <v>45355</v>
      </c>
      <c r="M2277" s="106">
        <v>1075.55</v>
      </c>
      <c r="N2277" s="106">
        <v>1094.95</v>
      </c>
      <c r="O2277" s="106">
        <v>1071</v>
      </c>
      <c r="P2277" s="106">
        <v>1085</v>
      </c>
      <c r="Q2277" s="106">
        <v>1075.55</v>
      </c>
      <c r="R2277">
        <v>1497000</v>
      </c>
    </row>
    <row r="2278" spans="1:18" x14ac:dyDescent="0.25">
      <c r="A2278" s="143">
        <v>45356</v>
      </c>
      <c r="B2278" s="106">
        <v>1094</v>
      </c>
      <c r="C2278" s="106">
        <v>1046.2</v>
      </c>
      <c r="D2278" s="106">
        <v>1042.8</v>
      </c>
      <c r="E2278" s="106">
        <v>1073.25</v>
      </c>
      <c r="F2278" s="106">
        <v>1046.2</v>
      </c>
      <c r="G2278">
        <v>443868</v>
      </c>
      <c r="H2278" s="106"/>
      <c r="I2278" s="106"/>
      <c r="L2278" s="143">
        <v>45356</v>
      </c>
      <c r="M2278" s="106">
        <v>1046.9000000000001</v>
      </c>
      <c r="N2278" s="106">
        <v>1094.5</v>
      </c>
      <c r="O2278" s="106">
        <v>1042.2</v>
      </c>
      <c r="P2278" s="106">
        <v>1079.9000000000001</v>
      </c>
      <c r="Q2278" s="106">
        <v>1046.9000000000001</v>
      </c>
      <c r="R2278">
        <v>2399949</v>
      </c>
    </row>
    <row r="2279" spans="1:18" x14ac:dyDescent="0.25">
      <c r="A2279" s="143">
        <v>45357</v>
      </c>
      <c r="B2279" s="106">
        <v>1053.8</v>
      </c>
      <c r="C2279" s="106">
        <v>1019.95</v>
      </c>
      <c r="D2279" s="106">
        <v>1011.5</v>
      </c>
      <c r="E2279" s="106">
        <v>1040</v>
      </c>
      <c r="F2279" s="106">
        <v>1019.95</v>
      </c>
      <c r="G2279">
        <v>28691</v>
      </c>
      <c r="H2279" s="106"/>
      <c r="I2279" s="106"/>
      <c r="L2279" s="143">
        <v>45357</v>
      </c>
      <c r="M2279" s="106">
        <v>1019.6</v>
      </c>
      <c r="N2279" s="106">
        <v>1056.3</v>
      </c>
      <c r="O2279" s="106">
        <v>1011.2</v>
      </c>
      <c r="P2279" s="106">
        <v>1041</v>
      </c>
      <c r="Q2279" s="106">
        <v>1019.6</v>
      </c>
      <c r="R2279">
        <v>2251068</v>
      </c>
    </row>
    <row r="2280" spans="1:18" x14ac:dyDescent="0.25">
      <c r="A2280" s="143">
        <v>45358</v>
      </c>
      <c r="B2280" s="106">
        <v>1089.0999999999999</v>
      </c>
      <c r="C2280" s="106">
        <v>1083.8</v>
      </c>
      <c r="D2280" s="106">
        <v>1039</v>
      </c>
      <c r="E2280" s="106">
        <v>1040</v>
      </c>
      <c r="F2280" s="106">
        <v>1083.8</v>
      </c>
      <c r="G2280">
        <v>136409</v>
      </c>
      <c r="H2280" s="106"/>
      <c r="I2280" s="106"/>
      <c r="L2280" s="143">
        <v>45358</v>
      </c>
      <c r="M2280" s="106">
        <v>1083.25</v>
      </c>
      <c r="N2280" s="106">
        <v>1089.7</v>
      </c>
      <c r="O2280" s="106">
        <v>1036.55</v>
      </c>
      <c r="P2280" s="106">
        <v>1041</v>
      </c>
      <c r="Q2280" s="106">
        <v>1083.25</v>
      </c>
      <c r="R2280">
        <v>4704679</v>
      </c>
    </row>
    <row r="2281" spans="1:18" x14ac:dyDescent="0.25">
      <c r="A2281" s="143">
        <v>45362</v>
      </c>
      <c r="B2281" s="106">
        <v>1107.75</v>
      </c>
      <c r="C2281" s="106">
        <v>1094.95</v>
      </c>
      <c r="D2281" s="106">
        <v>1088.05</v>
      </c>
      <c r="E2281" s="106">
        <v>1091</v>
      </c>
      <c r="F2281" s="106">
        <v>1094.95</v>
      </c>
      <c r="G2281">
        <v>65094</v>
      </c>
      <c r="H2281" s="106"/>
      <c r="I2281" s="106"/>
      <c r="L2281" s="143">
        <v>45362</v>
      </c>
      <c r="M2281" s="106">
        <v>1095.45</v>
      </c>
      <c r="N2281" s="106">
        <v>1107.9000000000001</v>
      </c>
      <c r="O2281" s="106">
        <v>1086.8</v>
      </c>
      <c r="P2281" s="106">
        <v>1092</v>
      </c>
      <c r="Q2281" s="106">
        <v>1095.45</v>
      </c>
      <c r="R2281">
        <v>2070659</v>
      </c>
    </row>
    <row r="2282" spans="1:18" x14ac:dyDescent="0.25">
      <c r="A2282" s="143">
        <v>45363</v>
      </c>
      <c r="B2282" s="106">
        <v>1096.05</v>
      </c>
      <c r="C2282" s="106">
        <v>1065.05</v>
      </c>
      <c r="D2282" s="106">
        <v>1060</v>
      </c>
      <c r="E2282" s="106">
        <v>1093.55</v>
      </c>
      <c r="F2282" s="106">
        <v>1065.05</v>
      </c>
      <c r="G2282">
        <v>38579</v>
      </c>
      <c r="H2282" s="106"/>
      <c r="I2282" s="106"/>
      <c r="L2282" s="143">
        <v>45363</v>
      </c>
      <c r="M2282" s="106">
        <v>1066.45</v>
      </c>
      <c r="N2282" s="106">
        <v>1096.55</v>
      </c>
      <c r="O2282" s="106">
        <v>1059.8</v>
      </c>
      <c r="P2282" s="106">
        <v>1090</v>
      </c>
      <c r="Q2282" s="106">
        <v>1066.45</v>
      </c>
      <c r="R2282">
        <v>1860620</v>
      </c>
    </row>
    <row r="2283" spans="1:18" x14ac:dyDescent="0.25">
      <c r="A2283" s="143">
        <v>45364</v>
      </c>
      <c r="B2283" s="106">
        <v>1075.5999999999999</v>
      </c>
      <c r="C2283" s="106">
        <v>1048</v>
      </c>
      <c r="D2283" s="106">
        <v>1037</v>
      </c>
      <c r="E2283" s="106">
        <v>1075.5999999999999</v>
      </c>
      <c r="F2283" s="106">
        <v>1048</v>
      </c>
      <c r="G2283">
        <v>17258</v>
      </c>
      <c r="H2283" s="106"/>
      <c r="I2283" s="106"/>
      <c r="L2283" s="143">
        <v>45364</v>
      </c>
      <c r="M2283" s="106">
        <v>1048.3</v>
      </c>
      <c r="N2283" s="106">
        <v>1070.8</v>
      </c>
      <c r="O2283" s="106">
        <v>1035.8499999999999</v>
      </c>
      <c r="P2283" s="106">
        <v>1070.1500000000001</v>
      </c>
      <c r="Q2283" s="106">
        <v>1048.3</v>
      </c>
      <c r="R2283">
        <v>2403094</v>
      </c>
    </row>
    <row r="2284" spans="1:18" x14ac:dyDescent="0.25">
      <c r="A2284" s="143">
        <v>45365</v>
      </c>
      <c r="B2284" s="106">
        <v>1075.9000000000001</v>
      </c>
      <c r="C2284" s="106">
        <v>1070.75</v>
      </c>
      <c r="D2284" s="106">
        <v>1035</v>
      </c>
      <c r="E2284" s="106">
        <v>1049.05</v>
      </c>
      <c r="F2284" s="106">
        <v>1070.75</v>
      </c>
      <c r="G2284">
        <v>20572</v>
      </c>
      <c r="H2284" s="106"/>
      <c r="I2284" s="106"/>
      <c r="L2284" s="143">
        <v>45365</v>
      </c>
      <c r="M2284" s="106">
        <v>1070.8499999999999</v>
      </c>
      <c r="N2284" s="106">
        <v>1080</v>
      </c>
      <c r="O2284" s="106">
        <v>1034.3</v>
      </c>
      <c r="P2284" s="106">
        <v>1053.7</v>
      </c>
      <c r="Q2284" s="106">
        <v>1070.8499999999999</v>
      </c>
      <c r="R2284">
        <v>1692979</v>
      </c>
    </row>
    <row r="2285" spans="1:18" x14ac:dyDescent="0.25">
      <c r="A2285" s="143">
        <v>45366</v>
      </c>
      <c r="B2285" s="106">
        <v>1080.45</v>
      </c>
      <c r="C2285" s="106">
        <v>1068.3499999999999</v>
      </c>
      <c r="D2285" s="106">
        <v>1057.45</v>
      </c>
      <c r="E2285" s="106">
        <v>1080.45</v>
      </c>
      <c r="F2285" s="106">
        <v>1068.3499999999999</v>
      </c>
      <c r="G2285">
        <v>29882</v>
      </c>
      <c r="H2285" s="106"/>
      <c r="I2285" s="106"/>
      <c r="L2285" s="143">
        <v>45366</v>
      </c>
      <c r="M2285" s="106">
        <v>1067.8499999999999</v>
      </c>
      <c r="N2285" s="106">
        <v>1086</v>
      </c>
      <c r="O2285" s="106">
        <v>1055.6500000000001</v>
      </c>
      <c r="P2285" s="106">
        <v>1074.95</v>
      </c>
      <c r="Q2285" s="106">
        <v>1067.8499999999999</v>
      </c>
      <c r="R2285">
        <v>1670380</v>
      </c>
    </row>
    <row r="2286" spans="1:18" x14ac:dyDescent="0.25">
      <c r="A2286" s="143">
        <v>45369</v>
      </c>
      <c r="B2286" s="106">
        <v>1070</v>
      </c>
      <c r="C2286" s="106">
        <v>1057.1500000000001</v>
      </c>
      <c r="D2286" s="106">
        <v>1052</v>
      </c>
      <c r="E2286" s="106">
        <v>1068.8</v>
      </c>
      <c r="F2286" s="106">
        <v>1057.1500000000001</v>
      </c>
      <c r="G2286">
        <v>25359</v>
      </c>
      <c r="H2286" s="106"/>
      <c r="I2286" s="106"/>
      <c r="L2286" s="143">
        <v>45369</v>
      </c>
      <c r="M2286" s="106">
        <v>1056.4000000000001</v>
      </c>
      <c r="N2286" s="106">
        <v>1071.3</v>
      </c>
      <c r="O2286" s="106">
        <v>1051</v>
      </c>
      <c r="P2286" s="106">
        <v>1071</v>
      </c>
      <c r="Q2286" s="106">
        <v>1056.4000000000001</v>
      </c>
      <c r="R2286">
        <v>824132</v>
      </c>
    </row>
    <row r="2287" spans="1:18" x14ac:dyDescent="0.25">
      <c r="A2287" s="143">
        <v>45370</v>
      </c>
      <c r="B2287" s="106">
        <v>1056</v>
      </c>
      <c r="C2287" s="106">
        <v>1043.7</v>
      </c>
      <c r="D2287" s="106">
        <v>1040.8499999999999</v>
      </c>
      <c r="E2287" s="106">
        <v>1055</v>
      </c>
      <c r="F2287" s="106">
        <v>1043.7</v>
      </c>
      <c r="G2287">
        <v>19507</v>
      </c>
      <c r="H2287" s="106"/>
      <c r="I2287" s="106"/>
      <c r="L2287" s="143">
        <v>45370</v>
      </c>
      <c r="M2287" s="106">
        <v>1046.75</v>
      </c>
      <c r="N2287" s="106">
        <v>1058.5</v>
      </c>
      <c r="O2287" s="106">
        <v>1040.05</v>
      </c>
      <c r="P2287" s="106">
        <v>1053.5</v>
      </c>
      <c r="Q2287" s="106">
        <v>1046.75</v>
      </c>
      <c r="R2287">
        <v>3933520</v>
      </c>
    </row>
    <row r="2288" spans="1:18" x14ac:dyDescent="0.25">
      <c r="A2288" s="143">
        <v>45371</v>
      </c>
      <c r="B2288" s="106">
        <v>1050.25</v>
      </c>
      <c r="C2288" s="106">
        <v>1044.0999999999999</v>
      </c>
      <c r="D2288" s="106">
        <v>1027.3</v>
      </c>
      <c r="E2288" s="106">
        <v>1049.25</v>
      </c>
      <c r="F2288" s="106">
        <v>1044.0999999999999</v>
      </c>
      <c r="G2288">
        <v>7538</v>
      </c>
      <c r="H2288" s="106"/>
      <c r="I2288" s="106"/>
      <c r="L2288" s="143">
        <v>45371</v>
      </c>
      <c r="M2288" s="106">
        <v>1044.8</v>
      </c>
      <c r="N2288" s="106">
        <v>1051.3</v>
      </c>
      <c r="O2288" s="106">
        <v>1026.6500000000001</v>
      </c>
      <c r="P2288" s="106">
        <v>1044.5</v>
      </c>
      <c r="Q2288" s="106">
        <v>1044.8</v>
      </c>
      <c r="R2288">
        <v>1241436</v>
      </c>
    </row>
    <row r="2289" spans="1:18" x14ac:dyDescent="0.25">
      <c r="A2289" s="143">
        <v>45372</v>
      </c>
      <c r="B2289" s="106">
        <v>1080.6500000000001</v>
      </c>
      <c r="C2289" s="106">
        <v>1074.7</v>
      </c>
      <c r="D2289" s="106">
        <v>1048</v>
      </c>
      <c r="E2289" s="106">
        <v>1059.45</v>
      </c>
      <c r="F2289" s="106">
        <v>1074.7</v>
      </c>
      <c r="G2289">
        <v>18199</v>
      </c>
      <c r="H2289" s="106"/>
      <c r="I2289" s="106"/>
      <c r="L2289" s="143">
        <v>45372</v>
      </c>
      <c r="M2289" s="106">
        <v>1074.2</v>
      </c>
      <c r="N2289" s="106">
        <v>1081.5999999999999</v>
      </c>
      <c r="O2289" s="106">
        <v>1047.55</v>
      </c>
      <c r="P2289" s="106">
        <v>1052</v>
      </c>
      <c r="Q2289" s="106">
        <v>1074.2</v>
      </c>
      <c r="R2289">
        <v>3184470</v>
      </c>
    </row>
    <row r="2290" spans="1:18" x14ac:dyDescent="0.25">
      <c r="A2290" s="143">
        <v>45373</v>
      </c>
      <c r="B2290" s="106">
        <v>1092.9000000000001</v>
      </c>
      <c r="C2290" s="106">
        <v>1088.95</v>
      </c>
      <c r="D2290" s="106">
        <v>1066.25</v>
      </c>
      <c r="E2290" s="106">
        <v>1077.7</v>
      </c>
      <c r="F2290" s="106">
        <v>1088.95</v>
      </c>
      <c r="G2290">
        <v>29865</v>
      </c>
      <c r="H2290" s="106"/>
      <c r="I2290" s="106"/>
      <c r="L2290" s="143">
        <v>45373</v>
      </c>
      <c r="M2290" s="106">
        <v>1089.4000000000001</v>
      </c>
      <c r="N2290" s="106">
        <v>1093.5</v>
      </c>
      <c r="O2290" s="106">
        <v>1066.2</v>
      </c>
      <c r="P2290" s="106">
        <v>1072.05</v>
      </c>
      <c r="Q2290" s="106">
        <v>1089.4000000000001</v>
      </c>
      <c r="R2290">
        <v>1861277</v>
      </c>
    </row>
    <row r="2291" spans="1:18" x14ac:dyDescent="0.25">
      <c r="A2291" s="143">
        <v>45377</v>
      </c>
      <c r="B2291" s="106">
        <v>1130.95</v>
      </c>
      <c r="C2291" s="106">
        <v>1115.3</v>
      </c>
      <c r="D2291" s="106">
        <v>1080.0999999999999</v>
      </c>
      <c r="E2291" s="106">
        <v>1083.75</v>
      </c>
      <c r="F2291" s="106">
        <v>1115.3</v>
      </c>
      <c r="G2291">
        <v>38544</v>
      </c>
      <c r="H2291" s="106"/>
      <c r="I2291" s="106"/>
      <c r="L2291" s="143">
        <v>45377</v>
      </c>
      <c r="M2291" s="106">
        <v>1115.2</v>
      </c>
      <c r="N2291" s="106">
        <v>1131</v>
      </c>
      <c r="O2291" s="106">
        <v>1077.5</v>
      </c>
      <c r="P2291" s="106">
        <v>1080.4000000000001</v>
      </c>
      <c r="Q2291" s="106">
        <v>1115.2</v>
      </c>
      <c r="R2291">
        <v>3092010</v>
      </c>
    </row>
    <row r="2292" spans="1:18" x14ac:dyDescent="0.25">
      <c r="A2292" s="143">
        <v>45378</v>
      </c>
      <c r="B2292" s="106">
        <v>1132</v>
      </c>
      <c r="C2292" s="106">
        <v>1128.75</v>
      </c>
      <c r="D2292" s="106">
        <v>1112.8499999999999</v>
      </c>
      <c r="E2292" s="106">
        <v>1116.7</v>
      </c>
      <c r="F2292" s="106">
        <v>1128.75</v>
      </c>
      <c r="G2292">
        <v>33444</v>
      </c>
      <c r="H2292" s="106"/>
      <c r="I2292" s="106"/>
      <c r="L2292" s="143">
        <v>45378</v>
      </c>
      <c r="M2292" s="106">
        <v>1130.2</v>
      </c>
      <c r="N2292" s="106">
        <v>1133</v>
      </c>
      <c r="O2292" s="106">
        <v>1113.0999999999999</v>
      </c>
      <c r="P2292" s="106">
        <v>1119</v>
      </c>
      <c r="Q2292" s="106">
        <v>1130.2</v>
      </c>
      <c r="R2292">
        <v>1445844</v>
      </c>
    </row>
    <row r="2293" spans="1:18" x14ac:dyDescent="0.25">
      <c r="A2293" s="143">
        <v>45379</v>
      </c>
      <c r="B2293" s="106">
        <v>1168.25</v>
      </c>
      <c r="C2293" s="106">
        <v>1156.5999999999999</v>
      </c>
      <c r="D2293" s="106">
        <v>1131.3499999999999</v>
      </c>
      <c r="E2293" s="106">
        <v>1131.55</v>
      </c>
      <c r="F2293" s="106">
        <v>1156.5999999999999</v>
      </c>
      <c r="G2293">
        <v>38164</v>
      </c>
      <c r="H2293" s="106"/>
      <c r="I2293" s="106"/>
      <c r="L2293" s="143">
        <v>45379</v>
      </c>
      <c r="M2293" s="106">
        <v>1156.5999999999999</v>
      </c>
      <c r="N2293" s="106">
        <v>1168.5999999999999</v>
      </c>
      <c r="O2293" s="106">
        <v>1130.2</v>
      </c>
      <c r="P2293" s="106">
        <v>1130.2</v>
      </c>
      <c r="Q2293" s="106">
        <v>1156.5999999999999</v>
      </c>
      <c r="R2293">
        <v>1845633</v>
      </c>
    </row>
    <row r="2294" spans="1:18" x14ac:dyDescent="0.25">
      <c r="A2294" s="143">
        <v>45383</v>
      </c>
      <c r="B2294" s="106">
        <v>1190</v>
      </c>
      <c r="C2294" s="106">
        <v>1186</v>
      </c>
      <c r="D2294" s="106">
        <v>1162</v>
      </c>
      <c r="E2294" s="106">
        <v>1163.25</v>
      </c>
      <c r="F2294" s="106">
        <v>1186</v>
      </c>
      <c r="G2294">
        <v>51288</v>
      </c>
      <c r="H2294" s="106"/>
      <c r="I2294" s="106"/>
      <c r="L2294" s="143">
        <v>45383</v>
      </c>
      <c r="M2294" s="106">
        <v>1185.4000000000001</v>
      </c>
      <c r="N2294" s="106">
        <v>1191.5999999999999</v>
      </c>
      <c r="O2294" s="106">
        <v>1160</v>
      </c>
      <c r="P2294" s="106">
        <v>1162</v>
      </c>
      <c r="Q2294" s="106">
        <v>1185.4000000000001</v>
      </c>
      <c r="R2294">
        <v>1170898</v>
      </c>
    </row>
    <row r="2295" spans="1:18" x14ac:dyDescent="0.25">
      <c r="A2295" s="143">
        <v>45384</v>
      </c>
      <c r="B2295" s="106">
        <v>1201.4000000000001</v>
      </c>
      <c r="C2295" s="106">
        <v>1195.5</v>
      </c>
      <c r="D2295" s="106">
        <v>1183.4000000000001</v>
      </c>
      <c r="E2295" s="106">
        <v>1189.1500000000001</v>
      </c>
      <c r="F2295" s="106">
        <v>1195.5</v>
      </c>
      <c r="G2295">
        <v>52304</v>
      </c>
      <c r="H2295" s="106"/>
      <c r="I2295" s="106"/>
      <c r="L2295" s="143">
        <v>45384</v>
      </c>
      <c r="M2295" s="106">
        <v>1197.25</v>
      </c>
      <c r="N2295" s="106">
        <v>1201.7</v>
      </c>
      <c r="O2295" s="106">
        <v>1183.75</v>
      </c>
      <c r="P2295" s="106">
        <v>1185.4000000000001</v>
      </c>
      <c r="Q2295" s="106">
        <v>1197.25</v>
      </c>
      <c r="R2295">
        <v>1552331</v>
      </c>
    </row>
    <row r="2296" spans="1:18" x14ac:dyDescent="0.25">
      <c r="A2296" s="143">
        <v>45385</v>
      </c>
      <c r="B2296" s="106">
        <v>1203.9000000000001</v>
      </c>
      <c r="C2296" s="106">
        <v>1193.95</v>
      </c>
      <c r="D2296" s="106">
        <v>1178.7</v>
      </c>
      <c r="E2296" s="106">
        <v>1191.3</v>
      </c>
      <c r="F2296" s="106">
        <v>1193.95</v>
      </c>
      <c r="G2296">
        <v>10015</v>
      </c>
      <c r="H2296" s="106"/>
      <c r="I2296" s="106"/>
      <c r="L2296" s="143">
        <v>45385</v>
      </c>
      <c r="M2296" s="106">
        <v>1194.75</v>
      </c>
      <c r="N2296" s="106">
        <v>1204.5</v>
      </c>
      <c r="O2296" s="106">
        <v>1176.95</v>
      </c>
      <c r="P2296" s="106">
        <v>1195.05</v>
      </c>
      <c r="Q2296" s="106">
        <v>1194.75</v>
      </c>
      <c r="R2296">
        <v>1645617</v>
      </c>
    </row>
    <row r="2297" spans="1:18" x14ac:dyDescent="0.25">
      <c r="A2297" s="143">
        <v>45386</v>
      </c>
      <c r="B2297" s="106">
        <v>1215.5999999999999</v>
      </c>
      <c r="C2297" s="106">
        <v>1197</v>
      </c>
      <c r="D2297" s="106">
        <v>1195</v>
      </c>
      <c r="E2297" s="106">
        <v>1203.45</v>
      </c>
      <c r="F2297" s="106">
        <v>1197</v>
      </c>
      <c r="G2297">
        <v>20172</v>
      </c>
      <c r="H2297" s="106"/>
      <c r="I2297" s="106"/>
      <c r="L2297" s="143">
        <v>45386</v>
      </c>
      <c r="M2297" s="106">
        <v>1196.3499999999999</v>
      </c>
      <c r="N2297" s="106">
        <v>1213.3</v>
      </c>
      <c r="O2297" s="106">
        <v>1193.9000000000001</v>
      </c>
      <c r="P2297" s="106">
        <v>1210</v>
      </c>
      <c r="Q2297" s="106">
        <v>1196.3499999999999</v>
      </c>
      <c r="R2297">
        <v>1568022</v>
      </c>
    </row>
    <row r="2298" spans="1:18" x14ac:dyDescent="0.25">
      <c r="A2298" s="143">
        <v>45387</v>
      </c>
      <c r="B2298" s="106">
        <v>1219.9000000000001</v>
      </c>
      <c r="C2298" s="106">
        <v>1216.8</v>
      </c>
      <c r="D2298" s="106">
        <v>1186.95</v>
      </c>
      <c r="E2298" s="106">
        <v>1190</v>
      </c>
      <c r="F2298" s="106">
        <v>1216.8</v>
      </c>
      <c r="G2298">
        <v>28763</v>
      </c>
      <c r="H2298" s="106"/>
      <c r="I2298" s="106"/>
      <c r="L2298" s="143">
        <v>45387</v>
      </c>
      <c r="M2298" s="106">
        <v>1217.6500000000001</v>
      </c>
      <c r="N2298" s="106">
        <v>1220.55</v>
      </c>
      <c r="O2298" s="106">
        <v>1185.3</v>
      </c>
      <c r="P2298" s="106">
        <v>1193.2</v>
      </c>
      <c r="Q2298" s="106">
        <v>1217.6500000000001</v>
      </c>
      <c r="R2298">
        <v>1353217</v>
      </c>
    </row>
    <row r="2299" spans="1:18" x14ac:dyDescent="0.25">
      <c r="A2299" s="143">
        <v>45390</v>
      </c>
      <c r="B2299" s="106">
        <v>1241.1500000000001</v>
      </c>
      <c r="C2299" s="106">
        <v>1202.8</v>
      </c>
      <c r="D2299" s="106">
        <v>1200.95</v>
      </c>
      <c r="E2299" s="106">
        <v>1241.1500000000001</v>
      </c>
      <c r="F2299" s="106">
        <v>1202.8</v>
      </c>
      <c r="G2299">
        <v>20264</v>
      </c>
      <c r="H2299" s="106"/>
      <c r="I2299" s="106"/>
      <c r="L2299" s="143">
        <v>45390</v>
      </c>
      <c r="M2299" s="106">
        <v>1203.05</v>
      </c>
      <c r="N2299" s="106">
        <v>1236</v>
      </c>
      <c r="O2299" s="106">
        <v>1200</v>
      </c>
      <c r="P2299" s="106">
        <v>1236</v>
      </c>
      <c r="Q2299" s="106">
        <v>1203.05</v>
      </c>
      <c r="R2299">
        <v>1710691</v>
      </c>
    </row>
    <row r="2300" spans="1:18" x14ac:dyDescent="0.25">
      <c r="A2300" s="143">
        <v>45391</v>
      </c>
      <c r="B2300" s="106">
        <v>1222.95</v>
      </c>
      <c r="C2300" s="106">
        <v>1210</v>
      </c>
      <c r="D2300" s="106">
        <v>1202.3499999999999</v>
      </c>
      <c r="E2300" s="106">
        <v>1215.3499999999999</v>
      </c>
      <c r="F2300" s="106">
        <v>1210</v>
      </c>
      <c r="G2300">
        <v>9390</v>
      </c>
      <c r="H2300" s="106"/>
      <c r="I2300" s="106"/>
      <c r="L2300" s="143">
        <v>45391</v>
      </c>
      <c r="M2300" s="106">
        <v>1210.0999999999999</v>
      </c>
      <c r="N2300" s="106">
        <v>1223.7</v>
      </c>
      <c r="O2300" s="106">
        <v>1198.3</v>
      </c>
      <c r="P2300" s="106">
        <v>1215.0999999999999</v>
      </c>
      <c r="Q2300" s="106">
        <v>1210.0999999999999</v>
      </c>
      <c r="R2300">
        <v>956608</v>
      </c>
    </row>
    <row r="2301" spans="1:18" x14ac:dyDescent="0.25">
      <c r="A2301" s="143">
        <v>45392</v>
      </c>
      <c r="B2301" s="106">
        <v>1221.5</v>
      </c>
      <c r="C2301" s="106">
        <v>1191.25</v>
      </c>
      <c r="D2301" s="106">
        <v>1188</v>
      </c>
      <c r="E2301" s="106">
        <v>1218.95</v>
      </c>
      <c r="F2301" s="106">
        <v>1191.25</v>
      </c>
      <c r="G2301">
        <v>19983</v>
      </c>
      <c r="H2301" s="106"/>
      <c r="I2301" s="106"/>
      <c r="L2301" s="143">
        <v>45392</v>
      </c>
      <c r="M2301" s="106">
        <v>1191.8</v>
      </c>
      <c r="N2301" s="106">
        <v>1222.2</v>
      </c>
      <c r="O2301" s="106">
        <v>1187.05</v>
      </c>
      <c r="P2301" s="106">
        <v>1215.0999999999999</v>
      </c>
      <c r="Q2301" s="106">
        <v>1191.8</v>
      </c>
      <c r="R2301">
        <v>575759</v>
      </c>
    </row>
    <row r="2302" spans="1:18" x14ac:dyDescent="0.25">
      <c r="A2302" s="143">
        <v>45394</v>
      </c>
      <c r="B2302" s="106">
        <v>1199.0999999999999</v>
      </c>
      <c r="C2302" s="106">
        <v>1177.25</v>
      </c>
      <c r="D2302" s="106">
        <v>1175</v>
      </c>
      <c r="E2302" s="106">
        <v>1194</v>
      </c>
      <c r="F2302" s="106">
        <v>1177.25</v>
      </c>
      <c r="G2302">
        <v>10063</v>
      </c>
      <c r="H2302" s="106"/>
      <c r="I2302" s="106"/>
      <c r="L2302" s="143">
        <v>45394</v>
      </c>
      <c r="M2302" s="106">
        <v>1177.5999999999999</v>
      </c>
      <c r="N2302" s="106">
        <v>1199.55</v>
      </c>
      <c r="O2302" s="106">
        <v>1174.0999999999999</v>
      </c>
      <c r="P2302" s="106">
        <v>1191.05</v>
      </c>
      <c r="Q2302" s="106">
        <v>1177.5999999999999</v>
      </c>
      <c r="R2302">
        <v>564886</v>
      </c>
    </row>
    <row r="2303" spans="1:18" x14ac:dyDescent="0.25">
      <c r="A2303" s="143">
        <v>45397</v>
      </c>
      <c r="B2303" s="106">
        <v>1179.9000000000001</v>
      </c>
      <c r="C2303" s="106">
        <v>1161.55</v>
      </c>
      <c r="D2303" s="106">
        <v>1105.05</v>
      </c>
      <c r="E2303" s="106">
        <v>1105.05</v>
      </c>
      <c r="F2303" s="106">
        <v>1161.55</v>
      </c>
      <c r="G2303">
        <v>13031</v>
      </c>
      <c r="H2303" s="106"/>
      <c r="I2303" s="106"/>
      <c r="L2303" s="143">
        <v>45397</v>
      </c>
      <c r="M2303" s="106">
        <v>1161.7</v>
      </c>
      <c r="N2303" s="106">
        <v>1180</v>
      </c>
      <c r="O2303" s="106">
        <v>1150</v>
      </c>
      <c r="P2303" s="106">
        <v>1150</v>
      </c>
      <c r="Q2303" s="106">
        <v>1161.7</v>
      </c>
      <c r="R2303">
        <v>808218</v>
      </c>
    </row>
    <row r="2304" spans="1:18" x14ac:dyDescent="0.25">
      <c r="A2304" s="143">
        <v>45398</v>
      </c>
      <c r="B2304" s="106">
        <v>1162.45</v>
      </c>
      <c r="C2304" s="106">
        <v>1129.2</v>
      </c>
      <c r="D2304" s="106">
        <v>1127</v>
      </c>
      <c r="E2304" s="106">
        <v>1155.0999999999999</v>
      </c>
      <c r="F2304" s="106">
        <v>1129.2</v>
      </c>
      <c r="G2304">
        <v>13153</v>
      </c>
      <c r="H2304" s="106"/>
      <c r="I2304" s="106"/>
      <c r="L2304" s="143">
        <v>45398</v>
      </c>
      <c r="M2304" s="106">
        <v>1130</v>
      </c>
      <c r="N2304" s="106">
        <v>1161.7</v>
      </c>
      <c r="O2304" s="106">
        <v>1126.2</v>
      </c>
      <c r="P2304" s="106">
        <v>1153</v>
      </c>
      <c r="Q2304" s="106">
        <v>1130</v>
      </c>
      <c r="R2304">
        <v>1235759</v>
      </c>
    </row>
    <row r="2305" spans="1:18" x14ac:dyDescent="0.25">
      <c r="A2305" s="143">
        <v>45400</v>
      </c>
      <c r="B2305" s="106">
        <v>1142.6500000000001</v>
      </c>
      <c r="C2305" s="106">
        <v>1120.5</v>
      </c>
      <c r="D2305" s="106">
        <v>1115</v>
      </c>
      <c r="E2305" s="106">
        <v>1141.6500000000001</v>
      </c>
      <c r="F2305" s="106">
        <v>1120.5</v>
      </c>
      <c r="G2305">
        <v>8086</v>
      </c>
      <c r="H2305" s="106"/>
      <c r="I2305" s="106"/>
      <c r="L2305" s="143">
        <v>45400</v>
      </c>
      <c r="M2305" s="106">
        <v>1118.8</v>
      </c>
      <c r="N2305" s="106">
        <v>1144.95</v>
      </c>
      <c r="O2305" s="106">
        <v>1114.8</v>
      </c>
      <c r="P2305" s="106">
        <v>1139</v>
      </c>
      <c r="Q2305" s="106">
        <v>1118.8</v>
      </c>
      <c r="R2305">
        <v>833424</v>
      </c>
    </row>
    <row r="2306" spans="1:18" x14ac:dyDescent="0.25">
      <c r="A2306" s="143">
        <v>45401</v>
      </c>
      <c r="B2306" s="106">
        <v>1131</v>
      </c>
      <c r="C2306" s="106">
        <v>1128.3499999999999</v>
      </c>
      <c r="D2306" s="106">
        <v>1099.05</v>
      </c>
      <c r="E2306" s="106">
        <v>1109.4000000000001</v>
      </c>
      <c r="F2306" s="106">
        <v>1128.3499999999999</v>
      </c>
      <c r="G2306">
        <v>16802</v>
      </c>
      <c r="H2306" s="106"/>
      <c r="I2306" s="106"/>
      <c r="L2306" s="143">
        <v>45401</v>
      </c>
      <c r="M2306" s="106">
        <v>1128.1500000000001</v>
      </c>
      <c r="N2306" s="106">
        <v>1132.55</v>
      </c>
      <c r="O2306" s="106">
        <v>1100.5</v>
      </c>
      <c r="P2306" s="106">
        <v>1114.75</v>
      </c>
      <c r="Q2306" s="106">
        <v>1128.1500000000001</v>
      </c>
      <c r="R2306">
        <v>621126</v>
      </c>
    </row>
    <row r="2307" spans="1:18" x14ac:dyDescent="0.25">
      <c r="A2307" s="143">
        <v>45404</v>
      </c>
      <c r="B2307" s="106">
        <v>1150</v>
      </c>
      <c r="C2307" s="106">
        <v>1141.0999999999999</v>
      </c>
      <c r="D2307" s="106">
        <v>1125.25</v>
      </c>
      <c r="E2307" s="106">
        <v>1139.55</v>
      </c>
      <c r="F2307" s="106">
        <v>1141.0999999999999</v>
      </c>
      <c r="G2307">
        <v>21632</v>
      </c>
      <c r="H2307" s="106"/>
      <c r="I2307" s="106"/>
      <c r="L2307" s="143">
        <v>45404</v>
      </c>
      <c r="M2307" s="106">
        <v>1140</v>
      </c>
      <c r="N2307" s="106">
        <v>1150.4000000000001</v>
      </c>
      <c r="O2307" s="106">
        <v>1125.5</v>
      </c>
      <c r="P2307" s="106">
        <v>1139</v>
      </c>
      <c r="Q2307" s="106">
        <v>1140</v>
      </c>
      <c r="R2307">
        <v>1111419</v>
      </c>
    </row>
    <row r="2308" spans="1:18" x14ac:dyDescent="0.25">
      <c r="A2308" s="143">
        <v>45405</v>
      </c>
      <c r="B2308" s="106">
        <v>1154</v>
      </c>
      <c r="C2308" s="106">
        <v>1143.2</v>
      </c>
      <c r="D2308" s="106">
        <v>1133.95</v>
      </c>
      <c r="E2308" s="106">
        <v>1140.75</v>
      </c>
      <c r="F2308" s="106">
        <v>1143.2</v>
      </c>
      <c r="G2308">
        <v>19299</v>
      </c>
      <c r="H2308" s="106"/>
      <c r="I2308" s="106"/>
      <c r="L2308" s="143">
        <v>45405</v>
      </c>
      <c r="M2308" s="106">
        <v>1143.25</v>
      </c>
      <c r="N2308" s="106">
        <v>1159.9000000000001</v>
      </c>
      <c r="O2308" s="106">
        <v>1135</v>
      </c>
      <c r="P2308" s="106">
        <v>1143.95</v>
      </c>
      <c r="Q2308" s="106">
        <v>1143.25</v>
      </c>
      <c r="R2308">
        <v>596378</v>
      </c>
    </row>
    <row r="2309" spans="1:18" x14ac:dyDescent="0.25">
      <c r="A2309" s="143">
        <v>45406</v>
      </c>
      <c r="B2309" s="106">
        <v>1180.25</v>
      </c>
      <c r="C2309" s="106">
        <v>1169.1500000000001</v>
      </c>
      <c r="D2309" s="106">
        <v>1145.6500000000001</v>
      </c>
      <c r="E2309" s="106">
        <v>1151.7</v>
      </c>
      <c r="F2309" s="106">
        <v>1169.1500000000001</v>
      </c>
      <c r="G2309">
        <v>7951</v>
      </c>
      <c r="H2309" s="106"/>
      <c r="I2309" s="106"/>
      <c r="L2309" s="143">
        <v>45406</v>
      </c>
      <c r="M2309" s="106">
        <v>1168.8</v>
      </c>
      <c r="N2309" s="106">
        <v>1181.25</v>
      </c>
      <c r="O2309" s="106">
        <v>1144.7</v>
      </c>
      <c r="P2309" s="106">
        <v>1148.05</v>
      </c>
      <c r="Q2309" s="106">
        <v>1168.8</v>
      </c>
      <c r="R2309">
        <v>929917</v>
      </c>
    </row>
    <row r="2310" spans="1:18" x14ac:dyDescent="0.25">
      <c r="A2310" s="143">
        <v>45407</v>
      </c>
      <c r="B2310" s="106">
        <v>1167.25</v>
      </c>
      <c r="C2310" s="106">
        <v>1154.5999999999999</v>
      </c>
      <c r="D2310" s="106">
        <v>1146.4000000000001</v>
      </c>
      <c r="E2310" s="106">
        <v>1153.05</v>
      </c>
      <c r="F2310" s="106">
        <v>1154.5999999999999</v>
      </c>
      <c r="G2310">
        <v>19724</v>
      </c>
      <c r="H2310" s="106"/>
      <c r="I2310" s="106"/>
      <c r="L2310" s="143">
        <v>45407</v>
      </c>
      <c r="M2310" s="106">
        <v>1155.3499999999999</v>
      </c>
      <c r="N2310" s="106">
        <v>1170</v>
      </c>
      <c r="O2310" s="106">
        <v>1147.25</v>
      </c>
      <c r="P2310" s="106">
        <v>1159</v>
      </c>
      <c r="Q2310" s="106">
        <v>1155.3499999999999</v>
      </c>
      <c r="R2310">
        <v>766072</v>
      </c>
    </row>
    <row r="2311" spans="1:18" x14ac:dyDescent="0.25">
      <c r="A2311" s="143">
        <v>45408</v>
      </c>
      <c r="B2311" s="106">
        <v>1184</v>
      </c>
      <c r="C2311" s="106">
        <v>1172.2</v>
      </c>
      <c r="D2311" s="106">
        <v>1150.8</v>
      </c>
      <c r="E2311" s="106">
        <v>1161.9000000000001</v>
      </c>
      <c r="F2311" s="106">
        <v>1172.2</v>
      </c>
      <c r="G2311">
        <v>12150</v>
      </c>
      <c r="H2311" s="106"/>
      <c r="I2311" s="106"/>
      <c r="L2311" s="143">
        <v>45408</v>
      </c>
      <c r="M2311" s="106">
        <v>1171.7</v>
      </c>
      <c r="N2311" s="106">
        <v>1184.7</v>
      </c>
      <c r="O2311" s="106">
        <v>1150.45</v>
      </c>
      <c r="P2311" s="106">
        <v>1164.9000000000001</v>
      </c>
      <c r="Q2311" s="106">
        <v>1171.7</v>
      </c>
      <c r="R2311">
        <v>1064592</v>
      </c>
    </row>
    <row r="2312" spans="1:18" x14ac:dyDescent="0.25">
      <c r="A2312" s="143">
        <v>45411</v>
      </c>
      <c r="B2312" s="106">
        <v>1175</v>
      </c>
      <c r="C2312" s="106">
        <v>1170.95</v>
      </c>
      <c r="D2312" s="106">
        <v>1160.7</v>
      </c>
      <c r="E2312" s="106">
        <v>1166.7</v>
      </c>
      <c r="F2312" s="106">
        <v>1170.95</v>
      </c>
      <c r="G2312">
        <v>17537</v>
      </c>
      <c r="H2312" s="106"/>
      <c r="I2312" s="106"/>
      <c r="L2312" s="143">
        <v>45411</v>
      </c>
      <c r="M2312" s="106">
        <v>1170.9000000000001</v>
      </c>
      <c r="N2312" s="106">
        <v>1176.05</v>
      </c>
      <c r="O2312" s="106">
        <v>1161.1500000000001</v>
      </c>
      <c r="P2312" s="106">
        <v>1173</v>
      </c>
      <c r="Q2312" s="106">
        <v>1170.9000000000001</v>
      </c>
      <c r="R2312">
        <v>599436</v>
      </c>
    </row>
    <row r="2313" spans="1:18" x14ac:dyDescent="0.25">
      <c r="A2313" s="143">
        <v>45412</v>
      </c>
      <c r="B2313" s="106">
        <v>1212</v>
      </c>
      <c r="C2313" s="106">
        <v>1194</v>
      </c>
      <c r="D2313" s="106">
        <v>1173.6500000000001</v>
      </c>
      <c r="E2313" s="106">
        <v>1176.95</v>
      </c>
      <c r="F2313" s="106">
        <v>1194</v>
      </c>
      <c r="G2313">
        <v>62983</v>
      </c>
      <c r="H2313" s="106"/>
      <c r="I2313" s="106"/>
      <c r="L2313" s="143">
        <v>45412</v>
      </c>
      <c r="M2313" s="106">
        <v>1193.3</v>
      </c>
      <c r="N2313" s="106">
        <v>1212.8</v>
      </c>
      <c r="O2313" s="106">
        <v>1173</v>
      </c>
      <c r="P2313" s="106">
        <v>1180</v>
      </c>
      <c r="Q2313" s="106">
        <v>1193.3</v>
      </c>
      <c r="R2313">
        <v>1816728</v>
      </c>
    </row>
    <row r="2314" spans="1:18" x14ac:dyDescent="0.25">
      <c r="A2314" s="143">
        <v>45414</v>
      </c>
      <c r="B2314" s="106">
        <v>1309</v>
      </c>
      <c r="C2314" s="106">
        <v>1301.5999999999999</v>
      </c>
      <c r="D2314" s="106">
        <v>1202</v>
      </c>
      <c r="E2314" s="106">
        <v>1202</v>
      </c>
      <c r="F2314" s="106">
        <v>1301.5999999999999</v>
      </c>
      <c r="G2314">
        <v>382257</v>
      </c>
      <c r="H2314" s="106"/>
      <c r="I2314" s="106"/>
      <c r="L2314" s="143">
        <v>45414</v>
      </c>
      <c r="M2314" s="106">
        <v>1301.5999999999999</v>
      </c>
      <c r="N2314" s="106">
        <v>1309.8</v>
      </c>
      <c r="O2314" s="106">
        <v>1206</v>
      </c>
      <c r="P2314" s="106">
        <v>1206</v>
      </c>
      <c r="Q2314" s="106">
        <v>1301.5999999999999</v>
      </c>
      <c r="R2314">
        <v>7345047</v>
      </c>
    </row>
    <row r="2315" spans="1:18" x14ac:dyDescent="0.25">
      <c r="A2315" s="143">
        <v>45415</v>
      </c>
      <c r="B2315" s="106">
        <v>1352.9</v>
      </c>
      <c r="C2315" s="106">
        <v>1309.25</v>
      </c>
      <c r="D2315" s="106">
        <v>1301.05</v>
      </c>
      <c r="E2315" s="106">
        <v>1311.05</v>
      </c>
      <c r="F2315" s="106">
        <v>1309.25</v>
      </c>
      <c r="G2315">
        <v>131206</v>
      </c>
      <c r="H2315" s="106"/>
      <c r="I2315" s="106"/>
      <c r="L2315" s="143">
        <v>45415</v>
      </c>
      <c r="M2315" s="106">
        <v>1309.7</v>
      </c>
      <c r="N2315" s="106">
        <v>1352.6</v>
      </c>
      <c r="O2315" s="106">
        <v>1301.25</v>
      </c>
      <c r="P2315" s="106">
        <v>1312.8</v>
      </c>
      <c r="Q2315" s="106">
        <v>1309.7</v>
      </c>
      <c r="R2315">
        <v>3478644</v>
      </c>
    </row>
    <row r="2316" spans="1:18" x14ac:dyDescent="0.25">
      <c r="A2316" s="143">
        <v>45418</v>
      </c>
      <c r="B2316" s="106">
        <v>1349</v>
      </c>
      <c r="C2316" s="106">
        <v>1325.7</v>
      </c>
      <c r="D2316" s="106">
        <v>1300</v>
      </c>
      <c r="E2316" s="106">
        <v>1312.05</v>
      </c>
      <c r="F2316" s="106">
        <v>1325.7</v>
      </c>
      <c r="G2316">
        <v>39286</v>
      </c>
      <c r="H2316" s="106"/>
      <c r="I2316" s="106"/>
      <c r="L2316" s="143">
        <v>45418</v>
      </c>
      <c r="M2316" s="106">
        <v>1326</v>
      </c>
      <c r="N2316" s="106">
        <v>1349.9</v>
      </c>
      <c r="O2316" s="106">
        <v>1300</v>
      </c>
      <c r="P2316" s="106">
        <v>1315</v>
      </c>
      <c r="Q2316" s="106">
        <v>1326</v>
      </c>
      <c r="R2316">
        <v>1372751</v>
      </c>
    </row>
    <row r="2317" spans="1:18" x14ac:dyDescent="0.25">
      <c r="A2317" s="143">
        <v>45419</v>
      </c>
      <c r="B2317" s="106">
        <v>1329.95</v>
      </c>
      <c r="C2317" s="106">
        <v>1305.95</v>
      </c>
      <c r="D2317" s="106">
        <v>1288.4000000000001</v>
      </c>
      <c r="E2317" s="106">
        <v>1326.8</v>
      </c>
      <c r="F2317" s="106">
        <v>1305.95</v>
      </c>
      <c r="G2317">
        <v>12373</v>
      </c>
      <c r="H2317" s="106"/>
      <c r="I2317" s="106"/>
      <c r="L2317" s="143">
        <v>45419</v>
      </c>
      <c r="M2317" s="106">
        <v>1306.3499999999999</v>
      </c>
      <c r="N2317" s="106">
        <v>1331.05</v>
      </c>
      <c r="O2317" s="106">
        <v>1288.5999999999999</v>
      </c>
      <c r="P2317" s="106">
        <v>1326</v>
      </c>
      <c r="Q2317" s="106">
        <v>1306.3499999999999</v>
      </c>
      <c r="R2317">
        <v>1559158</v>
      </c>
    </row>
    <row r="2318" spans="1:18" x14ac:dyDescent="0.25">
      <c r="A2318" s="143">
        <v>45420</v>
      </c>
      <c r="B2318" s="106">
        <v>1306.95</v>
      </c>
      <c r="C2318" s="106">
        <v>1264.5999999999999</v>
      </c>
      <c r="D2318" s="106">
        <v>1259.5</v>
      </c>
      <c r="E2318" s="106">
        <v>1299.95</v>
      </c>
      <c r="F2318" s="106">
        <v>1264.5999999999999</v>
      </c>
      <c r="G2318">
        <v>41779</v>
      </c>
      <c r="H2318" s="106"/>
      <c r="I2318" s="106"/>
      <c r="L2318" s="143">
        <v>45420</v>
      </c>
      <c r="M2318" s="106">
        <v>1263.95</v>
      </c>
      <c r="N2318" s="106">
        <v>1306.6500000000001</v>
      </c>
      <c r="O2318" s="106">
        <v>1258.5999999999999</v>
      </c>
      <c r="P2318" s="106">
        <v>1296.0999999999999</v>
      </c>
      <c r="Q2318" s="106">
        <v>1263.95</v>
      </c>
      <c r="R2318">
        <v>2129305</v>
      </c>
    </row>
    <row r="2319" spans="1:18" x14ac:dyDescent="0.25">
      <c r="A2319" s="143">
        <v>45421</v>
      </c>
      <c r="B2319" s="106">
        <v>1268.3</v>
      </c>
      <c r="C2319" s="106">
        <v>1222</v>
      </c>
      <c r="D2319" s="106">
        <v>1216.0999999999999</v>
      </c>
      <c r="E2319" s="106">
        <v>1268.3</v>
      </c>
      <c r="F2319" s="106">
        <v>1222</v>
      </c>
      <c r="G2319">
        <v>21411</v>
      </c>
      <c r="H2319" s="106"/>
      <c r="I2319" s="106"/>
      <c r="L2319" s="143">
        <v>45421</v>
      </c>
      <c r="M2319" s="106">
        <v>1222.5</v>
      </c>
      <c r="N2319" s="106">
        <v>1273.95</v>
      </c>
      <c r="O2319" s="106">
        <v>1216.4000000000001</v>
      </c>
      <c r="P2319" s="106">
        <v>1270</v>
      </c>
      <c r="Q2319" s="106">
        <v>1222.5</v>
      </c>
      <c r="R2319">
        <v>1159750</v>
      </c>
    </row>
    <row r="2320" spans="1:18" x14ac:dyDescent="0.25">
      <c r="A2320" s="143">
        <v>45422</v>
      </c>
      <c r="B2320" s="106">
        <v>1279</v>
      </c>
      <c r="C2320" s="106">
        <v>1268.8</v>
      </c>
      <c r="D2320" s="106">
        <v>1225.05</v>
      </c>
      <c r="E2320" s="106">
        <v>1231.25</v>
      </c>
      <c r="F2320" s="106">
        <v>1268.8</v>
      </c>
      <c r="G2320">
        <v>65360</v>
      </c>
      <c r="H2320" s="106"/>
      <c r="I2320" s="106"/>
      <c r="L2320" s="143">
        <v>45422</v>
      </c>
      <c r="M2320" s="106">
        <v>1272.6500000000001</v>
      </c>
      <c r="N2320" s="106">
        <v>1279.1500000000001</v>
      </c>
      <c r="O2320" s="106">
        <v>1224.6500000000001</v>
      </c>
      <c r="P2320" s="106">
        <v>1234.95</v>
      </c>
      <c r="Q2320" s="106">
        <v>1272.6500000000001</v>
      </c>
      <c r="R2320">
        <v>2686766</v>
      </c>
    </row>
    <row r="2321" spans="1:18" x14ac:dyDescent="0.25">
      <c r="A2321" s="143">
        <v>45425</v>
      </c>
      <c r="B2321" s="106">
        <v>1302</v>
      </c>
      <c r="C2321" s="106">
        <v>1282.25</v>
      </c>
      <c r="D2321" s="106">
        <v>1246.8499999999999</v>
      </c>
      <c r="E2321" s="106">
        <v>1278.45</v>
      </c>
      <c r="F2321" s="106">
        <v>1282.25</v>
      </c>
      <c r="G2321">
        <v>36075</v>
      </c>
      <c r="H2321" s="106"/>
      <c r="I2321" s="106"/>
      <c r="L2321" s="143">
        <v>45425</v>
      </c>
      <c r="M2321" s="106">
        <v>1282.5999999999999</v>
      </c>
      <c r="N2321" s="106">
        <v>1302</v>
      </c>
      <c r="O2321" s="106">
        <v>1242.1500000000001</v>
      </c>
      <c r="P2321" s="106">
        <v>1279.8</v>
      </c>
      <c r="Q2321" s="106">
        <v>1282.5999999999999</v>
      </c>
      <c r="R2321">
        <v>1639556</v>
      </c>
    </row>
    <row r="2322" spans="1:18" x14ac:dyDescent="0.25">
      <c r="A2322" s="143">
        <v>45426</v>
      </c>
      <c r="B2322" s="106">
        <v>1289.6500000000001</v>
      </c>
      <c r="C2322" s="106">
        <v>1252.5999999999999</v>
      </c>
      <c r="D2322" s="106">
        <v>1244.1500000000001</v>
      </c>
      <c r="E2322" s="106">
        <v>1286.05</v>
      </c>
      <c r="F2322" s="106">
        <v>1252.5999999999999</v>
      </c>
      <c r="G2322">
        <v>14662</v>
      </c>
      <c r="H2322" s="106"/>
      <c r="I2322" s="106"/>
      <c r="L2322" s="143">
        <v>45426</v>
      </c>
      <c r="M2322" s="106">
        <v>1252.05</v>
      </c>
      <c r="N2322" s="106">
        <v>1290</v>
      </c>
      <c r="O2322" s="106">
        <v>1243.2</v>
      </c>
      <c r="P2322" s="106">
        <v>1282.25</v>
      </c>
      <c r="Q2322" s="106">
        <v>1252.05</v>
      </c>
      <c r="R2322">
        <v>1216177</v>
      </c>
    </row>
    <row r="2323" spans="1:18" x14ac:dyDescent="0.25">
      <c r="A2323" s="143">
        <v>45427</v>
      </c>
      <c r="B2323" s="106">
        <v>1259.95</v>
      </c>
      <c r="C2323" s="106">
        <v>1230.95</v>
      </c>
      <c r="D2323" s="106">
        <v>1223.8499999999999</v>
      </c>
      <c r="E2323" s="106">
        <v>1253.05</v>
      </c>
      <c r="F2323" s="106">
        <v>1230.95</v>
      </c>
      <c r="G2323">
        <v>26844</v>
      </c>
      <c r="H2323" s="106"/>
      <c r="I2323" s="106"/>
      <c r="L2323" s="143">
        <v>45427</v>
      </c>
      <c r="M2323" s="106">
        <v>1231.3499999999999</v>
      </c>
      <c r="N2323" s="106">
        <v>1259.3499999999999</v>
      </c>
      <c r="O2323" s="106">
        <v>1224</v>
      </c>
      <c r="P2323" s="106">
        <v>1255</v>
      </c>
      <c r="Q2323" s="106">
        <v>1231.3499999999999</v>
      </c>
      <c r="R2323">
        <v>1299166</v>
      </c>
    </row>
    <row r="2324" spans="1:18" x14ac:dyDescent="0.25">
      <c r="A2324" s="143">
        <v>45428</v>
      </c>
      <c r="B2324" s="106">
        <v>1271.45</v>
      </c>
      <c r="C2324" s="106">
        <v>1261.6500000000001</v>
      </c>
      <c r="D2324" s="106">
        <v>1232.7</v>
      </c>
      <c r="E2324" s="106">
        <v>1247.7</v>
      </c>
      <c r="F2324" s="106">
        <v>1261.6500000000001</v>
      </c>
      <c r="G2324">
        <v>38498</v>
      </c>
      <c r="H2324" s="106"/>
      <c r="I2324" s="106"/>
      <c r="L2324" s="143">
        <v>45428</v>
      </c>
      <c r="M2324" s="106">
        <v>1262</v>
      </c>
      <c r="N2324" s="106">
        <v>1271.95</v>
      </c>
      <c r="O2324" s="106">
        <v>1231.55</v>
      </c>
      <c r="P2324" s="106">
        <v>1243.7</v>
      </c>
      <c r="Q2324" s="106">
        <v>1262</v>
      </c>
      <c r="R2324">
        <v>1689316</v>
      </c>
    </row>
    <row r="2325" spans="1:18" x14ac:dyDescent="0.25">
      <c r="A2325" s="143">
        <v>45429</v>
      </c>
      <c r="B2325" s="106">
        <v>1292.3499999999999</v>
      </c>
      <c r="C2325" s="106">
        <v>1285</v>
      </c>
      <c r="D2325" s="106">
        <v>1248.6500000000001</v>
      </c>
      <c r="E2325" s="106">
        <v>1284.95</v>
      </c>
      <c r="F2325" s="106">
        <v>1285</v>
      </c>
      <c r="G2325">
        <v>13843</v>
      </c>
      <c r="H2325" s="106"/>
      <c r="I2325" s="106"/>
      <c r="L2325" s="143">
        <v>45429</v>
      </c>
      <c r="M2325" s="106">
        <v>1285</v>
      </c>
      <c r="N2325" s="106">
        <v>1292.45</v>
      </c>
      <c r="O2325" s="106">
        <v>1248.8499999999999</v>
      </c>
      <c r="P2325" s="106">
        <v>1265.9000000000001</v>
      </c>
      <c r="Q2325" s="106">
        <v>1285</v>
      </c>
      <c r="R2325">
        <v>857080</v>
      </c>
    </row>
    <row r="2326" spans="1:18" x14ac:dyDescent="0.25">
      <c r="A2326" s="143">
        <v>45430</v>
      </c>
      <c r="B2326" s="106">
        <v>1298</v>
      </c>
      <c r="C2326" s="106">
        <v>1280.8499999999999</v>
      </c>
      <c r="D2326" s="106">
        <v>1255.0999999999999</v>
      </c>
      <c r="E2326" s="106">
        <v>1290.3</v>
      </c>
      <c r="F2326" s="106">
        <v>1280.8499999999999</v>
      </c>
      <c r="G2326">
        <v>7628</v>
      </c>
      <c r="H2326" s="106"/>
      <c r="I2326" s="106"/>
      <c r="L2326" s="143">
        <v>45430</v>
      </c>
      <c r="M2326" s="106">
        <v>1281.8499999999999</v>
      </c>
      <c r="N2326" s="106">
        <v>1298</v>
      </c>
      <c r="O2326" s="106">
        <v>1251.05</v>
      </c>
      <c r="P2326" s="106">
        <v>1297.95</v>
      </c>
      <c r="Q2326" s="106">
        <v>1281.8499999999999</v>
      </c>
      <c r="R2326">
        <v>155173</v>
      </c>
    </row>
    <row r="2327" spans="1:18" x14ac:dyDescent="0.25">
      <c r="A2327" s="143">
        <v>45433</v>
      </c>
      <c r="B2327" s="106">
        <v>1308</v>
      </c>
      <c r="C2327" s="106">
        <v>1291.75</v>
      </c>
      <c r="D2327" s="106">
        <v>1277</v>
      </c>
      <c r="E2327" s="106">
        <v>1280.05</v>
      </c>
      <c r="F2327" s="106">
        <v>1291.75</v>
      </c>
      <c r="G2327">
        <v>21594</v>
      </c>
      <c r="H2327" s="106"/>
      <c r="I2327" s="106"/>
      <c r="L2327" s="143">
        <v>45433</v>
      </c>
      <c r="M2327" s="106">
        <v>1292.45</v>
      </c>
      <c r="N2327" s="106">
        <v>1308.7</v>
      </c>
      <c r="O2327" s="106">
        <v>1276</v>
      </c>
      <c r="P2327" s="106">
        <v>1285.3</v>
      </c>
      <c r="Q2327" s="106">
        <v>1292.45</v>
      </c>
      <c r="R2327">
        <v>1610011</v>
      </c>
    </row>
    <row r="2328" spans="1:18" x14ac:dyDescent="0.25">
      <c r="A2328" s="143">
        <v>45434</v>
      </c>
      <c r="B2328" s="106">
        <v>1305.55</v>
      </c>
      <c r="C2328" s="106">
        <v>1272.25</v>
      </c>
      <c r="D2328" s="106">
        <v>1265</v>
      </c>
      <c r="E2328" s="106">
        <v>1297.5</v>
      </c>
      <c r="F2328" s="106">
        <v>1272.25</v>
      </c>
      <c r="G2328">
        <v>11131</v>
      </c>
      <c r="H2328" s="106"/>
      <c r="I2328" s="106"/>
      <c r="L2328" s="143">
        <v>45434</v>
      </c>
      <c r="M2328" s="106">
        <v>1269.75</v>
      </c>
      <c r="N2328" s="106">
        <v>1304.95</v>
      </c>
      <c r="O2328" s="106">
        <v>1263.7</v>
      </c>
      <c r="P2328" s="106">
        <v>1298.8499999999999</v>
      </c>
      <c r="Q2328" s="106">
        <v>1269.75</v>
      </c>
      <c r="R2328">
        <v>730897</v>
      </c>
    </row>
    <row r="2329" spans="1:18" x14ac:dyDescent="0.25">
      <c r="A2329" s="143">
        <v>45435</v>
      </c>
      <c r="B2329" s="106">
        <v>1280.9000000000001</v>
      </c>
      <c r="C2329" s="106">
        <v>1278.95</v>
      </c>
      <c r="D2329" s="106">
        <v>1261.8499999999999</v>
      </c>
      <c r="E2329" s="106">
        <v>1276</v>
      </c>
      <c r="F2329" s="106">
        <v>1278.95</v>
      </c>
      <c r="G2329">
        <v>13474</v>
      </c>
      <c r="H2329" s="106"/>
      <c r="I2329" s="106"/>
      <c r="L2329" s="143">
        <v>45435</v>
      </c>
      <c r="M2329" s="106">
        <v>1279.25</v>
      </c>
      <c r="N2329" s="106">
        <v>1282.0999999999999</v>
      </c>
      <c r="O2329" s="106">
        <v>1262.3</v>
      </c>
      <c r="P2329" s="106">
        <v>1275</v>
      </c>
      <c r="Q2329" s="106">
        <v>1279.25</v>
      </c>
      <c r="R2329">
        <v>462881</v>
      </c>
    </row>
    <row r="2330" spans="1:18" x14ac:dyDescent="0.25">
      <c r="A2330" s="143">
        <v>45436</v>
      </c>
      <c r="B2330" s="106">
        <v>1271.6500000000001</v>
      </c>
      <c r="C2330" s="106">
        <v>1260.5</v>
      </c>
      <c r="D2330" s="106">
        <v>1245.0999999999999</v>
      </c>
      <c r="E2330" s="106">
        <v>1255.3499999999999</v>
      </c>
      <c r="F2330" s="106">
        <v>1260.5</v>
      </c>
      <c r="G2330">
        <v>22159</v>
      </c>
      <c r="H2330" s="106"/>
      <c r="I2330" s="106"/>
      <c r="L2330" s="143">
        <v>45436</v>
      </c>
      <c r="M2330" s="106">
        <v>1260.95</v>
      </c>
      <c r="N2330" s="106">
        <v>1272.5999999999999</v>
      </c>
      <c r="O2330" s="106">
        <v>1245</v>
      </c>
      <c r="P2330" s="106">
        <v>1265</v>
      </c>
      <c r="Q2330" s="106">
        <v>1260.95</v>
      </c>
      <c r="R2330">
        <v>1341766</v>
      </c>
    </row>
    <row r="2331" spans="1:18" x14ac:dyDescent="0.25">
      <c r="A2331" s="143">
        <v>45439</v>
      </c>
      <c r="B2331" s="106">
        <v>1274.4000000000001</v>
      </c>
      <c r="C2331" s="106">
        <v>1271.8</v>
      </c>
      <c r="D2331" s="106">
        <v>1255.55</v>
      </c>
      <c r="E2331" s="106">
        <v>1255.55</v>
      </c>
      <c r="F2331" s="106">
        <v>1271.8</v>
      </c>
      <c r="G2331">
        <v>34784</v>
      </c>
      <c r="H2331" s="106"/>
      <c r="I2331" s="106"/>
      <c r="L2331" s="143">
        <v>45439</v>
      </c>
      <c r="M2331" s="106">
        <v>1270</v>
      </c>
      <c r="N2331" s="106">
        <v>1274.95</v>
      </c>
      <c r="O2331" s="106">
        <v>1258</v>
      </c>
      <c r="P2331" s="106">
        <v>1261.95</v>
      </c>
      <c r="Q2331" s="106">
        <v>1270</v>
      </c>
      <c r="R2331">
        <v>1089494</v>
      </c>
    </row>
    <row r="2332" spans="1:18" x14ac:dyDescent="0.25">
      <c r="A2332" s="143">
        <v>45440</v>
      </c>
      <c r="B2332" s="106">
        <v>1275</v>
      </c>
      <c r="C2332" s="106">
        <v>1258.5</v>
      </c>
      <c r="D2332" s="106">
        <v>1251</v>
      </c>
      <c r="E2332" s="106">
        <v>1275</v>
      </c>
      <c r="F2332" s="106">
        <v>1258.5</v>
      </c>
      <c r="G2332">
        <v>22674</v>
      </c>
      <c r="H2332" s="106"/>
      <c r="I2332" s="106"/>
      <c r="L2332" s="143">
        <v>45440</v>
      </c>
      <c r="M2332" s="106">
        <v>1259.7</v>
      </c>
      <c r="N2332" s="106">
        <v>1272.6500000000001</v>
      </c>
      <c r="O2332" s="106">
        <v>1251.5</v>
      </c>
      <c r="P2332" s="106">
        <v>1271.2</v>
      </c>
      <c r="Q2332" s="106">
        <v>1259.7</v>
      </c>
      <c r="R2332">
        <v>1064850</v>
      </c>
    </row>
    <row r="2333" spans="1:18" x14ac:dyDescent="0.25">
      <c r="A2333" s="143">
        <v>45441</v>
      </c>
      <c r="B2333" s="106">
        <v>1269</v>
      </c>
      <c r="C2333" s="106">
        <v>1241.45</v>
      </c>
      <c r="D2333" s="106">
        <v>1236</v>
      </c>
      <c r="E2333" s="106">
        <v>1259.95</v>
      </c>
      <c r="F2333" s="106">
        <v>1241.45</v>
      </c>
      <c r="G2333">
        <v>10894</v>
      </c>
      <c r="H2333" s="106"/>
      <c r="I2333" s="106"/>
      <c r="L2333" s="143">
        <v>45441</v>
      </c>
      <c r="M2333" s="106">
        <v>1240.4000000000001</v>
      </c>
      <c r="N2333" s="106">
        <v>1269.8</v>
      </c>
      <c r="O2333" s="106">
        <v>1235</v>
      </c>
      <c r="P2333" s="106">
        <v>1254.05</v>
      </c>
      <c r="Q2333" s="106">
        <v>1240.4000000000001</v>
      </c>
      <c r="R2333">
        <v>959457</v>
      </c>
    </row>
    <row r="2334" spans="1:18" x14ac:dyDescent="0.25">
      <c r="A2334" s="143">
        <v>45442</v>
      </c>
      <c r="B2334" s="106">
        <v>1245.5999999999999</v>
      </c>
      <c r="C2334" s="106">
        <v>1213.1500000000001</v>
      </c>
      <c r="D2334" s="106">
        <v>1205.55</v>
      </c>
      <c r="E2334" s="106">
        <v>1240.3499999999999</v>
      </c>
      <c r="F2334" s="106">
        <v>1213.1500000000001</v>
      </c>
      <c r="G2334">
        <v>19257</v>
      </c>
      <c r="H2334" s="106"/>
      <c r="I2334" s="106"/>
      <c r="L2334" s="143">
        <v>45442</v>
      </c>
      <c r="M2334" s="106">
        <v>1212.8499999999999</v>
      </c>
      <c r="N2334" s="106">
        <v>1246</v>
      </c>
      <c r="O2334" s="106">
        <v>1205.55</v>
      </c>
      <c r="P2334" s="106">
        <v>1237.5</v>
      </c>
      <c r="Q2334" s="106">
        <v>1212.8499999999999</v>
      </c>
      <c r="R2334">
        <v>902176</v>
      </c>
    </row>
    <row r="2335" spans="1:18" x14ac:dyDescent="0.25">
      <c r="A2335" s="143">
        <v>45443</v>
      </c>
      <c r="B2335" s="106">
        <v>1255.3</v>
      </c>
      <c r="C2335" s="106">
        <v>1239.95</v>
      </c>
      <c r="D2335" s="106">
        <v>1214.55</v>
      </c>
      <c r="E2335" s="106">
        <v>1214.55</v>
      </c>
      <c r="F2335" s="106">
        <v>1239.95</v>
      </c>
      <c r="G2335">
        <v>25562</v>
      </c>
      <c r="H2335" s="106"/>
      <c r="I2335" s="106"/>
      <c r="L2335" s="143">
        <v>45443</v>
      </c>
      <c r="M2335" s="106">
        <v>1241.0999999999999</v>
      </c>
      <c r="N2335" s="106">
        <v>1255.8</v>
      </c>
      <c r="O2335" s="106">
        <v>1214.5999999999999</v>
      </c>
      <c r="P2335" s="106">
        <v>1214.5999999999999</v>
      </c>
      <c r="Q2335" s="106">
        <v>1241.0999999999999</v>
      </c>
      <c r="R2335">
        <v>2733548</v>
      </c>
    </row>
    <row r="2336" spans="1:18" x14ac:dyDescent="0.25">
      <c r="A2336" s="143">
        <v>45446</v>
      </c>
      <c r="B2336" s="106">
        <v>1295</v>
      </c>
      <c r="C2336" s="106">
        <v>1288.1500000000001</v>
      </c>
      <c r="D2336" s="106">
        <v>1264.3499999999999</v>
      </c>
      <c r="E2336" s="106">
        <v>1266.05</v>
      </c>
      <c r="F2336" s="106">
        <v>1288.1500000000001</v>
      </c>
      <c r="G2336">
        <v>20451</v>
      </c>
      <c r="H2336" s="106"/>
      <c r="I2336" s="106"/>
      <c r="L2336" s="143">
        <v>45446</v>
      </c>
      <c r="M2336" s="106">
        <v>1288.6500000000001</v>
      </c>
      <c r="N2336" s="106">
        <v>1294.95</v>
      </c>
      <c r="O2336" s="106">
        <v>1263.8499999999999</v>
      </c>
      <c r="P2336" s="106">
        <v>1270</v>
      </c>
      <c r="Q2336" s="106">
        <v>1288.6500000000001</v>
      </c>
      <c r="R2336">
        <v>1873865</v>
      </c>
    </row>
    <row r="2337" spans="1:18" x14ac:dyDescent="0.25">
      <c r="A2337" s="143">
        <v>45447</v>
      </c>
      <c r="B2337" s="106">
        <v>1308</v>
      </c>
      <c r="C2337" s="106">
        <v>1229.0999999999999</v>
      </c>
      <c r="D2337" s="106">
        <v>1199.95</v>
      </c>
      <c r="E2337" s="106">
        <v>1288.2</v>
      </c>
      <c r="F2337" s="106">
        <v>1229.0999999999999</v>
      </c>
      <c r="G2337">
        <v>47536</v>
      </c>
      <c r="H2337" s="106"/>
      <c r="I2337" s="106"/>
      <c r="L2337" s="143">
        <v>45447</v>
      </c>
      <c r="M2337" s="106">
        <v>1231.4000000000001</v>
      </c>
      <c r="N2337" s="106">
        <v>1308.4000000000001</v>
      </c>
      <c r="O2337" s="106">
        <v>1197.5999999999999</v>
      </c>
      <c r="P2337" s="106">
        <v>1300</v>
      </c>
      <c r="Q2337" s="106">
        <v>1231.4000000000001</v>
      </c>
      <c r="R2337">
        <v>3974437</v>
      </c>
    </row>
    <row r="2338" spans="1:18" x14ac:dyDescent="0.25">
      <c r="A2338" s="143">
        <v>45448</v>
      </c>
      <c r="B2338" s="106">
        <v>1299.1500000000001</v>
      </c>
      <c r="C2338" s="106">
        <v>1289.6500000000001</v>
      </c>
      <c r="D2338" s="106">
        <v>1222</v>
      </c>
      <c r="E2338" s="106">
        <v>1230.9000000000001</v>
      </c>
      <c r="F2338" s="106">
        <v>1289.6500000000001</v>
      </c>
      <c r="G2338">
        <v>12646</v>
      </c>
      <c r="H2338" s="106"/>
      <c r="I2338" s="106"/>
      <c r="L2338" s="143">
        <v>45448</v>
      </c>
      <c r="M2338" s="106">
        <v>1288.5</v>
      </c>
      <c r="N2338" s="106">
        <v>1299.5999999999999</v>
      </c>
      <c r="O2338" s="106">
        <v>1219.8</v>
      </c>
      <c r="P2338" s="106">
        <v>1220</v>
      </c>
      <c r="Q2338" s="106">
        <v>1288.5</v>
      </c>
      <c r="R2338">
        <v>1309669</v>
      </c>
    </row>
    <row r="2339" spans="1:18" x14ac:dyDescent="0.25">
      <c r="A2339" s="143">
        <v>45449</v>
      </c>
      <c r="B2339" s="106">
        <v>1344</v>
      </c>
      <c r="C2339" s="106">
        <v>1334.3</v>
      </c>
      <c r="D2339" s="106">
        <v>1285</v>
      </c>
      <c r="E2339" s="106">
        <v>1298.95</v>
      </c>
      <c r="F2339" s="106">
        <v>1334.3</v>
      </c>
      <c r="G2339">
        <v>62773</v>
      </c>
      <c r="H2339" s="106"/>
      <c r="I2339" s="106"/>
      <c r="L2339" s="143">
        <v>45449</v>
      </c>
      <c r="M2339" s="106">
        <v>1335.7</v>
      </c>
      <c r="N2339" s="106">
        <v>1344</v>
      </c>
      <c r="O2339" s="106">
        <v>1283.8499999999999</v>
      </c>
      <c r="P2339" s="106">
        <v>1288.4000000000001</v>
      </c>
      <c r="Q2339" s="106">
        <v>1335.7</v>
      </c>
      <c r="R2339">
        <v>1742305</v>
      </c>
    </row>
    <row r="2340" spans="1:18" x14ac:dyDescent="0.25">
      <c r="A2340" s="143">
        <v>45450</v>
      </c>
      <c r="B2340" s="106">
        <v>1350</v>
      </c>
      <c r="C2340" s="106">
        <v>1339.15</v>
      </c>
      <c r="D2340" s="106">
        <v>1325.15</v>
      </c>
      <c r="E2340" s="106">
        <v>1350</v>
      </c>
      <c r="F2340" s="106">
        <v>1339.15</v>
      </c>
      <c r="G2340">
        <v>13749</v>
      </c>
      <c r="H2340" s="106"/>
      <c r="I2340" s="106"/>
      <c r="L2340" s="143">
        <v>45450</v>
      </c>
      <c r="M2340" s="106">
        <v>1337.85</v>
      </c>
      <c r="N2340" s="106">
        <v>1351</v>
      </c>
      <c r="O2340" s="106">
        <v>1325.3</v>
      </c>
      <c r="P2340" s="106">
        <v>1350</v>
      </c>
      <c r="Q2340" s="106">
        <v>1337.85</v>
      </c>
      <c r="R2340">
        <v>1065686</v>
      </c>
    </row>
    <row r="2341" spans="1:18" x14ac:dyDescent="0.25">
      <c r="A2341" s="143">
        <v>45453</v>
      </c>
      <c r="B2341" s="106">
        <v>1368.8</v>
      </c>
      <c r="C2341" s="106">
        <v>1358.3</v>
      </c>
      <c r="D2341" s="106">
        <v>1334.3</v>
      </c>
      <c r="E2341" s="106">
        <v>1349</v>
      </c>
      <c r="F2341" s="106">
        <v>1358.3</v>
      </c>
      <c r="G2341">
        <v>33909</v>
      </c>
      <c r="H2341" s="106"/>
      <c r="I2341" s="106"/>
      <c r="L2341" s="143">
        <v>45453</v>
      </c>
      <c r="M2341" s="106">
        <v>1359.95</v>
      </c>
      <c r="N2341" s="106">
        <v>1369</v>
      </c>
      <c r="O2341" s="106">
        <v>1335.3</v>
      </c>
      <c r="P2341" s="106">
        <v>1343</v>
      </c>
      <c r="Q2341" s="106">
        <v>1359.95</v>
      </c>
      <c r="R2341">
        <v>1022484</v>
      </c>
    </row>
    <row r="2342" spans="1:18" x14ac:dyDescent="0.25">
      <c r="A2342" s="143">
        <v>45454</v>
      </c>
      <c r="B2342" s="106">
        <v>1359</v>
      </c>
      <c r="C2342" s="106">
        <v>1331.55</v>
      </c>
      <c r="D2342" s="106">
        <v>1328</v>
      </c>
      <c r="E2342" s="106">
        <v>1358.8</v>
      </c>
      <c r="F2342" s="106">
        <v>1331.55</v>
      </c>
      <c r="G2342">
        <v>11637</v>
      </c>
      <c r="H2342" s="106"/>
      <c r="I2342" s="106"/>
      <c r="L2342" s="143">
        <v>45454</v>
      </c>
      <c r="M2342" s="106">
        <v>1332.3</v>
      </c>
      <c r="N2342" s="106">
        <v>1360.95</v>
      </c>
      <c r="O2342" s="106">
        <v>1326.65</v>
      </c>
      <c r="P2342" s="106">
        <v>1360.95</v>
      </c>
      <c r="Q2342" s="106">
        <v>1332.3</v>
      </c>
      <c r="R2342">
        <v>1135533</v>
      </c>
    </row>
    <row r="2343" spans="1:18" x14ac:dyDescent="0.25">
      <c r="A2343" s="143">
        <v>45455</v>
      </c>
      <c r="B2343" s="106">
        <v>1369</v>
      </c>
      <c r="C2343" s="106">
        <v>1358.7</v>
      </c>
      <c r="D2343" s="106">
        <v>1328.15</v>
      </c>
      <c r="E2343" s="106">
        <v>1349.4</v>
      </c>
      <c r="F2343" s="106">
        <v>1358.7</v>
      </c>
      <c r="G2343">
        <v>14152</v>
      </c>
      <c r="H2343" s="106"/>
      <c r="I2343" s="106"/>
      <c r="L2343" s="143">
        <v>45455</v>
      </c>
      <c r="M2343" s="106">
        <v>1359.05</v>
      </c>
      <c r="N2343" s="106">
        <v>1369.2</v>
      </c>
      <c r="O2343" s="106">
        <v>1328.95</v>
      </c>
      <c r="P2343" s="106">
        <v>1344.7</v>
      </c>
      <c r="Q2343" s="106">
        <v>1359.05</v>
      </c>
      <c r="R2343">
        <v>1060279</v>
      </c>
    </row>
    <row r="2344" spans="1:18" x14ac:dyDescent="0.25">
      <c r="A2344" s="143">
        <v>45456</v>
      </c>
      <c r="B2344" s="106">
        <v>1440.55</v>
      </c>
      <c r="C2344" s="106">
        <v>1436.7</v>
      </c>
      <c r="D2344" s="106">
        <v>1370</v>
      </c>
      <c r="E2344" s="106">
        <v>1379.45</v>
      </c>
      <c r="F2344" s="106">
        <v>1436.7</v>
      </c>
      <c r="G2344">
        <v>109871</v>
      </c>
      <c r="H2344" s="106"/>
      <c r="I2344" s="106"/>
      <c r="L2344" s="143">
        <v>45456</v>
      </c>
      <c r="M2344" s="106">
        <v>1436.1</v>
      </c>
      <c r="N2344" s="106">
        <v>1439.95</v>
      </c>
      <c r="O2344" s="106">
        <v>1365.8</v>
      </c>
      <c r="P2344" s="106">
        <v>1374</v>
      </c>
      <c r="Q2344" s="106">
        <v>1436.1</v>
      </c>
      <c r="R2344">
        <v>4792044</v>
      </c>
    </row>
    <row r="2345" spans="1:18" x14ac:dyDescent="0.25">
      <c r="A2345" s="143">
        <v>45457</v>
      </c>
      <c r="B2345" s="106">
        <v>1455.3</v>
      </c>
      <c r="C2345" s="106">
        <v>1445.8</v>
      </c>
      <c r="D2345" s="106">
        <v>1430.5</v>
      </c>
      <c r="E2345" s="106">
        <v>1436.95</v>
      </c>
      <c r="F2345" s="106">
        <v>1445.8</v>
      </c>
      <c r="G2345">
        <v>68832</v>
      </c>
      <c r="H2345" s="106"/>
      <c r="I2345" s="106"/>
      <c r="L2345" s="143">
        <v>45457</v>
      </c>
      <c r="M2345" s="106">
        <v>1447</v>
      </c>
      <c r="N2345" s="106">
        <v>1455.85</v>
      </c>
      <c r="O2345" s="106">
        <v>1431.05</v>
      </c>
      <c r="P2345" s="106">
        <v>1435</v>
      </c>
      <c r="Q2345" s="106">
        <v>1447</v>
      </c>
      <c r="R2345">
        <v>1636769</v>
      </c>
    </row>
    <row r="2346" spans="1:18" x14ac:dyDescent="0.25">
      <c r="A2346" s="143">
        <v>45461</v>
      </c>
      <c r="B2346" s="106">
        <v>1459.95</v>
      </c>
      <c r="C2346" s="106">
        <v>1455.3</v>
      </c>
      <c r="D2346" s="106">
        <v>1433.95</v>
      </c>
      <c r="E2346" s="106">
        <v>1450.75</v>
      </c>
      <c r="F2346" s="106">
        <v>1455.3</v>
      </c>
      <c r="G2346">
        <v>10379</v>
      </c>
      <c r="H2346" s="106"/>
      <c r="I2346" s="106"/>
      <c r="L2346" s="143">
        <v>45461</v>
      </c>
      <c r="M2346" s="106">
        <v>1454.15</v>
      </c>
      <c r="N2346" s="106">
        <v>1459</v>
      </c>
      <c r="O2346" s="106">
        <v>1434.6</v>
      </c>
      <c r="P2346" s="106">
        <v>1447.05</v>
      </c>
      <c r="Q2346" s="106">
        <v>1454.15</v>
      </c>
      <c r="R2346">
        <v>1278612</v>
      </c>
    </row>
    <row r="2347" spans="1:18" x14ac:dyDescent="0.25">
      <c r="A2347" s="143">
        <v>45462</v>
      </c>
      <c r="B2347" s="106">
        <v>1475.95</v>
      </c>
      <c r="C2347" s="106">
        <v>1450.8</v>
      </c>
      <c r="D2347" s="106">
        <v>1438.85</v>
      </c>
      <c r="E2347" s="106">
        <v>1465.35</v>
      </c>
      <c r="F2347" s="106">
        <v>1450.8</v>
      </c>
      <c r="G2347">
        <v>34357</v>
      </c>
      <c r="H2347" s="106"/>
      <c r="I2347" s="106"/>
      <c r="L2347" s="143">
        <v>45462</v>
      </c>
      <c r="M2347" s="106">
        <v>1450.65</v>
      </c>
      <c r="N2347" s="106">
        <v>1476.2</v>
      </c>
      <c r="O2347" s="106">
        <v>1439.5</v>
      </c>
      <c r="P2347" s="106">
        <v>1461</v>
      </c>
      <c r="Q2347" s="106">
        <v>1450.65</v>
      </c>
      <c r="R2347">
        <v>1474026</v>
      </c>
    </row>
    <row r="2348" spans="1:18" x14ac:dyDescent="0.25">
      <c r="A2348" s="143">
        <v>45463</v>
      </c>
      <c r="B2348" s="106">
        <v>1450.35</v>
      </c>
      <c r="C2348" s="106">
        <v>1438.35</v>
      </c>
      <c r="D2348" s="106">
        <v>1425</v>
      </c>
      <c r="E2348" s="106">
        <v>1448.65</v>
      </c>
      <c r="F2348" s="106">
        <v>1438.35</v>
      </c>
      <c r="G2348">
        <v>28577</v>
      </c>
      <c r="H2348" s="106"/>
      <c r="I2348" s="106"/>
      <c r="L2348" s="143">
        <v>45463</v>
      </c>
      <c r="M2348" s="106">
        <v>1438.7</v>
      </c>
      <c r="N2348" s="106">
        <v>1453</v>
      </c>
      <c r="O2348" s="106">
        <v>1425.5</v>
      </c>
      <c r="P2348" s="106">
        <v>1453</v>
      </c>
      <c r="Q2348" s="106">
        <v>1438.7</v>
      </c>
      <c r="R2348">
        <v>1128520</v>
      </c>
    </row>
    <row r="2349" spans="1:18" x14ac:dyDescent="0.25">
      <c r="A2349" s="143">
        <v>45464</v>
      </c>
      <c r="B2349" s="106">
        <v>1444.8</v>
      </c>
      <c r="C2349" s="106">
        <v>1400.45</v>
      </c>
      <c r="D2349" s="106">
        <v>1395.2</v>
      </c>
      <c r="E2349" s="106">
        <v>1435.6</v>
      </c>
      <c r="F2349" s="106">
        <v>1400.45</v>
      </c>
      <c r="G2349">
        <v>16556</v>
      </c>
      <c r="H2349" s="106"/>
      <c r="I2349" s="106"/>
      <c r="L2349" s="143">
        <v>45464</v>
      </c>
      <c r="M2349" s="106">
        <v>1401.55</v>
      </c>
      <c r="N2349" s="106">
        <v>1448</v>
      </c>
      <c r="O2349" s="106">
        <v>1393.8</v>
      </c>
      <c r="P2349" s="106">
        <v>1438.7</v>
      </c>
      <c r="Q2349" s="106">
        <v>1401.55</v>
      </c>
      <c r="R2349">
        <v>1345648</v>
      </c>
    </row>
    <row r="2350" spans="1:18" x14ac:dyDescent="0.25">
      <c r="A2350" s="143">
        <v>45467</v>
      </c>
      <c r="B2350" s="106">
        <v>1441</v>
      </c>
      <c r="C2350" s="106">
        <v>1434.5</v>
      </c>
      <c r="D2350" s="106">
        <v>1387.25</v>
      </c>
      <c r="E2350" s="106">
        <v>1417</v>
      </c>
      <c r="F2350" s="106">
        <v>1434.5</v>
      </c>
      <c r="G2350">
        <v>16566</v>
      </c>
      <c r="H2350" s="106"/>
      <c r="I2350" s="106"/>
      <c r="L2350" s="143">
        <v>45467</v>
      </c>
      <c r="M2350" s="106">
        <v>1434.75</v>
      </c>
      <c r="N2350" s="106">
        <v>1441.65</v>
      </c>
      <c r="O2350" s="106">
        <v>1386.35</v>
      </c>
      <c r="P2350" s="106">
        <v>1404</v>
      </c>
      <c r="Q2350" s="106">
        <v>1434.75</v>
      </c>
      <c r="R2350">
        <v>925196</v>
      </c>
    </row>
    <row r="2351" spans="1:18" x14ac:dyDescent="0.25">
      <c r="A2351" s="143">
        <v>45468</v>
      </c>
      <c r="B2351" s="106">
        <v>1449.75</v>
      </c>
      <c r="C2351" s="106">
        <v>1432.3</v>
      </c>
      <c r="D2351" s="106">
        <v>1405.35</v>
      </c>
      <c r="E2351" s="106">
        <v>1449.75</v>
      </c>
      <c r="F2351" s="106">
        <v>1432.3</v>
      </c>
      <c r="G2351">
        <v>20598</v>
      </c>
      <c r="H2351" s="106"/>
      <c r="I2351" s="106"/>
      <c r="L2351" s="143">
        <v>45468</v>
      </c>
      <c r="M2351" s="106">
        <v>1431.35</v>
      </c>
      <c r="N2351" s="106">
        <v>1447.15</v>
      </c>
      <c r="O2351" s="106">
        <v>1405.7</v>
      </c>
      <c r="P2351" s="106">
        <v>1442.5</v>
      </c>
      <c r="Q2351" s="106">
        <v>1431.35</v>
      </c>
      <c r="R2351">
        <v>1361328</v>
      </c>
    </row>
    <row r="2352" spans="1:18" x14ac:dyDescent="0.25">
      <c r="A2352" s="143">
        <v>45469</v>
      </c>
      <c r="B2352" s="106">
        <v>1448.5</v>
      </c>
      <c r="C2352" s="106">
        <v>1429.85</v>
      </c>
      <c r="D2352" s="106">
        <v>1421.25</v>
      </c>
      <c r="E2352" s="106">
        <v>1428</v>
      </c>
      <c r="F2352" s="106">
        <v>1429.85</v>
      </c>
      <c r="G2352">
        <v>15679</v>
      </c>
      <c r="H2352" s="106"/>
      <c r="I2352" s="106"/>
      <c r="L2352" s="143">
        <v>45469</v>
      </c>
      <c r="M2352" s="106">
        <v>1430.25</v>
      </c>
      <c r="N2352" s="106">
        <v>1448</v>
      </c>
      <c r="O2352" s="106">
        <v>1420.9</v>
      </c>
      <c r="P2352" s="106">
        <v>1428.25</v>
      </c>
      <c r="Q2352" s="106">
        <v>1430.25</v>
      </c>
      <c r="R2352">
        <v>693449</v>
      </c>
    </row>
    <row r="2353" spans="1:18" x14ac:dyDescent="0.25">
      <c r="A2353" s="143">
        <v>45470</v>
      </c>
      <c r="B2353" s="106">
        <v>1445.9</v>
      </c>
      <c r="C2353" s="106">
        <v>1442.1</v>
      </c>
      <c r="D2353" s="106">
        <v>1414.75</v>
      </c>
      <c r="E2353" s="106">
        <v>1429</v>
      </c>
      <c r="F2353" s="106">
        <v>1442.1</v>
      </c>
      <c r="G2353">
        <v>10758</v>
      </c>
      <c r="H2353" s="106"/>
      <c r="I2353" s="106"/>
      <c r="L2353" s="143">
        <v>45470</v>
      </c>
      <c r="M2353" s="106">
        <v>1438.1</v>
      </c>
      <c r="N2353" s="106">
        <v>1447</v>
      </c>
      <c r="O2353" s="106">
        <v>1414.15</v>
      </c>
      <c r="P2353" s="106">
        <v>1436</v>
      </c>
      <c r="Q2353" s="106">
        <v>1438.1</v>
      </c>
      <c r="R2353">
        <v>691354</v>
      </c>
    </row>
    <row r="2354" spans="1:18" x14ac:dyDescent="0.25">
      <c r="A2354" s="143">
        <v>45471</v>
      </c>
      <c r="B2354" s="106">
        <v>1435.25</v>
      </c>
      <c r="C2354" s="106">
        <v>1422.7</v>
      </c>
      <c r="D2354" s="106">
        <v>1408.55</v>
      </c>
      <c r="E2354" s="106">
        <v>1434</v>
      </c>
      <c r="F2354" s="106">
        <v>1422.7</v>
      </c>
      <c r="G2354">
        <v>30188</v>
      </c>
      <c r="H2354" s="106"/>
      <c r="I2354" s="106"/>
      <c r="L2354" s="143">
        <v>45471</v>
      </c>
      <c r="M2354" s="106">
        <v>1423.5</v>
      </c>
      <c r="N2354" s="106">
        <v>1439.4</v>
      </c>
      <c r="O2354" s="106">
        <v>1409.35</v>
      </c>
      <c r="P2354" s="106">
        <v>1432.75</v>
      </c>
      <c r="Q2354" s="106">
        <v>1423.5</v>
      </c>
      <c r="R2354">
        <v>1498054</v>
      </c>
    </row>
    <row r="2355" spans="1:18" x14ac:dyDescent="0.25">
      <c r="A2355" s="143">
        <v>45474</v>
      </c>
      <c r="B2355" s="106">
        <v>1442.35</v>
      </c>
      <c r="C2355" s="106">
        <v>1434.3</v>
      </c>
      <c r="D2355" s="106">
        <v>1418.35</v>
      </c>
      <c r="E2355" s="106">
        <v>1427.9</v>
      </c>
      <c r="F2355" s="106">
        <v>1434.3</v>
      </c>
      <c r="G2355">
        <v>11866</v>
      </c>
      <c r="H2355" s="106"/>
      <c r="I2355" s="106"/>
      <c r="L2355" s="143">
        <v>45474</v>
      </c>
      <c r="M2355" s="106">
        <v>1434.6</v>
      </c>
      <c r="N2355" s="106">
        <v>1443</v>
      </c>
      <c r="O2355" s="106">
        <v>1415.75</v>
      </c>
      <c r="P2355" s="106">
        <v>1424</v>
      </c>
      <c r="Q2355" s="106">
        <v>1434.6</v>
      </c>
      <c r="R2355">
        <v>505369</v>
      </c>
    </row>
    <row r="2356" spans="1:18" x14ac:dyDescent="0.25">
      <c r="A2356" s="143">
        <v>45475</v>
      </c>
      <c r="B2356" s="106">
        <v>1451.9</v>
      </c>
      <c r="C2356" s="106">
        <v>1399.55</v>
      </c>
      <c r="D2356" s="106">
        <v>1395</v>
      </c>
      <c r="E2356" s="106">
        <v>1451.9</v>
      </c>
      <c r="F2356" s="106">
        <v>1399.55</v>
      </c>
      <c r="G2356">
        <v>14613</v>
      </c>
      <c r="H2356" s="106"/>
      <c r="I2356" s="106"/>
      <c r="L2356" s="143">
        <v>45475</v>
      </c>
      <c r="M2356" s="106">
        <v>1400.25</v>
      </c>
      <c r="N2356" s="106">
        <v>1450</v>
      </c>
      <c r="O2356" s="106">
        <v>1394</v>
      </c>
      <c r="P2356" s="106">
        <v>1446</v>
      </c>
      <c r="Q2356" s="106">
        <v>1400.25</v>
      </c>
      <c r="R2356">
        <v>1518931</v>
      </c>
    </row>
    <row r="2357" spans="1:18" x14ac:dyDescent="0.25">
      <c r="A2357" s="143">
        <v>45476</v>
      </c>
      <c r="B2357" s="106">
        <v>1440.5</v>
      </c>
      <c r="C2357" s="106">
        <v>1433.9</v>
      </c>
      <c r="D2357" s="106">
        <v>1400.5</v>
      </c>
      <c r="E2357" s="106">
        <v>1400.5</v>
      </c>
      <c r="F2357" s="106">
        <v>1433.9</v>
      </c>
      <c r="G2357">
        <v>16612</v>
      </c>
      <c r="H2357" s="106"/>
      <c r="I2357" s="106"/>
      <c r="L2357" s="143">
        <v>45476</v>
      </c>
      <c r="M2357" s="106">
        <v>1435.3</v>
      </c>
      <c r="N2357" s="106">
        <v>1441.85</v>
      </c>
      <c r="O2357" s="106">
        <v>1400</v>
      </c>
      <c r="P2357" s="106">
        <v>1410.25</v>
      </c>
      <c r="Q2357" s="106">
        <v>1435.3</v>
      </c>
      <c r="R2357">
        <v>525587</v>
      </c>
    </row>
    <row r="2358" spans="1:18" x14ac:dyDescent="0.25">
      <c r="A2358" s="143">
        <v>45477</v>
      </c>
      <c r="B2358" s="106">
        <v>1446.5</v>
      </c>
      <c r="C2358" s="106">
        <v>1422</v>
      </c>
      <c r="D2358" s="106">
        <v>1418.9</v>
      </c>
      <c r="E2358" s="106">
        <v>1440</v>
      </c>
      <c r="F2358" s="106">
        <v>1422</v>
      </c>
      <c r="G2358">
        <v>7266</v>
      </c>
      <c r="H2358" s="106"/>
      <c r="I2358" s="106"/>
      <c r="L2358" s="143">
        <v>45477</v>
      </c>
      <c r="M2358" s="106">
        <v>1421.7</v>
      </c>
      <c r="N2358" s="106">
        <v>1443</v>
      </c>
      <c r="O2358" s="106">
        <v>1418.5</v>
      </c>
      <c r="P2358" s="106">
        <v>1443</v>
      </c>
      <c r="Q2358" s="106">
        <v>1421.7</v>
      </c>
      <c r="R2358">
        <v>434055</v>
      </c>
    </row>
    <row r="2359" spans="1:18" x14ac:dyDescent="0.25">
      <c r="A2359" s="143">
        <v>45478</v>
      </c>
      <c r="B2359" s="106">
        <v>1435</v>
      </c>
      <c r="C2359" s="106">
        <v>1431.6</v>
      </c>
      <c r="D2359" s="106">
        <v>1409.1</v>
      </c>
      <c r="E2359" s="106">
        <v>1422.5</v>
      </c>
      <c r="F2359" s="106">
        <v>1431.6</v>
      </c>
      <c r="G2359">
        <v>16386</v>
      </c>
      <c r="H2359" s="106"/>
      <c r="I2359" s="106"/>
      <c r="L2359" s="143">
        <v>45478</v>
      </c>
      <c r="M2359" s="106">
        <v>1431.6</v>
      </c>
      <c r="N2359" s="106">
        <v>1435.8</v>
      </c>
      <c r="O2359" s="106">
        <v>1409</v>
      </c>
      <c r="P2359" s="106">
        <v>1425.8</v>
      </c>
      <c r="Q2359" s="106">
        <v>1431.6</v>
      </c>
      <c r="R2359">
        <v>514803</v>
      </c>
    </row>
    <row r="2360" spans="1:18" x14ac:dyDescent="0.25">
      <c r="A2360" s="143">
        <v>45481</v>
      </c>
      <c r="B2360" s="106">
        <v>1432.6</v>
      </c>
      <c r="C2360" s="106">
        <v>1414.2</v>
      </c>
      <c r="D2360" s="106">
        <v>1394.75</v>
      </c>
      <c r="E2360" s="106">
        <v>1431.65</v>
      </c>
      <c r="F2360" s="106">
        <v>1414.2</v>
      </c>
      <c r="G2360">
        <v>24001</v>
      </c>
      <c r="H2360" s="106"/>
      <c r="I2360" s="106"/>
      <c r="L2360" s="143">
        <v>45481</v>
      </c>
      <c r="M2360" s="106">
        <v>1412.15</v>
      </c>
      <c r="N2360" s="106">
        <v>1433.05</v>
      </c>
      <c r="O2360" s="106">
        <v>1395</v>
      </c>
      <c r="P2360" s="106">
        <v>1433.05</v>
      </c>
      <c r="Q2360" s="106">
        <v>1412.15</v>
      </c>
      <c r="R2360">
        <v>572499</v>
      </c>
    </row>
    <row r="2361" spans="1:18" x14ac:dyDescent="0.25">
      <c r="A2361" s="143">
        <v>45482</v>
      </c>
      <c r="B2361" s="106">
        <v>1425</v>
      </c>
      <c r="C2361" s="106">
        <v>1403.65</v>
      </c>
      <c r="D2361" s="106">
        <v>1401</v>
      </c>
      <c r="E2361" s="106">
        <v>1425</v>
      </c>
      <c r="F2361" s="106">
        <v>1403.65</v>
      </c>
      <c r="G2361">
        <v>12055</v>
      </c>
      <c r="H2361" s="106"/>
      <c r="I2361" s="106"/>
      <c r="L2361" s="143">
        <v>45482</v>
      </c>
      <c r="M2361" s="106">
        <v>1403.5</v>
      </c>
      <c r="N2361" s="106">
        <v>1425</v>
      </c>
      <c r="O2361" s="106">
        <v>1400.35</v>
      </c>
      <c r="P2361" s="106">
        <v>1420.5</v>
      </c>
      <c r="Q2361" s="106">
        <v>1403.5</v>
      </c>
      <c r="R2361">
        <v>673844</v>
      </c>
    </row>
    <row r="2362" spans="1:18" x14ac:dyDescent="0.25">
      <c r="A2362" s="143">
        <v>45483</v>
      </c>
      <c r="B2362" s="106">
        <v>1423.15</v>
      </c>
      <c r="C2362" s="106">
        <v>1420.2</v>
      </c>
      <c r="D2362" s="106">
        <v>1389.8</v>
      </c>
      <c r="E2362" s="106">
        <v>1410.8</v>
      </c>
      <c r="F2362" s="106">
        <v>1420.2</v>
      </c>
      <c r="G2362">
        <v>20274</v>
      </c>
      <c r="H2362" s="106"/>
      <c r="I2362" s="106"/>
      <c r="L2362" s="143">
        <v>45483</v>
      </c>
      <c r="M2362" s="106">
        <v>1421.05</v>
      </c>
      <c r="N2362" s="106">
        <v>1423.6</v>
      </c>
      <c r="O2362" s="106">
        <v>1390</v>
      </c>
      <c r="P2362" s="106">
        <v>1413.8</v>
      </c>
      <c r="Q2362" s="106">
        <v>1421.05</v>
      </c>
      <c r="R2362">
        <v>912911</v>
      </c>
    </row>
    <row r="2363" spans="1:18" x14ac:dyDescent="0.25">
      <c r="A2363" s="143">
        <v>45484</v>
      </c>
      <c r="B2363" s="106">
        <v>1432.45</v>
      </c>
      <c r="C2363" s="106">
        <v>1405.7</v>
      </c>
      <c r="D2363" s="106">
        <v>1401.8</v>
      </c>
      <c r="E2363" s="106">
        <v>1420.2</v>
      </c>
      <c r="F2363" s="106">
        <v>1405.7</v>
      </c>
      <c r="G2363">
        <v>8945</v>
      </c>
      <c r="H2363" s="106"/>
      <c r="I2363" s="106"/>
      <c r="L2363" s="143">
        <v>45484</v>
      </c>
      <c r="M2363" s="106">
        <v>1404.8</v>
      </c>
      <c r="N2363" s="106">
        <v>1433</v>
      </c>
      <c r="O2363" s="106">
        <v>1402.2</v>
      </c>
      <c r="P2363" s="106">
        <v>1425.9</v>
      </c>
      <c r="Q2363" s="106">
        <v>1404.8</v>
      </c>
      <c r="R2363">
        <v>2560438</v>
      </c>
    </row>
    <row r="2364" spans="1:18" x14ac:dyDescent="0.25">
      <c r="A2364" s="143">
        <v>45485</v>
      </c>
      <c r="B2364" s="106">
        <v>1429.8</v>
      </c>
      <c r="C2364" s="106">
        <v>1380.45</v>
      </c>
      <c r="D2364" s="106">
        <v>1378</v>
      </c>
      <c r="E2364" s="106">
        <v>1404.9</v>
      </c>
      <c r="F2364" s="106">
        <v>1380.45</v>
      </c>
      <c r="G2364">
        <v>24308</v>
      </c>
      <c r="H2364" s="106"/>
      <c r="I2364" s="106"/>
      <c r="L2364" s="143">
        <v>45485</v>
      </c>
      <c r="M2364" s="106">
        <v>1380.7</v>
      </c>
      <c r="N2364" s="106">
        <v>1429.85</v>
      </c>
      <c r="O2364" s="106">
        <v>1377.75</v>
      </c>
      <c r="P2364" s="106">
        <v>1408</v>
      </c>
      <c r="Q2364" s="106">
        <v>1380.7</v>
      </c>
      <c r="R2364">
        <v>1083813</v>
      </c>
    </row>
    <row r="2365" spans="1:18" x14ac:dyDescent="0.25">
      <c r="A2365" s="143">
        <v>45488</v>
      </c>
      <c r="B2365" s="106">
        <v>1419.8</v>
      </c>
      <c r="C2365" s="106">
        <v>1413.45</v>
      </c>
      <c r="D2365" s="106">
        <v>1373.8</v>
      </c>
      <c r="E2365" s="106">
        <v>1384.95</v>
      </c>
      <c r="F2365" s="106">
        <v>1413.45</v>
      </c>
      <c r="G2365">
        <v>8682</v>
      </c>
      <c r="H2365" s="106"/>
      <c r="I2365" s="106"/>
      <c r="L2365" s="143">
        <v>45488</v>
      </c>
      <c r="M2365" s="106">
        <v>1413.5</v>
      </c>
      <c r="N2365" s="106">
        <v>1419.8</v>
      </c>
      <c r="O2365" s="106">
        <v>1373.9</v>
      </c>
      <c r="P2365" s="106">
        <v>1382</v>
      </c>
      <c r="Q2365" s="106">
        <v>1413.5</v>
      </c>
      <c r="R2365">
        <v>1077931</v>
      </c>
    </row>
    <row r="2366" spans="1:18" x14ac:dyDescent="0.25">
      <c r="A2366" s="143">
        <v>45489</v>
      </c>
      <c r="B2366" s="106">
        <v>1431.3</v>
      </c>
      <c r="C2366" s="106">
        <v>1410.3</v>
      </c>
      <c r="D2366" s="106">
        <v>1401.05</v>
      </c>
      <c r="E2366" s="106">
        <v>1413.45</v>
      </c>
      <c r="F2366" s="106">
        <v>1410.3</v>
      </c>
      <c r="G2366">
        <v>8551</v>
      </c>
      <c r="H2366" s="106"/>
      <c r="I2366" s="106"/>
      <c r="L2366" s="143">
        <v>45489</v>
      </c>
      <c r="M2366" s="106">
        <v>1408.2</v>
      </c>
      <c r="N2366" s="106">
        <v>1432.95</v>
      </c>
      <c r="O2366" s="106">
        <v>1400.5</v>
      </c>
      <c r="P2366" s="106">
        <v>1418.9</v>
      </c>
      <c r="Q2366" s="106">
        <v>1408.2</v>
      </c>
      <c r="R2366">
        <v>839363</v>
      </c>
    </row>
    <row r="2367" spans="1:18" x14ac:dyDescent="0.25">
      <c r="A2367" s="143">
        <v>45491</v>
      </c>
      <c r="B2367" s="106">
        <v>1454.3</v>
      </c>
      <c r="C2367" s="106">
        <v>1449.15</v>
      </c>
      <c r="D2367" s="106">
        <v>1398.7</v>
      </c>
      <c r="E2367" s="106">
        <v>1410.25</v>
      </c>
      <c r="F2367" s="106">
        <v>1449.15</v>
      </c>
      <c r="G2367">
        <v>56617</v>
      </c>
      <c r="H2367" s="106"/>
      <c r="I2367" s="106"/>
      <c r="L2367" s="143">
        <v>45491</v>
      </c>
      <c r="M2367" s="106">
        <v>1449.85</v>
      </c>
      <c r="N2367" s="106">
        <v>1454.45</v>
      </c>
      <c r="O2367" s="106">
        <v>1398.95</v>
      </c>
      <c r="P2367" s="106">
        <v>1408</v>
      </c>
      <c r="Q2367" s="106">
        <v>1449.85</v>
      </c>
      <c r="R2367">
        <v>1576176</v>
      </c>
    </row>
    <row r="2368" spans="1:18" x14ac:dyDescent="0.25">
      <c r="A2368" s="143">
        <v>45492</v>
      </c>
      <c r="B2368" s="106">
        <v>1457.9</v>
      </c>
      <c r="C2368" s="106">
        <v>1426.6</v>
      </c>
      <c r="D2368" s="106">
        <v>1421.9</v>
      </c>
      <c r="E2368" s="106">
        <v>1457.9</v>
      </c>
      <c r="F2368" s="106">
        <v>1426.6</v>
      </c>
      <c r="G2368">
        <v>11849</v>
      </c>
      <c r="H2368" s="106"/>
      <c r="I2368" s="106"/>
      <c r="L2368" s="143">
        <v>45492</v>
      </c>
      <c r="M2368" s="106">
        <v>1426.7</v>
      </c>
      <c r="N2368" s="106">
        <v>1456.85</v>
      </c>
      <c r="O2368" s="106">
        <v>1421.3</v>
      </c>
      <c r="P2368" s="106">
        <v>1454</v>
      </c>
      <c r="Q2368" s="106">
        <v>1426.7</v>
      </c>
      <c r="R2368">
        <v>853356</v>
      </c>
    </row>
    <row r="2369" spans="1:18" x14ac:dyDescent="0.25">
      <c r="A2369" s="143">
        <v>45495</v>
      </c>
      <c r="B2369" s="106">
        <v>1424.5</v>
      </c>
      <c r="C2369" s="106">
        <v>1402.15</v>
      </c>
      <c r="D2369" s="106">
        <v>1391</v>
      </c>
      <c r="E2369" s="106">
        <v>1404.05</v>
      </c>
      <c r="F2369" s="106">
        <v>1402.15</v>
      </c>
      <c r="G2369">
        <v>11174</v>
      </c>
      <c r="H2369" s="106"/>
      <c r="I2369" s="106"/>
      <c r="L2369" s="143">
        <v>45495</v>
      </c>
      <c r="M2369" s="106">
        <v>1403.35</v>
      </c>
      <c r="N2369" s="106">
        <v>1425.9</v>
      </c>
      <c r="O2369" s="106">
        <v>1390</v>
      </c>
      <c r="P2369" s="106">
        <v>1408.9</v>
      </c>
      <c r="Q2369" s="106">
        <v>1403.35</v>
      </c>
      <c r="R2369">
        <v>1022226</v>
      </c>
    </row>
    <row r="2370" spans="1:18" x14ac:dyDescent="0.25">
      <c r="A2370" s="143">
        <v>45496</v>
      </c>
      <c r="B2370" s="106">
        <v>1426</v>
      </c>
      <c r="C2370" s="106">
        <v>1396.55</v>
      </c>
      <c r="D2370" s="106">
        <v>1365</v>
      </c>
      <c r="E2370" s="106">
        <v>1402.2</v>
      </c>
      <c r="F2370" s="106">
        <v>1396.55</v>
      </c>
      <c r="G2370">
        <v>13871</v>
      </c>
      <c r="H2370" s="106"/>
      <c r="I2370" s="106"/>
      <c r="L2370" s="143">
        <v>45496</v>
      </c>
      <c r="M2370" s="106">
        <v>1395.65</v>
      </c>
      <c r="N2370" s="106">
        <v>1426.65</v>
      </c>
      <c r="O2370" s="106">
        <v>1363.05</v>
      </c>
      <c r="P2370" s="106">
        <v>1414</v>
      </c>
      <c r="Q2370" s="106">
        <v>1395.65</v>
      </c>
      <c r="R2370">
        <v>1473643</v>
      </c>
    </row>
    <row r="2371" spans="1:18" x14ac:dyDescent="0.25">
      <c r="A2371" s="143">
        <v>45497</v>
      </c>
      <c r="B2371" s="106">
        <v>1420.9</v>
      </c>
      <c r="C2371" s="106">
        <v>1388.95</v>
      </c>
      <c r="D2371" s="106">
        <v>1383.05</v>
      </c>
      <c r="E2371" s="106">
        <v>1406.15</v>
      </c>
      <c r="F2371" s="106">
        <v>1388.95</v>
      </c>
      <c r="G2371">
        <v>9761</v>
      </c>
      <c r="H2371" s="106"/>
      <c r="I2371" s="106"/>
      <c r="L2371" s="143">
        <v>45497</v>
      </c>
      <c r="M2371" s="106">
        <v>1388.9</v>
      </c>
      <c r="N2371" s="106">
        <v>1421.7</v>
      </c>
      <c r="O2371" s="106">
        <v>1382.7</v>
      </c>
      <c r="P2371" s="106">
        <v>1395.8</v>
      </c>
      <c r="Q2371" s="106">
        <v>1388.9</v>
      </c>
      <c r="R2371">
        <v>815472</v>
      </c>
    </row>
    <row r="2372" spans="1:18" x14ac:dyDescent="0.25">
      <c r="A2372" s="143">
        <v>45498</v>
      </c>
      <c r="B2372" s="106">
        <v>1379.65</v>
      </c>
      <c r="C2372" s="106">
        <v>1364.65</v>
      </c>
      <c r="D2372" s="106">
        <v>1342.4</v>
      </c>
      <c r="E2372" s="106">
        <v>1379.45</v>
      </c>
      <c r="F2372" s="106">
        <v>1364.65</v>
      </c>
      <c r="G2372">
        <v>26958</v>
      </c>
      <c r="H2372" s="106"/>
      <c r="I2372" s="106"/>
      <c r="L2372" s="143">
        <v>45498</v>
      </c>
      <c r="M2372" s="106">
        <v>1363.65</v>
      </c>
      <c r="N2372" s="106">
        <v>1385</v>
      </c>
      <c r="O2372" s="106">
        <v>1341.55</v>
      </c>
      <c r="P2372" s="106">
        <v>1381.35</v>
      </c>
      <c r="Q2372" s="106">
        <v>1363.65</v>
      </c>
      <c r="R2372">
        <v>1301367</v>
      </c>
    </row>
    <row r="2373" spans="1:18" x14ac:dyDescent="0.25">
      <c r="A2373" s="143">
        <v>45499</v>
      </c>
      <c r="B2373" s="106">
        <v>1437.65</v>
      </c>
      <c r="C2373" s="106">
        <v>1411</v>
      </c>
      <c r="D2373" s="106">
        <v>1352.05</v>
      </c>
      <c r="E2373" s="106">
        <v>1352.05</v>
      </c>
      <c r="F2373" s="106">
        <v>1411</v>
      </c>
      <c r="G2373">
        <v>107153</v>
      </c>
      <c r="H2373" s="106"/>
      <c r="I2373" s="106"/>
      <c r="L2373" s="143">
        <v>45499</v>
      </c>
      <c r="M2373" s="106">
        <v>1410.95</v>
      </c>
      <c r="N2373" s="106">
        <v>1437.15</v>
      </c>
      <c r="O2373" s="106">
        <v>1351.95</v>
      </c>
      <c r="P2373" s="106">
        <v>1364</v>
      </c>
      <c r="Q2373" s="106">
        <v>1410.95</v>
      </c>
      <c r="R2373">
        <v>2239763</v>
      </c>
    </row>
    <row r="2374" spans="1:18" x14ac:dyDescent="0.25">
      <c r="A2374" s="143">
        <v>45502</v>
      </c>
      <c r="B2374" s="106">
        <v>1476.9</v>
      </c>
      <c r="C2374" s="106">
        <v>1431.95</v>
      </c>
      <c r="D2374" s="106">
        <v>1365</v>
      </c>
      <c r="E2374" s="106">
        <v>1419.95</v>
      </c>
      <c r="F2374" s="106">
        <v>1431.95</v>
      </c>
      <c r="G2374">
        <v>142678</v>
      </c>
      <c r="H2374" s="106"/>
      <c r="I2374" s="106"/>
      <c r="L2374" s="143">
        <v>45502</v>
      </c>
      <c r="M2374" s="106">
        <v>1433.4</v>
      </c>
      <c r="N2374" s="106">
        <v>1477</v>
      </c>
      <c r="O2374" s="106">
        <v>1364.1</v>
      </c>
      <c r="P2374" s="106">
        <v>1415</v>
      </c>
      <c r="Q2374" s="106">
        <v>1433.4</v>
      </c>
      <c r="R2374">
        <v>4102496</v>
      </c>
    </row>
    <row r="2375" spans="1:18" x14ac:dyDescent="0.25">
      <c r="A2375" s="143">
        <v>45503</v>
      </c>
      <c r="B2375" s="106">
        <v>1445.5</v>
      </c>
      <c r="C2375" s="106">
        <v>1418.05</v>
      </c>
      <c r="D2375" s="106">
        <v>1394.95</v>
      </c>
      <c r="E2375" s="106">
        <v>1431</v>
      </c>
      <c r="F2375" s="106">
        <v>1418.05</v>
      </c>
      <c r="G2375">
        <v>47715</v>
      </c>
      <c r="H2375" s="106"/>
      <c r="I2375" s="106"/>
      <c r="L2375" s="143">
        <v>45503</v>
      </c>
      <c r="M2375" s="106">
        <v>1417.85</v>
      </c>
      <c r="N2375" s="106">
        <v>1445.8</v>
      </c>
      <c r="O2375" s="106">
        <v>1393.2</v>
      </c>
      <c r="P2375" s="106">
        <v>1432.85</v>
      </c>
      <c r="Q2375" s="106">
        <v>1417.85</v>
      </c>
      <c r="R2375">
        <v>2768717</v>
      </c>
    </row>
    <row r="2376" spans="1:18" x14ac:dyDescent="0.25">
      <c r="A2376" s="143">
        <v>45504</v>
      </c>
      <c r="B2376" s="106">
        <v>1440.7</v>
      </c>
      <c r="C2376" s="106">
        <v>1416.1</v>
      </c>
      <c r="D2376" s="106">
        <v>1410.75</v>
      </c>
      <c r="E2376" s="106">
        <v>1418.5</v>
      </c>
      <c r="F2376" s="106">
        <v>1416.1</v>
      </c>
      <c r="G2376">
        <v>21515</v>
      </c>
      <c r="H2376" s="106"/>
      <c r="I2376" s="106"/>
      <c r="L2376" s="143">
        <v>45504</v>
      </c>
      <c r="M2376" s="106">
        <v>1416.6</v>
      </c>
      <c r="N2376" s="106">
        <v>1440.85</v>
      </c>
      <c r="O2376" s="106">
        <v>1409.85</v>
      </c>
      <c r="P2376" s="106">
        <v>1416.8</v>
      </c>
      <c r="Q2376" s="106">
        <v>1416.6</v>
      </c>
      <c r="R2376">
        <v>1184730</v>
      </c>
    </row>
    <row r="2377" spans="1:18" x14ac:dyDescent="0.25">
      <c r="A2377" s="143">
        <v>45505</v>
      </c>
      <c r="B2377" s="106">
        <v>1441.9</v>
      </c>
      <c r="C2377" s="106">
        <v>1391.2</v>
      </c>
      <c r="D2377" s="106">
        <v>1382.6</v>
      </c>
      <c r="E2377" s="106">
        <v>1418</v>
      </c>
      <c r="F2377" s="106">
        <v>1391.2</v>
      </c>
      <c r="G2377">
        <v>20655</v>
      </c>
      <c r="H2377" s="106"/>
      <c r="I2377" s="106"/>
      <c r="L2377" s="143">
        <v>45505</v>
      </c>
      <c r="M2377" s="106">
        <v>1390.65</v>
      </c>
      <c r="N2377" s="106">
        <v>1442.5</v>
      </c>
      <c r="O2377" s="106">
        <v>1382.2</v>
      </c>
      <c r="P2377" s="106">
        <v>1418.5</v>
      </c>
      <c r="Q2377" s="106">
        <v>1390.65</v>
      </c>
      <c r="R2377">
        <v>1234681</v>
      </c>
    </row>
    <row r="2378" spans="1:18" x14ac:dyDescent="0.25">
      <c r="A2378" s="143">
        <v>45506</v>
      </c>
      <c r="B2378" s="106">
        <v>1410</v>
      </c>
      <c r="C2378" s="106">
        <v>1385.65</v>
      </c>
      <c r="D2378" s="106">
        <v>1370</v>
      </c>
      <c r="E2378" s="106">
        <v>1390.6</v>
      </c>
      <c r="F2378" s="106">
        <v>1385.65</v>
      </c>
      <c r="G2378">
        <v>26342</v>
      </c>
      <c r="H2378" s="106"/>
      <c r="I2378" s="106"/>
      <c r="L2378" s="143">
        <v>45506</v>
      </c>
      <c r="M2378" s="106">
        <v>1385.1</v>
      </c>
      <c r="N2378" s="106">
        <v>1409.95</v>
      </c>
      <c r="O2378" s="106">
        <v>1368.75</v>
      </c>
      <c r="P2378" s="106">
        <v>1381</v>
      </c>
      <c r="Q2378" s="106">
        <v>1385.1</v>
      </c>
      <c r="R2378">
        <v>730113</v>
      </c>
    </row>
    <row r="2379" spans="1:18" x14ac:dyDescent="0.25">
      <c r="A2379" s="143">
        <v>45509</v>
      </c>
      <c r="B2379" s="106">
        <v>1386.65</v>
      </c>
      <c r="C2379" s="106">
        <v>1345.9</v>
      </c>
      <c r="D2379" s="106">
        <v>1329.6</v>
      </c>
      <c r="E2379" s="106">
        <v>1357.95</v>
      </c>
      <c r="F2379" s="106">
        <v>1345.9</v>
      </c>
      <c r="G2379">
        <v>41250</v>
      </c>
      <c r="H2379" s="106"/>
      <c r="I2379" s="106"/>
      <c r="L2379" s="143">
        <v>45509</v>
      </c>
      <c r="M2379" s="106">
        <v>1346.85</v>
      </c>
      <c r="N2379" s="106">
        <v>1388.9</v>
      </c>
      <c r="O2379" s="106">
        <v>1329.05</v>
      </c>
      <c r="P2379" s="106">
        <v>1370</v>
      </c>
      <c r="Q2379" s="106">
        <v>1346.85</v>
      </c>
      <c r="R2379">
        <v>2242211</v>
      </c>
    </row>
    <row r="2380" spans="1:18" x14ac:dyDescent="0.25">
      <c r="A2380" s="143">
        <v>45510</v>
      </c>
      <c r="B2380" s="106">
        <v>1380.9</v>
      </c>
      <c r="C2380" s="106">
        <v>1334.2</v>
      </c>
      <c r="D2380" s="106">
        <v>1331.15</v>
      </c>
      <c r="E2380" s="106">
        <v>1361.05</v>
      </c>
      <c r="F2380" s="106">
        <v>1334.2</v>
      </c>
      <c r="G2380">
        <v>7727</v>
      </c>
      <c r="H2380" s="106"/>
      <c r="I2380" s="106"/>
      <c r="L2380" s="143">
        <v>45510</v>
      </c>
      <c r="M2380" s="106">
        <v>1335.35</v>
      </c>
      <c r="N2380" s="106">
        <v>1383.6</v>
      </c>
      <c r="O2380" s="106">
        <v>1330.35</v>
      </c>
      <c r="P2380" s="106">
        <v>1355</v>
      </c>
      <c r="Q2380" s="106">
        <v>1335.35</v>
      </c>
      <c r="R2380">
        <v>1039991</v>
      </c>
    </row>
    <row r="2381" spans="1:18" x14ac:dyDescent="0.25">
      <c r="A2381" s="143">
        <v>45511</v>
      </c>
      <c r="B2381" s="106">
        <v>1384.2</v>
      </c>
      <c r="C2381" s="106">
        <v>1379</v>
      </c>
      <c r="D2381" s="106">
        <v>1342.1</v>
      </c>
      <c r="E2381" s="106">
        <v>1342.1</v>
      </c>
      <c r="F2381" s="106">
        <v>1379</v>
      </c>
      <c r="G2381">
        <v>11710</v>
      </c>
      <c r="H2381" s="106"/>
      <c r="I2381" s="106"/>
      <c r="L2381" s="143">
        <v>45511</v>
      </c>
      <c r="M2381" s="106">
        <v>1377.7</v>
      </c>
      <c r="N2381" s="106">
        <v>1385.5</v>
      </c>
      <c r="O2381" s="106">
        <v>1348.3</v>
      </c>
      <c r="P2381" s="106">
        <v>1352</v>
      </c>
      <c r="Q2381" s="106">
        <v>1377.7</v>
      </c>
      <c r="R2381">
        <v>1278447</v>
      </c>
    </row>
    <row r="2382" spans="1:18" x14ac:dyDescent="0.25">
      <c r="A2382" s="143">
        <v>45512</v>
      </c>
      <c r="B2382" s="106">
        <v>1382.7</v>
      </c>
      <c r="C2382" s="106">
        <v>1349.8</v>
      </c>
      <c r="D2382" s="106">
        <v>1346.4</v>
      </c>
      <c r="E2382" s="106">
        <v>1380.5</v>
      </c>
      <c r="F2382" s="106">
        <v>1349.8</v>
      </c>
      <c r="G2382">
        <v>15258</v>
      </c>
      <c r="H2382" s="106"/>
      <c r="I2382" s="106"/>
      <c r="L2382" s="143">
        <v>45512</v>
      </c>
      <c r="M2382" s="106">
        <v>1350.25</v>
      </c>
      <c r="N2382" s="106">
        <v>1386.45</v>
      </c>
      <c r="O2382" s="106">
        <v>1346.05</v>
      </c>
      <c r="P2382" s="106">
        <v>1382</v>
      </c>
      <c r="Q2382" s="106">
        <v>1350.25</v>
      </c>
      <c r="R2382">
        <v>451732</v>
      </c>
    </row>
    <row r="2383" spans="1:18" x14ac:dyDescent="0.25">
      <c r="A2383" s="143">
        <v>45513</v>
      </c>
      <c r="B2383" s="106">
        <v>1365.25</v>
      </c>
      <c r="C2383" s="106">
        <v>1349.65</v>
      </c>
      <c r="D2383" s="106">
        <v>1336.5</v>
      </c>
      <c r="E2383" s="106">
        <v>1349.8</v>
      </c>
      <c r="F2383" s="106">
        <v>1349.65</v>
      </c>
      <c r="G2383">
        <v>8926</v>
      </c>
      <c r="H2383" s="106"/>
      <c r="I2383" s="106"/>
      <c r="L2383" s="143">
        <v>45513</v>
      </c>
      <c r="M2383" s="106">
        <v>1348.65</v>
      </c>
      <c r="N2383" s="106">
        <v>1374.9</v>
      </c>
      <c r="O2383" s="106">
        <v>1337.1</v>
      </c>
      <c r="P2383" s="106">
        <v>1368</v>
      </c>
      <c r="Q2383" s="106">
        <v>1348.65</v>
      </c>
      <c r="R2383">
        <v>656951</v>
      </c>
    </row>
    <row r="2384" spans="1:18" x14ac:dyDescent="0.25">
      <c r="A2384" s="143">
        <v>45516</v>
      </c>
      <c r="B2384" s="106">
        <v>1353.4</v>
      </c>
      <c r="C2384" s="106">
        <v>1348.6</v>
      </c>
      <c r="D2384" s="106">
        <v>1334</v>
      </c>
      <c r="E2384" s="106">
        <v>1335</v>
      </c>
      <c r="F2384" s="106">
        <v>1348.6</v>
      </c>
      <c r="G2384">
        <v>12968</v>
      </c>
      <c r="H2384" s="106"/>
      <c r="I2384" s="106"/>
      <c r="L2384" s="143">
        <v>45516</v>
      </c>
      <c r="M2384" s="106">
        <v>1348.75</v>
      </c>
      <c r="N2384" s="106">
        <v>1353.95</v>
      </c>
      <c r="O2384" s="106">
        <v>1332.85</v>
      </c>
      <c r="P2384" s="106">
        <v>1340</v>
      </c>
      <c r="Q2384" s="106">
        <v>1348.75</v>
      </c>
      <c r="R2384">
        <v>601506</v>
      </c>
    </row>
    <row r="2385" spans="1:18" x14ac:dyDescent="0.25">
      <c r="A2385" s="143">
        <v>45517</v>
      </c>
      <c r="B2385" s="106">
        <v>1364</v>
      </c>
      <c r="C2385" s="106">
        <v>1315</v>
      </c>
      <c r="D2385" s="106">
        <v>1303.2</v>
      </c>
      <c r="E2385" s="106">
        <v>1359.35</v>
      </c>
      <c r="F2385" s="106">
        <v>1315</v>
      </c>
      <c r="G2385">
        <v>12086</v>
      </c>
      <c r="H2385" s="106"/>
      <c r="I2385" s="106"/>
      <c r="L2385" s="143">
        <v>45517</v>
      </c>
      <c r="M2385" s="106">
        <v>1314.9</v>
      </c>
      <c r="N2385" s="106">
        <v>1365.95</v>
      </c>
      <c r="O2385" s="106">
        <v>1302.5</v>
      </c>
      <c r="P2385" s="106">
        <v>1358</v>
      </c>
      <c r="Q2385" s="106">
        <v>1314.9</v>
      </c>
      <c r="R2385">
        <v>3186664</v>
      </c>
    </row>
    <row r="2386" spans="1:18" x14ac:dyDescent="0.25">
      <c r="A2386" s="143">
        <v>45518</v>
      </c>
      <c r="B2386" s="106">
        <v>1345.5</v>
      </c>
      <c r="C2386" s="106">
        <v>1343.8</v>
      </c>
      <c r="D2386" s="106">
        <v>1309.75</v>
      </c>
      <c r="E2386" s="106">
        <v>1315.05</v>
      </c>
      <c r="F2386" s="106">
        <v>1343.8</v>
      </c>
      <c r="G2386">
        <v>17376</v>
      </c>
      <c r="H2386" s="106"/>
      <c r="I2386" s="106"/>
      <c r="L2386" s="143">
        <v>45518</v>
      </c>
      <c r="M2386" s="106">
        <v>1344</v>
      </c>
      <c r="N2386" s="106">
        <v>1346.5</v>
      </c>
      <c r="O2386" s="106">
        <v>1309.0999999999999</v>
      </c>
      <c r="P2386" s="106">
        <v>1316.95</v>
      </c>
      <c r="Q2386" s="106">
        <v>1344</v>
      </c>
      <c r="R2386">
        <v>1503161</v>
      </c>
    </row>
    <row r="2387" spans="1:18" x14ac:dyDescent="0.25">
      <c r="A2387" s="143">
        <v>45520</v>
      </c>
      <c r="B2387" s="106">
        <v>1373.2</v>
      </c>
      <c r="C2387" s="106">
        <v>1368.85</v>
      </c>
      <c r="D2387" s="106">
        <v>1340.45</v>
      </c>
      <c r="E2387" s="106">
        <v>1340.55</v>
      </c>
      <c r="F2387" s="106">
        <v>1368.85</v>
      </c>
      <c r="G2387">
        <v>6273</v>
      </c>
      <c r="H2387" s="106"/>
      <c r="I2387" s="106"/>
      <c r="L2387" s="143">
        <v>45520</v>
      </c>
      <c r="M2387" s="106">
        <v>1369.15</v>
      </c>
      <c r="N2387" s="106">
        <v>1372.75</v>
      </c>
      <c r="O2387" s="106">
        <v>1341</v>
      </c>
      <c r="P2387" s="106">
        <v>1345.05</v>
      </c>
      <c r="Q2387" s="106">
        <v>1369.15</v>
      </c>
      <c r="R2387">
        <v>612766</v>
      </c>
    </row>
    <row r="2388" spans="1:18" x14ac:dyDescent="0.25">
      <c r="A2388" s="143">
        <v>45523</v>
      </c>
      <c r="B2388" s="106">
        <v>1377.75</v>
      </c>
      <c r="C2388" s="106">
        <v>1348.85</v>
      </c>
      <c r="D2388" s="106">
        <v>1347.9</v>
      </c>
      <c r="E2388" s="106">
        <v>1365.35</v>
      </c>
      <c r="F2388" s="106">
        <v>1348.85</v>
      </c>
      <c r="G2388">
        <v>8213</v>
      </c>
      <c r="H2388" s="106"/>
      <c r="I2388" s="106"/>
      <c r="L2388" s="143">
        <v>45523</v>
      </c>
      <c r="M2388" s="106">
        <v>1349.7</v>
      </c>
      <c r="N2388" s="106">
        <v>1377</v>
      </c>
      <c r="O2388" s="106">
        <v>1347.1</v>
      </c>
      <c r="P2388" s="106">
        <v>1369.15</v>
      </c>
      <c r="Q2388" s="106">
        <v>1349.7</v>
      </c>
      <c r="R2388">
        <v>1038009</v>
      </c>
    </row>
    <row r="2389" spans="1:18" x14ac:dyDescent="0.25">
      <c r="A2389" s="143">
        <v>45524</v>
      </c>
      <c r="B2389" s="106">
        <v>1399.35</v>
      </c>
      <c r="C2389" s="106">
        <v>1388.85</v>
      </c>
      <c r="D2389" s="106">
        <v>1350</v>
      </c>
      <c r="E2389" s="106">
        <v>1364</v>
      </c>
      <c r="F2389" s="106">
        <v>1388.85</v>
      </c>
      <c r="G2389">
        <v>14212</v>
      </c>
      <c r="H2389" s="106"/>
      <c r="I2389" s="106"/>
      <c r="L2389" s="143">
        <v>45524</v>
      </c>
      <c r="M2389" s="106">
        <v>1387.85</v>
      </c>
      <c r="N2389" s="106">
        <v>1400.05</v>
      </c>
      <c r="O2389" s="106">
        <v>1349</v>
      </c>
      <c r="P2389" s="106">
        <v>1359.9</v>
      </c>
      <c r="Q2389" s="106">
        <v>1387.85</v>
      </c>
      <c r="R2389">
        <v>1259146</v>
      </c>
    </row>
    <row r="2390" spans="1:18" x14ac:dyDescent="0.25">
      <c r="A2390" s="143">
        <v>45525</v>
      </c>
      <c r="B2390" s="106">
        <v>1402.3</v>
      </c>
      <c r="C2390" s="106">
        <v>1399.7</v>
      </c>
      <c r="D2390" s="106">
        <v>1372.85</v>
      </c>
      <c r="E2390" s="106">
        <v>1388.85</v>
      </c>
      <c r="F2390" s="106">
        <v>1399.7</v>
      </c>
      <c r="G2390">
        <v>12148</v>
      </c>
      <c r="H2390" s="106"/>
      <c r="I2390" s="106"/>
      <c r="L2390" s="143">
        <v>45525</v>
      </c>
      <c r="M2390" s="106">
        <v>1400.4</v>
      </c>
      <c r="N2390" s="106">
        <v>1404.4</v>
      </c>
      <c r="O2390" s="106">
        <v>1373.15</v>
      </c>
      <c r="P2390" s="106">
        <v>1387.7</v>
      </c>
      <c r="Q2390" s="106">
        <v>1400.4</v>
      </c>
      <c r="R2390">
        <v>523608</v>
      </c>
    </row>
    <row r="2391" spans="1:18" x14ac:dyDescent="0.25">
      <c r="A2391" s="143">
        <v>45526</v>
      </c>
      <c r="B2391" s="106">
        <v>1401.4</v>
      </c>
      <c r="C2391" s="106">
        <v>1368.05</v>
      </c>
      <c r="D2391" s="106">
        <v>1354.3</v>
      </c>
      <c r="E2391" s="106">
        <v>1401</v>
      </c>
      <c r="F2391" s="106">
        <v>1368.05</v>
      </c>
      <c r="G2391">
        <v>7809</v>
      </c>
      <c r="H2391" s="106"/>
      <c r="I2391" s="106"/>
      <c r="L2391" s="143">
        <v>45526</v>
      </c>
      <c r="M2391" s="106">
        <v>1365.65</v>
      </c>
      <c r="N2391" s="106">
        <v>1410</v>
      </c>
      <c r="O2391" s="106">
        <v>1352.95</v>
      </c>
      <c r="P2391" s="106">
        <v>1400.4</v>
      </c>
      <c r="Q2391" s="106">
        <v>1365.65</v>
      </c>
      <c r="R2391">
        <v>1640128</v>
      </c>
    </row>
    <row r="2392" spans="1:18" x14ac:dyDescent="0.25">
      <c r="A2392" s="143">
        <v>45527</v>
      </c>
      <c r="B2392" s="106">
        <v>1368.95</v>
      </c>
      <c r="C2392" s="106">
        <v>1349.6</v>
      </c>
      <c r="D2392" s="106">
        <v>1345.6</v>
      </c>
      <c r="E2392" s="106">
        <v>1366.95</v>
      </c>
      <c r="F2392" s="106">
        <v>1349.6</v>
      </c>
      <c r="G2392">
        <v>23873</v>
      </c>
      <c r="H2392" s="106"/>
      <c r="I2392" s="106"/>
      <c r="L2392" s="143">
        <v>45527</v>
      </c>
      <c r="M2392" s="106">
        <v>1348.8</v>
      </c>
      <c r="N2392" s="106">
        <v>1369.85</v>
      </c>
      <c r="O2392" s="106">
        <v>1344.2</v>
      </c>
      <c r="P2392" s="106">
        <v>1365.5</v>
      </c>
      <c r="Q2392" s="106">
        <v>1348.8</v>
      </c>
      <c r="R2392">
        <v>1679433</v>
      </c>
    </row>
    <row r="2393" spans="1:18" x14ac:dyDescent="0.25">
      <c r="A2393" s="143">
        <v>45530</v>
      </c>
      <c r="B2393" s="106">
        <v>1397.15</v>
      </c>
      <c r="C2393" s="106">
        <v>1394.55</v>
      </c>
      <c r="D2393" s="106">
        <v>1350.15</v>
      </c>
      <c r="E2393" s="106">
        <v>1365</v>
      </c>
      <c r="F2393" s="106">
        <v>1394.55</v>
      </c>
      <c r="G2393">
        <v>61321</v>
      </c>
      <c r="H2393" s="106"/>
      <c r="I2393" s="106"/>
      <c r="L2393" s="143">
        <v>45530</v>
      </c>
      <c r="M2393" s="106">
        <v>1395.05</v>
      </c>
      <c r="N2393" s="106">
        <v>1397.9</v>
      </c>
      <c r="O2393" s="106">
        <v>1350</v>
      </c>
      <c r="P2393" s="106">
        <v>1357</v>
      </c>
      <c r="Q2393" s="106">
        <v>1395.05</v>
      </c>
      <c r="R2393">
        <v>1742029</v>
      </c>
    </row>
    <row r="2394" spans="1:18" x14ac:dyDescent="0.25">
      <c r="A2394" s="143">
        <v>45531</v>
      </c>
      <c r="B2394" s="106">
        <v>1448.8</v>
      </c>
      <c r="C2394" s="106">
        <v>1442.9</v>
      </c>
      <c r="D2394" s="106">
        <v>1381.35</v>
      </c>
      <c r="E2394" s="106">
        <v>1398.85</v>
      </c>
      <c r="F2394" s="106">
        <v>1442.9</v>
      </c>
      <c r="G2394">
        <v>20334</v>
      </c>
      <c r="H2394" s="106"/>
      <c r="I2394" s="106"/>
      <c r="L2394" s="143">
        <v>45531</v>
      </c>
      <c r="M2394" s="106">
        <v>1443.8</v>
      </c>
      <c r="N2394" s="106">
        <v>1449.9</v>
      </c>
      <c r="O2394" s="106">
        <v>1381</v>
      </c>
      <c r="P2394" s="106">
        <v>1395.05</v>
      </c>
      <c r="Q2394" s="106">
        <v>1443.8</v>
      </c>
      <c r="R2394">
        <v>2974425</v>
      </c>
    </row>
    <row r="2395" spans="1:18" x14ac:dyDescent="0.25">
      <c r="A2395" s="143">
        <v>45532</v>
      </c>
      <c r="B2395" s="106">
        <v>1457.95</v>
      </c>
      <c r="C2395" s="106">
        <v>1449.6</v>
      </c>
      <c r="D2395" s="106">
        <v>1434.15</v>
      </c>
      <c r="E2395" s="106">
        <v>1444</v>
      </c>
      <c r="F2395" s="106">
        <v>1449.6</v>
      </c>
      <c r="G2395">
        <v>18366</v>
      </c>
      <c r="H2395" s="106"/>
      <c r="I2395" s="106"/>
      <c r="L2395" s="143">
        <v>45532</v>
      </c>
      <c r="M2395" s="106">
        <v>1450.7</v>
      </c>
      <c r="N2395" s="106">
        <v>1458.9</v>
      </c>
      <c r="O2395" s="106">
        <v>1433</v>
      </c>
      <c r="P2395" s="106">
        <v>1443.8</v>
      </c>
      <c r="Q2395" s="106">
        <v>1450.7</v>
      </c>
      <c r="R2395">
        <v>1014841</v>
      </c>
    </row>
    <row r="2396" spans="1:18" x14ac:dyDescent="0.25">
      <c r="A2396" s="143">
        <v>45533</v>
      </c>
      <c r="B2396" s="106">
        <v>1480</v>
      </c>
      <c r="C2396" s="106">
        <v>1453.65</v>
      </c>
      <c r="D2396" s="106">
        <v>1434.55</v>
      </c>
      <c r="E2396" s="106">
        <v>1448.95</v>
      </c>
      <c r="F2396" s="106">
        <v>1453.65</v>
      </c>
      <c r="G2396">
        <v>17373</v>
      </c>
      <c r="H2396" s="106"/>
      <c r="I2396" s="106"/>
      <c r="L2396" s="143">
        <v>45533</v>
      </c>
      <c r="M2396" s="106">
        <v>1455.6</v>
      </c>
      <c r="N2396" s="106">
        <v>1478.9</v>
      </c>
      <c r="O2396" s="106">
        <v>1435.2</v>
      </c>
      <c r="P2396" s="106">
        <v>1443</v>
      </c>
      <c r="Q2396" s="106">
        <v>1455.6</v>
      </c>
      <c r="R2396">
        <v>1510639</v>
      </c>
    </row>
    <row r="2397" spans="1:18" x14ac:dyDescent="0.25">
      <c r="A2397" s="143">
        <v>45534</v>
      </c>
      <c r="B2397" s="106">
        <v>1474.9</v>
      </c>
      <c r="C2397" s="106">
        <v>1456.95</v>
      </c>
      <c r="D2397" s="106">
        <v>1426.3</v>
      </c>
      <c r="E2397" s="106">
        <v>1474.9</v>
      </c>
      <c r="F2397" s="106">
        <v>1456.95</v>
      </c>
      <c r="G2397">
        <v>11337</v>
      </c>
      <c r="H2397" s="106"/>
      <c r="I2397" s="106"/>
      <c r="L2397" s="143">
        <v>45534</v>
      </c>
      <c r="M2397" s="106">
        <v>1455.6</v>
      </c>
      <c r="N2397" s="106">
        <v>1462.9</v>
      </c>
      <c r="O2397" s="106">
        <v>1426.3</v>
      </c>
      <c r="P2397" s="106">
        <v>1462.5</v>
      </c>
      <c r="Q2397" s="106">
        <v>1455.6</v>
      </c>
      <c r="R2397">
        <v>1764924</v>
      </c>
    </row>
    <row r="2398" spans="1:18" x14ac:dyDescent="0.25">
      <c r="A2398" s="143">
        <v>45537</v>
      </c>
      <c r="B2398" s="106">
        <v>1492.45</v>
      </c>
      <c r="C2398" s="106">
        <v>1485.9</v>
      </c>
      <c r="D2398" s="106">
        <v>1453.25</v>
      </c>
      <c r="E2398" s="106">
        <v>1457.3</v>
      </c>
      <c r="F2398" s="106">
        <v>1485.9</v>
      </c>
      <c r="G2398">
        <v>40735</v>
      </c>
      <c r="H2398" s="106"/>
      <c r="I2398" s="106"/>
      <c r="L2398" s="143">
        <v>45537</v>
      </c>
      <c r="M2398" s="106">
        <v>1486.3</v>
      </c>
      <c r="N2398" s="106">
        <v>1494</v>
      </c>
      <c r="O2398" s="106">
        <v>1452.55</v>
      </c>
      <c r="P2398" s="106">
        <v>1460</v>
      </c>
      <c r="Q2398" s="106">
        <v>1486.3</v>
      </c>
      <c r="R2398">
        <v>1830962</v>
      </c>
    </row>
    <row r="2399" spans="1:18" x14ac:dyDescent="0.25">
      <c r="A2399" s="143">
        <v>45538</v>
      </c>
      <c r="B2399" s="106">
        <v>1505.9</v>
      </c>
      <c r="C2399" s="106">
        <v>1499.15</v>
      </c>
      <c r="D2399" s="106">
        <v>1465.15</v>
      </c>
      <c r="E2399" s="106">
        <v>1498.55</v>
      </c>
      <c r="F2399" s="106">
        <v>1499.15</v>
      </c>
      <c r="G2399">
        <v>22293</v>
      </c>
      <c r="H2399" s="106"/>
      <c r="I2399" s="106"/>
      <c r="L2399" s="143">
        <v>45538</v>
      </c>
      <c r="M2399" s="106">
        <v>1500</v>
      </c>
      <c r="N2399" s="106">
        <v>1506.45</v>
      </c>
      <c r="O2399" s="106">
        <v>1465.1</v>
      </c>
      <c r="P2399" s="106">
        <v>1495.05</v>
      </c>
      <c r="Q2399" s="106">
        <v>1500</v>
      </c>
      <c r="R2399">
        <v>1947168</v>
      </c>
    </row>
    <row r="2400" spans="1:18" x14ac:dyDescent="0.25">
      <c r="A2400" s="143">
        <v>45539</v>
      </c>
      <c r="B2400" s="106">
        <v>1502.45</v>
      </c>
      <c r="C2400" s="106">
        <v>1485.55</v>
      </c>
      <c r="D2400" s="106">
        <v>1432.05</v>
      </c>
      <c r="E2400" s="106">
        <v>1432.05</v>
      </c>
      <c r="F2400" s="106">
        <v>1485.55</v>
      </c>
      <c r="G2400">
        <v>19102</v>
      </c>
      <c r="H2400" s="106"/>
      <c r="I2400" s="106"/>
      <c r="L2400" s="143">
        <v>45539</v>
      </c>
      <c r="M2400" s="106">
        <v>1487.3</v>
      </c>
      <c r="N2400" s="106">
        <v>1501.95</v>
      </c>
      <c r="O2400" s="106">
        <v>1463</v>
      </c>
      <c r="P2400" s="106">
        <v>1463</v>
      </c>
      <c r="Q2400" s="106">
        <v>1487.3</v>
      </c>
      <c r="R2400">
        <v>1194449</v>
      </c>
    </row>
    <row r="2401" spans="1:18" x14ac:dyDescent="0.25">
      <c r="A2401" s="143">
        <v>45540</v>
      </c>
      <c r="B2401" s="106">
        <v>1549</v>
      </c>
      <c r="C2401" s="106">
        <v>1532.7</v>
      </c>
      <c r="D2401" s="106">
        <v>1510.1</v>
      </c>
      <c r="E2401" s="106">
        <v>1510.15</v>
      </c>
      <c r="F2401" s="106">
        <v>1532.7</v>
      </c>
      <c r="G2401">
        <v>47479</v>
      </c>
      <c r="H2401" s="106"/>
      <c r="I2401" s="106"/>
      <c r="L2401" s="143">
        <v>45540</v>
      </c>
      <c r="M2401" s="106">
        <v>1533.6</v>
      </c>
      <c r="N2401" s="106">
        <v>1549</v>
      </c>
      <c r="O2401" s="106">
        <v>1505.9</v>
      </c>
      <c r="P2401" s="106">
        <v>1519.05</v>
      </c>
      <c r="Q2401" s="106">
        <v>1533.6</v>
      </c>
      <c r="R2401">
        <v>3481685</v>
      </c>
    </row>
    <row r="2402" spans="1:18" x14ac:dyDescent="0.25">
      <c r="A2402" s="143">
        <v>45541</v>
      </c>
      <c r="B2402" s="106">
        <v>1556.75</v>
      </c>
      <c r="C2402" s="106">
        <v>1510</v>
      </c>
      <c r="D2402" s="106">
        <v>1505.75</v>
      </c>
      <c r="E2402" s="106">
        <v>1545</v>
      </c>
      <c r="F2402" s="106">
        <v>1510</v>
      </c>
      <c r="G2402">
        <v>366557</v>
      </c>
      <c r="H2402" s="106"/>
      <c r="I2402" s="106"/>
      <c r="L2402" s="143">
        <v>45541</v>
      </c>
      <c r="M2402" s="106">
        <v>1511.35</v>
      </c>
      <c r="N2402" s="106">
        <v>1556.8</v>
      </c>
      <c r="O2402" s="106">
        <v>1506.1</v>
      </c>
      <c r="P2402" s="106">
        <v>1543</v>
      </c>
      <c r="Q2402" s="106">
        <v>1511.35</v>
      </c>
      <c r="R2402">
        <v>2754275</v>
      </c>
    </row>
    <row r="2403" spans="1:18" x14ac:dyDescent="0.25">
      <c r="A2403" s="143">
        <v>45544</v>
      </c>
      <c r="B2403" s="106">
        <v>1541.6</v>
      </c>
      <c r="C2403" s="106">
        <v>1537.7</v>
      </c>
      <c r="D2403" s="106">
        <v>1505.15</v>
      </c>
      <c r="E2403" s="106">
        <v>1505.15</v>
      </c>
      <c r="F2403" s="106">
        <v>1537.7</v>
      </c>
      <c r="G2403">
        <v>14209</v>
      </c>
      <c r="H2403" s="106"/>
      <c r="I2403" s="106"/>
      <c r="L2403" s="143">
        <v>45544</v>
      </c>
      <c r="M2403" s="106">
        <v>1538.25</v>
      </c>
      <c r="N2403" s="106">
        <v>1542.7</v>
      </c>
      <c r="O2403" s="106">
        <v>1511.35</v>
      </c>
      <c r="P2403" s="106">
        <v>1511.35</v>
      </c>
      <c r="Q2403" s="106">
        <v>1538.25</v>
      </c>
      <c r="R2403">
        <v>1682896</v>
      </c>
    </row>
    <row r="2404" spans="1:18" x14ac:dyDescent="0.25">
      <c r="A2404" s="143">
        <v>45545</v>
      </c>
      <c r="B2404" s="106">
        <v>1551.45</v>
      </c>
      <c r="C2404" s="106">
        <v>1507.55</v>
      </c>
      <c r="D2404" s="106">
        <v>1501</v>
      </c>
      <c r="E2404" s="106">
        <v>1539.05</v>
      </c>
      <c r="F2404" s="106">
        <v>1507.55</v>
      </c>
      <c r="G2404">
        <v>11669</v>
      </c>
      <c r="H2404" s="106"/>
      <c r="I2404" s="106"/>
      <c r="L2404" s="143">
        <v>45545</v>
      </c>
      <c r="M2404" s="106">
        <v>1507.6</v>
      </c>
      <c r="N2404" s="106">
        <v>1549.45</v>
      </c>
      <c r="O2404" s="106">
        <v>1500.6</v>
      </c>
      <c r="P2404" s="106">
        <v>1545</v>
      </c>
      <c r="Q2404" s="106">
        <v>1507.6</v>
      </c>
      <c r="R2404">
        <v>1198527</v>
      </c>
    </row>
    <row r="2405" spans="1:18" x14ac:dyDescent="0.25">
      <c r="A2405" s="143">
        <v>45546</v>
      </c>
      <c r="B2405" s="106">
        <v>1534.45</v>
      </c>
      <c r="C2405" s="106">
        <v>1521.05</v>
      </c>
      <c r="D2405" s="106">
        <v>1501.45</v>
      </c>
      <c r="E2405" s="106">
        <v>1507.55</v>
      </c>
      <c r="F2405" s="106">
        <v>1521.05</v>
      </c>
      <c r="G2405">
        <v>5377</v>
      </c>
      <c r="H2405" s="106"/>
      <c r="I2405" s="106"/>
      <c r="L2405" s="143">
        <v>45546</v>
      </c>
      <c r="M2405" s="106">
        <v>1521.45</v>
      </c>
      <c r="N2405" s="106">
        <v>1533.9</v>
      </c>
      <c r="O2405" s="106">
        <v>1503.4</v>
      </c>
      <c r="P2405" s="106">
        <v>1510</v>
      </c>
      <c r="Q2405" s="106">
        <v>1521.45</v>
      </c>
      <c r="R2405">
        <v>653307</v>
      </c>
    </row>
    <row r="2406" spans="1:18" x14ac:dyDescent="0.25">
      <c r="A2406" s="143">
        <v>45547</v>
      </c>
      <c r="B2406" s="106">
        <v>1577.9</v>
      </c>
      <c r="C2406" s="106">
        <v>1575.9</v>
      </c>
      <c r="D2406" s="106">
        <v>1545.1</v>
      </c>
      <c r="E2406" s="106">
        <v>1553.55</v>
      </c>
      <c r="F2406" s="106">
        <v>1575.9</v>
      </c>
      <c r="G2406">
        <v>50441</v>
      </c>
      <c r="H2406" s="106"/>
      <c r="I2406" s="106"/>
      <c r="L2406" s="143">
        <v>45547</v>
      </c>
      <c r="M2406" s="106">
        <v>1575.55</v>
      </c>
      <c r="N2406" s="106">
        <v>1579</v>
      </c>
      <c r="O2406" s="106">
        <v>1541.6</v>
      </c>
      <c r="P2406" s="106">
        <v>1549.95</v>
      </c>
      <c r="Q2406" s="106">
        <v>1575.55</v>
      </c>
      <c r="R2406">
        <v>2689481</v>
      </c>
    </row>
    <row r="2407" spans="1:18" x14ac:dyDescent="0.25">
      <c r="A2407" s="143">
        <v>45548</v>
      </c>
      <c r="B2407" s="106">
        <v>1593.9</v>
      </c>
      <c r="C2407" s="106">
        <v>1574.55</v>
      </c>
      <c r="D2407" s="106">
        <v>1568.05</v>
      </c>
      <c r="E2407" s="106">
        <v>1583.55</v>
      </c>
      <c r="F2407" s="106">
        <v>1574.55</v>
      </c>
      <c r="G2407">
        <v>21248</v>
      </c>
      <c r="H2407" s="106"/>
      <c r="I2407" s="106"/>
      <c r="L2407" s="143">
        <v>45548</v>
      </c>
      <c r="M2407" s="106">
        <v>1574.5</v>
      </c>
      <c r="N2407" s="106">
        <v>1594</v>
      </c>
      <c r="O2407" s="106">
        <v>1568.8</v>
      </c>
      <c r="P2407" s="106">
        <v>1580</v>
      </c>
      <c r="Q2407" s="106">
        <v>1574.5</v>
      </c>
      <c r="R2407">
        <v>1115661</v>
      </c>
    </row>
    <row r="2408" spans="1:18" x14ac:dyDescent="0.25">
      <c r="A2408" s="143">
        <v>45551</v>
      </c>
      <c r="B2408" s="106">
        <v>1589.75</v>
      </c>
      <c r="C2408" s="106">
        <v>1563.65</v>
      </c>
      <c r="D2408" s="106">
        <v>1560.75</v>
      </c>
      <c r="E2408" s="106">
        <v>1575.95</v>
      </c>
      <c r="F2408" s="106">
        <v>1563.65</v>
      </c>
      <c r="G2408">
        <v>20928</v>
      </c>
      <c r="H2408" s="106"/>
      <c r="I2408" s="106"/>
      <c r="L2408" s="143">
        <v>45551</v>
      </c>
      <c r="M2408" s="106">
        <v>1564.75</v>
      </c>
      <c r="N2408" s="106">
        <v>1589.95</v>
      </c>
      <c r="O2408" s="106">
        <v>1559</v>
      </c>
      <c r="P2408" s="106">
        <v>1580.85</v>
      </c>
      <c r="Q2408" s="106">
        <v>1564.75</v>
      </c>
      <c r="R2408">
        <v>1112875</v>
      </c>
    </row>
    <row r="2409" spans="1:18" x14ac:dyDescent="0.25">
      <c r="A2409" s="143">
        <v>45552</v>
      </c>
      <c r="B2409" s="106">
        <v>1584.8</v>
      </c>
      <c r="C2409" s="106">
        <v>1573.45</v>
      </c>
      <c r="D2409" s="106">
        <v>1557.35</v>
      </c>
      <c r="E2409" s="106">
        <v>1560.8</v>
      </c>
      <c r="F2409" s="106">
        <v>1573.45</v>
      </c>
      <c r="G2409">
        <v>12436</v>
      </c>
      <c r="H2409" s="106"/>
      <c r="I2409" s="106"/>
      <c r="L2409" s="143">
        <v>45552</v>
      </c>
      <c r="M2409" s="106">
        <v>1573.95</v>
      </c>
      <c r="N2409" s="106">
        <v>1585</v>
      </c>
      <c r="O2409" s="106">
        <v>1557.4</v>
      </c>
      <c r="P2409" s="106">
        <v>1564.75</v>
      </c>
      <c r="Q2409" s="106">
        <v>1573.95</v>
      </c>
      <c r="R2409">
        <v>2133543</v>
      </c>
    </row>
    <row r="2410" spans="1:18" x14ac:dyDescent="0.25">
      <c r="A2410" s="143">
        <v>45553</v>
      </c>
      <c r="B2410" s="106">
        <v>1602.65</v>
      </c>
      <c r="C2410" s="106">
        <v>1587.8</v>
      </c>
      <c r="D2410" s="106">
        <v>1574.05</v>
      </c>
      <c r="E2410" s="106">
        <v>1585</v>
      </c>
      <c r="F2410" s="106">
        <v>1587.8</v>
      </c>
      <c r="G2410">
        <v>20167</v>
      </c>
      <c r="H2410" s="106"/>
      <c r="I2410" s="106"/>
      <c r="L2410" s="143">
        <v>45553</v>
      </c>
      <c r="M2410" s="106">
        <v>1590.15</v>
      </c>
      <c r="N2410" s="106">
        <v>1602.85</v>
      </c>
      <c r="O2410" s="106">
        <v>1573.05</v>
      </c>
      <c r="P2410" s="106">
        <v>1574</v>
      </c>
      <c r="Q2410" s="106">
        <v>1590.15</v>
      </c>
      <c r="R2410">
        <v>1305843</v>
      </c>
    </row>
    <row r="2411" spans="1:18" x14ac:dyDescent="0.25">
      <c r="A2411" s="143">
        <v>45554</v>
      </c>
      <c r="B2411" s="106">
        <v>1614.55</v>
      </c>
      <c r="C2411" s="106">
        <v>1596.55</v>
      </c>
      <c r="D2411" s="106">
        <v>1574.85</v>
      </c>
      <c r="E2411" s="106">
        <v>1608.45</v>
      </c>
      <c r="F2411" s="106">
        <v>1596.55</v>
      </c>
      <c r="G2411">
        <v>53812</v>
      </c>
      <c r="H2411" s="106"/>
      <c r="I2411" s="106"/>
      <c r="L2411" s="143">
        <v>45554</v>
      </c>
      <c r="M2411" s="106">
        <v>1596.3</v>
      </c>
      <c r="N2411" s="106">
        <v>1614</v>
      </c>
      <c r="O2411" s="106">
        <v>1574</v>
      </c>
      <c r="P2411" s="106">
        <v>1599</v>
      </c>
      <c r="Q2411" s="106">
        <v>1596.3</v>
      </c>
      <c r="R2411">
        <v>776010</v>
      </c>
    </row>
    <row r="2412" spans="1:18" x14ac:dyDescent="0.25">
      <c r="A2412" s="143">
        <v>45555</v>
      </c>
      <c r="B2412" s="106">
        <v>1613</v>
      </c>
      <c r="C2412" s="106">
        <v>1607.45</v>
      </c>
      <c r="D2412" s="106">
        <v>1581.05</v>
      </c>
      <c r="E2412" s="106">
        <v>1602</v>
      </c>
      <c r="F2412" s="106">
        <v>1607.45</v>
      </c>
      <c r="G2412">
        <v>15183</v>
      </c>
      <c r="H2412" s="106"/>
      <c r="I2412" s="106"/>
      <c r="L2412" s="143">
        <v>45555</v>
      </c>
      <c r="M2412" s="106">
        <v>1604.3</v>
      </c>
      <c r="N2412" s="106">
        <v>1613.2</v>
      </c>
      <c r="O2412" s="106">
        <v>1582</v>
      </c>
      <c r="P2412" s="106">
        <v>1601</v>
      </c>
      <c r="Q2412" s="106">
        <v>1604.3</v>
      </c>
      <c r="R2412">
        <v>1168486</v>
      </c>
    </row>
    <row r="2413" spans="1:18" x14ac:dyDescent="0.25">
      <c r="A2413" s="143">
        <v>45558</v>
      </c>
      <c r="B2413" s="106">
        <v>1650</v>
      </c>
      <c r="C2413" s="106">
        <v>1634</v>
      </c>
      <c r="D2413" s="106">
        <v>1614.35</v>
      </c>
      <c r="E2413" s="106">
        <v>1620</v>
      </c>
      <c r="F2413" s="106">
        <v>1634</v>
      </c>
      <c r="G2413">
        <v>47374</v>
      </c>
      <c r="H2413" s="106"/>
      <c r="I2413" s="106"/>
      <c r="L2413" s="143">
        <v>45558</v>
      </c>
      <c r="M2413" s="106">
        <v>1633.85</v>
      </c>
      <c r="N2413" s="106">
        <v>1649.8</v>
      </c>
      <c r="O2413" s="106">
        <v>1613</v>
      </c>
      <c r="P2413" s="106">
        <v>1620</v>
      </c>
      <c r="Q2413" s="106">
        <v>1633.85</v>
      </c>
      <c r="R2413">
        <v>1129202</v>
      </c>
    </row>
    <row r="2414" spans="1:18" x14ac:dyDescent="0.25">
      <c r="A2414" s="143">
        <v>45559</v>
      </c>
      <c r="B2414" s="106">
        <v>1645.95</v>
      </c>
      <c r="C2414" s="106">
        <v>1615.3</v>
      </c>
      <c r="D2414" s="106">
        <v>1603.8</v>
      </c>
      <c r="E2414" s="106">
        <v>1634.45</v>
      </c>
      <c r="F2414" s="106">
        <v>1615.3</v>
      </c>
      <c r="G2414">
        <v>14636</v>
      </c>
      <c r="H2414" s="106"/>
      <c r="I2414" s="106"/>
      <c r="L2414" s="143">
        <v>45559</v>
      </c>
      <c r="M2414" s="106">
        <v>1614.3</v>
      </c>
      <c r="N2414" s="106">
        <v>1652</v>
      </c>
      <c r="O2414" s="106">
        <v>1603.05</v>
      </c>
      <c r="P2414" s="106">
        <v>1639.95</v>
      </c>
      <c r="Q2414" s="106">
        <v>1614.3</v>
      </c>
      <c r="R2414">
        <v>1041776</v>
      </c>
    </row>
    <row r="2415" spans="1:18" x14ac:dyDescent="0.25">
      <c r="A2415" s="143">
        <v>45560</v>
      </c>
      <c r="B2415" s="106">
        <v>1621</v>
      </c>
      <c r="C2415" s="106">
        <v>1616.95</v>
      </c>
      <c r="D2415" s="106">
        <v>1593.25</v>
      </c>
      <c r="E2415" s="106">
        <v>1619.1</v>
      </c>
      <c r="F2415" s="106">
        <v>1616.95</v>
      </c>
      <c r="G2415">
        <v>15072</v>
      </c>
      <c r="H2415" s="106"/>
      <c r="I2415" s="106"/>
      <c r="L2415" s="143">
        <v>45560</v>
      </c>
      <c r="M2415" s="106">
        <v>1618.3</v>
      </c>
      <c r="N2415" s="106">
        <v>1624.3</v>
      </c>
      <c r="O2415" s="106">
        <v>1592.85</v>
      </c>
      <c r="P2415" s="106">
        <v>1614.3</v>
      </c>
      <c r="Q2415" s="106">
        <v>1618.3</v>
      </c>
      <c r="R2415">
        <v>893217</v>
      </c>
    </row>
    <row r="2416" spans="1:18" x14ac:dyDescent="0.25">
      <c r="A2416" s="143">
        <v>45561</v>
      </c>
      <c r="B2416" s="106">
        <v>1645.05</v>
      </c>
      <c r="C2416" s="106">
        <v>1643.25</v>
      </c>
      <c r="D2416" s="106">
        <v>1612.7</v>
      </c>
      <c r="E2416" s="106">
        <v>1616.95</v>
      </c>
      <c r="F2416" s="106">
        <v>1643.25</v>
      </c>
      <c r="G2416">
        <v>8941</v>
      </c>
      <c r="H2416" s="106"/>
      <c r="I2416" s="106"/>
      <c r="L2416" s="143">
        <v>45561</v>
      </c>
      <c r="M2416" s="106">
        <v>1641.75</v>
      </c>
      <c r="N2416" s="106">
        <v>1644.95</v>
      </c>
      <c r="O2416" s="106">
        <v>1612</v>
      </c>
      <c r="P2416" s="106">
        <v>1625.15</v>
      </c>
      <c r="Q2416" s="106">
        <v>1641.75</v>
      </c>
      <c r="R2416">
        <v>1063773</v>
      </c>
    </row>
    <row r="2417" spans="1:18" x14ac:dyDescent="0.25">
      <c r="A2417" s="143">
        <v>45562</v>
      </c>
      <c r="B2417" s="106">
        <v>1640.9</v>
      </c>
      <c r="C2417" s="106">
        <v>1606.6</v>
      </c>
      <c r="D2417" s="106">
        <v>1590.75</v>
      </c>
      <c r="E2417" s="106">
        <v>1640.9</v>
      </c>
      <c r="F2417" s="106">
        <v>1606.6</v>
      </c>
      <c r="G2417">
        <v>25290</v>
      </c>
      <c r="H2417" s="106"/>
      <c r="I2417" s="106"/>
      <c r="L2417" s="143">
        <v>45562</v>
      </c>
      <c r="M2417" s="106">
        <v>1609</v>
      </c>
      <c r="N2417" s="106">
        <v>1638</v>
      </c>
      <c r="O2417" s="106">
        <v>1590.5</v>
      </c>
      <c r="P2417" s="106">
        <v>1631.8</v>
      </c>
      <c r="Q2417" s="106">
        <v>1609</v>
      </c>
      <c r="R2417">
        <v>1852921</v>
      </c>
    </row>
    <row r="2418" spans="1:18" x14ac:dyDescent="0.25">
      <c r="A2418" s="143">
        <v>45565</v>
      </c>
      <c r="B2418" s="106">
        <v>1622.95</v>
      </c>
      <c r="C2418" s="106">
        <v>1608.9</v>
      </c>
      <c r="D2418" s="106">
        <v>1600</v>
      </c>
      <c r="E2418" s="106">
        <v>1606.8</v>
      </c>
      <c r="F2418" s="106">
        <v>1608.9</v>
      </c>
      <c r="G2418">
        <v>8582</v>
      </c>
      <c r="H2418" s="106"/>
      <c r="I2418" s="106"/>
      <c r="L2418" s="143">
        <v>45565</v>
      </c>
      <c r="M2418" s="106">
        <v>1608</v>
      </c>
      <c r="N2418" s="106">
        <v>1623.85</v>
      </c>
      <c r="O2418" s="106">
        <v>1599.05</v>
      </c>
      <c r="P2418" s="106">
        <v>1609</v>
      </c>
      <c r="Q2418" s="106">
        <v>1608</v>
      </c>
      <c r="R2418">
        <v>917971</v>
      </c>
    </row>
    <row r="2419" spans="1:18" x14ac:dyDescent="0.25">
      <c r="A2419" s="143">
        <v>45566</v>
      </c>
      <c r="B2419" s="106">
        <v>1616</v>
      </c>
      <c r="C2419" s="106">
        <v>1581.55</v>
      </c>
      <c r="D2419" s="106">
        <v>1576.7</v>
      </c>
      <c r="E2419" s="106">
        <v>1615.95</v>
      </c>
      <c r="F2419" s="106">
        <v>1581.55</v>
      </c>
      <c r="G2419">
        <v>14015</v>
      </c>
      <c r="H2419" s="106"/>
      <c r="I2419" s="106"/>
      <c r="L2419" s="143">
        <v>45566</v>
      </c>
      <c r="M2419" s="106">
        <v>1581.85</v>
      </c>
      <c r="N2419" s="106">
        <v>1623</v>
      </c>
      <c r="O2419" s="106">
        <v>1576.1</v>
      </c>
      <c r="P2419" s="106">
        <v>1611.1</v>
      </c>
      <c r="Q2419" s="106">
        <v>1581.85</v>
      </c>
      <c r="R2419">
        <v>924366</v>
      </c>
    </row>
    <row r="2420" spans="1:18" x14ac:dyDescent="0.25">
      <c r="A2420" s="143">
        <v>45568</v>
      </c>
      <c r="B2420" s="106">
        <v>1574.3</v>
      </c>
      <c r="C2420" s="106">
        <v>1516.8</v>
      </c>
      <c r="D2420" s="106">
        <v>1509</v>
      </c>
      <c r="E2420" s="106">
        <v>1565</v>
      </c>
      <c r="F2420" s="106">
        <v>1516.8</v>
      </c>
      <c r="G2420">
        <v>18695</v>
      </c>
      <c r="H2420" s="106"/>
      <c r="I2420" s="106"/>
      <c r="L2420" s="143">
        <v>45568</v>
      </c>
      <c r="M2420" s="106">
        <v>1516.25</v>
      </c>
      <c r="N2420" s="106">
        <v>1575.35</v>
      </c>
      <c r="O2420" s="106">
        <v>1507.6</v>
      </c>
      <c r="P2420" s="106">
        <v>1565</v>
      </c>
      <c r="Q2420" s="106">
        <v>1516.25</v>
      </c>
      <c r="R2420">
        <v>1278465</v>
      </c>
    </row>
    <row r="2421" spans="1:18" x14ac:dyDescent="0.25">
      <c r="A2421" s="143">
        <v>45569</v>
      </c>
      <c r="B2421" s="106">
        <v>1526.8</v>
      </c>
      <c r="C2421" s="106">
        <v>1497.35</v>
      </c>
      <c r="D2421" s="106">
        <v>1489.45</v>
      </c>
      <c r="E2421" s="106">
        <v>1516.8</v>
      </c>
      <c r="F2421" s="106">
        <v>1497.35</v>
      </c>
      <c r="G2421">
        <v>24828</v>
      </c>
      <c r="H2421" s="106"/>
      <c r="I2421" s="106"/>
      <c r="L2421" s="143">
        <v>45569</v>
      </c>
      <c r="M2421" s="106">
        <v>1497.4</v>
      </c>
      <c r="N2421" s="106">
        <v>1526.25</v>
      </c>
      <c r="O2421" s="106">
        <v>1489.15</v>
      </c>
      <c r="P2421" s="106">
        <v>1516.25</v>
      </c>
      <c r="Q2421" s="106">
        <v>1497.4</v>
      </c>
      <c r="R2421">
        <v>600340</v>
      </c>
    </row>
    <row r="2422" spans="1:18" x14ac:dyDescent="0.25">
      <c r="A2422" s="143">
        <v>45572</v>
      </c>
      <c r="B2422" s="106">
        <v>1513.4</v>
      </c>
      <c r="C2422" s="106">
        <v>1481</v>
      </c>
      <c r="D2422" s="106">
        <v>1462.15</v>
      </c>
      <c r="E2422" s="106">
        <v>1497.35</v>
      </c>
      <c r="F2422" s="106">
        <v>1481</v>
      </c>
      <c r="G2422">
        <v>8919</v>
      </c>
      <c r="H2422" s="106"/>
      <c r="I2422" s="106"/>
      <c r="L2422" s="143">
        <v>45572</v>
      </c>
      <c r="M2422" s="106">
        <v>1478.45</v>
      </c>
      <c r="N2422" s="106">
        <v>1514.35</v>
      </c>
      <c r="O2422" s="106">
        <v>1462</v>
      </c>
      <c r="P2422" s="106">
        <v>1504.8</v>
      </c>
      <c r="Q2422" s="106">
        <v>1478.45</v>
      </c>
      <c r="R2422">
        <v>759332</v>
      </c>
    </row>
    <row r="2423" spans="1:18" x14ac:dyDescent="0.25">
      <c r="A2423" s="143">
        <v>45573</v>
      </c>
      <c r="B2423" s="106">
        <v>1535.95</v>
      </c>
      <c r="C2423" s="106">
        <v>1530.85</v>
      </c>
      <c r="D2423" s="106">
        <v>1470.65</v>
      </c>
      <c r="E2423" s="106">
        <v>1470.65</v>
      </c>
      <c r="F2423" s="106">
        <v>1530.85</v>
      </c>
      <c r="G2423">
        <v>20652</v>
      </c>
      <c r="H2423" s="106"/>
      <c r="I2423" s="106"/>
      <c r="L2423" s="143">
        <v>45573</v>
      </c>
      <c r="M2423" s="106">
        <v>1530.95</v>
      </c>
      <c r="N2423" s="106">
        <v>1537</v>
      </c>
      <c r="O2423" s="106">
        <v>1469.55</v>
      </c>
      <c r="P2423" s="106">
        <v>1470</v>
      </c>
      <c r="Q2423" s="106">
        <v>1530.95</v>
      </c>
      <c r="R2423">
        <v>2220536</v>
      </c>
    </row>
    <row r="2424" spans="1:18" x14ac:dyDescent="0.25">
      <c r="A2424" s="143">
        <v>45574</v>
      </c>
      <c r="B2424" s="106">
        <v>1586.15</v>
      </c>
      <c r="C2424" s="106">
        <v>1561.25</v>
      </c>
      <c r="D2424" s="106">
        <v>1539.55</v>
      </c>
      <c r="E2424" s="106">
        <v>1539.55</v>
      </c>
      <c r="F2424" s="106">
        <v>1561.25</v>
      </c>
      <c r="G2424">
        <v>21063</v>
      </c>
      <c r="H2424" s="106"/>
      <c r="I2424" s="106"/>
      <c r="L2424" s="143">
        <v>45574</v>
      </c>
      <c r="M2424" s="106">
        <v>1561.55</v>
      </c>
      <c r="N2424" s="106">
        <v>1586.95</v>
      </c>
      <c r="O2424" s="106">
        <v>1538</v>
      </c>
      <c r="P2424" s="106">
        <v>1539</v>
      </c>
      <c r="Q2424" s="106">
        <v>1561.55</v>
      </c>
      <c r="R2424">
        <v>1777352</v>
      </c>
    </row>
    <row r="2425" spans="1:18" x14ac:dyDescent="0.25">
      <c r="A2425" s="143">
        <v>45575</v>
      </c>
      <c r="B2425" s="106">
        <v>1583.65</v>
      </c>
      <c r="C2425" s="106">
        <v>1517.8</v>
      </c>
      <c r="D2425" s="106">
        <v>1511.3</v>
      </c>
      <c r="E2425" s="106">
        <v>1565</v>
      </c>
      <c r="F2425" s="106">
        <v>1517.8</v>
      </c>
      <c r="G2425">
        <v>7540</v>
      </c>
      <c r="H2425" s="106"/>
      <c r="I2425" s="106"/>
      <c r="L2425" s="143">
        <v>45575</v>
      </c>
      <c r="M2425" s="106">
        <v>1517.1</v>
      </c>
      <c r="N2425" s="106">
        <v>1587.45</v>
      </c>
      <c r="O2425" s="106">
        <v>1511.3</v>
      </c>
      <c r="P2425" s="106">
        <v>1569.85</v>
      </c>
      <c r="Q2425" s="106">
        <v>1517.1</v>
      </c>
      <c r="R2425">
        <v>1081043</v>
      </c>
    </row>
    <row r="2426" spans="1:18" x14ac:dyDescent="0.25">
      <c r="A2426" s="143">
        <v>45576</v>
      </c>
      <c r="B2426" s="106">
        <v>1517</v>
      </c>
      <c r="C2426" s="106">
        <v>1502.25</v>
      </c>
      <c r="D2426" s="106">
        <v>1479.65</v>
      </c>
      <c r="E2426" s="106">
        <v>1517</v>
      </c>
      <c r="F2426" s="106">
        <v>1502.25</v>
      </c>
      <c r="G2426">
        <v>15486</v>
      </c>
      <c r="H2426" s="106"/>
      <c r="I2426" s="106"/>
      <c r="L2426" s="143">
        <v>45576</v>
      </c>
      <c r="M2426" s="106">
        <v>1501.05</v>
      </c>
      <c r="N2426" s="106">
        <v>1517.1</v>
      </c>
      <c r="O2426" s="106">
        <v>1479</v>
      </c>
      <c r="P2426" s="106">
        <v>1517.1</v>
      </c>
      <c r="Q2426" s="106">
        <v>1501.05</v>
      </c>
      <c r="R2426">
        <v>1050785</v>
      </c>
    </row>
    <row r="2427" spans="1:18" x14ac:dyDescent="0.25">
      <c r="A2427" s="143">
        <v>45579</v>
      </c>
      <c r="B2427" s="106">
        <v>1530.85</v>
      </c>
      <c r="C2427" s="106">
        <v>1513.35</v>
      </c>
      <c r="D2427" s="106">
        <v>1503.5</v>
      </c>
      <c r="E2427" s="106">
        <v>1519.35</v>
      </c>
      <c r="F2427" s="106">
        <v>1513.35</v>
      </c>
      <c r="G2427">
        <v>11477</v>
      </c>
      <c r="H2427" s="106"/>
      <c r="I2427" s="106"/>
      <c r="L2427" s="143">
        <v>45579</v>
      </c>
      <c r="M2427" s="106">
        <v>1512.9</v>
      </c>
      <c r="N2427" s="106">
        <v>1533.55</v>
      </c>
      <c r="O2427" s="106">
        <v>1503</v>
      </c>
      <c r="P2427" s="106">
        <v>1525</v>
      </c>
      <c r="Q2427" s="106">
        <v>1512.9</v>
      </c>
      <c r="R2427">
        <v>507730</v>
      </c>
    </row>
    <row r="2428" spans="1:18" x14ac:dyDescent="0.25">
      <c r="A2428" s="143">
        <v>45580</v>
      </c>
      <c r="B2428" s="106">
        <v>1532.65</v>
      </c>
      <c r="C2428" s="106">
        <v>1503.7</v>
      </c>
      <c r="D2428" s="106">
        <v>1491.05</v>
      </c>
      <c r="E2428" s="106">
        <v>1532.65</v>
      </c>
      <c r="F2428" s="106">
        <v>1503.7</v>
      </c>
      <c r="G2428">
        <v>12849</v>
      </c>
      <c r="H2428" s="106"/>
      <c r="I2428" s="106"/>
      <c r="L2428" s="143">
        <v>45580</v>
      </c>
      <c r="M2428" s="106">
        <v>1503.05</v>
      </c>
      <c r="N2428" s="106">
        <v>1524.7</v>
      </c>
      <c r="O2428" s="106">
        <v>1491.15</v>
      </c>
      <c r="P2428" s="106">
        <v>1524</v>
      </c>
      <c r="Q2428" s="106">
        <v>1503.05</v>
      </c>
      <c r="R2428">
        <v>1372341</v>
      </c>
    </row>
    <row r="2429" spans="1:18" x14ac:dyDescent="0.25">
      <c r="A2429" s="143">
        <v>45581</v>
      </c>
      <c r="B2429" s="106">
        <v>1510.7</v>
      </c>
      <c r="C2429" s="106">
        <v>1484.9</v>
      </c>
      <c r="D2429" s="106">
        <v>1474.5</v>
      </c>
      <c r="E2429" s="106">
        <v>1504.35</v>
      </c>
      <c r="F2429" s="106">
        <v>1484.9</v>
      </c>
      <c r="G2429">
        <v>12132</v>
      </c>
      <c r="H2429" s="106"/>
      <c r="I2429" s="106"/>
      <c r="L2429" s="143">
        <v>45581</v>
      </c>
      <c r="M2429" s="106">
        <v>1485.2</v>
      </c>
      <c r="N2429" s="106">
        <v>1509.65</v>
      </c>
      <c r="O2429" s="106">
        <v>1474.45</v>
      </c>
      <c r="P2429" s="106">
        <v>1501.95</v>
      </c>
      <c r="Q2429" s="106">
        <v>1485.2</v>
      </c>
      <c r="R2429">
        <v>942953</v>
      </c>
    </row>
    <row r="2430" spans="1:18" x14ac:dyDescent="0.25">
      <c r="A2430" s="143">
        <v>45582</v>
      </c>
      <c r="B2430" s="106">
        <v>1494.25</v>
      </c>
      <c r="C2430" s="106">
        <v>1456.3</v>
      </c>
      <c r="D2430" s="106">
        <v>1449</v>
      </c>
      <c r="E2430" s="106">
        <v>1484.9</v>
      </c>
      <c r="F2430" s="106">
        <v>1456.3</v>
      </c>
      <c r="G2430">
        <v>10432</v>
      </c>
      <c r="H2430" s="106"/>
      <c r="I2430" s="106"/>
      <c r="L2430" s="143">
        <v>45582</v>
      </c>
      <c r="M2430" s="106">
        <v>1456.55</v>
      </c>
      <c r="N2430" s="106">
        <v>1495.5</v>
      </c>
      <c r="O2430" s="106">
        <v>1448.35</v>
      </c>
      <c r="P2430" s="106">
        <v>1485.25</v>
      </c>
      <c r="Q2430" s="106">
        <v>1456.55</v>
      </c>
      <c r="R2430">
        <v>1585872</v>
      </c>
    </row>
    <row r="2431" spans="1:18" x14ac:dyDescent="0.25">
      <c r="A2431" s="143">
        <v>45583</v>
      </c>
      <c r="B2431" s="106">
        <v>1466.9</v>
      </c>
      <c r="C2431" s="106">
        <v>1461.55</v>
      </c>
      <c r="D2431" s="106">
        <v>1433.05</v>
      </c>
      <c r="E2431" s="106">
        <v>1445</v>
      </c>
      <c r="F2431" s="106">
        <v>1461.55</v>
      </c>
      <c r="G2431">
        <v>7365</v>
      </c>
      <c r="H2431" s="106"/>
      <c r="I2431" s="106"/>
      <c r="L2431" s="143">
        <v>45583</v>
      </c>
      <c r="M2431" s="106">
        <v>1460.3</v>
      </c>
      <c r="N2431" s="106">
        <v>1468.25</v>
      </c>
      <c r="O2431" s="106">
        <v>1427.5</v>
      </c>
      <c r="P2431" s="106">
        <v>1443.1</v>
      </c>
      <c r="Q2431" s="106">
        <v>1460.3</v>
      </c>
      <c r="R2431">
        <v>847463</v>
      </c>
    </row>
    <row r="2432" spans="1:18" x14ac:dyDescent="0.25">
      <c r="A2432" s="143">
        <v>45586</v>
      </c>
      <c r="B2432" s="106">
        <v>1476.55</v>
      </c>
      <c r="C2432" s="106">
        <v>1439.15</v>
      </c>
      <c r="D2432" s="106">
        <v>1436.7</v>
      </c>
      <c r="E2432" s="106">
        <v>1464.3</v>
      </c>
      <c r="F2432" s="106">
        <v>1439.15</v>
      </c>
      <c r="G2432">
        <v>11089</v>
      </c>
      <c r="H2432" s="106"/>
      <c r="I2432" s="106"/>
      <c r="L2432" s="143">
        <v>45586</v>
      </c>
      <c r="M2432" s="106">
        <v>1438.7</v>
      </c>
      <c r="N2432" s="106">
        <v>1476.7</v>
      </c>
      <c r="O2432" s="106">
        <v>1434.85</v>
      </c>
      <c r="P2432" s="106">
        <v>1461</v>
      </c>
      <c r="Q2432" s="106">
        <v>1438.7</v>
      </c>
      <c r="R2432">
        <v>547781</v>
      </c>
    </row>
    <row r="2433" spans="1:18" x14ac:dyDescent="0.25">
      <c r="A2433" s="143">
        <v>45587</v>
      </c>
      <c r="B2433" s="106">
        <v>1456.9</v>
      </c>
      <c r="C2433" s="106">
        <v>1411.85</v>
      </c>
      <c r="D2433" s="106">
        <v>1405.25</v>
      </c>
      <c r="E2433" s="106">
        <v>1440.15</v>
      </c>
      <c r="F2433" s="106">
        <v>1411.85</v>
      </c>
      <c r="G2433">
        <v>19573</v>
      </c>
      <c r="H2433" s="106"/>
      <c r="I2433" s="106"/>
      <c r="L2433" s="143">
        <v>45587</v>
      </c>
      <c r="M2433" s="106">
        <v>1411.2</v>
      </c>
      <c r="N2433" s="106">
        <v>1457.95</v>
      </c>
      <c r="O2433" s="106">
        <v>1405.6</v>
      </c>
      <c r="P2433" s="106">
        <v>1444.8</v>
      </c>
      <c r="Q2433" s="106">
        <v>1411.2</v>
      </c>
      <c r="R2433">
        <v>1288147</v>
      </c>
    </row>
    <row r="2434" spans="1:18" x14ac:dyDescent="0.25">
      <c r="A2434" s="143">
        <v>45588</v>
      </c>
      <c r="B2434" s="106">
        <v>1430.35</v>
      </c>
      <c r="C2434" s="106">
        <v>1409.7</v>
      </c>
      <c r="D2434" s="106">
        <v>1385.5</v>
      </c>
      <c r="E2434" s="106">
        <v>1415.2</v>
      </c>
      <c r="F2434" s="106">
        <v>1409.7</v>
      </c>
      <c r="G2434">
        <v>57150</v>
      </c>
      <c r="H2434" s="106"/>
      <c r="I2434" s="106"/>
      <c r="L2434" s="143">
        <v>45588</v>
      </c>
      <c r="M2434" s="106">
        <v>1406.7</v>
      </c>
      <c r="N2434" s="106">
        <v>1430.15</v>
      </c>
      <c r="O2434" s="106">
        <v>1386</v>
      </c>
      <c r="P2434" s="106">
        <v>1411</v>
      </c>
      <c r="Q2434" s="106">
        <v>1406.7</v>
      </c>
      <c r="R2434">
        <v>1310995</v>
      </c>
    </row>
    <row r="2435" spans="1:18" x14ac:dyDescent="0.25">
      <c r="A2435" s="143">
        <v>45589</v>
      </c>
      <c r="B2435" s="106">
        <v>1414.95</v>
      </c>
      <c r="C2435" s="106">
        <v>1387.2</v>
      </c>
      <c r="D2435" s="106">
        <v>1382.4</v>
      </c>
      <c r="E2435" s="106">
        <v>1409.7</v>
      </c>
      <c r="F2435" s="106">
        <v>1387.2</v>
      </c>
      <c r="G2435">
        <v>16289</v>
      </c>
      <c r="H2435" s="106"/>
      <c r="I2435" s="106"/>
      <c r="L2435" s="143">
        <v>45589</v>
      </c>
      <c r="M2435" s="106">
        <v>1386.15</v>
      </c>
      <c r="N2435" s="106">
        <v>1417</v>
      </c>
      <c r="O2435" s="106">
        <v>1350.65</v>
      </c>
      <c r="P2435" s="106">
        <v>1415</v>
      </c>
      <c r="Q2435" s="106">
        <v>1386.15</v>
      </c>
      <c r="R2435">
        <v>825792</v>
      </c>
    </row>
    <row r="2436" spans="1:18" x14ac:dyDescent="0.25">
      <c r="A2436" s="143">
        <v>45590</v>
      </c>
      <c r="B2436" s="106">
        <v>1421</v>
      </c>
      <c r="C2436" s="106">
        <v>1374.6</v>
      </c>
      <c r="D2436" s="106">
        <v>1342.9</v>
      </c>
      <c r="E2436" s="106">
        <v>1388.55</v>
      </c>
      <c r="F2436" s="106">
        <v>1374.6</v>
      </c>
      <c r="G2436">
        <v>62603</v>
      </c>
      <c r="H2436" s="106"/>
      <c r="I2436" s="106"/>
      <c r="L2436" s="143">
        <v>45590</v>
      </c>
      <c r="M2436" s="106">
        <v>1372.2</v>
      </c>
      <c r="N2436" s="106">
        <v>1432.85</v>
      </c>
      <c r="O2436" s="106">
        <v>1342.05</v>
      </c>
      <c r="P2436" s="106">
        <v>1395</v>
      </c>
      <c r="Q2436" s="106">
        <v>1372.2</v>
      </c>
      <c r="R2436">
        <v>1708841</v>
      </c>
    </row>
    <row r="2437" spans="1:18" x14ac:dyDescent="0.25">
      <c r="A2437" s="143">
        <v>45593</v>
      </c>
      <c r="B2437" s="106">
        <v>1381.95</v>
      </c>
      <c r="C2437" s="106">
        <v>1279.8499999999999</v>
      </c>
      <c r="D2437" s="106">
        <v>1271.45</v>
      </c>
      <c r="E2437" s="106">
        <v>1380.2</v>
      </c>
      <c r="F2437" s="106">
        <v>1279.8499999999999</v>
      </c>
      <c r="G2437">
        <v>107387</v>
      </c>
      <c r="H2437" s="106"/>
      <c r="I2437" s="106"/>
      <c r="L2437" s="143">
        <v>45593</v>
      </c>
      <c r="M2437" s="106">
        <v>1280.3499999999999</v>
      </c>
      <c r="N2437" s="106">
        <v>1383.95</v>
      </c>
      <c r="O2437" s="106">
        <v>1271</v>
      </c>
      <c r="P2437" s="106">
        <v>1383.95</v>
      </c>
      <c r="Q2437" s="106">
        <v>1280.3499999999999</v>
      </c>
      <c r="R2437">
        <v>5699062</v>
      </c>
    </row>
    <row r="2438" spans="1:18" x14ac:dyDescent="0.25">
      <c r="A2438" s="143">
        <v>45594</v>
      </c>
      <c r="B2438" s="106">
        <v>1297.45</v>
      </c>
      <c r="C2438" s="106">
        <v>1292.05</v>
      </c>
      <c r="D2438" s="106">
        <v>1266</v>
      </c>
      <c r="E2438" s="106">
        <v>1290</v>
      </c>
      <c r="F2438" s="106">
        <v>1292.05</v>
      </c>
      <c r="G2438">
        <v>50312</v>
      </c>
      <c r="H2438" s="106"/>
      <c r="I2438" s="106"/>
      <c r="L2438" s="143">
        <v>45594</v>
      </c>
      <c r="M2438" s="106">
        <v>1292.4000000000001</v>
      </c>
      <c r="N2438" s="106">
        <v>1296.8</v>
      </c>
      <c r="O2438" s="106">
        <v>1264.6500000000001</v>
      </c>
      <c r="P2438" s="106">
        <v>1289.9000000000001</v>
      </c>
      <c r="Q2438" s="106">
        <v>1292.4000000000001</v>
      </c>
      <c r="R2438">
        <v>5601418</v>
      </c>
    </row>
    <row r="2439" spans="1:18" x14ac:dyDescent="0.25">
      <c r="A2439" s="143">
        <v>45595</v>
      </c>
      <c r="B2439" s="106">
        <v>1291.95</v>
      </c>
      <c r="C2439" s="106">
        <v>1274.5</v>
      </c>
      <c r="D2439" s="106">
        <v>1266.8</v>
      </c>
      <c r="E2439" s="106">
        <v>1291.95</v>
      </c>
      <c r="F2439" s="106">
        <v>1274.5</v>
      </c>
      <c r="G2439">
        <v>21596</v>
      </c>
      <c r="H2439" s="106"/>
      <c r="I2439" s="106"/>
      <c r="L2439" s="143">
        <v>45595</v>
      </c>
      <c r="M2439" s="106">
        <v>1274.5</v>
      </c>
      <c r="N2439" s="106">
        <v>1295.7</v>
      </c>
      <c r="O2439" s="106">
        <v>1265.1500000000001</v>
      </c>
      <c r="P2439" s="106">
        <v>1280.2</v>
      </c>
      <c r="Q2439" s="106">
        <v>1274.5</v>
      </c>
      <c r="R2439">
        <v>1458435</v>
      </c>
    </row>
    <row r="2440" spans="1:18" x14ac:dyDescent="0.25">
      <c r="A2440" s="143">
        <v>45596</v>
      </c>
      <c r="B2440" s="106">
        <v>1289.55</v>
      </c>
      <c r="C2440" s="106">
        <v>1272.95</v>
      </c>
      <c r="D2440" s="106">
        <v>1251.8499999999999</v>
      </c>
      <c r="E2440" s="106">
        <v>1289.55</v>
      </c>
      <c r="F2440" s="106">
        <v>1272.95</v>
      </c>
      <c r="G2440">
        <v>22064</v>
      </c>
      <c r="H2440" s="106"/>
      <c r="I2440" s="106"/>
      <c r="L2440" s="143">
        <v>45596</v>
      </c>
      <c r="M2440" s="106">
        <v>1272.75</v>
      </c>
      <c r="N2440" s="106">
        <v>1290</v>
      </c>
      <c r="O2440" s="106">
        <v>1251.5</v>
      </c>
      <c r="P2440" s="106">
        <v>1281.8</v>
      </c>
      <c r="Q2440" s="106">
        <v>1272.75</v>
      </c>
      <c r="R2440">
        <v>1297605</v>
      </c>
    </row>
    <row r="2441" spans="1:18" x14ac:dyDescent="0.25">
      <c r="A2441" s="143">
        <v>45597</v>
      </c>
      <c r="B2441" s="106">
        <v>1292.95</v>
      </c>
      <c r="C2441" s="106">
        <v>1284.0999999999999</v>
      </c>
      <c r="D2441" s="106">
        <v>1279.05</v>
      </c>
      <c r="E2441" s="106">
        <v>1292.95</v>
      </c>
      <c r="F2441" s="106">
        <v>1284.0999999999999</v>
      </c>
      <c r="G2441">
        <v>11948</v>
      </c>
      <c r="H2441" s="106"/>
      <c r="I2441" s="106"/>
      <c r="L2441" s="143">
        <v>45597</v>
      </c>
      <c r="M2441" s="106">
        <v>1283.2</v>
      </c>
      <c r="N2441" s="106">
        <v>1290.55</v>
      </c>
      <c r="O2441" s="106">
        <v>1279</v>
      </c>
      <c r="P2441" s="106">
        <v>1290.55</v>
      </c>
      <c r="Q2441" s="106">
        <v>1283.2</v>
      </c>
      <c r="R2441">
        <v>98256</v>
      </c>
    </row>
    <row r="2442" spans="1:18" x14ac:dyDescent="0.25">
      <c r="A2442" s="143">
        <v>45600</v>
      </c>
      <c r="B2442" s="106">
        <v>1292</v>
      </c>
      <c r="C2442" s="106">
        <v>1251.0999999999999</v>
      </c>
      <c r="D2442" s="106">
        <v>1248.3</v>
      </c>
      <c r="E2442" s="106">
        <v>1292</v>
      </c>
      <c r="F2442" s="106">
        <v>1251.0999999999999</v>
      </c>
      <c r="G2442">
        <v>28191</v>
      </c>
      <c r="H2442" s="106"/>
      <c r="I2442" s="106"/>
      <c r="L2442" s="143">
        <v>45600</v>
      </c>
      <c r="M2442" s="106">
        <v>1251.25</v>
      </c>
      <c r="N2442" s="106">
        <v>1291</v>
      </c>
      <c r="O2442" s="106">
        <v>1248.3</v>
      </c>
      <c r="P2442" s="106">
        <v>1291</v>
      </c>
      <c r="Q2442" s="106">
        <v>1251.25</v>
      </c>
      <c r="R2442">
        <v>1323470</v>
      </c>
    </row>
    <row r="2443" spans="1:18" x14ac:dyDescent="0.25">
      <c r="A2443" s="143">
        <v>45601</v>
      </c>
      <c r="B2443" s="106">
        <v>1289.8499999999999</v>
      </c>
      <c r="C2443" s="106">
        <v>1283.8</v>
      </c>
      <c r="D2443" s="106">
        <v>1222</v>
      </c>
      <c r="E2443" s="106">
        <v>1249.55</v>
      </c>
      <c r="F2443" s="106">
        <v>1283.8</v>
      </c>
      <c r="G2443">
        <v>30227</v>
      </c>
      <c r="H2443" s="106"/>
      <c r="I2443" s="106"/>
      <c r="L2443" s="143">
        <v>45601</v>
      </c>
      <c r="M2443" s="106">
        <v>1283</v>
      </c>
      <c r="N2443" s="106">
        <v>1290.9000000000001</v>
      </c>
      <c r="O2443" s="106">
        <v>1221.0999999999999</v>
      </c>
      <c r="P2443" s="106">
        <v>1242.1500000000001</v>
      </c>
      <c r="Q2443" s="106">
        <v>1283</v>
      </c>
      <c r="R2443">
        <v>2322459</v>
      </c>
    </row>
    <row r="2444" spans="1:18" x14ac:dyDescent="0.25">
      <c r="A2444" s="143">
        <v>45602</v>
      </c>
      <c r="B2444" s="106">
        <v>1307.05</v>
      </c>
      <c r="C2444" s="106">
        <v>1304.45</v>
      </c>
      <c r="D2444" s="106">
        <v>1276.5</v>
      </c>
      <c r="E2444" s="106">
        <v>1289.7</v>
      </c>
      <c r="F2444" s="106">
        <v>1304.45</v>
      </c>
      <c r="G2444">
        <v>23371</v>
      </c>
      <c r="H2444" s="106"/>
      <c r="I2444" s="106"/>
      <c r="L2444" s="143">
        <v>45602</v>
      </c>
      <c r="M2444" s="106">
        <v>1304.55</v>
      </c>
      <c r="N2444" s="106">
        <v>1307.7</v>
      </c>
      <c r="O2444" s="106">
        <v>1275.4000000000001</v>
      </c>
      <c r="P2444" s="106">
        <v>1285</v>
      </c>
      <c r="Q2444" s="106">
        <v>1304.55</v>
      </c>
      <c r="R2444">
        <v>1220646</v>
      </c>
    </row>
    <row r="2445" spans="1:18" x14ac:dyDescent="0.25">
      <c r="A2445" s="143">
        <v>45603</v>
      </c>
      <c r="B2445" s="106">
        <v>1304.55</v>
      </c>
      <c r="C2445" s="106">
        <v>1282.8</v>
      </c>
      <c r="D2445" s="106">
        <v>1267</v>
      </c>
      <c r="E2445" s="106">
        <v>1304.5</v>
      </c>
      <c r="F2445" s="106">
        <v>1282.8</v>
      </c>
      <c r="G2445">
        <v>10359</v>
      </c>
      <c r="H2445" s="106"/>
      <c r="I2445" s="106"/>
      <c r="L2445" s="143">
        <v>45603</v>
      </c>
      <c r="M2445" s="106">
        <v>1283</v>
      </c>
      <c r="N2445" s="106">
        <v>1320</v>
      </c>
      <c r="O2445" s="106">
        <v>1267</v>
      </c>
      <c r="P2445" s="106">
        <v>1307</v>
      </c>
      <c r="Q2445" s="106">
        <v>1283</v>
      </c>
      <c r="R2445">
        <v>882788</v>
      </c>
    </row>
    <row r="2446" spans="1:18" x14ac:dyDescent="0.25">
      <c r="A2446" s="143">
        <v>45604</v>
      </c>
      <c r="B2446" s="106">
        <v>1292</v>
      </c>
      <c r="C2446" s="106">
        <v>1260.0999999999999</v>
      </c>
      <c r="D2446" s="106">
        <v>1257.05</v>
      </c>
      <c r="E2446" s="106">
        <v>1274.05</v>
      </c>
      <c r="F2446" s="106">
        <v>1260.0999999999999</v>
      </c>
      <c r="G2446">
        <v>40534</v>
      </c>
      <c r="H2446" s="106"/>
      <c r="I2446" s="106"/>
      <c r="L2446" s="143">
        <v>45604</v>
      </c>
      <c r="M2446" s="106">
        <v>1260.7</v>
      </c>
      <c r="N2446" s="106">
        <v>1293</v>
      </c>
      <c r="O2446" s="106">
        <v>1255.3</v>
      </c>
      <c r="P2446" s="106">
        <v>1281</v>
      </c>
      <c r="Q2446" s="106">
        <v>1260.7</v>
      </c>
      <c r="R2446">
        <v>989468</v>
      </c>
    </row>
    <row r="2447" spans="1:18" x14ac:dyDescent="0.25">
      <c r="A2447" s="143">
        <v>45607</v>
      </c>
      <c r="B2447" s="106">
        <v>1271.9000000000001</v>
      </c>
      <c r="C2447" s="106">
        <v>1261.8</v>
      </c>
      <c r="D2447" s="106">
        <v>1245.05</v>
      </c>
      <c r="E2447" s="106">
        <v>1265</v>
      </c>
      <c r="F2447" s="106">
        <v>1261.8</v>
      </c>
      <c r="G2447">
        <v>22754</v>
      </c>
      <c r="H2447" s="106"/>
      <c r="I2447" s="106"/>
      <c r="L2447" s="143">
        <v>45607</v>
      </c>
      <c r="M2447" s="106">
        <v>1262.55</v>
      </c>
      <c r="N2447" s="106">
        <v>1273</v>
      </c>
      <c r="O2447" s="106">
        <v>1244.8499999999999</v>
      </c>
      <c r="P2447" s="106">
        <v>1263</v>
      </c>
      <c r="Q2447" s="106">
        <v>1262.55</v>
      </c>
      <c r="R2447">
        <v>527465</v>
      </c>
    </row>
    <row r="2448" spans="1:18" x14ac:dyDescent="0.25">
      <c r="A2448" s="143">
        <v>45608</v>
      </c>
      <c r="B2448" s="106">
        <v>1277.1500000000001</v>
      </c>
      <c r="C2448" s="106">
        <v>1239.9000000000001</v>
      </c>
      <c r="D2448" s="106">
        <v>1236.5</v>
      </c>
      <c r="E2448" s="106">
        <v>1275</v>
      </c>
      <c r="F2448" s="106">
        <v>1239.9000000000001</v>
      </c>
      <c r="G2448">
        <v>10942</v>
      </c>
      <c r="H2448" s="106"/>
      <c r="I2448" s="106"/>
      <c r="L2448" s="143">
        <v>45608</v>
      </c>
      <c r="M2448" s="106">
        <v>1239.75</v>
      </c>
      <c r="N2448" s="106">
        <v>1278.3499999999999</v>
      </c>
      <c r="O2448" s="106">
        <v>1235.75</v>
      </c>
      <c r="P2448" s="106">
        <v>1269</v>
      </c>
      <c r="Q2448" s="106">
        <v>1239.75</v>
      </c>
      <c r="R2448">
        <v>1006239</v>
      </c>
    </row>
    <row r="2449" spans="1:18" x14ac:dyDescent="0.25">
      <c r="A2449" s="143">
        <v>45609</v>
      </c>
      <c r="B2449" s="106">
        <v>1239.3</v>
      </c>
      <c r="C2449" s="106">
        <v>1204.3499999999999</v>
      </c>
      <c r="D2449" s="106">
        <v>1195.1500000000001</v>
      </c>
      <c r="E2449" s="106">
        <v>1225.05</v>
      </c>
      <c r="F2449" s="106">
        <v>1204.3499999999999</v>
      </c>
      <c r="G2449">
        <v>33288</v>
      </c>
      <c r="H2449" s="106"/>
      <c r="I2449" s="106"/>
      <c r="L2449" s="143">
        <v>45609</v>
      </c>
      <c r="M2449" s="106">
        <v>1205.05</v>
      </c>
      <c r="N2449" s="106">
        <v>1250</v>
      </c>
      <c r="O2449" s="106">
        <v>1195</v>
      </c>
      <c r="P2449" s="106">
        <v>1225.45</v>
      </c>
      <c r="Q2449" s="106">
        <v>1205.05</v>
      </c>
      <c r="R2449">
        <v>1989571</v>
      </c>
    </row>
    <row r="2450" spans="1:18" x14ac:dyDescent="0.25">
      <c r="A2450" s="143">
        <v>45610</v>
      </c>
      <c r="B2450" s="106">
        <v>1212.9000000000001</v>
      </c>
      <c r="C2450" s="106">
        <v>1206.45</v>
      </c>
      <c r="D2450" s="106">
        <v>1181.25</v>
      </c>
      <c r="E2450" s="106">
        <v>1204.3499999999999</v>
      </c>
      <c r="F2450" s="106">
        <v>1206.45</v>
      </c>
      <c r="G2450">
        <v>17518</v>
      </c>
      <c r="H2450" s="106"/>
      <c r="I2450" s="106"/>
      <c r="L2450" s="143">
        <v>45610</v>
      </c>
      <c r="M2450" s="106">
        <v>1205.7</v>
      </c>
      <c r="N2450" s="106">
        <v>1215</v>
      </c>
      <c r="O2450" s="106">
        <v>1181.1500000000001</v>
      </c>
      <c r="P2450" s="106">
        <v>1201</v>
      </c>
      <c r="Q2450" s="106">
        <v>1205.7</v>
      </c>
      <c r="R2450">
        <v>1443941</v>
      </c>
    </row>
    <row r="2451" spans="1:18" x14ac:dyDescent="0.25">
      <c r="A2451" s="143">
        <v>45614</v>
      </c>
      <c r="B2451" s="106">
        <v>1253.5</v>
      </c>
      <c r="C2451" s="106">
        <v>1242.0999999999999</v>
      </c>
      <c r="D2451" s="106">
        <v>1206.5999999999999</v>
      </c>
      <c r="E2451" s="106">
        <v>1206.5999999999999</v>
      </c>
      <c r="F2451" s="106">
        <v>1242.0999999999999</v>
      </c>
      <c r="G2451">
        <v>44324</v>
      </c>
      <c r="H2451" s="106"/>
      <c r="I2451" s="106"/>
      <c r="L2451" s="143">
        <v>45614</v>
      </c>
      <c r="M2451" s="106">
        <v>1242.8</v>
      </c>
      <c r="N2451" s="106">
        <v>1253.8</v>
      </c>
      <c r="O2451" s="106">
        <v>1207.3</v>
      </c>
      <c r="P2451" s="106">
        <v>1211.75</v>
      </c>
      <c r="Q2451" s="106">
        <v>1242.8</v>
      </c>
      <c r="R2451">
        <v>1661116</v>
      </c>
    </row>
    <row r="2452" spans="1:18" x14ac:dyDescent="0.25">
      <c r="A2452" s="143">
        <v>45615</v>
      </c>
      <c r="B2452" s="106">
        <v>1254.4000000000001</v>
      </c>
      <c r="C2452" s="106">
        <v>1235.0999999999999</v>
      </c>
      <c r="D2452" s="106">
        <v>1222</v>
      </c>
      <c r="E2452" s="106">
        <v>1242.1500000000001</v>
      </c>
      <c r="F2452" s="106">
        <v>1235.0999999999999</v>
      </c>
      <c r="G2452">
        <v>10519</v>
      </c>
      <c r="H2452" s="106"/>
      <c r="I2452" s="106"/>
      <c r="L2452" s="143">
        <v>45615</v>
      </c>
      <c r="M2452" s="106">
        <v>1236</v>
      </c>
      <c r="N2452" s="106">
        <v>1254.25</v>
      </c>
      <c r="O2452" s="106">
        <v>1221.05</v>
      </c>
      <c r="P2452" s="106">
        <v>1243.75</v>
      </c>
      <c r="Q2452" s="106">
        <v>1236</v>
      </c>
      <c r="R2452">
        <v>1793763</v>
      </c>
    </row>
    <row r="2453" spans="1:18" x14ac:dyDescent="0.25">
      <c r="A2453" s="143">
        <v>45617</v>
      </c>
      <c r="B2453" s="106">
        <v>1231.3</v>
      </c>
      <c r="C2453" s="106">
        <v>1204.9000000000001</v>
      </c>
      <c r="D2453" s="106">
        <v>1202.0999999999999</v>
      </c>
      <c r="E2453" s="106">
        <v>1225</v>
      </c>
      <c r="F2453" s="106">
        <v>1204.9000000000001</v>
      </c>
      <c r="G2453">
        <v>9383</v>
      </c>
      <c r="H2453" s="106"/>
      <c r="I2453" s="106"/>
      <c r="L2453" s="143">
        <v>45617</v>
      </c>
      <c r="M2453" s="106">
        <v>1204.9000000000001</v>
      </c>
      <c r="N2453" s="106">
        <v>1236</v>
      </c>
      <c r="O2453" s="106">
        <v>1202.5</v>
      </c>
      <c r="P2453" s="106">
        <v>1230.5</v>
      </c>
      <c r="Q2453" s="106">
        <v>1204.9000000000001</v>
      </c>
      <c r="R2453">
        <v>2224943</v>
      </c>
    </row>
    <row r="2454" spans="1:18" x14ac:dyDescent="0.25">
      <c r="A2454" s="143">
        <v>45618</v>
      </c>
      <c r="B2454" s="106">
        <v>1219.3</v>
      </c>
      <c r="C2454" s="106">
        <v>1209.55</v>
      </c>
      <c r="D2454" s="106">
        <v>1188</v>
      </c>
      <c r="E2454" s="106">
        <v>1200</v>
      </c>
      <c r="F2454" s="106">
        <v>1209.55</v>
      </c>
      <c r="G2454">
        <v>17346</v>
      </c>
      <c r="H2454" s="106"/>
      <c r="I2454" s="106"/>
      <c r="L2454" s="143">
        <v>45618</v>
      </c>
      <c r="M2454" s="106">
        <v>1208.4000000000001</v>
      </c>
      <c r="N2454" s="106">
        <v>1219.4000000000001</v>
      </c>
      <c r="O2454" s="106">
        <v>1185</v>
      </c>
      <c r="P2454" s="106">
        <v>1185</v>
      </c>
      <c r="Q2454" s="106">
        <v>1208.4000000000001</v>
      </c>
      <c r="R2454">
        <v>2785943</v>
      </c>
    </row>
    <row r="2455" spans="1:18" x14ac:dyDescent="0.25">
      <c r="A2455" s="143">
        <v>45621</v>
      </c>
      <c r="B2455" s="106">
        <v>1260.8</v>
      </c>
      <c r="C2455" s="106">
        <v>1240.8499999999999</v>
      </c>
      <c r="D2455" s="106">
        <v>1233.1500000000001</v>
      </c>
      <c r="E2455" s="106">
        <v>1244</v>
      </c>
      <c r="F2455" s="106">
        <v>1240.8499999999999</v>
      </c>
      <c r="G2455">
        <v>40091</v>
      </c>
      <c r="H2455" s="106"/>
      <c r="I2455" s="106"/>
      <c r="L2455" s="143">
        <v>45621</v>
      </c>
      <c r="M2455" s="106">
        <v>1239.9000000000001</v>
      </c>
      <c r="N2455" s="106">
        <v>1263.0999999999999</v>
      </c>
      <c r="O2455" s="106">
        <v>1230.8499999999999</v>
      </c>
      <c r="P2455" s="106">
        <v>1252</v>
      </c>
      <c r="Q2455" s="106">
        <v>1239.9000000000001</v>
      </c>
      <c r="R2455">
        <v>2851902</v>
      </c>
    </row>
    <row r="2456" spans="1:18" x14ac:dyDescent="0.25">
      <c r="A2456" s="143">
        <v>45622</v>
      </c>
      <c r="B2456" s="106">
        <v>1280</v>
      </c>
      <c r="C2456" s="106">
        <v>1264.6500000000001</v>
      </c>
      <c r="D2456" s="106">
        <v>1232.5999999999999</v>
      </c>
      <c r="E2456" s="106">
        <v>1244.95</v>
      </c>
      <c r="F2456" s="106">
        <v>1264.6500000000001</v>
      </c>
      <c r="G2456">
        <v>33711</v>
      </c>
      <c r="H2456" s="106"/>
      <c r="I2456" s="106"/>
      <c r="L2456" s="143">
        <v>45622</v>
      </c>
      <c r="M2456" s="106">
        <v>1265.45</v>
      </c>
      <c r="N2456" s="106">
        <v>1280.55</v>
      </c>
      <c r="O2456" s="106">
        <v>1232.8499999999999</v>
      </c>
      <c r="P2456" s="106">
        <v>1239.9000000000001</v>
      </c>
      <c r="Q2456" s="106">
        <v>1265.45</v>
      </c>
      <c r="R2456">
        <v>1163794</v>
      </c>
    </row>
    <row r="2457" spans="1:18" x14ac:dyDescent="0.25">
      <c r="A2457" s="143">
        <v>45623</v>
      </c>
      <c r="B2457" s="106">
        <v>1291</v>
      </c>
      <c r="C2457" s="106">
        <v>1279.0999999999999</v>
      </c>
      <c r="D2457" s="106">
        <v>1260.8</v>
      </c>
      <c r="E2457" s="106">
        <v>1264</v>
      </c>
      <c r="F2457" s="106">
        <v>1279.0999999999999</v>
      </c>
      <c r="G2457">
        <v>14052</v>
      </c>
      <c r="H2457" s="106"/>
      <c r="I2457" s="106"/>
      <c r="L2457" s="143">
        <v>45623</v>
      </c>
      <c r="M2457" s="106">
        <v>1279.1500000000001</v>
      </c>
      <c r="N2457" s="106">
        <v>1292</v>
      </c>
      <c r="O2457" s="106">
        <v>1258.25</v>
      </c>
      <c r="P2457" s="106">
        <v>1260</v>
      </c>
      <c r="Q2457" s="106">
        <v>1279.1500000000001</v>
      </c>
      <c r="R2457">
        <v>766225</v>
      </c>
    </row>
    <row r="2458" spans="1:18" x14ac:dyDescent="0.25">
      <c r="A2458" s="143">
        <v>45624</v>
      </c>
      <c r="B2458" s="106">
        <v>1283.9000000000001</v>
      </c>
      <c r="C2458" s="106">
        <v>1267.8499999999999</v>
      </c>
      <c r="D2458" s="106">
        <v>1259.05</v>
      </c>
      <c r="E2458" s="106">
        <v>1279</v>
      </c>
      <c r="F2458" s="106">
        <v>1267.8499999999999</v>
      </c>
      <c r="G2458">
        <v>12670</v>
      </c>
      <c r="H2458" s="106"/>
      <c r="I2458" s="106"/>
      <c r="L2458" s="143">
        <v>45624</v>
      </c>
      <c r="M2458" s="106">
        <v>1268.3499999999999</v>
      </c>
      <c r="N2458" s="106">
        <v>1284.4000000000001</v>
      </c>
      <c r="O2458" s="106">
        <v>1258.5</v>
      </c>
      <c r="P2458" s="106">
        <v>1270</v>
      </c>
      <c r="Q2458" s="106">
        <v>1268.3499999999999</v>
      </c>
      <c r="R2458">
        <v>1691315</v>
      </c>
    </row>
    <row r="2459" spans="1:18" x14ac:dyDescent="0.25">
      <c r="A2459" s="143">
        <v>45625</v>
      </c>
      <c r="B2459" s="106">
        <v>1279.95</v>
      </c>
      <c r="C2459" s="106">
        <v>1234.6500000000001</v>
      </c>
      <c r="D2459" s="106">
        <v>1229.3499999999999</v>
      </c>
      <c r="E2459" s="106">
        <v>1279.95</v>
      </c>
      <c r="F2459" s="106">
        <v>1234.6500000000001</v>
      </c>
      <c r="G2459">
        <v>58622</v>
      </c>
      <c r="H2459" s="106"/>
      <c r="I2459" s="106"/>
      <c r="L2459" s="143">
        <v>45625</v>
      </c>
      <c r="M2459" s="106">
        <v>1233.95</v>
      </c>
      <c r="N2459" s="106">
        <v>1273.95</v>
      </c>
      <c r="O2459" s="106">
        <v>1229.05</v>
      </c>
      <c r="P2459" s="106">
        <v>1269.45</v>
      </c>
      <c r="Q2459" s="106">
        <v>1233.95</v>
      </c>
      <c r="R2459">
        <v>2220045</v>
      </c>
    </row>
    <row r="2460" spans="1:18" x14ac:dyDescent="0.25">
      <c r="A2460" s="143">
        <v>45628</v>
      </c>
      <c r="B2460" s="106">
        <v>1259</v>
      </c>
      <c r="C2460" s="106">
        <v>1249.3499999999999</v>
      </c>
      <c r="D2460" s="106">
        <v>1233.5999999999999</v>
      </c>
      <c r="E2460" s="106">
        <v>1234.6500000000001</v>
      </c>
      <c r="F2460" s="106">
        <v>1249.3499999999999</v>
      </c>
      <c r="G2460">
        <v>23957</v>
      </c>
      <c r="H2460" s="106"/>
      <c r="I2460" s="106"/>
      <c r="L2460" s="143">
        <v>45628</v>
      </c>
      <c r="M2460" s="106">
        <v>1249.2</v>
      </c>
      <c r="N2460" s="106">
        <v>1259.45</v>
      </c>
      <c r="O2460" s="106">
        <v>1233.1500000000001</v>
      </c>
      <c r="P2460" s="106">
        <v>1234</v>
      </c>
      <c r="Q2460" s="106">
        <v>1249.2</v>
      </c>
      <c r="R2460">
        <v>4211650</v>
      </c>
    </row>
    <row r="2461" spans="1:18" x14ac:dyDescent="0.25">
      <c r="A2461" s="143">
        <v>45629</v>
      </c>
      <c r="B2461" s="106">
        <v>1285.5999999999999</v>
      </c>
      <c r="C2461" s="106">
        <v>1254.9000000000001</v>
      </c>
      <c r="D2461" s="106">
        <v>1248.05</v>
      </c>
      <c r="E2461" s="106">
        <v>1251.45</v>
      </c>
      <c r="F2461" s="106">
        <v>1254.9000000000001</v>
      </c>
      <c r="G2461">
        <v>29795</v>
      </c>
      <c r="H2461" s="106"/>
      <c r="I2461" s="106"/>
      <c r="L2461" s="143">
        <v>45629</v>
      </c>
      <c r="M2461" s="106">
        <v>1253.6500000000001</v>
      </c>
      <c r="N2461" s="106">
        <v>1285.55</v>
      </c>
      <c r="O2461" s="106">
        <v>1247.3499999999999</v>
      </c>
      <c r="P2461" s="106">
        <v>1257.05</v>
      </c>
      <c r="Q2461" s="106">
        <v>1253.6500000000001</v>
      </c>
      <c r="R2461">
        <v>5948984</v>
      </c>
    </row>
    <row r="2462" spans="1:18" x14ac:dyDescent="0.25">
      <c r="A2462" s="143">
        <v>45630</v>
      </c>
      <c r="B2462" s="106">
        <v>1297.9000000000001</v>
      </c>
      <c r="C2462" s="106">
        <v>1292.95</v>
      </c>
      <c r="D2462" s="106">
        <v>1256.05</v>
      </c>
      <c r="E2462" s="106">
        <v>1256.05</v>
      </c>
      <c r="F2462" s="106">
        <v>1292.95</v>
      </c>
      <c r="G2462">
        <v>32114</v>
      </c>
      <c r="H2462" s="106"/>
      <c r="I2462" s="106"/>
      <c r="L2462" s="143">
        <v>45630</v>
      </c>
      <c r="M2462" s="106">
        <v>1292.25</v>
      </c>
      <c r="N2462" s="106">
        <v>1298.3</v>
      </c>
      <c r="O2462" s="106">
        <v>1257</v>
      </c>
      <c r="P2462" s="106">
        <v>1260</v>
      </c>
      <c r="Q2462" s="106">
        <v>1292.25</v>
      </c>
      <c r="R2462">
        <v>1782673</v>
      </c>
    </row>
    <row r="2463" spans="1:18" x14ac:dyDescent="0.25">
      <c r="A2463" s="143">
        <v>45631</v>
      </c>
      <c r="B2463" s="106">
        <v>1303.25</v>
      </c>
      <c r="C2463" s="106">
        <v>1292.05</v>
      </c>
      <c r="D2463" s="106">
        <v>1278.8499999999999</v>
      </c>
      <c r="E2463" s="106">
        <v>1302.0999999999999</v>
      </c>
      <c r="F2463" s="106">
        <v>1292.05</v>
      </c>
      <c r="G2463">
        <v>28672</v>
      </c>
      <c r="H2463" s="106"/>
      <c r="I2463" s="106"/>
      <c r="L2463" s="143">
        <v>45631</v>
      </c>
      <c r="M2463" s="106">
        <v>1291.45</v>
      </c>
      <c r="N2463" s="106">
        <v>1302.6500000000001</v>
      </c>
      <c r="O2463" s="106">
        <v>1279.4000000000001</v>
      </c>
      <c r="P2463" s="106">
        <v>1300</v>
      </c>
      <c r="Q2463" s="106">
        <v>1291.45</v>
      </c>
      <c r="R2463">
        <v>903593</v>
      </c>
    </row>
    <row r="2464" spans="1:18" x14ac:dyDescent="0.25">
      <c r="A2464" s="143">
        <v>45632</v>
      </c>
      <c r="B2464" s="106">
        <v>1296.4000000000001</v>
      </c>
      <c r="C2464" s="106">
        <v>1275.25</v>
      </c>
      <c r="D2464" s="106">
        <v>1268.5</v>
      </c>
      <c r="E2464" s="106">
        <v>1292.3</v>
      </c>
      <c r="F2464" s="106">
        <v>1275.25</v>
      </c>
      <c r="G2464">
        <v>29217</v>
      </c>
      <c r="H2464" s="106"/>
      <c r="I2464" s="106"/>
      <c r="L2464" s="143">
        <v>45632</v>
      </c>
      <c r="M2464" s="106">
        <v>1275.0999999999999</v>
      </c>
      <c r="N2464" s="106">
        <v>1298.6500000000001</v>
      </c>
      <c r="O2464" s="106">
        <v>1267.75</v>
      </c>
      <c r="P2464" s="106">
        <v>1298.6500000000001</v>
      </c>
      <c r="Q2464" s="106">
        <v>1275.0999999999999</v>
      </c>
      <c r="R2464">
        <v>952010</v>
      </c>
    </row>
    <row r="2465" spans="1:18" x14ac:dyDescent="0.25">
      <c r="A2465" s="143">
        <v>45635</v>
      </c>
      <c r="B2465" s="106">
        <v>1293.4000000000001</v>
      </c>
      <c r="C2465" s="106">
        <v>1282.2</v>
      </c>
      <c r="D2465" s="106">
        <v>1270.05</v>
      </c>
      <c r="E2465" s="106">
        <v>1270.05</v>
      </c>
      <c r="F2465" s="106">
        <v>1282.2</v>
      </c>
      <c r="G2465">
        <v>20869</v>
      </c>
      <c r="H2465" s="106"/>
      <c r="I2465" s="106"/>
      <c r="L2465" s="143">
        <v>45635</v>
      </c>
      <c r="M2465" s="106">
        <v>1282.25</v>
      </c>
      <c r="N2465" s="106">
        <v>1293.4000000000001</v>
      </c>
      <c r="O2465" s="106">
        <v>1272.6500000000001</v>
      </c>
      <c r="P2465" s="106">
        <v>1275.0999999999999</v>
      </c>
      <c r="Q2465" s="106">
        <v>1282.25</v>
      </c>
      <c r="R2465">
        <v>1661864</v>
      </c>
    </row>
    <row r="2466" spans="1:18" x14ac:dyDescent="0.25">
      <c r="A2466" s="143">
        <v>45636</v>
      </c>
      <c r="B2466" s="106">
        <v>1339</v>
      </c>
      <c r="C2466" s="106">
        <v>1336.75</v>
      </c>
      <c r="D2466" s="106">
        <v>1287.8499999999999</v>
      </c>
      <c r="E2466" s="106">
        <v>1292</v>
      </c>
      <c r="F2466" s="106">
        <v>1336.75</v>
      </c>
      <c r="G2466">
        <v>44970</v>
      </c>
      <c r="H2466" s="106"/>
      <c r="I2466" s="106"/>
      <c r="L2466" s="143">
        <v>45636</v>
      </c>
      <c r="M2466" s="106">
        <v>1336.3</v>
      </c>
      <c r="N2466" s="106">
        <v>1340</v>
      </c>
      <c r="O2466" s="106">
        <v>1285</v>
      </c>
      <c r="P2466" s="106">
        <v>1292.8499999999999</v>
      </c>
      <c r="Q2466" s="106">
        <v>1336.3</v>
      </c>
      <c r="R2466">
        <v>3658637</v>
      </c>
    </row>
    <row r="2467" spans="1:18" x14ac:dyDescent="0.25">
      <c r="A2467" s="143">
        <v>45637</v>
      </c>
      <c r="B2467" s="106">
        <v>1363.55</v>
      </c>
      <c r="C2467" s="106">
        <v>1348.4</v>
      </c>
      <c r="D2467" s="106">
        <v>1332.95</v>
      </c>
      <c r="E2467" s="106">
        <v>1350</v>
      </c>
      <c r="F2467" s="106">
        <v>1348.4</v>
      </c>
      <c r="G2467">
        <v>41722</v>
      </c>
      <c r="H2467" s="106"/>
      <c r="I2467" s="106"/>
      <c r="L2467" s="143">
        <v>45637</v>
      </c>
      <c r="M2467" s="106">
        <v>1348.95</v>
      </c>
      <c r="N2467" s="106">
        <v>1364</v>
      </c>
      <c r="O2467" s="106">
        <v>1332.95</v>
      </c>
      <c r="P2467" s="106">
        <v>1349</v>
      </c>
      <c r="Q2467" s="106">
        <v>1348.95</v>
      </c>
      <c r="R2467">
        <v>2210755</v>
      </c>
    </row>
    <row r="2468" spans="1:18" x14ac:dyDescent="0.25">
      <c r="A2468" s="143">
        <v>45638</v>
      </c>
      <c r="B2468" s="106">
        <v>1354.95</v>
      </c>
      <c r="C2468" s="106">
        <v>1343.35</v>
      </c>
      <c r="D2468" s="106">
        <v>1333.45</v>
      </c>
      <c r="E2468" s="106">
        <v>1348.4</v>
      </c>
      <c r="F2468" s="106">
        <v>1343.35</v>
      </c>
      <c r="G2468">
        <v>11910</v>
      </c>
      <c r="H2468" s="106"/>
      <c r="I2468" s="106"/>
      <c r="L2468" s="143">
        <v>45638</v>
      </c>
      <c r="M2468" s="106">
        <v>1343.05</v>
      </c>
      <c r="N2468" s="106">
        <v>1355.35</v>
      </c>
      <c r="O2468" s="106">
        <v>1333.35</v>
      </c>
      <c r="P2468" s="106">
        <v>1348.5</v>
      </c>
      <c r="Q2468" s="106">
        <v>1343.05</v>
      </c>
      <c r="R2468">
        <v>748016</v>
      </c>
    </row>
    <row r="2469" spans="1:18" x14ac:dyDescent="0.25">
      <c r="A2469" s="143">
        <v>45639</v>
      </c>
      <c r="B2469" s="106">
        <v>1343</v>
      </c>
      <c r="C2469" s="106">
        <v>1305.3</v>
      </c>
      <c r="D2469" s="106">
        <v>1280.8499999999999</v>
      </c>
      <c r="E2469" s="106">
        <v>1343</v>
      </c>
      <c r="F2469" s="106">
        <v>1305.3</v>
      </c>
      <c r="G2469">
        <v>47225</v>
      </c>
      <c r="H2469" s="106"/>
      <c r="I2469" s="106"/>
      <c r="L2469" s="143">
        <v>45639</v>
      </c>
      <c r="M2469" s="106">
        <v>1304.8499999999999</v>
      </c>
      <c r="N2469" s="106">
        <v>1334.85</v>
      </c>
      <c r="O2469" s="106">
        <v>1280.7</v>
      </c>
      <c r="P2469" s="106">
        <v>1334.85</v>
      </c>
      <c r="Q2469" s="106">
        <v>1304.8499999999999</v>
      </c>
      <c r="R2469">
        <v>2013014</v>
      </c>
    </row>
    <row r="2470" spans="1:18" x14ac:dyDescent="0.25">
      <c r="A2470" s="143">
        <v>45642</v>
      </c>
      <c r="B2470" s="106">
        <v>1312.15</v>
      </c>
      <c r="C2470" s="106">
        <v>1286</v>
      </c>
      <c r="D2470" s="106">
        <v>1278</v>
      </c>
      <c r="E2470" s="106">
        <v>1305.3</v>
      </c>
      <c r="F2470" s="106">
        <v>1286</v>
      </c>
      <c r="G2470">
        <v>32099</v>
      </c>
      <c r="H2470" s="106"/>
      <c r="I2470" s="106"/>
      <c r="L2470" s="143">
        <v>45642</v>
      </c>
      <c r="M2470" s="106">
        <v>1285.7</v>
      </c>
      <c r="N2470" s="106">
        <v>1312.2</v>
      </c>
      <c r="O2470" s="106">
        <v>1278</v>
      </c>
      <c r="P2470" s="106">
        <v>1305.7</v>
      </c>
      <c r="Q2470" s="106">
        <v>1285.7</v>
      </c>
      <c r="R2470">
        <v>1951533</v>
      </c>
    </row>
    <row r="2471" spans="1:18" x14ac:dyDescent="0.25">
      <c r="A2471" s="143">
        <v>45643</v>
      </c>
      <c r="B2471" s="106">
        <v>1286.3</v>
      </c>
      <c r="C2471" s="106">
        <v>1246.0999999999999</v>
      </c>
      <c r="D2471" s="106">
        <v>1242</v>
      </c>
      <c r="E2471" s="106">
        <v>1286</v>
      </c>
      <c r="F2471" s="106">
        <v>1246.0999999999999</v>
      </c>
      <c r="G2471">
        <v>67107</v>
      </c>
      <c r="H2471" s="106"/>
      <c r="I2471" s="106"/>
      <c r="L2471" s="143">
        <v>45643</v>
      </c>
      <c r="M2471" s="106">
        <v>1246.8</v>
      </c>
      <c r="N2471" s="106">
        <v>1287.8499999999999</v>
      </c>
      <c r="O2471" s="106">
        <v>1241.05</v>
      </c>
      <c r="P2471" s="106">
        <v>1286</v>
      </c>
      <c r="Q2471" s="106">
        <v>1246.8</v>
      </c>
      <c r="R2471">
        <v>2378904</v>
      </c>
    </row>
    <row r="2472" spans="1:18" x14ac:dyDescent="0.25">
      <c r="A2472" s="143">
        <v>45644</v>
      </c>
      <c r="B2472" s="106">
        <v>1257.05</v>
      </c>
      <c r="C2472" s="106">
        <v>1242.1500000000001</v>
      </c>
      <c r="D2472" s="106">
        <v>1233.1500000000001</v>
      </c>
      <c r="E2472" s="106">
        <v>1245.05</v>
      </c>
      <c r="F2472" s="106">
        <v>1242.1500000000001</v>
      </c>
      <c r="G2472">
        <v>17585</v>
      </c>
      <c r="H2472" s="106"/>
      <c r="I2472" s="106"/>
      <c r="L2472" s="143">
        <v>45644</v>
      </c>
      <c r="M2472" s="106">
        <v>1242.75</v>
      </c>
      <c r="N2472" s="106">
        <v>1259</v>
      </c>
      <c r="O2472" s="106">
        <v>1232.7</v>
      </c>
      <c r="P2472" s="106">
        <v>1245.1500000000001</v>
      </c>
      <c r="Q2472" s="106">
        <v>1242.75</v>
      </c>
      <c r="R2472">
        <v>2196037</v>
      </c>
    </row>
    <row r="2473" spans="1:18" x14ac:dyDescent="0.25">
      <c r="A2473" s="143">
        <v>45645</v>
      </c>
      <c r="B2473" s="106">
        <v>1225.95</v>
      </c>
      <c r="C2473" s="106">
        <v>1213.45</v>
      </c>
      <c r="D2473" s="106">
        <v>1203.25</v>
      </c>
      <c r="E2473" s="106">
        <v>1212.9000000000001</v>
      </c>
      <c r="F2473" s="106">
        <v>1213.45</v>
      </c>
      <c r="G2473">
        <v>18529</v>
      </c>
      <c r="H2473" s="106"/>
      <c r="I2473" s="106"/>
      <c r="L2473" s="143">
        <v>45645</v>
      </c>
      <c r="M2473" s="106">
        <v>1213.75</v>
      </c>
      <c r="N2473" s="106">
        <v>1226.7</v>
      </c>
      <c r="O2473" s="106">
        <v>1203.25</v>
      </c>
      <c r="P2473" s="106">
        <v>1219</v>
      </c>
      <c r="Q2473" s="106">
        <v>1213.75</v>
      </c>
      <c r="R2473">
        <v>1664959</v>
      </c>
    </row>
    <row r="2474" spans="1:18" x14ac:dyDescent="0.25">
      <c r="A2474" s="143">
        <v>45646</v>
      </c>
      <c r="B2474" s="106">
        <v>1229.7</v>
      </c>
      <c r="C2474" s="106">
        <v>1188.3499999999999</v>
      </c>
      <c r="D2474" s="106">
        <v>1185</v>
      </c>
      <c r="E2474" s="106">
        <v>1225.95</v>
      </c>
      <c r="F2474" s="106">
        <v>1188.3499999999999</v>
      </c>
      <c r="G2474">
        <v>18212</v>
      </c>
      <c r="H2474" s="106"/>
      <c r="I2474" s="106"/>
      <c r="L2474" s="143">
        <v>45646</v>
      </c>
      <c r="M2474" s="106">
        <v>1189.55</v>
      </c>
      <c r="N2474" s="106">
        <v>1229.7</v>
      </c>
      <c r="O2474" s="106">
        <v>1182.8</v>
      </c>
      <c r="P2474" s="106">
        <v>1215.95</v>
      </c>
      <c r="Q2474" s="106">
        <v>1189.55</v>
      </c>
      <c r="R2474">
        <v>2300317</v>
      </c>
    </row>
    <row r="2475" spans="1:18" x14ac:dyDescent="0.25">
      <c r="A2475" s="143">
        <v>45649</v>
      </c>
      <c r="B2475" s="106">
        <v>1197</v>
      </c>
      <c r="C2475" s="106">
        <v>1171.1500000000001</v>
      </c>
      <c r="D2475" s="106">
        <v>1168.95</v>
      </c>
      <c r="E2475" s="106">
        <v>1194.95</v>
      </c>
      <c r="F2475" s="106">
        <v>1171.1500000000001</v>
      </c>
      <c r="G2475">
        <v>18731</v>
      </c>
      <c r="H2475" s="106"/>
      <c r="I2475" s="106"/>
      <c r="L2475" s="143">
        <v>45649</v>
      </c>
      <c r="M2475" s="106">
        <v>1171.0999999999999</v>
      </c>
      <c r="N2475" s="106">
        <v>1199.95</v>
      </c>
      <c r="O2475" s="106">
        <v>1168.0999999999999</v>
      </c>
      <c r="P2475" s="106">
        <v>1192.5</v>
      </c>
      <c r="Q2475" s="106">
        <v>1171.0999999999999</v>
      </c>
      <c r="R2475">
        <v>1453658</v>
      </c>
    </row>
    <row r="2476" spans="1:18" x14ac:dyDescent="0.25">
      <c r="A2476" s="143">
        <v>45650</v>
      </c>
      <c r="B2476" s="106">
        <v>1189.4000000000001</v>
      </c>
      <c r="C2476" s="106">
        <v>1185.75</v>
      </c>
      <c r="D2476" s="106">
        <v>1167.5999999999999</v>
      </c>
      <c r="E2476" s="106">
        <v>1170.0999999999999</v>
      </c>
      <c r="F2476" s="106">
        <v>1185.75</v>
      </c>
      <c r="G2476">
        <v>16489</v>
      </c>
      <c r="H2476" s="106"/>
      <c r="I2476" s="106"/>
      <c r="L2476" s="143">
        <v>45650</v>
      </c>
      <c r="M2476" s="106">
        <v>1185.45</v>
      </c>
      <c r="N2476" s="106">
        <v>1191.2</v>
      </c>
      <c r="O2476" s="106">
        <v>1168</v>
      </c>
      <c r="P2476" s="106">
        <v>1168.05</v>
      </c>
      <c r="Q2476" s="106">
        <v>1185.45</v>
      </c>
      <c r="R2476">
        <v>1124697</v>
      </c>
    </row>
    <row r="2477" spans="1:18" x14ac:dyDescent="0.25">
      <c r="A2477" s="143">
        <v>45652</v>
      </c>
      <c r="B2477" s="106">
        <v>1197.8</v>
      </c>
      <c r="C2477" s="106">
        <v>1189.25</v>
      </c>
      <c r="D2477" s="106">
        <v>1180.6500000000001</v>
      </c>
      <c r="E2477" s="106">
        <v>1194</v>
      </c>
      <c r="F2477" s="106">
        <v>1189.25</v>
      </c>
      <c r="G2477">
        <v>17545</v>
      </c>
      <c r="H2477" s="106"/>
      <c r="I2477" s="106"/>
      <c r="L2477" s="143">
        <v>45652</v>
      </c>
      <c r="M2477" s="106">
        <v>1189.3499999999999</v>
      </c>
      <c r="N2477" s="106">
        <v>1196</v>
      </c>
      <c r="O2477" s="106">
        <v>1180.6500000000001</v>
      </c>
      <c r="P2477" s="106">
        <v>1195.45</v>
      </c>
      <c r="Q2477" s="106">
        <v>1189.3499999999999</v>
      </c>
      <c r="R2477">
        <v>587018</v>
      </c>
    </row>
    <row r="2478" spans="1:18" x14ac:dyDescent="0.25">
      <c r="A2478" s="143">
        <v>45653</v>
      </c>
      <c r="B2478" s="106">
        <v>1215.9000000000001</v>
      </c>
      <c r="C2478" s="106">
        <v>1193.5</v>
      </c>
      <c r="D2478" s="106">
        <v>1191.25</v>
      </c>
      <c r="E2478" s="106">
        <v>1197</v>
      </c>
      <c r="F2478" s="106">
        <v>1193.5</v>
      </c>
      <c r="G2478">
        <v>10257</v>
      </c>
      <c r="H2478" s="106"/>
      <c r="I2478" s="106"/>
      <c r="L2478" s="143">
        <v>45653</v>
      </c>
      <c r="M2478" s="106">
        <v>1193.8499999999999</v>
      </c>
      <c r="N2478" s="106">
        <v>1216.5999999999999</v>
      </c>
      <c r="O2478" s="106">
        <v>1190.5</v>
      </c>
      <c r="P2478" s="106">
        <v>1198.5999999999999</v>
      </c>
      <c r="Q2478" s="106">
        <v>1193.8499999999999</v>
      </c>
      <c r="R2478">
        <v>663670</v>
      </c>
    </row>
    <row r="2479" spans="1:18" x14ac:dyDescent="0.25">
      <c r="A2479" s="143">
        <v>45656</v>
      </c>
      <c r="B2479" s="106">
        <v>1232.7</v>
      </c>
      <c r="C2479" s="106">
        <v>1214.25</v>
      </c>
      <c r="D2479" s="106">
        <v>1203.7</v>
      </c>
      <c r="E2479" s="106">
        <v>1214.3499999999999</v>
      </c>
      <c r="F2479" s="106">
        <v>1214.25</v>
      </c>
      <c r="G2479">
        <v>43723</v>
      </c>
      <c r="H2479" s="106"/>
      <c r="I2479" s="106"/>
      <c r="L2479" s="143">
        <v>45656</v>
      </c>
      <c r="M2479" s="106">
        <v>1212.4000000000001</v>
      </c>
      <c r="N2479" s="106">
        <v>1232.5</v>
      </c>
      <c r="O2479" s="106">
        <v>1203.4000000000001</v>
      </c>
      <c r="P2479" s="106">
        <v>1217</v>
      </c>
      <c r="Q2479" s="106">
        <v>1212.4000000000001</v>
      </c>
      <c r="R2479">
        <v>4066946</v>
      </c>
    </row>
    <row r="2480" spans="1:18" x14ac:dyDescent="0.25">
      <c r="A2480" s="143">
        <v>45657</v>
      </c>
      <c r="B2480" s="106">
        <v>1212.95</v>
      </c>
      <c r="C2480" s="106">
        <v>1186.55</v>
      </c>
      <c r="D2480" s="106">
        <v>1182.55</v>
      </c>
      <c r="E2480" s="106">
        <v>1199.05</v>
      </c>
      <c r="F2480" s="106">
        <v>1186.55</v>
      </c>
      <c r="G2480">
        <v>25107</v>
      </c>
      <c r="H2480" s="106"/>
      <c r="I2480" s="106"/>
      <c r="L2480" s="143">
        <v>45657</v>
      </c>
      <c r="M2480" s="106">
        <v>1185.95</v>
      </c>
      <c r="N2480" s="106">
        <v>1215</v>
      </c>
      <c r="O2480" s="106">
        <v>1183</v>
      </c>
      <c r="P2480" s="106">
        <v>1200</v>
      </c>
      <c r="Q2480" s="106">
        <v>1185.95</v>
      </c>
      <c r="R2480">
        <v>1279758</v>
      </c>
    </row>
    <row r="2481" spans="1:18" x14ac:dyDescent="0.25">
      <c r="A2481" s="143">
        <v>45658</v>
      </c>
      <c r="B2481" s="106">
        <v>1199.95</v>
      </c>
      <c r="C2481" s="106">
        <v>1184.75</v>
      </c>
      <c r="D2481" s="106">
        <v>1175.6500000000001</v>
      </c>
      <c r="E2481" s="106">
        <v>1199.95</v>
      </c>
      <c r="F2481" s="106">
        <v>1184.75</v>
      </c>
      <c r="G2481">
        <v>14780</v>
      </c>
      <c r="H2481" s="106"/>
      <c r="I2481" s="106"/>
      <c r="L2481" s="143">
        <v>45658</v>
      </c>
      <c r="M2481" s="106">
        <v>1184.3499999999999</v>
      </c>
      <c r="N2481" s="106">
        <v>1194.9000000000001</v>
      </c>
      <c r="O2481" s="106">
        <v>1175.0999999999999</v>
      </c>
      <c r="P2481" s="106">
        <v>1190</v>
      </c>
      <c r="Q2481" s="106">
        <v>1184.3499999999999</v>
      </c>
      <c r="R2481">
        <v>587931</v>
      </c>
    </row>
    <row r="2482" spans="1:18" x14ac:dyDescent="0.25">
      <c r="A2482" s="143">
        <v>45659</v>
      </c>
      <c r="B2482" s="106">
        <v>1276.25</v>
      </c>
      <c r="C2482" s="106">
        <v>1271.05</v>
      </c>
      <c r="D2482" s="106">
        <v>1184</v>
      </c>
      <c r="E2482" s="106">
        <v>1185</v>
      </c>
      <c r="F2482" s="106">
        <v>1271.05</v>
      </c>
      <c r="G2482">
        <v>320411</v>
      </c>
      <c r="H2482" s="106"/>
      <c r="I2482" s="106"/>
      <c r="L2482" s="143">
        <v>45659</v>
      </c>
      <c r="M2482" s="106">
        <v>1271.5</v>
      </c>
      <c r="N2482" s="106">
        <v>1276</v>
      </c>
      <c r="O2482" s="106">
        <v>1183.05</v>
      </c>
      <c r="P2482" s="106">
        <v>1184</v>
      </c>
      <c r="Q2482" s="106">
        <v>1271.5</v>
      </c>
      <c r="R2482">
        <v>5438699</v>
      </c>
    </row>
    <row r="2483" spans="1:18" x14ac:dyDescent="0.25">
      <c r="A2483" s="143">
        <v>45660</v>
      </c>
      <c r="B2483" s="106">
        <v>1330</v>
      </c>
      <c r="C2483" s="106">
        <v>1319.8</v>
      </c>
      <c r="D2483" s="106">
        <v>1270.6500000000001</v>
      </c>
      <c r="E2483" s="106">
        <v>1280</v>
      </c>
      <c r="F2483" s="106">
        <v>1319.8</v>
      </c>
      <c r="G2483">
        <v>106019</v>
      </c>
      <c r="H2483" s="106"/>
      <c r="I2483" s="106"/>
      <c r="L2483" s="143">
        <v>45660</v>
      </c>
      <c r="M2483" s="106">
        <v>1320.25</v>
      </c>
      <c r="N2483" s="106">
        <v>1330.6</v>
      </c>
      <c r="O2483" s="106">
        <v>1270.55</v>
      </c>
      <c r="P2483" s="106">
        <v>1279</v>
      </c>
      <c r="Q2483" s="106">
        <v>1320.25</v>
      </c>
      <c r="R2483">
        <v>4575469</v>
      </c>
    </row>
    <row r="2484" spans="1:18" x14ac:dyDescent="0.25">
      <c r="A2484" s="143">
        <v>45663</v>
      </c>
      <c r="B2484" s="106">
        <v>1343.45</v>
      </c>
      <c r="C2484" s="106">
        <v>1293.25</v>
      </c>
      <c r="D2484" s="106">
        <v>1285.75</v>
      </c>
      <c r="E2484" s="106">
        <v>1327.95</v>
      </c>
      <c r="F2484" s="106">
        <v>1293.25</v>
      </c>
      <c r="G2484">
        <v>39528</v>
      </c>
      <c r="H2484" s="106"/>
      <c r="I2484" s="106"/>
      <c r="L2484" s="143">
        <v>45663</v>
      </c>
      <c r="M2484" s="106">
        <v>1294.2</v>
      </c>
      <c r="N2484" s="106">
        <v>1343.15</v>
      </c>
      <c r="O2484" s="106">
        <v>1285.9000000000001</v>
      </c>
      <c r="P2484" s="106">
        <v>1324</v>
      </c>
      <c r="Q2484" s="106">
        <v>1294.2</v>
      </c>
      <c r="R2484">
        <v>2220983</v>
      </c>
    </row>
    <row r="2485" spans="1:18" x14ac:dyDescent="0.25">
      <c r="A2485" s="143">
        <v>45664</v>
      </c>
      <c r="B2485" s="106">
        <v>1299.9000000000001</v>
      </c>
      <c r="C2485" s="106">
        <v>1276</v>
      </c>
      <c r="D2485" s="106">
        <v>1271</v>
      </c>
      <c r="E2485" s="106">
        <v>1295</v>
      </c>
      <c r="F2485" s="106">
        <v>1276</v>
      </c>
      <c r="G2485">
        <v>58283</v>
      </c>
      <c r="H2485" s="106"/>
      <c r="I2485" s="106"/>
      <c r="L2485" s="143">
        <v>45664</v>
      </c>
      <c r="M2485" s="106">
        <v>1276</v>
      </c>
      <c r="N2485" s="106">
        <v>1300.25</v>
      </c>
      <c r="O2485" s="106">
        <v>1270.3</v>
      </c>
      <c r="P2485" s="106">
        <v>1295</v>
      </c>
      <c r="Q2485" s="106">
        <v>1276</v>
      </c>
      <c r="R2485">
        <v>1548819</v>
      </c>
    </row>
    <row r="2486" spans="1:18" x14ac:dyDescent="0.25">
      <c r="A2486" s="143">
        <v>45665</v>
      </c>
      <c r="B2486" s="106">
        <v>1278.45</v>
      </c>
      <c r="C2486" s="106">
        <v>1275.9000000000001</v>
      </c>
      <c r="D2486" s="106">
        <v>1253.55</v>
      </c>
      <c r="E2486" s="106">
        <v>1270</v>
      </c>
      <c r="F2486" s="106">
        <v>1275.9000000000001</v>
      </c>
      <c r="G2486">
        <v>45174</v>
      </c>
      <c r="H2486" s="106"/>
      <c r="I2486" s="106"/>
      <c r="L2486" s="143">
        <v>45665</v>
      </c>
      <c r="M2486" s="106">
        <v>1275.25</v>
      </c>
      <c r="N2486" s="106">
        <v>1278.95</v>
      </c>
      <c r="O2486" s="106">
        <v>1253.2</v>
      </c>
      <c r="P2486" s="106">
        <v>1268</v>
      </c>
      <c r="Q2486" s="106">
        <v>1275.25</v>
      </c>
      <c r="R2486">
        <v>1212951</v>
      </c>
    </row>
    <row r="2487" spans="1:18" x14ac:dyDescent="0.25">
      <c r="A2487" s="143">
        <v>45666</v>
      </c>
      <c r="B2487" s="106">
        <v>1292.5999999999999</v>
      </c>
      <c r="C2487" s="106">
        <v>1287.3499999999999</v>
      </c>
      <c r="D2487" s="106">
        <v>1266.2</v>
      </c>
      <c r="E2487" s="106">
        <v>1285.4000000000001</v>
      </c>
      <c r="F2487" s="106">
        <v>1287.3499999999999</v>
      </c>
      <c r="G2487">
        <v>16619</v>
      </c>
      <c r="H2487" s="106"/>
      <c r="I2487" s="106"/>
      <c r="L2487" s="143">
        <v>45666</v>
      </c>
      <c r="M2487" s="106">
        <v>1288.2</v>
      </c>
      <c r="N2487" s="106">
        <v>1292.3</v>
      </c>
      <c r="O2487" s="106">
        <v>1266.6500000000001</v>
      </c>
      <c r="P2487" s="106">
        <v>1280</v>
      </c>
      <c r="Q2487" s="106">
        <v>1288.2</v>
      </c>
      <c r="R2487">
        <v>1603366</v>
      </c>
    </row>
    <row r="2488" spans="1:18" x14ac:dyDescent="0.25">
      <c r="A2488" s="143">
        <v>45667</v>
      </c>
      <c r="B2488" s="106">
        <v>1290</v>
      </c>
      <c r="C2488" s="106">
        <v>1254.8499999999999</v>
      </c>
      <c r="D2488" s="106">
        <v>1239.5999999999999</v>
      </c>
      <c r="E2488" s="106">
        <v>1289</v>
      </c>
      <c r="F2488" s="106">
        <v>1254.8499999999999</v>
      </c>
      <c r="G2488">
        <v>30056</v>
      </c>
      <c r="H2488" s="106"/>
      <c r="I2488" s="106"/>
      <c r="L2488" s="143">
        <v>45667</v>
      </c>
      <c r="M2488" s="106">
        <v>1255.05</v>
      </c>
      <c r="N2488" s="106">
        <v>1296.25</v>
      </c>
      <c r="O2488" s="106">
        <v>1238.55</v>
      </c>
      <c r="P2488" s="106">
        <v>1294</v>
      </c>
      <c r="Q2488" s="106">
        <v>1255.05</v>
      </c>
      <c r="R2488">
        <v>2116766</v>
      </c>
    </row>
    <row r="2489" spans="1:18" x14ac:dyDescent="0.25">
      <c r="A2489" s="143">
        <v>45670</v>
      </c>
      <c r="B2489" s="106">
        <v>1259</v>
      </c>
      <c r="C2489" s="106">
        <v>1222.95</v>
      </c>
      <c r="D2489" s="106">
        <v>1216</v>
      </c>
      <c r="E2489" s="106">
        <v>1239.8499999999999</v>
      </c>
      <c r="F2489" s="106">
        <v>1222.95</v>
      </c>
      <c r="G2489">
        <v>11938</v>
      </c>
      <c r="H2489" s="106"/>
      <c r="I2489" s="106"/>
      <c r="L2489" s="143">
        <v>45670</v>
      </c>
      <c r="M2489" s="106">
        <v>1222.55</v>
      </c>
      <c r="N2489" s="106">
        <v>1259.4000000000001</v>
      </c>
      <c r="O2489" s="106">
        <v>1215.25</v>
      </c>
      <c r="P2489" s="106">
        <v>1230</v>
      </c>
      <c r="Q2489" s="106">
        <v>1222.55</v>
      </c>
      <c r="R2489">
        <v>2021426</v>
      </c>
    </row>
    <row r="2490" spans="1:18" x14ac:dyDescent="0.25">
      <c r="A2490" s="143">
        <v>45671</v>
      </c>
      <c r="B2490" s="106">
        <v>1276</v>
      </c>
      <c r="C2490" s="106">
        <v>1271.25</v>
      </c>
      <c r="D2490" s="106">
        <v>1223.1500000000001</v>
      </c>
      <c r="E2490" s="106">
        <v>1223.1500000000001</v>
      </c>
      <c r="F2490" s="106">
        <v>1271.25</v>
      </c>
      <c r="G2490">
        <v>18463</v>
      </c>
      <c r="H2490" s="106"/>
      <c r="I2490" s="106"/>
      <c r="L2490" s="143">
        <v>45671</v>
      </c>
      <c r="M2490" s="106">
        <v>1270.7</v>
      </c>
      <c r="N2490" s="106">
        <v>1277.05</v>
      </c>
      <c r="O2490" s="106">
        <v>1226.8</v>
      </c>
      <c r="P2490" s="106">
        <v>1226.8</v>
      </c>
      <c r="Q2490" s="106">
        <v>1270.7</v>
      </c>
      <c r="R2490">
        <v>2019116</v>
      </c>
    </row>
    <row r="2491" spans="1:18" x14ac:dyDescent="0.25">
      <c r="A2491" s="143">
        <v>45672</v>
      </c>
      <c r="B2491" s="106">
        <v>1296.0999999999999</v>
      </c>
      <c r="C2491" s="106">
        <v>1254.05</v>
      </c>
      <c r="D2491" s="106">
        <v>1251.5999999999999</v>
      </c>
      <c r="E2491" s="106">
        <v>1296.0999999999999</v>
      </c>
      <c r="F2491" s="106">
        <v>1254.05</v>
      </c>
      <c r="G2491">
        <v>12108</v>
      </c>
      <c r="H2491" s="106"/>
      <c r="I2491" s="106"/>
      <c r="L2491" s="143">
        <v>45672</v>
      </c>
      <c r="M2491" s="106">
        <v>1253.8499999999999</v>
      </c>
      <c r="N2491" s="106">
        <v>1290.95</v>
      </c>
      <c r="O2491" s="106">
        <v>1251</v>
      </c>
      <c r="P2491" s="106">
        <v>1290.95</v>
      </c>
      <c r="Q2491" s="106">
        <v>1253.8499999999999</v>
      </c>
      <c r="R2491">
        <v>1132553</v>
      </c>
    </row>
    <row r="2492" spans="1:18" x14ac:dyDescent="0.25">
      <c r="A2492" s="143">
        <v>45673</v>
      </c>
      <c r="B2492" s="106">
        <v>1297.7</v>
      </c>
      <c r="C2492" s="106">
        <v>1281.5</v>
      </c>
      <c r="D2492" s="106">
        <v>1260.4000000000001</v>
      </c>
      <c r="E2492" s="106">
        <v>1260.4000000000001</v>
      </c>
      <c r="F2492" s="106">
        <v>1281.5</v>
      </c>
      <c r="G2492">
        <v>24737</v>
      </c>
      <c r="H2492" s="106"/>
      <c r="I2492" s="106"/>
      <c r="L2492" s="143">
        <v>45673</v>
      </c>
      <c r="M2492" s="106">
        <v>1282.0999999999999</v>
      </c>
      <c r="N2492" s="106">
        <v>1297.95</v>
      </c>
      <c r="O2492" s="106">
        <v>1265.0999999999999</v>
      </c>
      <c r="P2492" s="106">
        <v>1268.8499999999999</v>
      </c>
      <c r="Q2492" s="106">
        <v>1282.0999999999999</v>
      </c>
      <c r="R2492">
        <v>2453628</v>
      </c>
    </row>
    <row r="2493" spans="1:18" x14ac:dyDescent="0.25">
      <c r="A2493" s="143">
        <v>45674</v>
      </c>
      <c r="B2493" s="106">
        <v>1286</v>
      </c>
      <c r="C2493" s="106">
        <v>1258.45</v>
      </c>
      <c r="D2493" s="106">
        <v>1241.3</v>
      </c>
      <c r="E2493" s="106">
        <v>1282.1500000000001</v>
      </c>
      <c r="F2493" s="106">
        <v>1258.45</v>
      </c>
      <c r="G2493">
        <v>17830</v>
      </c>
      <c r="H2493" s="106"/>
      <c r="I2493" s="106"/>
      <c r="L2493" s="143">
        <v>45674</v>
      </c>
      <c r="M2493" s="106">
        <v>1257.4000000000001</v>
      </c>
      <c r="N2493" s="106">
        <v>1290</v>
      </c>
      <c r="O2493" s="106">
        <v>1241.2</v>
      </c>
      <c r="P2493" s="106">
        <v>1290</v>
      </c>
      <c r="Q2493" s="106">
        <v>1257.4000000000001</v>
      </c>
      <c r="R2493">
        <v>1594817</v>
      </c>
    </row>
    <row r="2494" spans="1:18" x14ac:dyDescent="0.25">
      <c r="A2494" s="143">
        <v>45677</v>
      </c>
      <c r="B2494" s="106">
        <v>1271.55</v>
      </c>
      <c r="C2494" s="106">
        <v>1246.55</v>
      </c>
      <c r="D2494" s="106">
        <v>1229.95</v>
      </c>
      <c r="E2494" s="106">
        <v>1271.55</v>
      </c>
      <c r="F2494" s="106">
        <v>1246.55</v>
      </c>
      <c r="G2494">
        <v>12934</v>
      </c>
      <c r="H2494" s="106"/>
      <c r="I2494" s="106"/>
      <c r="L2494" s="143">
        <v>45677</v>
      </c>
      <c r="M2494" s="106">
        <v>1246.9000000000001</v>
      </c>
      <c r="N2494" s="106">
        <v>1269.3</v>
      </c>
      <c r="O2494" s="106">
        <v>1228.8</v>
      </c>
      <c r="P2494" s="106">
        <v>1259.5</v>
      </c>
      <c r="Q2494" s="106">
        <v>1246.9000000000001</v>
      </c>
      <c r="R2494">
        <v>763622</v>
      </c>
    </row>
    <row r="2495" spans="1:18" x14ac:dyDescent="0.25">
      <c r="A2495" s="143">
        <v>45678</v>
      </c>
      <c r="B2495" s="106">
        <v>1269.25</v>
      </c>
      <c r="C2495" s="106">
        <v>1239.75</v>
      </c>
      <c r="D2495" s="106">
        <v>1238.3</v>
      </c>
      <c r="E2495" s="106">
        <v>1246.95</v>
      </c>
      <c r="F2495" s="106">
        <v>1239.75</v>
      </c>
      <c r="G2495">
        <v>6092</v>
      </c>
      <c r="H2495" s="106"/>
      <c r="I2495" s="106"/>
      <c r="L2495" s="143">
        <v>45678</v>
      </c>
      <c r="M2495" s="106">
        <v>1240.5</v>
      </c>
      <c r="N2495" s="106">
        <v>1269.5</v>
      </c>
      <c r="O2495" s="106">
        <v>1238.3</v>
      </c>
      <c r="P2495" s="106">
        <v>1245.0999999999999</v>
      </c>
      <c r="Q2495" s="106">
        <v>1240.5</v>
      </c>
      <c r="R2495">
        <v>1153732</v>
      </c>
    </row>
    <row r="2496" spans="1:18" x14ac:dyDescent="0.25">
      <c r="A2496" s="143">
        <v>45679</v>
      </c>
      <c r="B2496" s="106">
        <v>1274</v>
      </c>
      <c r="C2496" s="106">
        <v>1258.2</v>
      </c>
      <c r="D2496" s="106">
        <v>1233</v>
      </c>
      <c r="E2496" s="106">
        <v>1240.05</v>
      </c>
      <c r="F2496" s="106">
        <v>1258.2</v>
      </c>
      <c r="G2496">
        <v>7224</v>
      </c>
      <c r="H2496" s="106"/>
      <c r="I2496" s="106"/>
      <c r="L2496" s="143">
        <v>45679</v>
      </c>
      <c r="M2496" s="106">
        <v>1257.0999999999999</v>
      </c>
      <c r="N2496" s="106">
        <v>1278</v>
      </c>
      <c r="O2496" s="106">
        <v>1231.45</v>
      </c>
      <c r="P2496" s="106">
        <v>1248</v>
      </c>
      <c r="Q2496" s="106">
        <v>1257.0999999999999</v>
      </c>
      <c r="R2496">
        <v>1708689</v>
      </c>
    </row>
    <row r="2497" spans="1:18" x14ac:dyDescent="0.25">
      <c r="A2497" s="143">
        <v>45680</v>
      </c>
      <c r="B2497" s="106">
        <v>1259</v>
      </c>
      <c r="C2497" s="106">
        <v>1245.95</v>
      </c>
      <c r="D2497" s="106">
        <v>1221</v>
      </c>
      <c r="E2497" s="106">
        <v>1259</v>
      </c>
      <c r="F2497" s="106">
        <v>1245.95</v>
      </c>
      <c r="G2497">
        <v>20011</v>
      </c>
      <c r="H2497" s="106"/>
      <c r="I2497" s="106"/>
      <c r="L2497" s="143">
        <v>45680</v>
      </c>
      <c r="M2497" s="106">
        <v>1246.05</v>
      </c>
      <c r="N2497" s="106">
        <v>1258.3499999999999</v>
      </c>
      <c r="O2497" s="106">
        <v>1221</v>
      </c>
      <c r="P2497" s="106">
        <v>1251</v>
      </c>
      <c r="Q2497" s="106">
        <v>1246.05</v>
      </c>
      <c r="R2497">
        <v>1143154</v>
      </c>
    </row>
    <row r="2498" spans="1:18" x14ac:dyDescent="0.25">
      <c r="A2498" s="143">
        <v>45681</v>
      </c>
      <c r="B2498" s="106">
        <v>1252</v>
      </c>
      <c r="C2498" s="106">
        <v>1223.1500000000001</v>
      </c>
      <c r="D2498" s="106">
        <v>1217.8</v>
      </c>
      <c r="E2498" s="106">
        <v>1244.0999999999999</v>
      </c>
      <c r="F2498" s="106">
        <v>1223.1500000000001</v>
      </c>
      <c r="G2498">
        <v>10697</v>
      </c>
      <c r="H2498" s="106"/>
      <c r="I2498" s="106"/>
      <c r="L2498" s="143">
        <v>45681</v>
      </c>
      <c r="M2498" s="106">
        <v>1223.05</v>
      </c>
      <c r="N2498" s="106">
        <v>1252.3499999999999</v>
      </c>
      <c r="O2498" s="106">
        <v>1215.6500000000001</v>
      </c>
      <c r="P2498" s="106">
        <v>1247.5</v>
      </c>
      <c r="Q2498" s="106">
        <v>1223.05</v>
      </c>
      <c r="R2498">
        <v>1118698</v>
      </c>
    </row>
    <row r="2499" spans="1:18" x14ac:dyDescent="0.25">
      <c r="A2499" s="143">
        <v>45684</v>
      </c>
      <c r="B2499" s="106">
        <v>1211.7</v>
      </c>
      <c r="C2499" s="106">
        <v>1175.2</v>
      </c>
      <c r="D2499" s="106">
        <v>1169.05</v>
      </c>
      <c r="E2499" s="106">
        <v>1211.7</v>
      </c>
      <c r="F2499" s="106">
        <v>1175.2</v>
      </c>
      <c r="G2499">
        <v>26105</v>
      </c>
      <c r="H2499" s="106"/>
      <c r="I2499" s="106"/>
      <c r="L2499" s="143">
        <v>45684</v>
      </c>
      <c r="M2499" s="106">
        <v>1175.3499999999999</v>
      </c>
      <c r="N2499" s="106">
        <v>1220</v>
      </c>
      <c r="O2499" s="106">
        <v>1169.8</v>
      </c>
      <c r="P2499" s="106">
        <v>1220</v>
      </c>
      <c r="Q2499" s="106">
        <v>1175.3499999999999</v>
      </c>
      <c r="R2499">
        <v>1224514</v>
      </c>
    </row>
    <row r="2500" spans="1:18" x14ac:dyDescent="0.25">
      <c r="A2500" s="143">
        <v>45685</v>
      </c>
      <c r="B2500" s="106">
        <v>1290</v>
      </c>
      <c r="C2500" s="106">
        <v>1239.1500000000001</v>
      </c>
      <c r="D2500" s="106">
        <v>1190.05</v>
      </c>
      <c r="E2500" s="106">
        <v>1190.05</v>
      </c>
      <c r="F2500" s="106">
        <v>1239.1500000000001</v>
      </c>
      <c r="G2500">
        <v>81580</v>
      </c>
      <c r="H2500" s="106"/>
      <c r="I2500" s="106"/>
      <c r="L2500" s="143">
        <v>45685</v>
      </c>
      <c r="M2500" s="106">
        <v>1241.7</v>
      </c>
      <c r="N2500" s="106">
        <v>1292.8499999999999</v>
      </c>
      <c r="O2500" s="106">
        <v>1196</v>
      </c>
      <c r="P2500" s="106">
        <v>1205</v>
      </c>
      <c r="Q2500" s="106">
        <v>1241.7</v>
      </c>
      <c r="R2500">
        <v>4408311</v>
      </c>
    </row>
    <row r="2501" spans="1:18" x14ac:dyDescent="0.25">
      <c r="A2501" s="143">
        <v>45686</v>
      </c>
      <c r="B2501" s="106">
        <v>1303.9000000000001</v>
      </c>
      <c r="C2501" s="106">
        <v>1296</v>
      </c>
      <c r="D2501" s="106">
        <v>1230.7</v>
      </c>
      <c r="E2501" s="106">
        <v>1234</v>
      </c>
      <c r="F2501" s="106">
        <v>1296</v>
      </c>
      <c r="G2501">
        <v>23160</v>
      </c>
      <c r="H2501" s="106"/>
      <c r="I2501" s="106"/>
      <c r="L2501" s="143">
        <v>45686</v>
      </c>
      <c r="M2501" s="106">
        <v>1296.55</v>
      </c>
      <c r="N2501" s="106">
        <v>1304.5</v>
      </c>
      <c r="O2501" s="106">
        <v>1230.05</v>
      </c>
      <c r="P2501" s="106">
        <v>1235</v>
      </c>
      <c r="Q2501" s="106">
        <v>1296.55</v>
      </c>
      <c r="R2501">
        <v>2589903</v>
      </c>
    </row>
    <row r="2502" spans="1:18" x14ac:dyDescent="0.25">
      <c r="A2502" s="143">
        <v>45687</v>
      </c>
      <c r="B2502" s="106">
        <v>1305.45</v>
      </c>
      <c r="C2502" s="106">
        <v>1279.3</v>
      </c>
      <c r="D2502" s="106">
        <v>1273.4000000000001</v>
      </c>
      <c r="E2502" s="106">
        <v>1296</v>
      </c>
      <c r="F2502" s="106">
        <v>1279.3</v>
      </c>
      <c r="G2502">
        <v>26702</v>
      </c>
      <c r="H2502" s="106"/>
      <c r="I2502" s="106"/>
      <c r="L2502" s="143">
        <v>45687</v>
      </c>
      <c r="M2502" s="106">
        <v>1279.4000000000001</v>
      </c>
      <c r="N2502" s="106">
        <v>1308.5999999999999</v>
      </c>
      <c r="O2502" s="106">
        <v>1265.05</v>
      </c>
      <c r="P2502" s="106">
        <v>1295.5</v>
      </c>
      <c r="Q2502" s="106">
        <v>1279.4000000000001</v>
      </c>
      <c r="R2502">
        <v>1603461</v>
      </c>
    </row>
    <row r="2503" spans="1:18" x14ac:dyDescent="0.25">
      <c r="A2503" s="143">
        <v>45688</v>
      </c>
      <c r="B2503" s="106">
        <v>1321.2</v>
      </c>
      <c r="C2503" s="106">
        <v>1285.1500000000001</v>
      </c>
      <c r="D2503" s="106">
        <v>1248.9000000000001</v>
      </c>
      <c r="E2503" s="106">
        <v>1289.3499999999999</v>
      </c>
      <c r="F2503" s="106">
        <v>1285.1500000000001</v>
      </c>
      <c r="G2503">
        <v>82936</v>
      </c>
      <c r="H2503" s="106"/>
      <c r="I2503" s="106"/>
      <c r="L2503" s="143">
        <v>45688</v>
      </c>
      <c r="M2503" s="106">
        <v>1285.8499999999999</v>
      </c>
      <c r="N2503" s="106">
        <v>1321.8</v>
      </c>
      <c r="O2503" s="106">
        <v>1247.45</v>
      </c>
      <c r="P2503" s="106">
        <v>1284</v>
      </c>
      <c r="Q2503" s="106">
        <v>1285.8499999999999</v>
      </c>
      <c r="R2503">
        <v>3455935</v>
      </c>
    </row>
    <row r="2504" spans="1:18" x14ac:dyDescent="0.25">
      <c r="A2504" s="143">
        <v>45689</v>
      </c>
      <c r="B2504" s="106">
        <v>1290.45</v>
      </c>
      <c r="C2504" s="106">
        <v>1266.0999999999999</v>
      </c>
      <c r="D2504" s="106">
        <v>1227.2</v>
      </c>
      <c r="E2504" s="106">
        <v>1289.9000000000001</v>
      </c>
      <c r="F2504" s="106">
        <v>1266.0999999999999</v>
      </c>
      <c r="G2504">
        <v>38708</v>
      </c>
      <c r="H2504" s="106"/>
      <c r="I2504" s="106"/>
      <c r="L2504" s="143">
        <v>45689</v>
      </c>
      <c r="M2504" s="106">
        <v>1265.5</v>
      </c>
      <c r="N2504" s="106">
        <v>1296.3</v>
      </c>
      <c r="O2504" s="106">
        <v>1225.3499999999999</v>
      </c>
      <c r="P2504" s="106">
        <v>1296.25</v>
      </c>
      <c r="Q2504" s="106">
        <v>1265.5</v>
      </c>
      <c r="R2504">
        <v>1221548</v>
      </c>
    </row>
    <row r="2505" spans="1:18" x14ac:dyDescent="0.25">
      <c r="A2505" s="143">
        <v>45691</v>
      </c>
      <c r="B2505" s="106">
        <v>1340</v>
      </c>
      <c r="C2505" s="106">
        <v>1337.2</v>
      </c>
      <c r="D2505" s="106">
        <v>1240.8499999999999</v>
      </c>
      <c r="E2505" s="106">
        <v>1260.05</v>
      </c>
      <c r="F2505" s="106">
        <v>1337.2</v>
      </c>
      <c r="G2505">
        <v>72633</v>
      </c>
      <c r="H2505" s="106"/>
      <c r="I2505" s="106"/>
      <c r="L2505" s="143">
        <v>45691</v>
      </c>
      <c r="M2505" s="106">
        <v>1337.65</v>
      </c>
      <c r="N2505" s="106">
        <v>1340.4</v>
      </c>
      <c r="O2505" s="106">
        <v>1239.0999999999999</v>
      </c>
      <c r="P2505" s="106">
        <v>1269</v>
      </c>
      <c r="Q2505" s="106">
        <v>1337.65</v>
      </c>
      <c r="R2505">
        <v>3201674</v>
      </c>
    </row>
    <row r="2506" spans="1:18" x14ac:dyDescent="0.25">
      <c r="A2506" s="143">
        <v>45692</v>
      </c>
      <c r="B2506" s="106">
        <v>1399.75</v>
      </c>
      <c r="C2506" s="106">
        <v>1393.5</v>
      </c>
      <c r="D2506" s="106">
        <v>1342.65</v>
      </c>
      <c r="E2506" s="106">
        <v>1357.9</v>
      </c>
      <c r="F2506" s="106">
        <v>1393.5</v>
      </c>
      <c r="G2506">
        <v>58265</v>
      </c>
      <c r="H2506" s="106"/>
      <c r="I2506" s="106"/>
      <c r="L2506" s="143">
        <v>45692</v>
      </c>
      <c r="M2506" s="106">
        <v>1394.9</v>
      </c>
      <c r="N2506" s="106">
        <v>1399.5</v>
      </c>
      <c r="O2506" s="106">
        <v>1342.05</v>
      </c>
      <c r="P2506" s="106">
        <v>1348</v>
      </c>
      <c r="Q2506" s="106">
        <v>1394.9</v>
      </c>
      <c r="R2506">
        <v>4294009</v>
      </c>
    </row>
    <row r="2507" spans="1:18" x14ac:dyDescent="0.25">
      <c r="A2507" s="143">
        <v>45693</v>
      </c>
      <c r="B2507" s="106">
        <v>1404.8</v>
      </c>
      <c r="C2507" s="106">
        <v>1386.75</v>
      </c>
      <c r="D2507" s="106">
        <v>1373.2</v>
      </c>
      <c r="E2507" s="106">
        <v>1404.8</v>
      </c>
      <c r="F2507" s="106">
        <v>1386.75</v>
      </c>
      <c r="G2507">
        <v>18287</v>
      </c>
      <c r="H2507" s="106"/>
      <c r="I2507" s="106"/>
      <c r="L2507" s="143">
        <v>45693</v>
      </c>
      <c r="M2507" s="106">
        <v>1388</v>
      </c>
      <c r="N2507" s="106">
        <v>1401.45</v>
      </c>
      <c r="O2507" s="106">
        <v>1372.2</v>
      </c>
      <c r="P2507" s="106">
        <v>1400</v>
      </c>
      <c r="Q2507" s="106">
        <v>1388</v>
      </c>
      <c r="R2507">
        <v>2256362</v>
      </c>
    </row>
    <row r="2508" spans="1:18" x14ac:dyDescent="0.25">
      <c r="A2508" s="143">
        <v>45694</v>
      </c>
      <c r="B2508" s="106">
        <v>1400.95</v>
      </c>
      <c r="C2508" s="106">
        <v>1382.15</v>
      </c>
      <c r="D2508" s="106">
        <v>1365.6</v>
      </c>
      <c r="E2508" s="106">
        <v>1397</v>
      </c>
      <c r="F2508" s="106">
        <v>1382.15</v>
      </c>
      <c r="G2508">
        <v>10617</v>
      </c>
      <c r="H2508" s="106"/>
      <c r="I2508" s="106"/>
      <c r="L2508" s="143">
        <v>45694</v>
      </c>
      <c r="M2508" s="106">
        <v>1381.9</v>
      </c>
      <c r="N2508" s="106">
        <v>1401.1</v>
      </c>
      <c r="O2508" s="106">
        <v>1365.2</v>
      </c>
      <c r="P2508" s="106">
        <v>1381.5</v>
      </c>
      <c r="Q2508" s="106">
        <v>1381.9</v>
      </c>
      <c r="R2508">
        <v>1418890</v>
      </c>
    </row>
    <row r="2509" spans="1:18" x14ac:dyDescent="0.25">
      <c r="A2509" s="143">
        <v>45695</v>
      </c>
      <c r="B2509" s="106">
        <v>1394.25</v>
      </c>
      <c r="C2509" s="106">
        <v>1380.25</v>
      </c>
      <c r="D2509" s="106">
        <v>1356</v>
      </c>
      <c r="E2509" s="106">
        <v>1383.45</v>
      </c>
      <c r="F2509" s="106">
        <v>1380.25</v>
      </c>
      <c r="G2509">
        <v>37094</v>
      </c>
      <c r="H2509" s="106"/>
      <c r="I2509" s="106"/>
      <c r="L2509" s="143">
        <v>45695</v>
      </c>
      <c r="M2509" s="106">
        <v>1380.15</v>
      </c>
      <c r="N2509" s="106">
        <v>1395</v>
      </c>
      <c r="O2509" s="106">
        <v>1356.05</v>
      </c>
      <c r="P2509" s="106">
        <v>1384.9</v>
      </c>
      <c r="Q2509" s="106">
        <v>1380.15</v>
      </c>
      <c r="R2509">
        <v>1906955</v>
      </c>
    </row>
    <row r="2510" spans="1:18" x14ac:dyDescent="0.25">
      <c r="A2510" s="143">
        <v>45698</v>
      </c>
      <c r="B2510" s="106">
        <v>1390.7</v>
      </c>
      <c r="C2510" s="106">
        <v>1346.1</v>
      </c>
      <c r="D2510" s="106">
        <v>1323.1</v>
      </c>
      <c r="E2510" s="106">
        <v>1369.95</v>
      </c>
      <c r="F2510" s="106">
        <v>1346.1</v>
      </c>
      <c r="G2510">
        <v>41294</v>
      </c>
      <c r="H2510" s="106"/>
      <c r="I2510" s="106"/>
      <c r="L2510" s="143">
        <v>45698</v>
      </c>
      <c r="M2510" s="106">
        <v>1347.75</v>
      </c>
      <c r="N2510" s="106">
        <v>1390</v>
      </c>
      <c r="O2510" s="106">
        <v>1322.55</v>
      </c>
      <c r="P2510" s="106">
        <v>1374.1</v>
      </c>
      <c r="Q2510" s="106">
        <v>1347.75</v>
      </c>
      <c r="R2510">
        <v>742166</v>
      </c>
    </row>
    <row r="2511" spans="1:18" x14ac:dyDescent="0.25">
      <c r="A2511" s="143">
        <v>45699</v>
      </c>
      <c r="B2511" s="106">
        <v>1358</v>
      </c>
      <c r="C2511" s="106">
        <v>1310.6500000000001</v>
      </c>
      <c r="D2511" s="106">
        <v>1301</v>
      </c>
      <c r="E2511" s="106">
        <v>1358</v>
      </c>
      <c r="F2511" s="106">
        <v>1310.6500000000001</v>
      </c>
      <c r="G2511">
        <v>21515</v>
      </c>
      <c r="H2511" s="106"/>
      <c r="I2511" s="106"/>
      <c r="L2511" s="143">
        <v>45699</v>
      </c>
      <c r="M2511" s="106">
        <v>1310.3</v>
      </c>
      <c r="N2511" s="106">
        <v>1356</v>
      </c>
      <c r="O2511" s="106">
        <v>1300.5999999999999</v>
      </c>
      <c r="P2511" s="106">
        <v>1347.75</v>
      </c>
      <c r="Q2511" s="106">
        <v>1310.3</v>
      </c>
      <c r="R2511">
        <v>1165281</v>
      </c>
    </row>
    <row r="2512" spans="1:18" x14ac:dyDescent="0.25">
      <c r="A2512" s="143">
        <v>45700</v>
      </c>
      <c r="B2512" s="106">
        <v>1357.9</v>
      </c>
      <c r="C2512" s="106">
        <v>1352.3</v>
      </c>
      <c r="D2512" s="106">
        <v>1301.3499999999999</v>
      </c>
      <c r="E2512" s="106">
        <v>1315.65</v>
      </c>
      <c r="F2512" s="106">
        <v>1352.3</v>
      </c>
      <c r="G2512">
        <v>38209</v>
      </c>
      <c r="H2512" s="106"/>
      <c r="I2512" s="106"/>
      <c r="L2512" s="143">
        <v>45700</v>
      </c>
      <c r="M2512" s="106">
        <v>1351.85</v>
      </c>
      <c r="N2512" s="106">
        <v>1358.5</v>
      </c>
      <c r="O2512" s="106">
        <v>1302</v>
      </c>
      <c r="P2512" s="106">
        <v>1313.8</v>
      </c>
      <c r="Q2512" s="106">
        <v>1351.85</v>
      </c>
      <c r="R2512">
        <v>1486866</v>
      </c>
    </row>
    <row r="2513" spans="1:18" x14ac:dyDescent="0.25">
      <c r="A2513" s="143">
        <v>45701</v>
      </c>
      <c r="B2513" s="106">
        <v>1413.95</v>
      </c>
      <c r="C2513" s="106">
        <v>1390.25</v>
      </c>
      <c r="D2513" s="106">
        <v>1356</v>
      </c>
      <c r="E2513" s="106">
        <v>1356</v>
      </c>
      <c r="F2513" s="106">
        <v>1390.25</v>
      </c>
      <c r="G2513">
        <v>79174</v>
      </c>
      <c r="H2513" s="106"/>
      <c r="I2513" s="106"/>
      <c r="L2513" s="143">
        <v>45701</v>
      </c>
      <c r="M2513" s="106">
        <v>1390.8</v>
      </c>
      <c r="N2513" s="106">
        <v>1414.5</v>
      </c>
      <c r="O2513" s="106">
        <v>1355</v>
      </c>
      <c r="P2513" s="106">
        <v>1355</v>
      </c>
      <c r="Q2513" s="106">
        <v>1390.8</v>
      </c>
      <c r="R2513">
        <v>3103262</v>
      </c>
    </row>
    <row r="2514" spans="1:18" x14ac:dyDescent="0.25">
      <c r="A2514" s="143">
        <v>45702</v>
      </c>
      <c r="B2514" s="106">
        <v>1403.25</v>
      </c>
      <c r="C2514" s="106">
        <v>1374.6</v>
      </c>
      <c r="D2514" s="106">
        <v>1356.8</v>
      </c>
      <c r="E2514" s="106">
        <v>1394.95</v>
      </c>
      <c r="F2514" s="106">
        <v>1374.6</v>
      </c>
      <c r="G2514">
        <v>50983</v>
      </c>
      <c r="H2514" s="106"/>
      <c r="I2514" s="106"/>
      <c r="L2514" s="143">
        <v>45702</v>
      </c>
      <c r="M2514" s="106">
        <v>1376</v>
      </c>
      <c r="N2514" s="106">
        <v>1403.5</v>
      </c>
      <c r="O2514" s="106">
        <v>1357</v>
      </c>
      <c r="P2514" s="106">
        <v>1391</v>
      </c>
      <c r="Q2514" s="106">
        <v>1376</v>
      </c>
      <c r="R2514">
        <v>1380204</v>
      </c>
    </row>
    <row r="2515" spans="1:18" x14ac:dyDescent="0.25">
      <c r="A2515" s="143">
        <v>45705</v>
      </c>
      <c r="B2515" s="106">
        <v>1375.8</v>
      </c>
      <c r="C2515" s="106">
        <v>1357.1</v>
      </c>
      <c r="D2515" s="106">
        <v>1336.7</v>
      </c>
      <c r="E2515" s="106">
        <v>1370.1</v>
      </c>
      <c r="F2515" s="106">
        <v>1357.1</v>
      </c>
      <c r="G2515">
        <v>13198</v>
      </c>
      <c r="H2515" s="106"/>
      <c r="I2515" s="106"/>
      <c r="L2515" s="143">
        <v>45705</v>
      </c>
      <c r="M2515" s="106">
        <v>1356.95</v>
      </c>
      <c r="N2515" s="106">
        <v>1377.45</v>
      </c>
      <c r="O2515" s="106">
        <v>1336.45</v>
      </c>
      <c r="P2515" s="106">
        <v>1365.05</v>
      </c>
      <c r="Q2515" s="106">
        <v>1356.95</v>
      </c>
      <c r="R2515">
        <v>1159828</v>
      </c>
    </row>
    <row r="2516" spans="1:18" x14ac:dyDescent="0.25">
      <c r="A2516" s="143">
        <v>45706</v>
      </c>
      <c r="B2516" s="106">
        <v>1362.55</v>
      </c>
      <c r="C2516" s="106">
        <v>1349.6</v>
      </c>
      <c r="D2516" s="106">
        <v>1333.9</v>
      </c>
      <c r="E2516" s="106">
        <v>1350</v>
      </c>
      <c r="F2516" s="106">
        <v>1349.6</v>
      </c>
      <c r="G2516">
        <v>22930</v>
      </c>
      <c r="H2516" s="106"/>
      <c r="I2516" s="106"/>
      <c r="L2516" s="143">
        <v>45706</v>
      </c>
      <c r="M2516" s="106">
        <v>1350.4</v>
      </c>
      <c r="N2516" s="106">
        <v>1362.4</v>
      </c>
      <c r="O2516" s="106">
        <v>1333.05</v>
      </c>
      <c r="P2516" s="106">
        <v>1351.1</v>
      </c>
      <c r="Q2516" s="106">
        <v>1350.4</v>
      </c>
      <c r="R2516">
        <v>1120095</v>
      </c>
    </row>
    <row r="2517" spans="1:18" x14ac:dyDescent="0.25">
      <c r="A2517" s="143">
        <v>45707</v>
      </c>
      <c r="B2517" s="106">
        <v>1380.85</v>
      </c>
      <c r="C2517" s="106">
        <v>1375.6</v>
      </c>
      <c r="D2517" s="106">
        <v>1343.4</v>
      </c>
      <c r="E2517" s="106">
        <v>1363.3</v>
      </c>
      <c r="F2517" s="106">
        <v>1375.6</v>
      </c>
      <c r="G2517">
        <v>11867</v>
      </c>
      <c r="H2517" s="106"/>
      <c r="I2517" s="106"/>
      <c r="L2517" s="143">
        <v>45707</v>
      </c>
      <c r="M2517" s="106">
        <v>1375.4</v>
      </c>
      <c r="N2517" s="106">
        <v>1380.85</v>
      </c>
      <c r="O2517" s="106">
        <v>1343.45</v>
      </c>
      <c r="P2517" s="106">
        <v>1350</v>
      </c>
      <c r="Q2517" s="106">
        <v>1375.4</v>
      </c>
      <c r="R2517">
        <v>1493355</v>
      </c>
    </row>
    <row r="2518" spans="1:18" x14ac:dyDescent="0.25">
      <c r="A2518" s="143">
        <v>45708</v>
      </c>
      <c r="B2518" s="106">
        <v>1399.6</v>
      </c>
      <c r="C2518" s="106">
        <v>1394.75</v>
      </c>
      <c r="D2518" s="106">
        <v>1357.7</v>
      </c>
      <c r="E2518" s="106">
        <v>1370.6</v>
      </c>
      <c r="F2518" s="106">
        <v>1394.75</v>
      </c>
      <c r="G2518">
        <v>36152</v>
      </c>
      <c r="H2518" s="106"/>
      <c r="I2518" s="106"/>
      <c r="L2518" s="143">
        <v>45708</v>
      </c>
      <c r="M2518" s="106">
        <v>1395.25</v>
      </c>
      <c r="N2518" s="106">
        <v>1399</v>
      </c>
      <c r="O2518" s="106">
        <v>1358.4</v>
      </c>
      <c r="P2518" s="106">
        <v>1370</v>
      </c>
      <c r="Q2518" s="106">
        <v>1395.25</v>
      </c>
      <c r="R2518">
        <v>1137492</v>
      </c>
    </row>
    <row r="2519" spans="1:18" x14ac:dyDescent="0.25">
      <c r="A2519" s="143">
        <v>45709</v>
      </c>
      <c r="B2519" s="106">
        <v>1406</v>
      </c>
      <c r="C2519" s="106">
        <v>1384</v>
      </c>
      <c r="D2519" s="106">
        <v>1370.65</v>
      </c>
      <c r="E2519" s="106">
        <v>1395.25</v>
      </c>
      <c r="F2519" s="106">
        <v>1384</v>
      </c>
      <c r="G2519">
        <v>8648</v>
      </c>
      <c r="H2519" s="106"/>
      <c r="I2519" s="106"/>
      <c r="L2519" s="143">
        <v>45709</v>
      </c>
      <c r="M2519" s="106">
        <v>1384.15</v>
      </c>
      <c r="N2519" s="106">
        <v>1406.75</v>
      </c>
      <c r="O2519" s="106">
        <v>1370.5</v>
      </c>
      <c r="P2519" s="106">
        <v>1394.45</v>
      </c>
      <c r="Q2519" s="106">
        <v>1384.15</v>
      </c>
      <c r="R2519">
        <v>1316473</v>
      </c>
    </row>
    <row r="2520" spans="1:18" x14ac:dyDescent="0.25">
      <c r="A2520" s="143">
        <v>45712</v>
      </c>
      <c r="B2520" s="106">
        <v>1380.9</v>
      </c>
      <c r="C2520" s="106">
        <v>1375.8</v>
      </c>
      <c r="D2520" s="106">
        <v>1338.85</v>
      </c>
      <c r="E2520" s="106">
        <v>1377.8</v>
      </c>
      <c r="F2520" s="106">
        <v>1375.8</v>
      </c>
      <c r="G2520">
        <v>12948</v>
      </c>
      <c r="H2520" s="106"/>
      <c r="I2520" s="106"/>
      <c r="L2520" s="143">
        <v>45712</v>
      </c>
      <c r="M2520" s="106">
        <v>1377.25</v>
      </c>
      <c r="N2520" s="106">
        <v>1382.5</v>
      </c>
      <c r="O2520" s="106">
        <v>1338</v>
      </c>
      <c r="P2520" s="106">
        <v>1375</v>
      </c>
      <c r="Q2520" s="106">
        <v>1377.25</v>
      </c>
      <c r="R2520">
        <v>933976</v>
      </c>
    </row>
    <row r="2521" spans="1:18" x14ac:dyDescent="0.25">
      <c r="A2521" s="143">
        <v>45713</v>
      </c>
      <c r="B2521" s="106">
        <v>1403</v>
      </c>
      <c r="C2521" s="106">
        <v>1367.15</v>
      </c>
      <c r="D2521" s="106">
        <v>1363.1</v>
      </c>
      <c r="E2521" s="106">
        <v>1388.65</v>
      </c>
      <c r="F2521" s="106">
        <v>1367.15</v>
      </c>
      <c r="G2521">
        <v>14135</v>
      </c>
      <c r="H2521" s="106"/>
      <c r="I2521" s="106"/>
      <c r="L2521" s="143">
        <v>45713</v>
      </c>
      <c r="M2521" s="106">
        <v>1367.8</v>
      </c>
      <c r="N2521" s="106">
        <v>1403.65</v>
      </c>
      <c r="O2521" s="106">
        <v>1363.25</v>
      </c>
      <c r="P2521" s="106">
        <v>1379.95</v>
      </c>
      <c r="Q2521" s="106">
        <v>1367.8</v>
      </c>
      <c r="R2521">
        <v>1043022</v>
      </c>
    </row>
    <row r="2522" spans="1:18" x14ac:dyDescent="0.25">
      <c r="A2522" s="143">
        <v>45715</v>
      </c>
      <c r="B2522" s="106">
        <v>1443.45</v>
      </c>
      <c r="C2522" s="106">
        <v>1437.05</v>
      </c>
      <c r="D2522" s="106">
        <v>1400.95</v>
      </c>
      <c r="E2522" s="106">
        <v>1400.95</v>
      </c>
      <c r="F2522" s="106">
        <v>1437.05</v>
      </c>
      <c r="G2522">
        <v>98255</v>
      </c>
      <c r="H2522" s="106"/>
      <c r="I2522" s="106"/>
      <c r="L2522" s="143">
        <v>45715</v>
      </c>
      <c r="M2522" s="106">
        <v>1438.65</v>
      </c>
      <c r="N2522" s="106">
        <v>1443.5</v>
      </c>
      <c r="O2522" s="106">
        <v>1400.5</v>
      </c>
      <c r="P2522" s="106">
        <v>1406.15</v>
      </c>
      <c r="Q2522" s="106">
        <v>1438.65</v>
      </c>
      <c r="R2522">
        <v>4929552</v>
      </c>
    </row>
    <row r="2523" spans="1:18" x14ac:dyDescent="0.25">
      <c r="A2523" s="143">
        <v>45716</v>
      </c>
      <c r="B2523" s="106">
        <v>1437.05</v>
      </c>
      <c r="C2523" s="106">
        <v>1400.45</v>
      </c>
      <c r="D2523" s="106">
        <v>1396</v>
      </c>
      <c r="E2523" s="106">
        <v>1436.6</v>
      </c>
      <c r="F2523" s="106">
        <v>1400.45</v>
      </c>
      <c r="G2523">
        <v>24759</v>
      </c>
      <c r="H2523" s="106"/>
      <c r="I2523" s="106"/>
      <c r="L2523" s="143">
        <v>45716</v>
      </c>
      <c r="M2523" s="106">
        <v>1400.75</v>
      </c>
      <c r="N2523" s="106">
        <v>1438.65</v>
      </c>
      <c r="O2523" s="106">
        <v>1395.3</v>
      </c>
      <c r="P2523" s="106">
        <v>1434.1</v>
      </c>
      <c r="Q2523" s="106">
        <v>1400.75</v>
      </c>
      <c r="R2523">
        <v>2802181</v>
      </c>
    </row>
    <row r="2524" spans="1:18" x14ac:dyDescent="0.25">
      <c r="A2524" s="143">
        <v>45719</v>
      </c>
      <c r="B2524" s="106">
        <v>1427.4</v>
      </c>
      <c r="C2524" s="106">
        <v>1419.55</v>
      </c>
      <c r="D2524" s="106">
        <v>1398.75</v>
      </c>
      <c r="E2524" s="106">
        <v>1417.95</v>
      </c>
      <c r="F2524" s="106">
        <v>1419.55</v>
      </c>
      <c r="G2524">
        <v>39466</v>
      </c>
      <c r="H2524" s="106"/>
      <c r="I2524" s="106"/>
      <c r="L2524" s="143">
        <v>45719</v>
      </c>
      <c r="M2524" s="106">
        <v>1419.75</v>
      </c>
      <c r="N2524" s="106">
        <v>1427.95</v>
      </c>
      <c r="O2524" s="106">
        <v>1400</v>
      </c>
      <c r="P2524" s="106">
        <v>1408</v>
      </c>
      <c r="Q2524" s="106">
        <v>1419.75</v>
      </c>
      <c r="R2524">
        <v>1551965</v>
      </c>
    </row>
    <row r="2525" spans="1:18" x14ac:dyDescent="0.25">
      <c r="A2525" s="143">
        <v>45720</v>
      </c>
      <c r="B2525" s="106">
        <v>1454.35</v>
      </c>
      <c r="C2525" s="106">
        <v>1449.95</v>
      </c>
      <c r="D2525" s="106">
        <v>1386.6</v>
      </c>
      <c r="E2525" s="106">
        <v>1405.05</v>
      </c>
      <c r="F2525" s="106">
        <v>1449.95</v>
      </c>
      <c r="G2525">
        <v>20969</v>
      </c>
      <c r="H2525" s="106"/>
      <c r="I2525" s="106"/>
      <c r="L2525" s="143">
        <v>45720</v>
      </c>
      <c r="M2525" s="106">
        <v>1449.6</v>
      </c>
      <c r="N2525" s="106">
        <v>1454.25</v>
      </c>
      <c r="O2525" s="106">
        <v>1387.3</v>
      </c>
      <c r="P2525" s="106">
        <v>1414.8</v>
      </c>
      <c r="Q2525" s="106">
        <v>1449.6</v>
      </c>
      <c r="R2525">
        <v>1971854</v>
      </c>
    </row>
    <row r="2526" spans="1:18" x14ac:dyDescent="0.25">
      <c r="A2526" s="143">
        <v>45721</v>
      </c>
      <c r="B2526" s="106">
        <v>1460</v>
      </c>
      <c r="C2526" s="106">
        <v>1446.65</v>
      </c>
      <c r="D2526" s="106">
        <v>1394.9</v>
      </c>
      <c r="E2526" s="106">
        <v>1460</v>
      </c>
      <c r="F2526" s="106">
        <v>1446.65</v>
      </c>
      <c r="G2526">
        <v>55436</v>
      </c>
      <c r="H2526" s="106"/>
      <c r="I2526" s="106"/>
      <c r="L2526" s="143">
        <v>45721</v>
      </c>
      <c r="M2526" s="106">
        <v>1446.9</v>
      </c>
      <c r="N2526" s="106">
        <v>1461.9</v>
      </c>
      <c r="O2526" s="106">
        <v>1394.05</v>
      </c>
      <c r="P2526" s="106">
        <v>1458</v>
      </c>
      <c r="Q2526" s="106">
        <v>1446.9</v>
      </c>
      <c r="R2526">
        <v>2724065</v>
      </c>
    </row>
    <row r="2527" spans="1:18" x14ac:dyDescent="0.25">
      <c r="A2527" s="143">
        <v>45722</v>
      </c>
      <c r="B2527" s="106">
        <v>1487.7</v>
      </c>
      <c r="C2527" s="106">
        <v>1457.5</v>
      </c>
      <c r="D2527" s="106">
        <v>1446.9</v>
      </c>
      <c r="E2527" s="106">
        <v>1476.75</v>
      </c>
      <c r="F2527" s="106">
        <v>1457.5</v>
      </c>
      <c r="G2527">
        <v>23361</v>
      </c>
      <c r="H2527" s="106"/>
      <c r="I2527" s="106"/>
      <c r="L2527" s="143">
        <v>45722</v>
      </c>
      <c r="M2527" s="106">
        <v>1458.6</v>
      </c>
      <c r="N2527" s="106">
        <v>1500</v>
      </c>
      <c r="O2527" s="106">
        <v>1450</v>
      </c>
      <c r="P2527" s="106">
        <v>1469</v>
      </c>
      <c r="Q2527" s="106">
        <v>1458.6</v>
      </c>
      <c r="R2527">
        <v>1086379</v>
      </c>
    </row>
    <row r="2528" spans="1:18" x14ac:dyDescent="0.25">
      <c r="A2528" s="143">
        <v>45723</v>
      </c>
      <c r="B2528" s="106">
        <v>1477.95</v>
      </c>
      <c r="C2528" s="106">
        <v>1457.2</v>
      </c>
      <c r="D2528" s="106">
        <v>1449.7</v>
      </c>
      <c r="E2528" s="106">
        <v>1477.95</v>
      </c>
      <c r="F2528" s="106">
        <v>1457.2</v>
      </c>
      <c r="G2528">
        <v>11804</v>
      </c>
      <c r="H2528" s="106"/>
      <c r="I2528" s="106"/>
      <c r="L2528" s="143">
        <v>45723</v>
      </c>
      <c r="M2528" s="106">
        <v>1457.35</v>
      </c>
      <c r="N2528" s="106">
        <v>1474</v>
      </c>
      <c r="O2528" s="106">
        <v>1449.65</v>
      </c>
      <c r="P2528" s="106">
        <v>1467.55</v>
      </c>
      <c r="Q2528" s="106">
        <v>1457.35</v>
      </c>
      <c r="R2528">
        <v>1722090</v>
      </c>
    </row>
    <row r="2529" spans="1:18" x14ac:dyDescent="0.25">
      <c r="A2529" s="143">
        <v>45726</v>
      </c>
      <c r="B2529" s="106">
        <v>1476.8</v>
      </c>
      <c r="C2529" s="106">
        <v>1420.65</v>
      </c>
      <c r="D2529" s="106">
        <v>1412.95</v>
      </c>
      <c r="E2529" s="106">
        <v>1469.8</v>
      </c>
      <c r="F2529" s="106">
        <v>1420.65</v>
      </c>
      <c r="G2529">
        <v>11760</v>
      </c>
      <c r="H2529" s="106"/>
      <c r="I2529" s="106"/>
      <c r="L2529" s="143">
        <v>45726</v>
      </c>
      <c r="M2529" s="106">
        <v>1419.55</v>
      </c>
      <c r="N2529" s="106">
        <v>1476.35</v>
      </c>
      <c r="O2529" s="106">
        <v>1411</v>
      </c>
      <c r="P2529" s="106">
        <v>1460</v>
      </c>
      <c r="Q2529" s="106">
        <v>1419.55</v>
      </c>
      <c r="R2529">
        <v>1482590</v>
      </c>
    </row>
    <row r="2530" spans="1:18" x14ac:dyDescent="0.25">
      <c r="A2530" s="143">
        <v>45727</v>
      </c>
      <c r="B2530" s="106">
        <v>1455.85</v>
      </c>
      <c r="C2530" s="106">
        <v>1450.15</v>
      </c>
      <c r="D2530" s="106">
        <v>1402.05</v>
      </c>
      <c r="E2530" s="106">
        <v>1402.05</v>
      </c>
      <c r="F2530" s="106">
        <v>1450.15</v>
      </c>
      <c r="G2530">
        <v>31802</v>
      </c>
      <c r="H2530" s="106"/>
      <c r="I2530" s="106"/>
      <c r="L2530" s="143">
        <v>45727</v>
      </c>
      <c r="M2530" s="106">
        <v>1448.75</v>
      </c>
      <c r="N2530" s="106">
        <v>1455</v>
      </c>
      <c r="O2530" s="106">
        <v>1408.75</v>
      </c>
      <c r="P2530" s="106">
        <v>1417</v>
      </c>
      <c r="Q2530" s="106">
        <v>1448.75</v>
      </c>
      <c r="R2530">
        <v>1204847</v>
      </c>
    </row>
    <row r="2531" spans="1:18" x14ac:dyDescent="0.25">
      <c r="A2531" s="143">
        <v>45728</v>
      </c>
      <c r="B2531" s="106">
        <v>1456</v>
      </c>
      <c r="C2531" s="106">
        <v>1450.7</v>
      </c>
      <c r="D2531" s="106">
        <v>1427.25</v>
      </c>
      <c r="E2531" s="106">
        <v>1456</v>
      </c>
      <c r="F2531" s="106">
        <v>1450.7</v>
      </c>
      <c r="G2531">
        <v>14510</v>
      </c>
      <c r="H2531" s="106"/>
      <c r="I2531" s="106"/>
      <c r="L2531" s="143">
        <v>45728</v>
      </c>
      <c r="M2531" s="106">
        <v>1451.5</v>
      </c>
      <c r="N2531" s="106">
        <v>1457</v>
      </c>
      <c r="O2531" s="106">
        <v>1425.55</v>
      </c>
      <c r="P2531" s="106">
        <v>1457</v>
      </c>
      <c r="Q2531" s="106">
        <v>1451.5</v>
      </c>
      <c r="R2531">
        <v>1194307</v>
      </c>
    </row>
    <row r="2532" spans="1:18" x14ac:dyDescent="0.25">
      <c r="A2532" s="143">
        <v>45729</v>
      </c>
      <c r="B2532" s="106">
        <v>1466.95</v>
      </c>
      <c r="C2532" s="106">
        <v>1443.25</v>
      </c>
      <c r="D2532" s="106">
        <v>1439</v>
      </c>
      <c r="E2532" s="106">
        <v>1461</v>
      </c>
      <c r="F2532" s="106">
        <v>1443.25</v>
      </c>
      <c r="G2532">
        <v>3799</v>
      </c>
      <c r="H2532" s="106"/>
      <c r="I2532" s="106"/>
      <c r="L2532" s="143">
        <v>45729</v>
      </c>
      <c r="M2532" s="106">
        <v>1444.7</v>
      </c>
      <c r="N2532" s="106">
        <v>1466.95</v>
      </c>
      <c r="O2532" s="106">
        <v>1437</v>
      </c>
      <c r="P2532" s="106">
        <v>1456.55</v>
      </c>
      <c r="Q2532" s="106">
        <v>1444.7</v>
      </c>
      <c r="R2532">
        <v>754263</v>
      </c>
    </row>
    <row r="2533" spans="1:18" x14ac:dyDescent="0.25">
      <c r="A2533" s="143">
        <v>45733</v>
      </c>
      <c r="B2533" s="106">
        <v>1465.4</v>
      </c>
      <c r="C2533" s="106">
        <v>1455.5</v>
      </c>
      <c r="D2533" s="106">
        <v>1434.4</v>
      </c>
      <c r="E2533" s="106">
        <v>1442.05</v>
      </c>
      <c r="F2533" s="106">
        <v>1455.5</v>
      </c>
      <c r="G2533">
        <v>5400</v>
      </c>
      <c r="H2533" s="106"/>
      <c r="I2533" s="106"/>
      <c r="L2533" s="143">
        <v>45733</v>
      </c>
      <c r="M2533" s="106">
        <v>1455.6</v>
      </c>
      <c r="N2533" s="106">
        <v>1466</v>
      </c>
      <c r="O2533" s="106">
        <v>1433.1</v>
      </c>
      <c r="P2533" s="106">
        <v>1438.1</v>
      </c>
      <c r="Q2533" s="106">
        <v>1455.6</v>
      </c>
      <c r="R2533">
        <v>849819</v>
      </c>
    </row>
    <row r="2534" spans="1:18" x14ac:dyDescent="0.25">
      <c r="A2534" s="143">
        <v>45734</v>
      </c>
      <c r="B2534" s="106">
        <v>1521.8</v>
      </c>
      <c r="C2534" s="106">
        <v>1515.25</v>
      </c>
      <c r="D2534" s="106">
        <v>1457.05</v>
      </c>
      <c r="E2534" s="106">
        <v>1468.85</v>
      </c>
      <c r="F2534" s="106">
        <v>1515.25</v>
      </c>
      <c r="G2534">
        <v>13305</v>
      </c>
      <c r="H2534" s="106"/>
      <c r="I2534" s="106"/>
      <c r="L2534" s="143">
        <v>45734</v>
      </c>
      <c r="M2534" s="106">
        <v>1515.25</v>
      </c>
      <c r="N2534" s="106">
        <v>1521.35</v>
      </c>
      <c r="O2534" s="106">
        <v>1455.45</v>
      </c>
      <c r="P2534" s="106">
        <v>1465</v>
      </c>
      <c r="Q2534" s="106">
        <v>1515.25</v>
      </c>
      <c r="R2534">
        <v>2238715</v>
      </c>
    </row>
    <row r="2535" spans="1:18" x14ac:dyDescent="0.25">
      <c r="A2535" s="143">
        <v>45735</v>
      </c>
      <c r="B2535" s="106">
        <v>1526</v>
      </c>
      <c r="C2535" s="106">
        <v>1512.35</v>
      </c>
      <c r="D2535" s="106">
        <v>1497.75</v>
      </c>
      <c r="E2535" s="106">
        <v>1516.35</v>
      </c>
      <c r="F2535" s="106">
        <v>1512.35</v>
      </c>
      <c r="G2535">
        <v>29477</v>
      </c>
      <c r="H2535" s="106"/>
      <c r="I2535" s="106"/>
      <c r="L2535" s="143">
        <v>45735</v>
      </c>
      <c r="M2535" s="106">
        <v>1513.25</v>
      </c>
      <c r="N2535" s="106">
        <v>1530.4</v>
      </c>
      <c r="O2535" s="106">
        <v>1497.25</v>
      </c>
      <c r="P2535" s="106">
        <v>1520</v>
      </c>
      <c r="Q2535" s="106">
        <v>1513.25</v>
      </c>
      <c r="R2535">
        <v>1564937</v>
      </c>
    </row>
    <row r="2536" spans="1:18" x14ac:dyDescent="0.25">
      <c r="A2536" s="143">
        <v>45736</v>
      </c>
      <c r="B2536" s="106">
        <v>1537.7</v>
      </c>
      <c r="C2536" s="106">
        <v>1490.65</v>
      </c>
      <c r="D2536" s="106">
        <v>1475.95</v>
      </c>
      <c r="E2536" s="106">
        <v>1529.8</v>
      </c>
      <c r="F2536" s="106">
        <v>1490.65</v>
      </c>
      <c r="G2536">
        <v>52840</v>
      </c>
      <c r="H2536" s="106"/>
      <c r="I2536" s="106"/>
      <c r="L2536" s="143">
        <v>45736</v>
      </c>
      <c r="M2536" s="106">
        <v>1493.2</v>
      </c>
      <c r="N2536" s="106">
        <v>1538</v>
      </c>
      <c r="O2536" s="106">
        <v>1476.2</v>
      </c>
      <c r="P2536" s="106">
        <v>1517</v>
      </c>
      <c r="Q2536" s="106">
        <v>1493.2</v>
      </c>
      <c r="R2536">
        <v>3216107</v>
      </c>
    </row>
    <row r="2537" spans="1:18" x14ac:dyDescent="0.25">
      <c r="A2537" s="143">
        <v>45737</v>
      </c>
      <c r="B2537" s="106">
        <v>1549.45</v>
      </c>
      <c r="C2537" s="106">
        <v>1538.25</v>
      </c>
      <c r="D2537" s="106">
        <v>1502.3</v>
      </c>
      <c r="E2537" s="106">
        <v>1509.6</v>
      </c>
      <c r="F2537" s="106">
        <v>1538.25</v>
      </c>
      <c r="G2537">
        <v>98746</v>
      </c>
      <c r="H2537" s="106"/>
      <c r="I2537" s="106"/>
      <c r="L2537" s="143">
        <v>45737</v>
      </c>
      <c r="M2537" s="106">
        <v>1538.5</v>
      </c>
      <c r="N2537" s="106">
        <v>1550</v>
      </c>
      <c r="O2537" s="106">
        <v>1500.8</v>
      </c>
      <c r="P2537" s="106">
        <v>1502</v>
      </c>
      <c r="Q2537" s="106">
        <v>1538.5</v>
      </c>
      <c r="R2537">
        <v>1902342</v>
      </c>
    </row>
    <row r="2538" spans="1:18" x14ac:dyDescent="0.25">
      <c r="A2538" s="143">
        <v>45740</v>
      </c>
      <c r="B2538" s="106">
        <v>1580.4</v>
      </c>
      <c r="C2538" s="106">
        <v>1527.65</v>
      </c>
      <c r="D2538" s="106">
        <v>1522.55</v>
      </c>
      <c r="E2538" s="106">
        <v>1569.05</v>
      </c>
      <c r="F2538" s="106">
        <v>1527.65</v>
      </c>
      <c r="G2538">
        <v>339569</v>
      </c>
      <c r="H2538" s="106"/>
      <c r="I2538" s="106"/>
      <c r="L2538" s="143">
        <v>45740</v>
      </c>
      <c r="M2538" s="106">
        <v>1529.3</v>
      </c>
      <c r="N2538" s="106">
        <v>1580</v>
      </c>
      <c r="O2538" s="106">
        <v>1522</v>
      </c>
      <c r="P2538" s="106">
        <v>1554.85</v>
      </c>
      <c r="Q2538" s="106">
        <v>1529.3</v>
      </c>
      <c r="R2538">
        <v>5381367</v>
      </c>
    </row>
    <row r="2539" spans="1:18" x14ac:dyDescent="0.25">
      <c r="A2539" s="143">
        <v>45741</v>
      </c>
      <c r="B2539" s="106">
        <v>1560.85</v>
      </c>
      <c r="C2539" s="106">
        <v>1529.1</v>
      </c>
      <c r="D2539" s="106">
        <v>1509.3</v>
      </c>
      <c r="E2539" s="106">
        <v>1560.05</v>
      </c>
      <c r="F2539" s="106">
        <v>1529.1</v>
      </c>
      <c r="G2539">
        <v>32739</v>
      </c>
      <c r="H2539" s="106"/>
      <c r="I2539" s="106"/>
      <c r="L2539" s="143">
        <v>45741</v>
      </c>
      <c r="M2539" s="106">
        <v>1529.05</v>
      </c>
      <c r="N2539" s="106">
        <v>1560</v>
      </c>
      <c r="O2539" s="106">
        <v>1508.1</v>
      </c>
      <c r="P2539" s="106">
        <v>1560</v>
      </c>
      <c r="Q2539" s="106">
        <v>1529.05</v>
      </c>
      <c r="R2539">
        <v>2103349</v>
      </c>
    </row>
    <row r="2540" spans="1:18" x14ac:dyDescent="0.25">
      <c r="A2540" s="143">
        <v>45742</v>
      </c>
      <c r="B2540" s="106">
        <v>1550</v>
      </c>
      <c r="C2540" s="106">
        <v>1521.3</v>
      </c>
      <c r="D2540" s="106">
        <v>1510</v>
      </c>
      <c r="E2540" s="106">
        <v>1529.15</v>
      </c>
      <c r="F2540" s="106">
        <v>1521.3</v>
      </c>
      <c r="G2540">
        <v>21837</v>
      </c>
      <c r="H2540" s="106"/>
      <c r="I2540" s="106"/>
      <c r="L2540" s="143">
        <v>45742</v>
      </c>
      <c r="M2540" s="106">
        <v>1522.25</v>
      </c>
      <c r="N2540" s="106">
        <v>1551</v>
      </c>
      <c r="O2540" s="106">
        <v>1510</v>
      </c>
      <c r="P2540" s="106">
        <v>1534.7</v>
      </c>
      <c r="Q2540" s="106">
        <v>1522.25</v>
      </c>
      <c r="R2540">
        <v>1863135</v>
      </c>
    </row>
    <row r="2541" spans="1:18" x14ac:dyDescent="0.25">
      <c r="A2541" s="143">
        <v>45743</v>
      </c>
      <c r="B2541" s="106">
        <v>1535.05</v>
      </c>
      <c r="C2541" s="106">
        <v>1528.7</v>
      </c>
      <c r="D2541" s="106">
        <v>1507.4</v>
      </c>
      <c r="E2541" s="106">
        <v>1507.4</v>
      </c>
      <c r="F2541" s="106">
        <v>1528.7</v>
      </c>
      <c r="G2541">
        <v>45012</v>
      </c>
      <c r="H2541" s="106"/>
      <c r="I2541" s="106"/>
      <c r="L2541" s="143">
        <v>45743</v>
      </c>
      <c r="M2541" s="106">
        <v>1531.7</v>
      </c>
      <c r="N2541" s="106">
        <v>1536</v>
      </c>
      <c r="O2541" s="106">
        <v>1507.2</v>
      </c>
      <c r="P2541" s="106">
        <v>1515</v>
      </c>
      <c r="Q2541" s="106">
        <v>1531.7</v>
      </c>
      <c r="R2541">
        <v>1773298</v>
      </c>
    </row>
    <row r="2542" spans="1:18" x14ac:dyDescent="0.25">
      <c r="A2542" s="143">
        <v>45744</v>
      </c>
      <c r="B2542" s="106">
        <v>1534.65</v>
      </c>
      <c r="C2542" s="106">
        <v>1519.55</v>
      </c>
      <c r="D2542" s="106">
        <v>1510.95</v>
      </c>
      <c r="E2542" s="106">
        <v>1529</v>
      </c>
      <c r="F2542" s="106">
        <v>1519.55</v>
      </c>
      <c r="G2542">
        <v>14792</v>
      </c>
      <c r="H2542" s="106"/>
      <c r="I2542" s="106"/>
      <c r="L2542" s="143">
        <v>45744</v>
      </c>
      <c r="M2542" s="106">
        <v>1519.95</v>
      </c>
      <c r="N2542" s="106">
        <v>1536</v>
      </c>
      <c r="O2542" s="106">
        <v>1511</v>
      </c>
      <c r="P2542" s="106">
        <v>1536</v>
      </c>
      <c r="Q2542" s="106">
        <v>1519.95</v>
      </c>
      <c r="R2542">
        <v>975450</v>
      </c>
    </row>
    <row r="2543" spans="1:18" x14ac:dyDescent="0.25">
      <c r="A2543" s="143">
        <v>45748</v>
      </c>
      <c r="B2543" s="106">
        <v>1549.8</v>
      </c>
      <c r="C2543" s="106">
        <v>1468</v>
      </c>
      <c r="D2543" s="106">
        <v>1461.4</v>
      </c>
      <c r="E2543" s="106">
        <v>1549.8</v>
      </c>
      <c r="F2543" s="106">
        <v>1468</v>
      </c>
      <c r="G2543">
        <v>13497</v>
      </c>
      <c r="H2543" s="106"/>
      <c r="I2543" s="106"/>
      <c r="L2543" s="143">
        <v>45748</v>
      </c>
      <c r="M2543" s="106">
        <v>1468.25</v>
      </c>
      <c r="N2543" s="106">
        <v>1523.9</v>
      </c>
      <c r="O2543" s="106">
        <v>1460</v>
      </c>
      <c r="P2543" s="106">
        <v>1523</v>
      </c>
      <c r="Q2543" s="106">
        <v>1468.25</v>
      </c>
      <c r="R2543">
        <v>1585585</v>
      </c>
    </row>
    <row r="2544" spans="1:18" x14ac:dyDescent="0.25">
      <c r="A2544" s="143">
        <v>45749</v>
      </c>
      <c r="B2544" s="106">
        <v>1478.9</v>
      </c>
      <c r="C2544" s="106">
        <v>1461.35</v>
      </c>
      <c r="D2544" s="106">
        <v>1451.8</v>
      </c>
      <c r="E2544" s="106">
        <v>1477.4</v>
      </c>
      <c r="F2544" s="106">
        <v>1461.35</v>
      </c>
      <c r="G2544">
        <v>8085</v>
      </c>
      <c r="H2544" s="106"/>
      <c r="I2544" s="106"/>
      <c r="L2544" s="143">
        <v>45749</v>
      </c>
      <c r="M2544" s="106">
        <v>1460.25</v>
      </c>
      <c r="N2544" s="106">
        <v>1479.6</v>
      </c>
      <c r="O2544" s="106">
        <v>1452.6</v>
      </c>
      <c r="P2544" s="106">
        <v>1471</v>
      </c>
      <c r="Q2544" s="106">
        <v>1460.25</v>
      </c>
      <c r="R2544">
        <v>1356661</v>
      </c>
    </row>
    <row r="2545" spans="1:18" x14ac:dyDescent="0.25">
      <c r="A2545" s="143">
        <v>45750</v>
      </c>
      <c r="B2545" s="106">
        <v>1472.5</v>
      </c>
      <c r="C2545" s="106">
        <v>1443.85</v>
      </c>
      <c r="D2545" s="106">
        <v>1429.65</v>
      </c>
      <c r="E2545" s="106">
        <v>1461</v>
      </c>
      <c r="F2545" s="106">
        <v>1443.85</v>
      </c>
      <c r="G2545">
        <v>35233</v>
      </c>
      <c r="H2545" s="106"/>
      <c r="I2545" s="106"/>
      <c r="L2545" s="143">
        <v>45750</v>
      </c>
      <c r="M2545" s="106">
        <v>1445.45</v>
      </c>
      <c r="N2545" s="106">
        <v>1472.6</v>
      </c>
      <c r="O2545" s="106">
        <v>1426.25</v>
      </c>
      <c r="P2545" s="106">
        <v>1454</v>
      </c>
      <c r="Q2545" s="106">
        <v>1445.45</v>
      </c>
      <c r="R2545">
        <v>1029616</v>
      </c>
    </row>
    <row r="2546" spans="1:18" x14ac:dyDescent="0.25">
      <c r="A2546" s="143">
        <v>45751</v>
      </c>
      <c r="B2546" s="106">
        <v>1461.9</v>
      </c>
      <c r="C2546" s="106">
        <v>1453.25</v>
      </c>
      <c r="D2546" s="106">
        <v>1435</v>
      </c>
      <c r="E2546" s="106">
        <v>1441</v>
      </c>
      <c r="F2546" s="106">
        <v>1453.25</v>
      </c>
      <c r="G2546">
        <v>14542</v>
      </c>
      <c r="H2546" s="106"/>
      <c r="I2546" s="106"/>
      <c r="L2546" s="143">
        <v>45751</v>
      </c>
      <c r="M2546" s="106">
        <v>1453.3</v>
      </c>
      <c r="N2546" s="106">
        <v>1462.65</v>
      </c>
      <c r="O2546" s="106">
        <v>1433.05</v>
      </c>
      <c r="P2546" s="106">
        <v>1445</v>
      </c>
      <c r="Q2546" s="106">
        <v>1453.3</v>
      </c>
      <c r="R2546">
        <v>1303321</v>
      </c>
    </row>
    <row r="2547" spans="1:18" x14ac:dyDescent="0.25">
      <c r="A2547" s="143">
        <v>45754</v>
      </c>
      <c r="B2547" s="106">
        <v>1445</v>
      </c>
      <c r="C2547" s="106">
        <v>1387.3</v>
      </c>
      <c r="D2547" s="106">
        <v>1358.75</v>
      </c>
      <c r="E2547" s="106">
        <v>1425.05</v>
      </c>
      <c r="F2547" s="106">
        <v>1387.3</v>
      </c>
      <c r="G2547">
        <v>25616</v>
      </c>
      <c r="H2547" s="106"/>
      <c r="I2547" s="106"/>
      <c r="L2547" s="143">
        <v>45754</v>
      </c>
      <c r="M2547" s="106">
        <v>1386.1</v>
      </c>
      <c r="N2547" s="106">
        <v>1445</v>
      </c>
      <c r="O2547" s="106">
        <v>1358.65</v>
      </c>
      <c r="P2547" s="106">
        <v>1445</v>
      </c>
      <c r="Q2547" s="106">
        <v>1386.1</v>
      </c>
      <c r="R2547">
        <v>2219214</v>
      </c>
    </row>
    <row r="2548" spans="1:18" x14ac:dyDescent="0.25">
      <c r="A2548" s="143">
        <v>45755</v>
      </c>
      <c r="B2548" s="106">
        <v>1470</v>
      </c>
      <c r="C2548" s="106">
        <v>1464.6</v>
      </c>
      <c r="D2548" s="106">
        <v>1415</v>
      </c>
      <c r="E2548" s="106">
        <v>1424.85</v>
      </c>
      <c r="F2548" s="106">
        <v>1464.6</v>
      </c>
      <c r="G2548">
        <v>28517</v>
      </c>
      <c r="H2548" s="106"/>
      <c r="I2548" s="106"/>
      <c r="L2548" s="143">
        <v>45755</v>
      </c>
      <c r="M2548" s="106">
        <v>1463.3</v>
      </c>
      <c r="N2548" s="106">
        <v>1470</v>
      </c>
      <c r="O2548" s="106">
        <v>1412.05</v>
      </c>
      <c r="P2548" s="106">
        <v>1414</v>
      </c>
      <c r="Q2548" s="106">
        <v>1463.3</v>
      </c>
      <c r="R2548">
        <v>2682517</v>
      </c>
    </row>
    <row r="2549" spans="1:18" x14ac:dyDescent="0.25">
      <c r="A2549" s="143">
        <v>45756</v>
      </c>
      <c r="B2549" s="106">
        <v>1487.55</v>
      </c>
      <c r="C2549" s="106">
        <v>1430.9</v>
      </c>
      <c r="D2549" s="106">
        <v>1389.65</v>
      </c>
      <c r="E2549" s="106">
        <v>1487.55</v>
      </c>
      <c r="F2549" s="106">
        <v>1430.9</v>
      </c>
      <c r="G2549">
        <v>52514</v>
      </c>
      <c r="H2549" s="106"/>
      <c r="I2549" s="106"/>
      <c r="L2549" s="143">
        <v>45756</v>
      </c>
      <c r="M2549" s="106">
        <v>1430.6</v>
      </c>
      <c r="N2549" s="106">
        <v>1475</v>
      </c>
      <c r="O2549" s="106">
        <v>1390</v>
      </c>
      <c r="P2549" s="106">
        <v>1475</v>
      </c>
      <c r="Q2549" s="106">
        <v>1430.6</v>
      </c>
      <c r="R2549">
        <v>2837371</v>
      </c>
    </row>
    <row r="2550" spans="1:18" x14ac:dyDescent="0.25">
      <c r="A2550" s="143">
        <v>45758</v>
      </c>
      <c r="B2550" s="106">
        <v>1497.55</v>
      </c>
      <c r="C2550" s="106">
        <v>1474.05</v>
      </c>
      <c r="D2550" s="106">
        <v>1457</v>
      </c>
      <c r="E2550" s="106">
        <v>1483.55</v>
      </c>
      <c r="F2550" s="106">
        <v>1474.05</v>
      </c>
      <c r="G2550">
        <v>45452</v>
      </c>
      <c r="H2550" s="106"/>
      <c r="I2550" s="106"/>
      <c r="L2550" s="143">
        <v>45758</v>
      </c>
      <c r="M2550" s="106">
        <v>1475.7</v>
      </c>
      <c r="N2550" s="106">
        <v>1498.6</v>
      </c>
      <c r="O2550" s="106">
        <v>1457.05</v>
      </c>
      <c r="P2550" s="106">
        <v>1473</v>
      </c>
      <c r="Q2550" s="106">
        <v>1475.7</v>
      </c>
      <c r="R2550">
        <v>1785510</v>
      </c>
    </row>
    <row r="2551" spans="1:18" x14ac:dyDescent="0.25">
      <c r="A2551" s="143">
        <v>45762</v>
      </c>
      <c r="B2551" s="106">
        <v>1578.25</v>
      </c>
      <c r="C2551" s="106">
        <v>1563.2</v>
      </c>
      <c r="D2551" s="106">
        <v>1488.75</v>
      </c>
      <c r="E2551" s="106">
        <v>1524.8</v>
      </c>
      <c r="F2551" s="106">
        <v>1563.2</v>
      </c>
      <c r="G2551">
        <v>29293</v>
      </c>
      <c r="H2551" s="106"/>
      <c r="I2551" s="106"/>
      <c r="L2551" s="143">
        <v>45762</v>
      </c>
      <c r="M2551" s="106">
        <v>1560.3</v>
      </c>
      <c r="N2551" s="106">
        <v>1579</v>
      </c>
      <c r="O2551" s="106">
        <v>1487.9</v>
      </c>
      <c r="P2551" s="106">
        <v>1520</v>
      </c>
      <c r="Q2551" s="106">
        <v>1560.3</v>
      </c>
      <c r="R2551">
        <v>2497699</v>
      </c>
    </row>
    <row r="2552" spans="1:18" x14ac:dyDescent="0.25">
      <c r="A2552" s="143">
        <v>45763</v>
      </c>
      <c r="B2552" s="106">
        <v>1629.9</v>
      </c>
      <c r="C2552" s="106">
        <v>1613.2</v>
      </c>
      <c r="D2552" s="106">
        <v>1543</v>
      </c>
      <c r="E2552" s="106">
        <v>1567</v>
      </c>
      <c r="F2552" s="106">
        <v>1613.2</v>
      </c>
      <c r="G2552">
        <v>58730</v>
      </c>
      <c r="H2552" s="106"/>
      <c r="I2552" s="106"/>
      <c r="L2552" s="143">
        <v>45763</v>
      </c>
      <c r="M2552" s="106">
        <v>1611.9</v>
      </c>
      <c r="N2552" s="106">
        <v>1629.9</v>
      </c>
      <c r="O2552" s="106">
        <v>1543</v>
      </c>
      <c r="P2552" s="106">
        <v>1570</v>
      </c>
      <c r="Q2552" s="106">
        <v>1611.9</v>
      </c>
      <c r="R2552">
        <v>2052940</v>
      </c>
    </row>
    <row r="2553" spans="1:18" x14ac:dyDescent="0.25">
      <c r="A2553" s="143">
        <v>45764</v>
      </c>
      <c r="B2553" s="106">
        <v>1608.65</v>
      </c>
      <c r="C2553" s="106">
        <v>1587.35</v>
      </c>
      <c r="D2553" s="106">
        <v>1563</v>
      </c>
      <c r="E2553" s="106">
        <v>1608.65</v>
      </c>
      <c r="F2553" s="106">
        <v>1587.35</v>
      </c>
      <c r="G2553">
        <v>48481</v>
      </c>
      <c r="H2553" s="106"/>
      <c r="I2553" s="106"/>
      <c r="L2553" s="143">
        <v>45764</v>
      </c>
      <c r="M2553" s="106">
        <v>1587.3</v>
      </c>
      <c r="N2553" s="106">
        <v>1609.8</v>
      </c>
      <c r="O2553" s="106">
        <v>1561.9</v>
      </c>
      <c r="P2553" s="106">
        <v>1605</v>
      </c>
      <c r="Q2553" s="106">
        <v>1587.3</v>
      </c>
      <c r="R2553">
        <v>1816329</v>
      </c>
    </row>
    <row r="2554" spans="1:18" x14ac:dyDescent="0.25">
      <c r="A2554" s="143">
        <v>45768</v>
      </c>
      <c r="B2554" s="106">
        <v>1682.85</v>
      </c>
      <c r="C2554" s="106">
        <v>1659.2</v>
      </c>
      <c r="D2554" s="106">
        <v>1594.65</v>
      </c>
      <c r="E2554" s="106">
        <v>1608</v>
      </c>
      <c r="F2554" s="106">
        <v>1659.2</v>
      </c>
      <c r="G2554">
        <v>106604</v>
      </c>
      <c r="H2554" s="106"/>
      <c r="I2554" s="106"/>
      <c r="L2554" s="143">
        <v>45768</v>
      </c>
      <c r="M2554" s="106">
        <v>1659.8</v>
      </c>
      <c r="N2554" s="106">
        <v>1682</v>
      </c>
      <c r="O2554" s="106">
        <v>1595</v>
      </c>
      <c r="P2554" s="106">
        <v>1609.3</v>
      </c>
      <c r="Q2554" s="106">
        <v>1659.8</v>
      </c>
      <c r="R2554">
        <v>3338149</v>
      </c>
    </row>
    <row r="2555" spans="1:18" x14ac:dyDescent="0.25">
      <c r="A2555" s="143">
        <v>45769</v>
      </c>
      <c r="B2555" s="106">
        <v>1650.55</v>
      </c>
      <c r="C2555" s="106">
        <v>1565.55</v>
      </c>
      <c r="D2555" s="106">
        <v>1560</v>
      </c>
      <c r="E2555" s="106">
        <v>1650.5</v>
      </c>
      <c r="F2555" s="106">
        <v>1565.55</v>
      </c>
      <c r="G2555">
        <v>115813</v>
      </c>
      <c r="H2555" s="106"/>
      <c r="I2555" s="106"/>
      <c r="L2555" s="143">
        <v>45769</v>
      </c>
      <c r="M2555" s="106">
        <v>1566.4</v>
      </c>
      <c r="N2555" s="106">
        <v>1649</v>
      </c>
      <c r="O2555" s="106">
        <v>1557.4</v>
      </c>
      <c r="P2555" s="106">
        <v>1648.9</v>
      </c>
      <c r="Q2555" s="106">
        <v>1566.4</v>
      </c>
      <c r="R2555">
        <v>4574218</v>
      </c>
    </row>
    <row r="2556" spans="1:18" x14ac:dyDescent="0.25">
      <c r="A2556" s="143">
        <v>45770</v>
      </c>
      <c r="B2556" s="106">
        <v>1619</v>
      </c>
      <c r="C2556" s="106">
        <v>1566.25</v>
      </c>
      <c r="D2556" s="106">
        <v>1560</v>
      </c>
      <c r="E2556" s="106">
        <v>1591.95</v>
      </c>
      <c r="F2556" s="106">
        <v>1566.25</v>
      </c>
      <c r="G2556">
        <v>64768</v>
      </c>
      <c r="H2556" s="106"/>
      <c r="I2556" s="106"/>
      <c r="L2556" s="143">
        <v>45770</v>
      </c>
      <c r="M2556" s="106">
        <v>1566.8</v>
      </c>
      <c r="N2556" s="106">
        <v>1620</v>
      </c>
      <c r="O2556" s="106">
        <v>1559.2</v>
      </c>
      <c r="P2556" s="106">
        <v>1595</v>
      </c>
      <c r="Q2556" s="106">
        <v>1566.8</v>
      </c>
      <c r="R2556">
        <v>3560465</v>
      </c>
    </row>
    <row r="2557" spans="1:18" x14ac:dyDescent="0.25">
      <c r="A2557" s="143">
        <v>45771</v>
      </c>
      <c r="B2557" s="106">
        <v>1570.05</v>
      </c>
      <c r="C2557" s="106">
        <v>1550.55</v>
      </c>
      <c r="D2557" s="106">
        <v>1537.2</v>
      </c>
      <c r="E2557" s="106">
        <v>1570</v>
      </c>
      <c r="F2557" s="106">
        <v>1550.55</v>
      </c>
      <c r="G2557">
        <v>15159</v>
      </c>
      <c r="H2557" s="106"/>
      <c r="I2557" s="106"/>
      <c r="L2557" s="143">
        <v>45771</v>
      </c>
      <c r="M2557" s="106">
        <v>1547.9</v>
      </c>
      <c r="N2557" s="106">
        <v>1570.9</v>
      </c>
      <c r="O2557" s="106">
        <v>1536.7</v>
      </c>
      <c r="P2557" s="106">
        <v>1567</v>
      </c>
      <c r="Q2557" s="106">
        <v>1547.9</v>
      </c>
      <c r="R2557">
        <v>3030697</v>
      </c>
    </row>
    <row r="2558" spans="1:18" x14ac:dyDescent="0.25">
      <c r="A2558" s="143">
        <v>45772</v>
      </c>
      <c r="B2558" s="106">
        <v>1577.25</v>
      </c>
      <c r="C2558" s="106">
        <v>1541.2</v>
      </c>
      <c r="D2558" s="106">
        <v>1520</v>
      </c>
      <c r="E2558" s="106">
        <v>1565.95</v>
      </c>
      <c r="F2558" s="106">
        <v>1541.2</v>
      </c>
      <c r="G2558">
        <v>79631</v>
      </c>
      <c r="H2558" s="106"/>
      <c r="I2558" s="106"/>
      <c r="L2558" s="143">
        <v>45772</v>
      </c>
      <c r="M2558" s="106">
        <v>1543.5</v>
      </c>
      <c r="N2558" s="106">
        <v>1579.9</v>
      </c>
      <c r="O2558" s="106">
        <v>1517.7</v>
      </c>
      <c r="P2558" s="106">
        <v>1562</v>
      </c>
      <c r="Q2558" s="106">
        <v>1543.5</v>
      </c>
      <c r="R2558">
        <v>1777628</v>
      </c>
    </row>
    <row r="2559" spans="1:18" x14ac:dyDescent="0.25">
      <c r="A2559" s="143">
        <v>45775</v>
      </c>
      <c r="B2559" s="106">
        <v>1562</v>
      </c>
      <c r="C2559" s="106">
        <v>1525.85</v>
      </c>
      <c r="D2559" s="106">
        <v>1489.5</v>
      </c>
      <c r="E2559" s="106">
        <v>1529.5</v>
      </c>
      <c r="F2559" s="106">
        <v>1525.85</v>
      </c>
      <c r="G2559">
        <v>51060</v>
      </c>
      <c r="H2559" s="106"/>
      <c r="I2559" s="106"/>
      <c r="L2559" s="143">
        <v>45775</v>
      </c>
      <c r="M2559" s="106">
        <v>1525.8</v>
      </c>
      <c r="N2559" s="106">
        <v>1563</v>
      </c>
      <c r="O2559" s="106">
        <v>1485.1</v>
      </c>
      <c r="P2559" s="106">
        <v>1522.1</v>
      </c>
      <c r="Q2559" s="106">
        <v>1525.8</v>
      </c>
      <c r="R2559">
        <v>2705277</v>
      </c>
    </row>
    <row r="2560" spans="1:18" x14ac:dyDescent="0.25">
      <c r="A2560" s="143">
        <v>45776</v>
      </c>
      <c r="B2560" s="106">
        <v>1533.55</v>
      </c>
      <c r="C2560" s="106">
        <v>1483.7</v>
      </c>
      <c r="D2560" s="106">
        <v>1480</v>
      </c>
      <c r="E2560" s="106">
        <v>1533.5</v>
      </c>
      <c r="F2560" s="106">
        <v>1483.7</v>
      </c>
      <c r="G2560">
        <v>86057</v>
      </c>
      <c r="H2560" s="106"/>
      <c r="I2560" s="106"/>
      <c r="L2560" s="143">
        <v>45776</v>
      </c>
      <c r="M2560" s="106">
        <v>1484.5</v>
      </c>
      <c r="N2560" s="106">
        <v>1534.9</v>
      </c>
      <c r="O2560" s="106">
        <v>1480</v>
      </c>
      <c r="P2560" s="106">
        <v>1529.8</v>
      </c>
      <c r="Q2560" s="106">
        <v>1484.5</v>
      </c>
      <c r="R2560">
        <v>2398360</v>
      </c>
    </row>
    <row r="2561" spans="1:18" x14ac:dyDescent="0.25">
      <c r="A2561" s="143">
        <v>45777</v>
      </c>
      <c r="B2561" s="106">
        <v>1503.9</v>
      </c>
      <c r="C2561" s="106">
        <v>1491.95</v>
      </c>
      <c r="D2561" s="106">
        <v>1466.5</v>
      </c>
      <c r="E2561" s="106">
        <v>1483.45</v>
      </c>
      <c r="F2561" s="106">
        <v>1491.95</v>
      </c>
      <c r="G2561">
        <v>31060</v>
      </c>
      <c r="H2561" s="106"/>
      <c r="I2561" s="106"/>
      <c r="L2561" s="143">
        <v>45777</v>
      </c>
      <c r="M2561" s="106">
        <v>1492.2</v>
      </c>
      <c r="N2561" s="106">
        <v>1503.3</v>
      </c>
      <c r="O2561" s="106">
        <v>1465.6</v>
      </c>
      <c r="P2561" s="106">
        <v>1480</v>
      </c>
      <c r="Q2561" s="106">
        <v>1492.2</v>
      </c>
      <c r="R2561">
        <v>2525455</v>
      </c>
    </row>
    <row r="2562" spans="1:18" x14ac:dyDescent="0.25">
      <c r="A2562" s="143">
        <v>45779</v>
      </c>
      <c r="B2562" s="106">
        <v>1505</v>
      </c>
      <c r="C2562" s="106">
        <v>1486.4</v>
      </c>
      <c r="D2562" s="106">
        <v>1476</v>
      </c>
      <c r="E2562" s="106">
        <v>1488.45</v>
      </c>
      <c r="F2562" s="106">
        <v>1486.4</v>
      </c>
      <c r="G2562">
        <v>12509</v>
      </c>
      <c r="H2562" s="106"/>
      <c r="I2562" s="106"/>
      <c r="L2562" s="143">
        <v>45779</v>
      </c>
      <c r="M2562" s="106">
        <v>1487.8</v>
      </c>
      <c r="N2562" s="106">
        <v>1505.1</v>
      </c>
      <c r="O2562" s="106">
        <v>1475.9</v>
      </c>
      <c r="P2562" s="106">
        <v>1480.1</v>
      </c>
      <c r="Q2562" s="106">
        <v>1487.8</v>
      </c>
      <c r="R2562">
        <v>1363356</v>
      </c>
    </row>
    <row r="2563" spans="1:18" x14ac:dyDescent="0.25">
      <c r="A2563" s="143">
        <v>45782</v>
      </c>
      <c r="B2563" s="106">
        <v>1558.2</v>
      </c>
      <c r="C2563" s="106">
        <v>1552.7</v>
      </c>
      <c r="D2563" s="106">
        <v>1489.25</v>
      </c>
      <c r="E2563" s="106">
        <v>1490.3</v>
      </c>
      <c r="F2563" s="106">
        <v>1552.7</v>
      </c>
      <c r="G2563">
        <v>25978</v>
      </c>
      <c r="H2563" s="106"/>
      <c r="I2563" s="106"/>
      <c r="L2563" s="143">
        <v>45782</v>
      </c>
      <c r="M2563" s="106">
        <v>1551.5</v>
      </c>
      <c r="N2563" s="106">
        <v>1559.3</v>
      </c>
      <c r="O2563" s="106">
        <v>1487.4</v>
      </c>
      <c r="P2563" s="106">
        <v>1494</v>
      </c>
      <c r="Q2563" s="106">
        <v>1551.5</v>
      </c>
      <c r="R2563">
        <v>1794084</v>
      </c>
    </row>
    <row r="2564" spans="1:18" x14ac:dyDescent="0.25">
      <c r="A2564" s="143">
        <v>45783</v>
      </c>
      <c r="B2564" s="106">
        <v>1571</v>
      </c>
      <c r="C2564" s="106">
        <v>1529.1</v>
      </c>
      <c r="D2564" s="106">
        <v>1525.2</v>
      </c>
      <c r="E2564" s="106">
        <v>1550.5</v>
      </c>
      <c r="F2564" s="106">
        <v>1529.1</v>
      </c>
      <c r="G2564">
        <v>42882</v>
      </c>
      <c r="H2564" s="106"/>
      <c r="I2564" s="106"/>
      <c r="L2564" s="143">
        <v>45783</v>
      </c>
      <c r="M2564" s="106">
        <v>1530.6</v>
      </c>
      <c r="N2564" s="106">
        <v>1572.9</v>
      </c>
      <c r="O2564" s="106">
        <v>1524.8</v>
      </c>
      <c r="P2564" s="106">
        <v>1557</v>
      </c>
      <c r="Q2564" s="106">
        <v>1530.6</v>
      </c>
      <c r="R2564">
        <v>1385877</v>
      </c>
    </row>
    <row r="2565" spans="1:18" x14ac:dyDescent="0.25">
      <c r="A2565" s="143">
        <v>45784</v>
      </c>
      <c r="B2565" s="106">
        <v>1590.25</v>
      </c>
      <c r="C2565" s="106">
        <v>1576.7</v>
      </c>
      <c r="D2565" s="106">
        <v>1494.75</v>
      </c>
      <c r="E2565" s="106">
        <v>1494.75</v>
      </c>
      <c r="F2565" s="106">
        <v>1576.7</v>
      </c>
      <c r="G2565">
        <v>59846</v>
      </c>
      <c r="H2565" s="106"/>
      <c r="I2565" s="106"/>
      <c r="L2565" s="143">
        <v>45784</v>
      </c>
      <c r="M2565" s="106">
        <v>1574.5</v>
      </c>
      <c r="N2565" s="106">
        <v>1590.9</v>
      </c>
      <c r="O2565" s="106">
        <v>1505</v>
      </c>
      <c r="P2565" s="106">
        <v>1505</v>
      </c>
      <c r="Q2565" s="106">
        <v>1574.5</v>
      </c>
      <c r="R2565">
        <v>2446096</v>
      </c>
    </row>
    <row r="2566" spans="1:18" x14ac:dyDescent="0.25">
      <c r="A2566" s="143">
        <v>45785</v>
      </c>
      <c r="B2566" s="106">
        <v>1589.85</v>
      </c>
      <c r="C2566" s="106">
        <v>1528.9</v>
      </c>
      <c r="D2566" s="106">
        <v>1517.2</v>
      </c>
      <c r="E2566" s="106">
        <v>1576.7</v>
      </c>
      <c r="F2566" s="106">
        <v>1528.9</v>
      </c>
      <c r="G2566">
        <v>35237</v>
      </c>
      <c r="H2566" s="106"/>
      <c r="I2566" s="106"/>
      <c r="L2566" s="143">
        <v>45785</v>
      </c>
      <c r="M2566" s="106">
        <v>1531.5</v>
      </c>
      <c r="N2566" s="106">
        <v>1590.7</v>
      </c>
      <c r="O2566" s="106">
        <v>1518.3</v>
      </c>
      <c r="P2566" s="106">
        <v>1575</v>
      </c>
      <c r="Q2566" s="106">
        <v>1531.5</v>
      </c>
      <c r="R2566">
        <v>1490280</v>
      </c>
    </row>
    <row r="2567" spans="1:18" x14ac:dyDescent="0.25">
      <c r="A2567" s="143">
        <v>45786</v>
      </c>
      <c r="B2567" s="106">
        <v>1528.9</v>
      </c>
      <c r="C2567" s="106">
        <v>1513.3</v>
      </c>
      <c r="D2567" s="106">
        <v>1471.75</v>
      </c>
      <c r="E2567" s="106">
        <v>1471.75</v>
      </c>
      <c r="F2567" s="106">
        <v>1513.3</v>
      </c>
      <c r="G2567">
        <v>11508</v>
      </c>
      <c r="H2567" s="106"/>
      <c r="I2567" s="106"/>
      <c r="L2567" s="143">
        <v>45786</v>
      </c>
      <c r="M2567" s="106">
        <v>1513.6</v>
      </c>
      <c r="N2567" s="106">
        <v>1530.5</v>
      </c>
      <c r="O2567" s="106">
        <v>1492.5</v>
      </c>
      <c r="P2567" s="106">
        <v>1495.5</v>
      </c>
      <c r="Q2567" s="106">
        <v>1513.6</v>
      </c>
      <c r="R2567">
        <v>2126114</v>
      </c>
    </row>
    <row r="2568" spans="1:18" x14ac:dyDescent="0.25">
      <c r="A2568" s="143">
        <v>45789</v>
      </c>
      <c r="B2568" s="106">
        <v>1582.6</v>
      </c>
      <c r="C2568" s="106">
        <v>1579.6</v>
      </c>
      <c r="D2568" s="106">
        <v>1546.5</v>
      </c>
      <c r="E2568" s="106">
        <v>1546.5</v>
      </c>
      <c r="F2568" s="106">
        <v>1579.6</v>
      </c>
      <c r="G2568">
        <v>10508</v>
      </c>
      <c r="H2568" s="106"/>
      <c r="I2568" s="106"/>
      <c r="L2568" s="143">
        <v>45789</v>
      </c>
      <c r="M2568" s="106">
        <v>1579.2</v>
      </c>
      <c r="N2568" s="106">
        <v>1582</v>
      </c>
      <c r="O2568" s="106">
        <v>1543.9</v>
      </c>
      <c r="P2568" s="106">
        <v>1550</v>
      </c>
      <c r="Q2568" s="106">
        <v>1579.2</v>
      </c>
      <c r="R2568">
        <v>825674</v>
      </c>
    </row>
    <row r="2569" spans="1:18" x14ac:dyDescent="0.25">
      <c r="A2569" s="143">
        <v>45790</v>
      </c>
      <c r="B2569" s="106">
        <v>1593.8</v>
      </c>
      <c r="C2569" s="106">
        <v>1578.6</v>
      </c>
      <c r="D2569" s="106">
        <v>1569</v>
      </c>
      <c r="E2569" s="106">
        <v>1575</v>
      </c>
      <c r="F2569" s="106">
        <v>1578.6</v>
      </c>
      <c r="G2569">
        <v>22157</v>
      </c>
      <c r="H2569" s="106"/>
      <c r="I2569" s="106"/>
      <c r="L2569" s="143">
        <v>45790</v>
      </c>
      <c r="M2569" s="106">
        <v>1578.8</v>
      </c>
      <c r="N2569" s="106">
        <v>1593.5</v>
      </c>
      <c r="O2569" s="106">
        <v>1569</v>
      </c>
      <c r="P2569" s="106">
        <v>1579.2</v>
      </c>
      <c r="Q2569" s="106">
        <v>1578.8</v>
      </c>
      <c r="R2569">
        <v>1222774</v>
      </c>
    </row>
    <row r="2570" spans="1:18" x14ac:dyDescent="0.25">
      <c r="A2570" s="143">
        <v>45791</v>
      </c>
      <c r="B2570" s="106">
        <v>1606.8</v>
      </c>
      <c r="C2570" s="106">
        <v>1596.15</v>
      </c>
      <c r="D2570" s="106">
        <v>1550</v>
      </c>
      <c r="E2570" s="106">
        <v>1550</v>
      </c>
      <c r="F2570" s="106">
        <v>1596.15</v>
      </c>
      <c r="G2570">
        <v>20108</v>
      </c>
      <c r="H2570" s="106"/>
      <c r="I2570" s="106"/>
      <c r="L2570" s="143">
        <v>45791</v>
      </c>
      <c r="M2570" s="106">
        <v>1596.6</v>
      </c>
      <c r="N2570" s="106">
        <v>1606</v>
      </c>
      <c r="O2570" s="106">
        <v>1555</v>
      </c>
      <c r="P2570" s="106">
        <v>1555</v>
      </c>
      <c r="Q2570" s="106">
        <v>1596.6</v>
      </c>
      <c r="R2570">
        <v>1240552</v>
      </c>
    </row>
    <row r="2571" spans="1:18" x14ac:dyDescent="0.25">
      <c r="A2571" s="143">
        <v>45792</v>
      </c>
      <c r="B2571" s="106">
        <v>1614.25</v>
      </c>
      <c r="C2571" s="106">
        <v>1608.65</v>
      </c>
      <c r="D2571" s="106">
        <v>1575</v>
      </c>
      <c r="E2571" s="106">
        <v>1589.3</v>
      </c>
      <c r="F2571" s="106">
        <v>1608.65</v>
      </c>
      <c r="G2571">
        <v>13104</v>
      </c>
      <c r="H2571" s="106"/>
      <c r="I2571" s="106"/>
      <c r="L2571" s="143">
        <v>45792</v>
      </c>
      <c r="M2571" s="106">
        <v>1609.2</v>
      </c>
      <c r="N2571" s="106">
        <v>1614</v>
      </c>
      <c r="O2571" s="106">
        <v>1574.9</v>
      </c>
      <c r="P2571" s="106">
        <v>1584.6</v>
      </c>
      <c r="Q2571" s="106">
        <v>1609.2</v>
      </c>
      <c r="R2571">
        <v>801332</v>
      </c>
    </row>
    <row r="2572" spans="1:18" x14ac:dyDescent="0.25">
      <c r="A2572" s="143">
        <v>45793</v>
      </c>
      <c r="B2572" s="106">
        <v>1629</v>
      </c>
      <c r="C2572" s="106">
        <v>1619.25</v>
      </c>
      <c r="D2572" s="106">
        <v>1595.3</v>
      </c>
      <c r="E2572" s="106">
        <v>1595.3</v>
      </c>
      <c r="F2572" s="106">
        <v>1619.25</v>
      </c>
      <c r="G2572">
        <v>11368</v>
      </c>
      <c r="H2572" s="106"/>
      <c r="I2572" s="106"/>
      <c r="L2572" s="143">
        <v>45793</v>
      </c>
      <c r="M2572" s="106">
        <v>1619.3</v>
      </c>
      <c r="N2572" s="106">
        <v>1630</v>
      </c>
      <c r="O2572" s="106">
        <v>1602.7</v>
      </c>
      <c r="P2572" s="106">
        <v>1616.2</v>
      </c>
      <c r="Q2572" s="106">
        <v>1619.3</v>
      </c>
      <c r="R2572">
        <v>652281</v>
      </c>
    </row>
    <row r="2573" spans="1:18" x14ac:dyDescent="0.25">
      <c r="A2573" s="143">
        <v>45796</v>
      </c>
      <c r="B2573" s="106">
        <v>1638.35</v>
      </c>
      <c r="C2573" s="106">
        <v>1633</v>
      </c>
      <c r="D2573" s="106">
        <v>1617.9</v>
      </c>
      <c r="E2573" s="106">
        <v>1622.15</v>
      </c>
      <c r="F2573" s="106">
        <v>1633</v>
      </c>
      <c r="G2573">
        <v>13000</v>
      </c>
      <c r="H2573" s="106"/>
      <c r="I2573" s="106"/>
      <c r="L2573" s="143">
        <v>45796</v>
      </c>
      <c r="M2573" s="106">
        <v>1634.4</v>
      </c>
      <c r="N2573" s="106">
        <v>1639.5</v>
      </c>
      <c r="O2573" s="106">
        <v>1618.9</v>
      </c>
      <c r="P2573" s="106">
        <v>1620</v>
      </c>
      <c r="Q2573" s="106">
        <v>1634.4</v>
      </c>
      <c r="R2573">
        <v>893304</v>
      </c>
    </row>
    <row r="2574" spans="1:18" x14ac:dyDescent="0.25">
      <c r="A2574" s="143">
        <v>45797</v>
      </c>
      <c r="B2574" s="106">
        <v>1639.95</v>
      </c>
      <c r="C2574" s="106">
        <v>1608.7</v>
      </c>
      <c r="D2574" s="106">
        <v>1601</v>
      </c>
      <c r="E2574" s="106">
        <v>1639.95</v>
      </c>
      <c r="F2574" s="106">
        <v>1608.7</v>
      </c>
      <c r="G2574">
        <v>7153</v>
      </c>
      <c r="H2574" s="106"/>
      <c r="I2574" s="106"/>
      <c r="L2574" s="143">
        <v>45797</v>
      </c>
      <c r="M2574" s="106">
        <v>1609.3</v>
      </c>
      <c r="N2574" s="106">
        <v>1635</v>
      </c>
      <c r="O2574" s="106">
        <v>1600.4</v>
      </c>
      <c r="P2574" s="106">
        <v>1634.6</v>
      </c>
      <c r="Q2574" s="106">
        <v>1609.3</v>
      </c>
      <c r="R2574">
        <v>1110122</v>
      </c>
    </row>
    <row r="2575" spans="1:18" x14ac:dyDescent="0.25">
      <c r="A2575" s="143">
        <v>45798</v>
      </c>
      <c r="B2575" s="106">
        <v>1662.35</v>
      </c>
      <c r="C2575" s="106">
        <v>1656.35</v>
      </c>
      <c r="D2575" s="106">
        <v>1603.55</v>
      </c>
      <c r="E2575" s="106">
        <v>1605.1</v>
      </c>
      <c r="F2575" s="106">
        <v>1656.35</v>
      </c>
      <c r="G2575">
        <v>34736</v>
      </c>
      <c r="H2575" s="106"/>
      <c r="I2575" s="106"/>
      <c r="L2575" s="143">
        <v>45798</v>
      </c>
      <c r="M2575" s="106">
        <v>1656</v>
      </c>
      <c r="N2575" s="106">
        <v>1661</v>
      </c>
      <c r="O2575" s="106">
        <v>1603.2</v>
      </c>
      <c r="P2575" s="106">
        <v>1609.9</v>
      </c>
      <c r="Q2575" s="106">
        <v>1656</v>
      </c>
      <c r="R2575">
        <v>2599619</v>
      </c>
    </row>
    <row r="2576" spans="1:18" x14ac:dyDescent="0.25">
      <c r="A2576" s="143">
        <v>45799</v>
      </c>
      <c r="B2576" s="106">
        <v>1655</v>
      </c>
      <c r="C2576" s="106">
        <v>1627.55</v>
      </c>
      <c r="D2576" s="106">
        <v>1616.95</v>
      </c>
      <c r="E2576" s="106">
        <v>1650.35</v>
      </c>
      <c r="F2576" s="106">
        <v>1627.55</v>
      </c>
      <c r="G2576">
        <v>15832</v>
      </c>
      <c r="H2576" s="106"/>
      <c r="I2576" s="106"/>
      <c r="L2576" s="143">
        <v>45799</v>
      </c>
      <c r="M2576" s="106">
        <v>1626.9</v>
      </c>
      <c r="N2576" s="106">
        <v>1656.9</v>
      </c>
      <c r="O2576" s="106">
        <v>1616.8</v>
      </c>
      <c r="P2576" s="106">
        <v>1652.5</v>
      </c>
      <c r="Q2576" s="106">
        <v>1626.9</v>
      </c>
      <c r="R2576">
        <v>1163741</v>
      </c>
    </row>
    <row r="2577" spans="1:18" x14ac:dyDescent="0.25">
      <c r="A2577" s="143">
        <v>45800</v>
      </c>
      <c r="B2577" s="106">
        <v>1631</v>
      </c>
      <c r="C2577" s="106">
        <v>1627.05</v>
      </c>
      <c r="D2577" s="106">
        <v>1603.35</v>
      </c>
      <c r="E2577" s="106">
        <v>1626.7</v>
      </c>
      <c r="F2577" s="106">
        <v>1627.05</v>
      </c>
      <c r="G2577">
        <v>24229</v>
      </c>
      <c r="H2577" s="106"/>
      <c r="I2577" s="106"/>
      <c r="L2577" s="143">
        <v>45800</v>
      </c>
      <c r="M2577" s="106">
        <v>1628</v>
      </c>
      <c r="N2577" s="106">
        <v>1634.8</v>
      </c>
      <c r="O2577" s="106">
        <v>1604</v>
      </c>
      <c r="P2577" s="106">
        <v>1622</v>
      </c>
      <c r="Q2577" s="106">
        <v>1628</v>
      </c>
      <c r="R2577">
        <v>648628</v>
      </c>
    </row>
    <row r="2578" spans="1:18" x14ac:dyDescent="0.25">
      <c r="A2578" s="143">
        <v>45803</v>
      </c>
      <c r="B2578" s="106">
        <v>1648.4</v>
      </c>
      <c r="C2578" s="106">
        <v>1644.5</v>
      </c>
      <c r="D2578" s="106">
        <v>1620</v>
      </c>
      <c r="E2578" s="106">
        <v>1648.3</v>
      </c>
      <c r="F2578" s="106">
        <v>1644.5</v>
      </c>
      <c r="G2578">
        <v>15670</v>
      </c>
      <c r="H2578" s="106"/>
      <c r="I2578" s="106"/>
      <c r="L2578" s="143">
        <v>45803</v>
      </c>
      <c r="M2578" s="106">
        <v>1644.8</v>
      </c>
      <c r="N2578" s="106">
        <v>1648.5</v>
      </c>
      <c r="O2578" s="106">
        <v>1619.7</v>
      </c>
      <c r="P2578" s="106">
        <v>1628</v>
      </c>
      <c r="Q2578" s="106">
        <v>1644.8</v>
      </c>
      <c r="R2578">
        <v>537043</v>
      </c>
    </row>
    <row r="2579" spans="1:18" x14ac:dyDescent="0.25">
      <c r="A2579" s="143">
        <v>45804</v>
      </c>
      <c r="B2579" s="106">
        <v>1669</v>
      </c>
      <c r="C2579" s="106">
        <v>1663.55</v>
      </c>
      <c r="D2579" s="106">
        <v>1639.9</v>
      </c>
      <c r="E2579" s="106">
        <v>1654.95</v>
      </c>
      <c r="F2579" s="106">
        <v>1663.55</v>
      </c>
      <c r="G2579">
        <v>27239</v>
      </c>
      <c r="H2579" s="106"/>
      <c r="I2579" s="106"/>
      <c r="L2579" s="143">
        <v>45804</v>
      </c>
      <c r="M2579" s="106">
        <v>1665.2</v>
      </c>
      <c r="N2579" s="106">
        <v>1670</v>
      </c>
      <c r="O2579" s="106">
        <v>1638.4</v>
      </c>
      <c r="P2579" s="106">
        <v>1645.2</v>
      </c>
      <c r="Q2579" s="106">
        <v>1665.2</v>
      </c>
      <c r="R2579">
        <v>1146178</v>
      </c>
    </row>
    <row r="2580" spans="1:18" x14ac:dyDescent="0.25">
      <c r="A2580" s="143">
        <v>45805</v>
      </c>
      <c r="B2580" s="106">
        <v>1683.65</v>
      </c>
      <c r="C2580" s="106">
        <v>1647.65</v>
      </c>
      <c r="D2580" s="106">
        <v>1642.4</v>
      </c>
      <c r="E2580" s="106">
        <v>1673.35</v>
      </c>
      <c r="F2580" s="106">
        <v>1647.65</v>
      </c>
      <c r="G2580">
        <v>17960</v>
      </c>
      <c r="H2580" s="106"/>
      <c r="I2580" s="106"/>
      <c r="L2580" s="143">
        <v>45805</v>
      </c>
      <c r="M2580" s="106">
        <v>1647</v>
      </c>
      <c r="N2580" s="106">
        <v>1684.4</v>
      </c>
      <c r="O2580" s="106">
        <v>1642.7</v>
      </c>
      <c r="P2580" s="106">
        <v>1670</v>
      </c>
      <c r="Q2580" s="106">
        <v>1647</v>
      </c>
      <c r="R2580">
        <v>982297</v>
      </c>
    </row>
    <row r="2581" spans="1:18" x14ac:dyDescent="0.25">
      <c r="A2581" s="143">
        <v>45806</v>
      </c>
      <c r="B2581" s="106">
        <v>1656.6</v>
      </c>
      <c r="C2581" s="106">
        <v>1607.1</v>
      </c>
      <c r="D2581" s="106">
        <v>1601.2</v>
      </c>
      <c r="E2581" s="106">
        <v>1620.05</v>
      </c>
      <c r="F2581" s="106">
        <v>1607.1</v>
      </c>
      <c r="G2581">
        <v>40131</v>
      </c>
      <c r="H2581" s="106"/>
      <c r="I2581" s="106"/>
      <c r="L2581" s="143">
        <v>45806</v>
      </c>
      <c r="M2581" s="106">
        <v>1607.8</v>
      </c>
      <c r="N2581" s="106">
        <v>1653.8</v>
      </c>
      <c r="O2581" s="106">
        <v>1601.5</v>
      </c>
      <c r="P2581" s="106">
        <v>1649.9</v>
      </c>
      <c r="Q2581" s="106">
        <v>1607.8</v>
      </c>
      <c r="R2581">
        <v>1535436</v>
      </c>
    </row>
    <row r="2582" spans="1:18" x14ac:dyDescent="0.25">
      <c r="A2582" s="143">
        <v>45807</v>
      </c>
      <c r="B2582" s="106">
        <v>1614.15</v>
      </c>
      <c r="C2582" s="106">
        <v>1601.45</v>
      </c>
      <c r="D2582" s="106">
        <v>1593.2</v>
      </c>
      <c r="E2582" s="106">
        <v>1608</v>
      </c>
      <c r="F2582" s="106">
        <v>1601.45</v>
      </c>
      <c r="G2582">
        <v>10196</v>
      </c>
      <c r="H2582" s="106"/>
      <c r="I2582" s="106"/>
      <c r="L2582" s="143">
        <v>45807</v>
      </c>
      <c r="M2582" s="106">
        <v>1601</v>
      </c>
      <c r="N2582" s="106">
        <v>1615.3</v>
      </c>
      <c r="O2582" s="106">
        <v>1593</v>
      </c>
      <c r="P2582" s="106">
        <v>1608</v>
      </c>
      <c r="Q2582" s="106">
        <v>1601</v>
      </c>
      <c r="R2582">
        <v>1453818</v>
      </c>
    </row>
    <row r="2583" spans="1:18" x14ac:dyDescent="0.25">
      <c r="A2583" s="143">
        <v>45810</v>
      </c>
      <c r="B2583" s="106">
        <v>1587.65</v>
      </c>
      <c r="C2583" s="106">
        <v>1579.75</v>
      </c>
      <c r="D2583" s="106">
        <v>1548.95</v>
      </c>
      <c r="E2583" s="106">
        <v>1584.8</v>
      </c>
      <c r="F2583" s="106">
        <v>1579.75</v>
      </c>
      <c r="G2583">
        <v>39357</v>
      </c>
      <c r="H2583" s="106"/>
      <c r="I2583" s="106"/>
      <c r="L2583" s="143">
        <v>45810</v>
      </c>
      <c r="M2583" s="106">
        <v>1581</v>
      </c>
      <c r="N2583" s="106">
        <v>1590</v>
      </c>
      <c r="O2583" s="106">
        <v>1548.1</v>
      </c>
      <c r="P2583" s="106">
        <v>1570</v>
      </c>
      <c r="Q2583" s="106">
        <v>1581</v>
      </c>
      <c r="R2583">
        <v>2123000</v>
      </c>
    </row>
    <row r="2584" spans="1:18" x14ac:dyDescent="0.25">
      <c r="A2584" s="143">
        <v>45811</v>
      </c>
      <c r="B2584" s="106">
        <v>1604.05</v>
      </c>
      <c r="C2584" s="106">
        <v>1565.55</v>
      </c>
      <c r="D2584" s="106">
        <v>1561.55</v>
      </c>
      <c r="E2584" s="106">
        <v>1589.95</v>
      </c>
      <c r="F2584" s="106">
        <v>1565.55</v>
      </c>
      <c r="G2584">
        <v>12037</v>
      </c>
      <c r="H2584" s="106"/>
      <c r="I2584" s="106"/>
      <c r="L2584" s="143">
        <v>45811</v>
      </c>
      <c r="M2584" s="106">
        <v>1566.3</v>
      </c>
      <c r="N2584" s="106">
        <v>1603.2</v>
      </c>
      <c r="O2584" s="106">
        <v>1562.1</v>
      </c>
      <c r="P2584" s="106">
        <v>1588</v>
      </c>
      <c r="Q2584" s="106">
        <v>1566.3</v>
      </c>
      <c r="R2584">
        <v>860899</v>
      </c>
    </row>
    <row r="2585" spans="1:18" x14ac:dyDescent="0.25">
      <c r="A2585" s="143">
        <v>45812</v>
      </c>
      <c r="B2585" s="106">
        <v>1560</v>
      </c>
      <c r="C2585" s="106">
        <v>1512.65</v>
      </c>
      <c r="D2585" s="106">
        <v>1494.65</v>
      </c>
      <c r="E2585" s="106">
        <v>1560</v>
      </c>
      <c r="F2585" s="106">
        <v>1512.65</v>
      </c>
      <c r="G2585">
        <v>77740</v>
      </c>
      <c r="H2585" s="106"/>
      <c r="I2585" s="106"/>
      <c r="L2585" s="143">
        <v>45812</v>
      </c>
      <c r="M2585" s="106">
        <v>1512.7</v>
      </c>
      <c r="N2585" s="106">
        <v>1554.7</v>
      </c>
      <c r="O2585" s="106">
        <v>1494.4</v>
      </c>
      <c r="P2585" s="106">
        <v>1554.7</v>
      </c>
      <c r="Q2585" s="106">
        <v>1512.7</v>
      </c>
      <c r="R2585">
        <v>4168598</v>
      </c>
    </row>
    <row r="2586" spans="1:18" x14ac:dyDescent="0.25">
      <c r="A2586" s="143">
        <v>45813</v>
      </c>
      <c r="B2586" s="106">
        <v>1523.85</v>
      </c>
      <c r="C2586" s="106">
        <v>1513.1</v>
      </c>
      <c r="D2586" s="106">
        <v>1502.9</v>
      </c>
      <c r="E2586" s="106">
        <v>1515.65</v>
      </c>
      <c r="F2586" s="106">
        <v>1513.1</v>
      </c>
      <c r="G2586">
        <v>30897</v>
      </c>
      <c r="H2586" s="106"/>
      <c r="I2586" s="106"/>
      <c r="L2586" s="143">
        <v>45813</v>
      </c>
      <c r="M2586" s="106">
        <v>1511.6</v>
      </c>
      <c r="N2586" s="106">
        <v>1524.7</v>
      </c>
      <c r="O2586" s="106">
        <v>1502</v>
      </c>
      <c r="P2586" s="106">
        <v>1522</v>
      </c>
      <c r="Q2586" s="106">
        <v>1511.6</v>
      </c>
      <c r="R2586">
        <v>2623833</v>
      </c>
    </row>
    <row r="2587" spans="1:18" x14ac:dyDescent="0.25">
      <c r="A2587" s="143">
        <v>45814</v>
      </c>
      <c r="B2587" s="106">
        <v>1623.3</v>
      </c>
      <c r="C2587" s="106">
        <v>1593.65</v>
      </c>
      <c r="D2587" s="106">
        <v>1498</v>
      </c>
      <c r="E2587" s="106">
        <v>1520.25</v>
      </c>
      <c r="F2587" s="106">
        <v>1593.65</v>
      </c>
      <c r="G2587">
        <v>195401</v>
      </c>
      <c r="H2587" s="106"/>
      <c r="I2587" s="106"/>
      <c r="L2587" s="143">
        <v>45814</v>
      </c>
      <c r="M2587" s="106">
        <v>1593.2</v>
      </c>
      <c r="N2587" s="106">
        <v>1623.7</v>
      </c>
      <c r="O2587" s="106">
        <v>1497.2</v>
      </c>
      <c r="P2587" s="106">
        <v>1519</v>
      </c>
      <c r="Q2587" s="106">
        <v>1593.2</v>
      </c>
      <c r="R2587">
        <v>6915310</v>
      </c>
    </row>
    <row r="2588" spans="1:18" x14ac:dyDescent="0.25">
      <c r="A2588" s="143">
        <v>45817</v>
      </c>
      <c r="B2588" s="106">
        <v>1652.3</v>
      </c>
      <c r="C2588" s="106">
        <v>1644.85</v>
      </c>
      <c r="D2588" s="106">
        <v>1603.4</v>
      </c>
      <c r="E2588" s="106">
        <v>1623.55</v>
      </c>
      <c r="F2588" s="106">
        <v>1644.85</v>
      </c>
      <c r="G2588">
        <v>116264</v>
      </c>
      <c r="H2588" s="106"/>
      <c r="I2588" s="106"/>
      <c r="L2588" s="143">
        <v>45817</v>
      </c>
      <c r="M2588" s="106">
        <v>1644.6</v>
      </c>
      <c r="N2588" s="106">
        <v>1653</v>
      </c>
      <c r="O2588" s="106">
        <v>1604</v>
      </c>
      <c r="P2588" s="106">
        <v>1620</v>
      </c>
      <c r="Q2588" s="106">
        <v>1644.6</v>
      </c>
      <c r="R2588">
        <v>2938014</v>
      </c>
    </row>
    <row r="2589" spans="1:18" x14ac:dyDescent="0.25">
      <c r="A2589" s="143">
        <v>45818</v>
      </c>
      <c r="B2589" s="106">
        <v>1652.3</v>
      </c>
      <c r="C2589" s="106">
        <v>1634.55</v>
      </c>
      <c r="D2589" s="106">
        <v>1612.5</v>
      </c>
      <c r="E2589" s="106">
        <v>1645.05</v>
      </c>
      <c r="F2589" s="106">
        <v>1634.55</v>
      </c>
      <c r="G2589">
        <v>42080</v>
      </c>
      <c r="H2589" s="106"/>
      <c r="I2589" s="106"/>
      <c r="L2589" s="143">
        <v>45818</v>
      </c>
      <c r="M2589" s="106">
        <v>1637.7</v>
      </c>
      <c r="N2589" s="106">
        <v>1660</v>
      </c>
      <c r="O2589" s="106">
        <v>1612.4</v>
      </c>
      <c r="P2589" s="106">
        <v>1660</v>
      </c>
      <c r="Q2589" s="106">
        <v>1637.7</v>
      </c>
      <c r="R2589">
        <v>1392757</v>
      </c>
    </row>
    <row r="2590" spans="1:18" x14ac:dyDescent="0.25">
      <c r="A2590" s="143">
        <v>45819</v>
      </c>
      <c r="B2590" s="106">
        <v>1641.85</v>
      </c>
      <c r="C2590" s="106">
        <v>1607.95</v>
      </c>
      <c r="D2590" s="106">
        <v>1593.45</v>
      </c>
      <c r="E2590" s="106">
        <v>1631.85</v>
      </c>
      <c r="F2590" s="106">
        <v>1607.95</v>
      </c>
      <c r="G2590">
        <v>26140</v>
      </c>
      <c r="H2590" s="106"/>
      <c r="I2590" s="106"/>
      <c r="L2590" s="143">
        <v>45819</v>
      </c>
      <c r="M2590" s="106">
        <v>1608.2</v>
      </c>
      <c r="N2590" s="106">
        <v>1642.3</v>
      </c>
      <c r="O2590" s="106">
        <v>1594.4</v>
      </c>
      <c r="P2590" s="106">
        <v>1629</v>
      </c>
      <c r="Q2590" s="106">
        <v>1608.2</v>
      </c>
      <c r="R2590">
        <v>1851871</v>
      </c>
    </row>
    <row r="2591" spans="1:18" x14ac:dyDescent="0.25">
      <c r="A2591" s="143">
        <v>45820</v>
      </c>
      <c r="B2591" s="106">
        <v>1634.15</v>
      </c>
      <c r="C2591" s="106">
        <v>1581.65</v>
      </c>
      <c r="D2591" s="106">
        <v>1578.75</v>
      </c>
      <c r="E2591" s="106">
        <v>1619.85</v>
      </c>
      <c r="F2591" s="106">
        <v>1581.65</v>
      </c>
      <c r="G2591">
        <v>23754</v>
      </c>
      <c r="H2591" s="106"/>
      <c r="I2591" s="106"/>
      <c r="L2591" s="143">
        <v>45820</v>
      </c>
      <c r="M2591" s="106">
        <v>1581.7</v>
      </c>
      <c r="N2591" s="106">
        <v>1634.9</v>
      </c>
      <c r="O2591" s="106">
        <v>1578</v>
      </c>
      <c r="P2591" s="106">
        <v>1608.3</v>
      </c>
      <c r="Q2591" s="106">
        <v>1581.7</v>
      </c>
      <c r="R2591">
        <v>1483626</v>
      </c>
    </row>
    <row r="2592" spans="1:18" x14ac:dyDescent="0.25">
      <c r="A2592" s="143">
        <v>45821</v>
      </c>
      <c r="B2592" s="106">
        <v>1569.05</v>
      </c>
      <c r="C2592" s="106">
        <v>1555.85</v>
      </c>
      <c r="D2592" s="106">
        <v>1542.15</v>
      </c>
      <c r="E2592" s="106">
        <v>1546</v>
      </c>
      <c r="F2592" s="106">
        <v>1555.85</v>
      </c>
      <c r="G2592">
        <v>16708</v>
      </c>
      <c r="H2592" s="106"/>
      <c r="I2592" s="106"/>
      <c r="L2592" s="143">
        <v>45821</v>
      </c>
      <c r="M2592" s="106">
        <v>1553.8</v>
      </c>
      <c r="N2592" s="106">
        <v>1569.2</v>
      </c>
      <c r="O2592" s="106">
        <v>1540.5</v>
      </c>
      <c r="P2592" s="106">
        <v>1551</v>
      </c>
      <c r="Q2592" s="106">
        <v>1553.8</v>
      </c>
      <c r="R2592">
        <v>3191325</v>
      </c>
    </row>
    <row r="2593" spans="1:18" x14ac:dyDescent="0.25">
      <c r="A2593" s="143">
        <v>45824</v>
      </c>
      <c r="B2593" s="106">
        <v>1572.65</v>
      </c>
      <c r="C2593" s="106">
        <v>1565.3</v>
      </c>
      <c r="D2593" s="106">
        <v>1548.7</v>
      </c>
      <c r="E2593" s="106">
        <v>1550.95</v>
      </c>
      <c r="F2593" s="106">
        <v>1565.3</v>
      </c>
      <c r="G2593">
        <v>29990</v>
      </c>
      <c r="H2593" s="106"/>
      <c r="I2593" s="106"/>
      <c r="L2593" s="143">
        <v>45824</v>
      </c>
      <c r="M2593" s="106">
        <v>1566.6</v>
      </c>
      <c r="N2593" s="106">
        <v>1573</v>
      </c>
      <c r="O2593" s="106">
        <v>1549</v>
      </c>
      <c r="P2593" s="106">
        <v>1555</v>
      </c>
      <c r="Q2593" s="106">
        <v>1566.6</v>
      </c>
      <c r="R2593">
        <v>1213574</v>
      </c>
    </row>
    <row r="2594" spans="1:18" x14ac:dyDescent="0.25">
      <c r="A2594" s="143">
        <v>45825</v>
      </c>
      <c r="B2594" s="106">
        <v>1575</v>
      </c>
      <c r="C2594" s="106">
        <v>1555</v>
      </c>
      <c r="D2594" s="106">
        <v>1542</v>
      </c>
      <c r="E2594" s="106">
        <v>1574.65</v>
      </c>
      <c r="F2594" s="106">
        <v>1555</v>
      </c>
      <c r="G2594">
        <v>7868</v>
      </c>
      <c r="H2594" s="106"/>
      <c r="I2594" s="106"/>
      <c r="L2594" s="143">
        <v>45825</v>
      </c>
      <c r="M2594" s="106">
        <v>1555.2</v>
      </c>
      <c r="N2594" s="106">
        <v>1576.4</v>
      </c>
      <c r="O2594" s="106">
        <v>1542</v>
      </c>
      <c r="P2594" s="106">
        <v>1571</v>
      </c>
      <c r="Q2594" s="106">
        <v>1555.2</v>
      </c>
      <c r="R2594">
        <v>1189553</v>
      </c>
    </row>
    <row r="2595" spans="1:18" x14ac:dyDescent="0.25">
      <c r="A2595" s="143">
        <v>45826</v>
      </c>
      <c r="B2595" s="106">
        <v>1590.05</v>
      </c>
      <c r="C2595" s="106">
        <v>1585.8</v>
      </c>
      <c r="D2595" s="106">
        <v>1554.65</v>
      </c>
      <c r="E2595" s="106">
        <v>1565.6</v>
      </c>
      <c r="F2595" s="106">
        <v>1585.8</v>
      </c>
      <c r="G2595">
        <v>25085</v>
      </c>
      <c r="H2595" s="106"/>
      <c r="I2595" s="106"/>
      <c r="L2595" s="143">
        <v>45826</v>
      </c>
      <c r="M2595" s="106">
        <v>1586.8</v>
      </c>
      <c r="N2595" s="106">
        <v>1590</v>
      </c>
      <c r="O2595" s="106">
        <v>1550.5</v>
      </c>
      <c r="P2595" s="106">
        <v>1552</v>
      </c>
      <c r="Q2595" s="106">
        <v>1586.8</v>
      </c>
      <c r="R2595">
        <v>1561533</v>
      </c>
    </row>
    <row r="2596" spans="1:18" x14ac:dyDescent="0.25">
      <c r="A2596" s="143">
        <v>45827</v>
      </c>
      <c r="B2596" s="106">
        <v>1599.6</v>
      </c>
      <c r="C2596" s="106">
        <v>1543.8</v>
      </c>
      <c r="D2596" s="106">
        <v>1538</v>
      </c>
      <c r="E2596" s="106">
        <v>1583.8</v>
      </c>
      <c r="F2596" s="106">
        <v>1543.8</v>
      </c>
      <c r="G2596">
        <v>8263</v>
      </c>
      <c r="H2596" s="106"/>
      <c r="I2596" s="106"/>
      <c r="L2596" s="143">
        <v>45827</v>
      </c>
      <c r="M2596" s="106">
        <v>1544.4</v>
      </c>
      <c r="N2596" s="106">
        <v>1599.8</v>
      </c>
      <c r="O2596" s="106">
        <v>1535.3</v>
      </c>
      <c r="P2596" s="106">
        <v>1584.8</v>
      </c>
      <c r="Q2596" s="106">
        <v>1544.4</v>
      </c>
      <c r="R2596">
        <v>1062384</v>
      </c>
    </row>
    <row r="2597" spans="1:18" x14ac:dyDescent="0.25">
      <c r="A2597" s="143">
        <v>45828</v>
      </c>
      <c r="B2597" s="106">
        <v>1564.4</v>
      </c>
      <c r="C2597" s="106">
        <v>1557.85</v>
      </c>
      <c r="D2597" s="106">
        <v>1538.3</v>
      </c>
      <c r="E2597" s="106">
        <v>1544</v>
      </c>
      <c r="F2597" s="106">
        <v>1557.85</v>
      </c>
      <c r="G2597">
        <v>7078</v>
      </c>
      <c r="H2597" s="106"/>
      <c r="I2597" s="106"/>
      <c r="L2597" s="143">
        <v>45828</v>
      </c>
      <c r="M2597" s="106">
        <v>1557.5</v>
      </c>
      <c r="N2597" s="106">
        <v>1565</v>
      </c>
      <c r="O2597" s="106">
        <v>1538</v>
      </c>
      <c r="P2597" s="106">
        <v>1544.4</v>
      </c>
      <c r="Q2597" s="106">
        <v>1557.5</v>
      </c>
      <c r="R2597">
        <v>2149247</v>
      </c>
    </row>
    <row r="2598" spans="1:18" x14ac:dyDescent="0.25">
      <c r="A2598" s="143">
        <v>45831</v>
      </c>
      <c r="B2598" s="106">
        <v>1587.5</v>
      </c>
      <c r="C2598" s="106">
        <v>1582.55</v>
      </c>
      <c r="D2598" s="106">
        <v>1540.05</v>
      </c>
      <c r="E2598" s="106">
        <v>1540.05</v>
      </c>
      <c r="F2598" s="106">
        <v>1582.55</v>
      </c>
      <c r="G2598">
        <v>22773</v>
      </c>
      <c r="H2598" s="106"/>
      <c r="I2598" s="106"/>
      <c r="L2598" s="143">
        <v>45831</v>
      </c>
      <c r="M2598" s="106">
        <v>1583.6</v>
      </c>
      <c r="N2598" s="106">
        <v>1587.9</v>
      </c>
      <c r="O2598" s="106">
        <v>1543.2</v>
      </c>
      <c r="P2598" s="106">
        <v>1549.8</v>
      </c>
      <c r="Q2598" s="106">
        <v>1583.6</v>
      </c>
      <c r="R2598">
        <v>838061</v>
      </c>
    </row>
    <row r="2599" spans="1:18" x14ac:dyDescent="0.25">
      <c r="A2599" s="143">
        <v>45832</v>
      </c>
      <c r="B2599" s="106">
        <v>1614.05</v>
      </c>
      <c r="C2599" s="106">
        <v>1599.2</v>
      </c>
      <c r="D2599" s="106">
        <v>1593.75</v>
      </c>
      <c r="E2599" s="106">
        <v>1609.75</v>
      </c>
      <c r="F2599" s="106">
        <v>1599.2</v>
      </c>
      <c r="G2599">
        <v>16072</v>
      </c>
      <c r="H2599" s="106"/>
      <c r="I2599" s="106"/>
      <c r="L2599" s="143">
        <v>45832</v>
      </c>
      <c r="M2599" s="106">
        <v>1598.5</v>
      </c>
      <c r="N2599" s="106">
        <v>1614.5</v>
      </c>
      <c r="O2599" s="106">
        <v>1591.6</v>
      </c>
      <c r="P2599" s="106">
        <v>1602</v>
      </c>
      <c r="Q2599" s="106">
        <v>1598.5</v>
      </c>
      <c r="R2599">
        <v>1464575</v>
      </c>
    </row>
    <row r="2600" spans="1:18" x14ac:dyDescent="0.25">
      <c r="A2600" s="143">
        <v>45833</v>
      </c>
      <c r="B2600" s="106">
        <v>1612.9</v>
      </c>
      <c r="C2600" s="106">
        <v>1608.8</v>
      </c>
      <c r="D2600" s="106">
        <v>1588.4</v>
      </c>
      <c r="E2600" s="106">
        <v>1600.6</v>
      </c>
      <c r="F2600" s="106">
        <v>1608.8</v>
      </c>
      <c r="G2600">
        <v>16686</v>
      </c>
      <c r="H2600" s="106"/>
      <c r="I2600" s="106"/>
      <c r="L2600" s="143">
        <v>45833</v>
      </c>
      <c r="M2600" s="106">
        <v>1608.8</v>
      </c>
      <c r="N2600" s="106">
        <v>1613.3</v>
      </c>
      <c r="O2600" s="106">
        <v>1588.1</v>
      </c>
      <c r="P2600" s="106">
        <v>1605</v>
      </c>
      <c r="Q2600" s="106">
        <v>1608.8</v>
      </c>
      <c r="R2600">
        <v>1252727</v>
      </c>
    </row>
    <row r="2601" spans="1:18" x14ac:dyDescent="0.25">
      <c r="A2601" s="143">
        <v>45834</v>
      </c>
      <c r="B2601" s="106">
        <v>1631.5</v>
      </c>
      <c r="C2601" s="106">
        <v>1626.3</v>
      </c>
      <c r="D2601" s="106">
        <v>1595.55</v>
      </c>
      <c r="E2601" s="106">
        <v>1606.55</v>
      </c>
      <c r="F2601" s="106">
        <v>1626.3</v>
      </c>
      <c r="G2601">
        <v>24172</v>
      </c>
      <c r="H2601" s="106"/>
      <c r="I2601" s="106"/>
      <c r="L2601" s="143">
        <v>45834</v>
      </c>
      <c r="M2601" s="106">
        <v>1627</v>
      </c>
      <c r="N2601" s="106">
        <v>1630.9</v>
      </c>
      <c r="O2601" s="106">
        <v>1596.3</v>
      </c>
      <c r="P2601" s="106">
        <v>1616</v>
      </c>
      <c r="Q2601" s="106">
        <v>1627</v>
      </c>
      <c r="R2601">
        <v>1809115</v>
      </c>
    </row>
    <row r="2602" spans="1:18" x14ac:dyDescent="0.25">
      <c r="A2602" s="143">
        <v>45835</v>
      </c>
      <c r="B2602" s="106">
        <v>1665.3</v>
      </c>
      <c r="C2602" s="106">
        <v>1653.5</v>
      </c>
      <c r="D2602" s="106">
        <v>1594.5</v>
      </c>
      <c r="E2602" s="106">
        <v>1628</v>
      </c>
      <c r="F2602" s="106">
        <v>1653.5</v>
      </c>
      <c r="G2602">
        <v>61408</v>
      </c>
      <c r="H2602" s="106"/>
      <c r="I2602" s="106"/>
      <c r="L2602" s="143">
        <v>45835</v>
      </c>
      <c r="M2602" s="106">
        <v>1654.1</v>
      </c>
      <c r="N2602" s="106">
        <v>1666.6</v>
      </c>
      <c r="O2602" s="106">
        <v>1594.3</v>
      </c>
      <c r="P2602" s="106">
        <v>1627.1</v>
      </c>
      <c r="Q2602" s="106">
        <v>1654.1</v>
      </c>
      <c r="R2602">
        <v>5837341</v>
      </c>
    </row>
    <row r="2603" spans="1:18" x14ac:dyDescent="0.25">
      <c r="A2603" s="143">
        <v>45838</v>
      </c>
      <c r="B2603" s="106">
        <v>1654.3</v>
      </c>
      <c r="C2603" s="106">
        <v>1627.25</v>
      </c>
      <c r="D2603" s="106">
        <v>1616.3</v>
      </c>
      <c r="E2603" s="106">
        <v>1654.25</v>
      </c>
      <c r="F2603" s="106">
        <v>1627.25</v>
      </c>
      <c r="G2603">
        <v>11408</v>
      </c>
      <c r="H2603" s="106"/>
      <c r="I2603" s="106"/>
      <c r="L2603" s="143">
        <v>45838</v>
      </c>
      <c r="M2603" s="106">
        <v>1628</v>
      </c>
      <c r="N2603" s="106">
        <v>1658.2</v>
      </c>
      <c r="O2603" s="106">
        <v>1615</v>
      </c>
      <c r="P2603" s="106">
        <v>1656</v>
      </c>
      <c r="Q2603" s="106">
        <v>1628</v>
      </c>
      <c r="R2603">
        <v>1489109</v>
      </c>
    </row>
    <row r="2604" spans="1:18" x14ac:dyDescent="0.25">
      <c r="A2604" s="143">
        <v>45839</v>
      </c>
      <c r="B2604" s="106">
        <v>1627.35</v>
      </c>
      <c r="C2604" s="106">
        <v>1598.65</v>
      </c>
      <c r="D2604" s="106">
        <v>1578.35</v>
      </c>
      <c r="E2604" s="106">
        <v>1617.05</v>
      </c>
      <c r="F2604" s="106">
        <v>1598.65</v>
      </c>
      <c r="G2604">
        <v>43507</v>
      </c>
      <c r="H2604" s="106"/>
      <c r="I2604" s="106"/>
      <c r="L2604" s="143">
        <v>45839</v>
      </c>
      <c r="M2604" s="106">
        <v>1599.8</v>
      </c>
      <c r="N2604" s="106">
        <v>1627.9</v>
      </c>
      <c r="O2604" s="106">
        <v>1578</v>
      </c>
      <c r="P2604" s="106">
        <v>1621</v>
      </c>
      <c r="Q2604" s="106">
        <v>1599.8</v>
      </c>
      <c r="R2604">
        <v>2353507</v>
      </c>
    </row>
    <row r="2605" spans="1:18" x14ac:dyDescent="0.25">
      <c r="A2605" s="143">
        <v>45840</v>
      </c>
      <c r="B2605" s="106">
        <v>1604.05</v>
      </c>
      <c r="C2605" s="106">
        <v>1554.7</v>
      </c>
      <c r="D2605" s="106">
        <v>1540.2</v>
      </c>
      <c r="E2605" s="106">
        <v>1584</v>
      </c>
      <c r="F2605" s="106">
        <v>1554.7</v>
      </c>
      <c r="G2605">
        <v>35039</v>
      </c>
      <c r="H2605" s="106"/>
      <c r="I2605" s="106"/>
      <c r="L2605" s="143">
        <v>45840</v>
      </c>
      <c r="M2605" s="106">
        <v>1554.6</v>
      </c>
      <c r="N2605" s="106">
        <v>1605.4</v>
      </c>
      <c r="O2605" s="106">
        <v>1540</v>
      </c>
      <c r="P2605" s="106">
        <v>1580</v>
      </c>
      <c r="Q2605" s="106">
        <v>1554.6</v>
      </c>
      <c r="R2605">
        <v>2875195</v>
      </c>
    </row>
    <row r="2606" spans="1:18" x14ac:dyDescent="0.25">
      <c r="A2606" s="143">
        <v>45841</v>
      </c>
      <c r="B2606" s="106">
        <v>1566.65</v>
      </c>
      <c r="C2606" s="106">
        <v>1527.35</v>
      </c>
      <c r="D2606" s="106">
        <v>1524</v>
      </c>
      <c r="E2606" s="106">
        <v>1556</v>
      </c>
      <c r="F2606" s="106">
        <v>1527.35</v>
      </c>
      <c r="G2606">
        <v>52018</v>
      </c>
      <c r="H2606" s="106"/>
      <c r="I2606" s="106"/>
      <c r="L2606" s="143">
        <v>45841</v>
      </c>
      <c r="M2606" s="106">
        <v>1527.1</v>
      </c>
      <c r="N2606" s="106">
        <v>1567.9</v>
      </c>
      <c r="O2606" s="106">
        <v>1524.1</v>
      </c>
      <c r="P2606" s="106">
        <v>1555</v>
      </c>
      <c r="Q2606" s="106">
        <v>1527.1</v>
      </c>
      <c r="R2606">
        <v>4522465</v>
      </c>
    </row>
    <row r="2607" spans="1:18" x14ac:dyDescent="0.25">
      <c r="A2607" s="143">
        <v>45842</v>
      </c>
      <c r="B2607" s="106">
        <v>1545.95</v>
      </c>
      <c r="C2607" s="106">
        <v>1526.45</v>
      </c>
      <c r="D2607" s="106">
        <v>1515.95</v>
      </c>
      <c r="E2607" s="106">
        <v>1538.85</v>
      </c>
      <c r="F2607" s="106">
        <v>1526.45</v>
      </c>
      <c r="G2607">
        <v>36855</v>
      </c>
      <c r="H2607" s="106"/>
      <c r="I2607" s="106"/>
      <c r="L2607" s="143">
        <v>45842</v>
      </c>
      <c r="M2607" s="106">
        <v>1526.7</v>
      </c>
      <c r="N2607" s="106">
        <v>1545.5</v>
      </c>
      <c r="O2607" s="106">
        <v>1515</v>
      </c>
      <c r="P2607" s="106">
        <v>1532.1</v>
      </c>
      <c r="Q2607" s="106">
        <v>1526.7</v>
      </c>
      <c r="R2607">
        <v>1751430</v>
      </c>
    </row>
    <row r="2608" spans="1:18" x14ac:dyDescent="0.25">
      <c r="A2608" s="143">
        <v>45845</v>
      </c>
      <c r="B2608" s="106">
        <v>1535</v>
      </c>
      <c r="C2608" s="106">
        <v>1514.45</v>
      </c>
      <c r="D2608" s="106">
        <v>1508.55</v>
      </c>
      <c r="E2608" s="106">
        <v>1520.45</v>
      </c>
      <c r="F2608" s="106">
        <v>1514.45</v>
      </c>
      <c r="G2608">
        <v>18294</v>
      </c>
      <c r="H2608" s="106"/>
      <c r="I2608" s="106"/>
      <c r="L2608" s="143">
        <v>45845</v>
      </c>
      <c r="M2608" s="106">
        <v>1514.3</v>
      </c>
      <c r="N2608" s="106">
        <v>1535.2</v>
      </c>
      <c r="O2608" s="106">
        <v>1508.1</v>
      </c>
      <c r="P2608" s="106">
        <v>1526.7</v>
      </c>
      <c r="Q2608" s="106">
        <v>1514.3</v>
      </c>
      <c r="R2608">
        <v>2553187</v>
      </c>
    </row>
    <row r="2609" spans="1:18" x14ac:dyDescent="0.25">
      <c r="A2609" s="143">
        <v>45846</v>
      </c>
      <c r="B2609" s="106">
        <v>1527.1</v>
      </c>
      <c r="C2609" s="106">
        <v>1523.4</v>
      </c>
      <c r="D2609" s="106">
        <v>1505.95</v>
      </c>
      <c r="E2609" s="106">
        <v>1514.35</v>
      </c>
      <c r="F2609" s="106">
        <v>1523.4</v>
      </c>
      <c r="G2609">
        <v>35622</v>
      </c>
      <c r="H2609" s="106"/>
      <c r="I2609" s="106"/>
      <c r="L2609" s="143">
        <v>45846</v>
      </c>
      <c r="M2609" s="106">
        <v>1521.7</v>
      </c>
      <c r="N2609" s="106">
        <v>1526</v>
      </c>
      <c r="O2609" s="106">
        <v>1506.5</v>
      </c>
      <c r="P2609" s="106">
        <v>1517</v>
      </c>
      <c r="Q2609" s="106">
        <v>1521.7</v>
      </c>
      <c r="R2609">
        <v>2437495</v>
      </c>
    </row>
    <row r="2610" spans="1:18" x14ac:dyDescent="0.25">
      <c r="A2610" s="143">
        <v>45847</v>
      </c>
      <c r="B2610" s="106">
        <v>1570</v>
      </c>
      <c r="C2610" s="106">
        <v>1562.8</v>
      </c>
      <c r="D2610" s="106">
        <v>1520</v>
      </c>
      <c r="E2610" s="106">
        <v>1525.8</v>
      </c>
      <c r="F2610" s="106">
        <v>1562.8</v>
      </c>
      <c r="G2610">
        <v>47423</v>
      </c>
      <c r="H2610" s="106"/>
      <c r="I2610" s="106"/>
      <c r="L2610" s="143">
        <v>45847</v>
      </c>
      <c r="M2610" s="106">
        <v>1563.1</v>
      </c>
      <c r="N2610" s="106">
        <v>1570</v>
      </c>
      <c r="O2610" s="106">
        <v>1518</v>
      </c>
      <c r="P2610" s="106">
        <v>1527</v>
      </c>
      <c r="Q2610" s="106">
        <v>1563.1</v>
      </c>
      <c r="R2610">
        <v>2507920</v>
      </c>
    </row>
    <row r="2611" spans="1:18" x14ac:dyDescent="0.25">
      <c r="A2611" s="143">
        <v>45848</v>
      </c>
      <c r="B2611" s="106">
        <v>1576</v>
      </c>
      <c r="C2611" s="106">
        <v>1545.9</v>
      </c>
      <c r="D2611" s="106">
        <v>1543.45</v>
      </c>
      <c r="E2611" s="106">
        <v>1567.6</v>
      </c>
      <c r="F2611" s="106">
        <v>1545.9</v>
      </c>
      <c r="G2611">
        <v>32077</v>
      </c>
      <c r="H2611" s="106"/>
      <c r="I2611" s="106"/>
      <c r="L2611" s="143">
        <v>45848</v>
      </c>
      <c r="M2611" s="106">
        <v>1546.8</v>
      </c>
      <c r="N2611" s="106">
        <v>1576</v>
      </c>
      <c r="O2611" s="106">
        <v>1542.7</v>
      </c>
      <c r="P2611" s="106">
        <v>1569</v>
      </c>
      <c r="Q2611" s="106">
        <v>1546.8</v>
      </c>
      <c r="R2611">
        <v>1072022</v>
      </c>
    </row>
    <row r="2612" spans="1:18" x14ac:dyDescent="0.25">
      <c r="A2612" s="143">
        <v>45849</v>
      </c>
      <c r="B2612" s="106">
        <v>1547.35</v>
      </c>
      <c r="C2612" s="106">
        <v>1531.65</v>
      </c>
      <c r="D2612" s="106">
        <v>1523.85</v>
      </c>
      <c r="E2612" s="106">
        <v>1542.35</v>
      </c>
      <c r="F2612" s="106">
        <v>1531.65</v>
      </c>
      <c r="G2612">
        <v>10147</v>
      </c>
      <c r="H2612" s="106"/>
      <c r="I2612" s="106"/>
      <c r="L2612" s="143">
        <v>45849</v>
      </c>
      <c r="M2612" s="106">
        <v>1532.5</v>
      </c>
      <c r="N2612" s="106">
        <v>1546.6</v>
      </c>
      <c r="O2612" s="106">
        <v>1524.5</v>
      </c>
      <c r="P2612" s="106">
        <v>1542</v>
      </c>
      <c r="Q2612" s="106">
        <v>1532.5</v>
      </c>
      <c r="R2612">
        <v>1178845</v>
      </c>
    </row>
    <row r="2613" spans="1:18" x14ac:dyDescent="0.25">
      <c r="A2613" s="143">
        <v>45852</v>
      </c>
      <c r="B2613" s="106">
        <v>1546.7</v>
      </c>
      <c r="C2613" s="106">
        <v>1528.1</v>
      </c>
      <c r="D2613" s="106">
        <v>1520.8</v>
      </c>
      <c r="E2613" s="106">
        <v>1538.05</v>
      </c>
      <c r="F2613" s="106">
        <v>1528.1</v>
      </c>
      <c r="G2613">
        <v>23316</v>
      </c>
      <c r="H2613" s="106"/>
      <c r="I2613" s="106"/>
      <c r="L2613" s="143">
        <v>45852</v>
      </c>
      <c r="M2613" s="106">
        <v>1528.4</v>
      </c>
      <c r="N2613" s="106">
        <v>1547.7</v>
      </c>
      <c r="O2613" s="106">
        <v>1520.5</v>
      </c>
      <c r="P2613" s="106">
        <v>1533</v>
      </c>
      <c r="Q2613" s="106">
        <v>1528.4</v>
      </c>
      <c r="R2613">
        <v>1189763</v>
      </c>
    </row>
    <row r="2614" spans="1:18" x14ac:dyDescent="0.25">
      <c r="A2614" s="143">
        <v>45853</v>
      </c>
      <c r="B2614" s="106">
        <v>1560.9</v>
      </c>
      <c r="C2614" s="106">
        <v>1557.35</v>
      </c>
      <c r="D2614" s="106">
        <v>1519.2</v>
      </c>
      <c r="E2614" s="106">
        <v>1528.4</v>
      </c>
      <c r="F2614" s="106">
        <v>1557.35</v>
      </c>
      <c r="G2614">
        <v>23290</v>
      </c>
      <c r="H2614" s="106"/>
      <c r="I2614" s="106"/>
      <c r="L2614" s="143">
        <v>45853</v>
      </c>
      <c r="M2614" s="106">
        <v>1557</v>
      </c>
      <c r="N2614" s="106">
        <v>1561</v>
      </c>
      <c r="O2614" s="106">
        <v>1519</v>
      </c>
      <c r="P2614" s="106">
        <v>1542.7</v>
      </c>
      <c r="Q2614" s="106">
        <v>1557</v>
      </c>
      <c r="R2614">
        <v>2169391</v>
      </c>
    </row>
    <row r="2615" spans="1:18" x14ac:dyDescent="0.25">
      <c r="A2615" s="143">
        <v>45854</v>
      </c>
      <c r="B2615" s="106">
        <v>1567</v>
      </c>
      <c r="C2615" s="106">
        <v>1558.75</v>
      </c>
      <c r="D2615" s="106">
        <v>1495.25</v>
      </c>
      <c r="E2615" s="106">
        <v>1548.8</v>
      </c>
      <c r="F2615" s="106">
        <v>1558.75</v>
      </c>
      <c r="G2615">
        <v>53292</v>
      </c>
      <c r="H2615" s="106"/>
      <c r="I2615" s="106"/>
      <c r="L2615" s="143">
        <v>45854</v>
      </c>
      <c r="M2615" s="106">
        <v>1559</v>
      </c>
      <c r="N2615" s="106">
        <v>1568</v>
      </c>
      <c r="O2615" s="106">
        <v>1489.6</v>
      </c>
      <c r="P2615" s="106">
        <v>1539.4</v>
      </c>
      <c r="Q2615" s="106">
        <v>1559</v>
      </c>
      <c r="R2615">
        <v>3694875</v>
      </c>
    </row>
    <row r="2616" spans="1:18" x14ac:dyDescent="0.25">
      <c r="A2616" s="143">
        <v>45855</v>
      </c>
      <c r="B2616" s="106">
        <v>1570</v>
      </c>
      <c r="C2616" s="106">
        <v>1563.55</v>
      </c>
      <c r="D2616" s="106">
        <v>1550.95</v>
      </c>
      <c r="E2616" s="106">
        <v>1560.2</v>
      </c>
      <c r="F2616" s="106">
        <v>1563.55</v>
      </c>
      <c r="G2616">
        <v>18077</v>
      </c>
      <c r="H2616" s="106"/>
      <c r="I2616" s="106"/>
      <c r="L2616" s="143">
        <v>45855</v>
      </c>
      <c r="M2616" s="106">
        <v>1564.3</v>
      </c>
      <c r="N2616" s="106">
        <v>1570.6</v>
      </c>
      <c r="O2616" s="106">
        <v>1550</v>
      </c>
      <c r="P2616" s="106">
        <v>1563</v>
      </c>
      <c r="Q2616" s="106">
        <v>1564.3</v>
      </c>
      <c r="R2616">
        <v>912552</v>
      </c>
    </row>
    <row r="2617" spans="1:18" x14ac:dyDescent="0.25">
      <c r="A2617" s="143">
        <v>45856</v>
      </c>
      <c r="B2617" s="106">
        <v>1571.15</v>
      </c>
      <c r="C2617" s="106">
        <v>1554.95</v>
      </c>
      <c r="D2617" s="106">
        <v>1550.6</v>
      </c>
      <c r="E2617" s="106">
        <v>1564</v>
      </c>
      <c r="F2617" s="106">
        <v>1554.95</v>
      </c>
      <c r="G2617">
        <v>8721</v>
      </c>
      <c r="H2617" s="106"/>
      <c r="I2617" s="106"/>
      <c r="L2617" s="143">
        <v>45856</v>
      </c>
      <c r="M2617" s="106">
        <v>1554.6</v>
      </c>
      <c r="N2617" s="106">
        <v>1571.4</v>
      </c>
      <c r="O2617" s="106">
        <v>1550</v>
      </c>
      <c r="P2617" s="106">
        <v>1563</v>
      </c>
      <c r="Q2617" s="106">
        <v>1554.6</v>
      </c>
      <c r="R2617">
        <v>1194869</v>
      </c>
    </row>
    <row r="2618" spans="1:18" x14ac:dyDescent="0.25">
      <c r="A2618" s="143">
        <v>45859</v>
      </c>
      <c r="B2618" s="106">
        <v>1578</v>
      </c>
      <c r="C2618" s="106">
        <v>1574.05</v>
      </c>
      <c r="D2618" s="106">
        <v>1516.85</v>
      </c>
      <c r="E2618" s="106">
        <v>1554.9</v>
      </c>
      <c r="F2618" s="106">
        <v>1574.05</v>
      </c>
      <c r="G2618">
        <v>50344</v>
      </c>
      <c r="H2618" s="106"/>
      <c r="I2618" s="106"/>
      <c r="L2618" s="143">
        <v>45859</v>
      </c>
      <c r="M2618" s="106">
        <v>1573.8</v>
      </c>
      <c r="N2618" s="106">
        <v>1578.6</v>
      </c>
      <c r="O2618" s="106">
        <v>1518.1</v>
      </c>
      <c r="P2618" s="106">
        <v>1554</v>
      </c>
      <c r="Q2618" s="106">
        <v>1573.8</v>
      </c>
      <c r="R2618">
        <v>1632384</v>
      </c>
    </row>
    <row r="2619" spans="1:18" x14ac:dyDescent="0.25">
      <c r="A2619" s="143">
        <v>45860</v>
      </c>
      <c r="B2619" s="106">
        <v>1581</v>
      </c>
      <c r="C2619" s="106">
        <v>1565.8</v>
      </c>
      <c r="D2619" s="106">
        <v>1556.05</v>
      </c>
      <c r="E2619" s="106">
        <v>1575.25</v>
      </c>
      <c r="F2619" s="106">
        <v>1565.8</v>
      </c>
      <c r="G2619">
        <v>18085</v>
      </c>
      <c r="H2619" s="106"/>
      <c r="I2619" s="106"/>
      <c r="L2619" s="143">
        <v>45860</v>
      </c>
      <c r="M2619" s="106">
        <v>1565.4</v>
      </c>
      <c r="N2619" s="106">
        <v>1587.8</v>
      </c>
      <c r="O2619" s="106">
        <v>1556.1</v>
      </c>
      <c r="P2619" s="106">
        <v>1585</v>
      </c>
      <c r="Q2619" s="106">
        <v>1565.4</v>
      </c>
      <c r="R2619">
        <v>731619</v>
      </c>
    </row>
    <row r="2620" spans="1:18" x14ac:dyDescent="0.25">
      <c r="A2620" s="143">
        <v>45861</v>
      </c>
      <c r="B2620" s="106">
        <v>1565.75</v>
      </c>
      <c r="C2620" s="106">
        <v>1555.95</v>
      </c>
      <c r="D2620" s="106">
        <v>1546</v>
      </c>
      <c r="E2620" s="106">
        <v>1547.1</v>
      </c>
      <c r="F2620" s="106">
        <v>1555.95</v>
      </c>
      <c r="G2620">
        <v>65151</v>
      </c>
      <c r="H2620" s="106"/>
      <c r="I2620" s="106"/>
      <c r="L2620" s="143">
        <v>45861</v>
      </c>
      <c r="M2620" s="106">
        <v>1556.1</v>
      </c>
      <c r="N2620" s="106">
        <v>1565.9</v>
      </c>
      <c r="O2620" s="106">
        <v>1546.1</v>
      </c>
      <c r="P2620" s="106">
        <v>1550</v>
      </c>
      <c r="Q2620" s="106">
        <v>1556.1</v>
      </c>
      <c r="R2620">
        <v>790498</v>
      </c>
    </row>
    <row r="2621" spans="1:18" x14ac:dyDescent="0.25">
      <c r="A2621" s="143">
        <v>45862</v>
      </c>
      <c r="B2621" s="106">
        <v>1562.1</v>
      </c>
      <c r="C2621" s="106">
        <v>1551.35</v>
      </c>
      <c r="D2621" s="106">
        <v>1543.5</v>
      </c>
      <c r="E2621" s="106">
        <v>1550.35</v>
      </c>
      <c r="F2621" s="106">
        <v>1551.35</v>
      </c>
      <c r="G2621">
        <v>28724</v>
      </c>
      <c r="H2621" s="106"/>
      <c r="I2621" s="106"/>
      <c r="L2621" s="143">
        <v>45862</v>
      </c>
      <c r="M2621" s="106">
        <v>1551.4</v>
      </c>
      <c r="N2621" s="106">
        <v>1564.1</v>
      </c>
      <c r="O2621" s="106">
        <v>1544.1</v>
      </c>
      <c r="P2621" s="106">
        <v>1558</v>
      </c>
      <c r="Q2621" s="106">
        <v>1551.4</v>
      </c>
      <c r="R2621">
        <v>2287825</v>
      </c>
    </row>
    <row r="2622" spans="1:18" x14ac:dyDescent="0.25">
      <c r="A2622" s="143">
        <v>45863</v>
      </c>
      <c r="B2622" s="106">
        <v>1519.9</v>
      </c>
      <c r="C2622" s="106">
        <v>1503.8</v>
      </c>
      <c r="D2622" s="106">
        <v>1475.4</v>
      </c>
      <c r="E2622" s="106">
        <v>1510.05</v>
      </c>
      <c r="F2622" s="106">
        <v>1503.8</v>
      </c>
      <c r="G2622">
        <v>92634</v>
      </c>
      <c r="H2622" s="106"/>
      <c r="I2622" s="106"/>
      <c r="L2622" s="143">
        <v>45863</v>
      </c>
      <c r="M2622" s="106">
        <v>1503.8</v>
      </c>
      <c r="N2622" s="106">
        <v>1520</v>
      </c>
      <c r="O2622" s="106">
        <v>1465.7</v>
      </c>
      <c r="P2622" s="106">
        <v>1520</v>
      </c>
      <c r="Q2622" s="106">
        <v>1503.8</v>
      </c>
      <c r="R2622">
        <v>4161435</v>
      </c>
    </row>
    <row r="2623" spans="1:18" x14ac:dyDescent="0.25">
      <c r="A2623" s="143">
        <v>45866</v>
      </c>
      <c r="B2623" s="106">
        <v>1505.9</v>
      </c>
      <c r="C2623" s="106">
        <v>1490</v>
      </c>
      <c r="D2623" s="106">
        <v>1482.05</v>
      </c>
      <c r="E2623" s="106">
        <v>1482.05</v>
      </c>
      <c r="F2623" s="106">
        <v>1490</v>
      </c>
      <c r="G2623">
        <v>37031</v>
      </c>
      <c r="H2623" s="106"/>
      <c r="I2623" s="106"/>
      <c r="L2623" s="143">
        <v>45866</v>
      </c>
      <c r="M2623" s="106">
        <v>1490.3</v>
      </c>
      <c r="N2623" s="106">
        <v>1506.4</v>
      </c>
      <c r="O2623" s="106">
        <v>1485.8</v>
      </c>
      <c r="P2623" s="106">
        <v>1488</v>
      </c>
      <c r="Q2623" s="106">
        <v>1490.3</v>
      </c>
      <c r="R2623">
        <v>1228097</v>
      </c>
    </row>
    <row r="2624" spans="1:18" x14ac:dyDescent="0.25">
      <c r="A2624" s="143">
        <v>45867</v>
      </c>
      <c r="B2624" s="106">
        <v>1501.75</v>
      </c>
      <c r="C2624" s="106">
        <v>1485.05</v>
      </c>
      <c r="D2624" s="106">
        <v>1463.35</v>
      </c>
      <c r="E2624" s="106">
        <v>1470.05</v>
      </c>
      <c r="F2624" s="106">
        <v>1485.05</v>
      </c>
      <c r="G2624">
        <v>18199</v>
      </c>
      <c r="H2624" s="106"/>
      <c r="I2624" s="106"/>
      <c r="L2624" s="143">
        <v>45867</v>
      </c>
      <c r="M2624" s="106">
        <v>1484.8</v>
      </c>
      <c r="N2624" s="106">
        <v>1502.8</v>
      </c>
      <c r="O2624" s="106">
        <v>1464</v>
      </c>
      <c r="P2624" s="106">
        <v>1478</v>
      </c>
      <c r="Q2624" s="106">
        <v>1484.8</v>
      </c>
      <c r="R2624">
        <v>1288099</v>
      </c>
    </row>
    <row r="2625" spans="1:18" x14ac:dyDescent="0.25">
      <c r="A2625" s="143">
        <v>45868</v>
      </c>
      <c r="B2625" s="106">
        <v>1499.4</v>
      </c>
      <c r="C2625" s="106">
        <v>1476.6</v>
      </c>
      <c r="D2625" s="106">
        <v>1472</v>
      </c>
      <c r="E2625" s="106">
        <v>1491.05</v>
      </c>
      <c r="F2625" s="106">
        <v>1476.6</v>
      </c>
      <c r="G2625">
        <v>27301</v>
      </c>
      <c r="H2625" s="106"/>
      <c r="I2625" s="106"/>
      <c r="L2625" s="143">
        <v>45868</v>
      </c>
      <c r="M2625" s="106">
        <v>1478.1</v>
      </c>
      <c r="N2625" s="106">
        <v>1499</v>
      </c>
      <c r="O2625" s="106">
        <v>1472</v>
      </c>
      <c r="P2625" s="106">
        <v>1498.5</v>
      </c>
      <c r="Q2625" s="106">
        <v>1478.1</v>
      </c>
      <c r="R2625">
        <v>738799</v>
      </c>
    </row>
    <row r="2626" spans="1:18" x14ac:dyDescent="0.25">
      <c r="A2626" s="143">
        <v>45869</v>
      </c>
      <c r="B2626" s="106">
        <v>1480.15</v>
      </c>
      <c r="C2626" s="106">
        <v>1445.6</v>
      </c>
      <c r="D2626" s="106">
        <v>1427.55</v>
      </c>
      <c r="E2626" s="106">
        <v>1480.15</v>
      </c>
      <c r="F2626" s="106">
        <v>1445.6</v>
      </c>
      <c r="G2626">
        <v>53102</v>
      </c>
      <c r="H2626" s="106"/>
      <c r="I2626" s="106"/>
      <c r="L2626" s="143">
        <v>45869</v>
      </c>
      <c r="M2626" s="106">
        <v>1443.2</v>
      </c>
      <c r="N2626" s="106">
        <v>1469</v>
      </c>
      <c r="O2626" s="106">
        <v>1426.7</v>
      </c>
      <c r="P2626" s="106">
        <v>1465</v>
      </c>
      <c r="Q2626" s="106">
        <v>1443.2</v>
      </c>
      <c r="R2626">
        <v>6484530</v>
      </c>
    </row>
    <row r="2627" spans="1:18" x14ac:dyDescent="0.25">
      <c r="A2627" s="143">
        <v>45870</v>
      </c>
      <c r="B2627" s="106">
        <v>1481.2</v>
      </c>
      <c r="C2627" s="106">
        <v>1422.4</v>
      </c>
      <c r="D2627" s="106">
        <v>1404.95</v>
      </c>
      <c r="E2627" s="106">
        <v>1452.65</v>
      </c>
      <c r="F2627" s="106">
        <v>1422.4</v>
      </c>
      <c r="G2627">
        <v>104320</v>
      </c>
      <c r="H2627" s="106"/>
      <c r="I2627" s="106"/>
      <c r="L2627" s="143">
        <v>45870</v>
      </c>
      <c r="M2627" s="106">
        <v>1422.5</v>
      </c>
      <c r="N2627" s="106">
        <v>1481.9</v>
      </c>
      <c r="O2627" s="106">
        <v>1404</v>
      </c>
      <c r="P2627" s="106">
        <v>1442.5</v>
      </c>
      <c r="Q2627" s="106">
        <v>1422.5</v>
      </c>
      <c r="R2627">
        <v>4717925</v>
      </c>
    </row>
    <row r="2628" spans="1:18" x14ac:dyDescent="0.25">
      <c r="A2628" s="143">
        <v>45873</v>
      </c>
      <c r="B2628" s="106">
        <v>1475.9</v>
      </c>
      <c r="C2628" s="106">
        <v>1471.35</v>
      </c>
      <c r="D2628" s="106">
        <v>1424.65</v>
      </c>
      <c r="E2628" s="106">
        <v>1424.65</v>
      </c>
      <c r="F2628" s="106">
        <v>1471.35</v>
      </c>
      <c r="G2628">
        <v>21435</v>
      </c>
      <c r="H2628" s="106"/>
      <c r="I2628" s="106"/>
      <c r="L2628" s="143">
        <v>45873</v>
      </c>
      <c r="M2628" s="106">
        <v>1472.1</v>
      </c>
      <c r="N2628" s="106">
        <v>1477</v>
      </c>
      <c r="O2628" s="106">
        <v>1422.8</v>
      </c>
      <c r="P2628" s="106">
        <v>1422.8</v>
      </c>
      <c r="Q2628" s="106">
        <v>1472.1</v>
      </c>
      <c r="R2628">
        <v>1765076</v>
      </c>
    </row>
    <row r="2629" spans="1:18" x14ac:dyDescent="0.25">
      <c r="A2629" s="143">
        <v>45874</v>
      </c>
      <c r="B2629" s="106">
        <v>1478.3</v>
      </c>
      <c r="C2629" s="106">
        <v>1471.9</v>
      </c>
      <c r="D2629" s="106">
        <v>1458.65</v>
      </c>
      <c r="E2629" s="106">
        <v>1475</v>
      </c>
      <c r="F2629" s="106">
        <v>1471.9</v>
      </c>
      <c r="G2629">
        <v>10165</v>
      </c>
      <c r="H2629" s="106"/>
      <c r="I2629" s="106"/>
      <c r="L2629" s="143">
        <v>45874</v>
      </c>
      <c r="M2629" s="106">
        <v>1472.1</v>
      </c>
      <c r="N2629" s="106">
        <v>1481.6</v>
      </c>
      <c r="O2629" s="106">
        <v>1456.5</v>
      </c>
      <c r="P2629" s="106">
        <v>1475.4</v>
      </c>
      <c r="Q2629" s="106">
        <v>1472.1</v>
      </c>
      <c r="R2629">
        <v>1537683</v>
      </c>
    </row>
    <row r="2630" spans="1:18" x14ac:dyDescent="0.25">
      <c r="A2630" s="143">
        <v>45875</v>
      </c>
      <c r="B2630" s="106">
        <v>1479.9</v>
      </c>
      <c r="C2630" s="106">
        <v>1454.9</v>
      </c>
      <c r="D2630" s="106">
        <v>1438.85</v>
      </c>
      <c r="E2630" s="106">
        <v>1470</v>
      </c>
      <c r="F2630" s="106">
        <v>1454.9</v>
      </c>
      <c r="G2630">
        <v>13229</v>
      </c>
      <c r="H2630" s="106"/>
      <c r="I2630" s="106"/>
      <c r="L2630" s="143">
        <v>45875</v>
      </c>
      <c r="M2630" s="106">
        <v>1454.9</v>
      </c>
      <c r="N2630" s="106">
        <v>1480.7</v>
      </c>
      <c r="O2630" s="106">
        <v>1438.9</v>
      </c>
      <c r="P2630" s="106">
        <v>1472</v>
      </c>
      <c r="Q2630" s="106">
        <v>1454.9</v>
      </c>
      <c r="R2630">
        <v>2136451</v>
      </c>
    </row>
    <row r="2631" spans="1:18" x14ac:dyDescent="0.25">
      <c r="A2631" s="143">
        <v>45876</v>
      </c>
      <c r="B2631" s="106">
        <v>1490.85</v>
      </c>
      <c r="C2631" s="106">
        <v>1488.15</v>
      </c>
      <c r="D2631" s="106">
        <v>1432.05</v>
      </c>
      <c r="E2631" s="106">
        <v>1432.05</v>
      </c>
      <c r="F2631" s="106">
        <v>1488.15</v>
      </c>
      <c r="G2631">
        <v>40316</v>
      </c>
      <c r="H2631" s="106"/>
      <c r="I2631" s="106"/>
      <c r="L2631" s="143">
        <v>45876</v>
      </c>
      <c r="M2631" s="106">
        <v>1488</v>
      </c>
      <c r="N2631" s="106">
        <v>1491</v>
      </c>
      <c r="O2631" s="106">
        <v>1440</v>
      </c>
      <c r="P2631" s="106">
        <v>1440</v>
      </c>
      <c r="Q2631" s="106">
        <v>1488</v>
      </c>
      <c r="R2631">
        <v>1097782</v>
      </c>
    </row>
    <row r="2632" spans="1:18" x14ac:dyDescent="0.25">
      <c r="A2632" s="143">
        <v>45877</v>
      </c>
      <c r="B2632" s="106">
        <v>1499.9</v>
      </c>
      <c r="C2632" s="106">
        <v>1451.25</v>
      </c>
      <c r="D2632" s="106">
        <v>1449.15</v>
      </c>
      <c r="E2632" s="106">
        <v>1497.25</v>
      </c>
      <c r="F2632" s="106">
        <v>1451.25</v>
      </c>
      <c r="G2632">
        <v>38406</v>
      </c>
      <c r="H2632" s="106"/>
      <c r="I2632" s="106"/>
      <c r="L2632" s="143">
        <v>45877</v>
      </c>
      <c r="M2632" s="106">
        <v>1451.1</v>
      </c>
      <c r="N2632" s="106">
        <v>1499.8</v>
      </c>
      <c r="O2632" s="106">
        <v>1450</v>
      </c>
      <c r="P2632" s="106">
        <v>1493.9</v>
      </c>
      <c r="Q2632" s="106">
        <v>1451.1</v>
      </c>
      <c r="R2632">
        <v>840293</v>
      </c>
    </row>
    <row r="2633" spans="1:18" x14ac:dyDescent="0.25">
      <c r="A2633" s="143">
        <v>45880</v>
      </c>
      <c r="B2633" s="106">
        <v>1493.1</v>
      </c>
      <c r="C2633" s="106">
        <v>1486.05</v>
      </c>
      <c r="D2633" s="106">
        <v>1445.2</v>
      </c>
      <c r="E2633" s="106">
        <v>1445.2</v>
      </c>
      <c r="F2633" s="106">
        <v>1486.05</v>
      </c>
      <c r="G2633">
        <v>37117</v>
      </c>
      <c r="H2633" s="106"/>
      <c r="I2633" s="106"/>
      <c r="L2633" s="143">
        <v>45880</v>
      </c>
      <c r="M2633" s="106">
        <v>1483</v>
      </c>
      <c r="N2633" s="106">
        <v>1493.6</v>
      </c>
      <c r="O2633" s="106">
        <v>1448</v>
      </c>
      <c r="P2633" s="106">
        <v>1452</v>
      </c>
      <c r="Q2633" s="106">
        <v>1483</v>
      </c>
      <c r="R2633">
        <v>842409</v>
      </c>
    </row>
    <row r="2634" spans="1:18" x14ac:dyDescent="0.25">
      <c r="A2634" s="143">
        <v>45881</v>
      </c>
      <c r="B2634" s="106">
        <v>1484.05</v>
      </c>
      <c r="C2634" s="106">
        <v>1450.75</v>
      </c>
      <c r="D2634" s="106">
        <v>1447</v>
      </c>
      <c r="E2634" s="106">
        <v>1484</v>
      </c>
      <c r="F2634" s="106">
        <v>1450.75</v>
      </c>
      <c r="G2634">
        <v>14649</v>
      </c>
      <c r="H2634" s="106"/>
      <c r="I2634" s="106"/>
      <c r="L2634" s="143">
        <v>45881</v>
      </c>
      <c r="M2634" s="106">
        <v>1450.7</v>
      </c>
      <c r="N2634" s="106">
        <v>1485</v>
      </c>
      <c r="O2634" s="106">
        <v>1445.5</v>
      </c>
      <c r="P2634" s="106">
        <v>1485</v>
      </c>
      <c r="Q2634" s="106">
        <v>1450.7</v>
      </c>
      <c r="R2634">
        <v>755391</v>
      </c>
    </row>
    <row r="2635" spans="1:18" x14ac:dyDescent="0.25">
      <c r="A2635" s="143">
        <v>45882</v>
      </c>
      <c r="B2635" s="106">
        <v>1475.8</v>
      </c>
      <c r="C2635" s="106">
        <v>1461.05</v>
      </c>
      <c r="D2635" s="106">
        <v>1457.1</v>
      </c>
      <c r="E2635" s="106">
        <v>1464.35</v>
      </c>
      <c r="F2635" s="106">
        <v>1461.05</v>
      </c>
      <c r="G2635">
        <v>23036</v>
      </c>
      <c r="H2635" s="106"/>
      <c r="I2635" s="106"/>
      <c r="L2635" s="143">
        <v>45882</v>
      </c>
      <c r="M2635" s="106">
        <v>1460.5</v>
      </c>
      <c r="N2635" s="106">
        <v>1474.7</v>
      </c>
      <c r="O2635" s="106">
        <v>1454.6</v>
      </c>
      <c r="P2635" s="106">
        <v>1457</v>
      </c>
      <c r="Q2635" s="106">
        <v>1460.5</v>
      </c>
      <c r="R2635">
        <v>672021</v>
      </c>
    </row>
    <row r="2636" spans="1:18" x14ac:dyDescent="0.25">
      <c r="A2636" s="143">
        <v>45883</v>
      </c>
      <c r="B2636" s="106">
        <v>1474.55</v>
      </c>
      <c r="C2636" s="106">
        <v>1458.9</v>
      </c>
      <c r="D2636" s="106">
        <v>1450.1</v>
      </c>
      <c r="E2636" s="106">
        <v>1461.05</v>
      </c>
      <c r="F2636" s="106">
        <v>1458.9</v>
      </c>
      <c r="G2636">
        <v>20851</v>
      </c>
      <c r="H2636" s="106"/>
      <c r="I2636" s="106"/>
      <c r="L2636" s="143">
        <v>45883</v>
      </c>
      <c r="M2636" s="106">
        <v>1461.5</v>
      </c>
      <c r="N2636" s="106">
        <v>1474.8</v>
      </c>
      <c r="O2636" s="106">
        <v>1449.2</v>
      </c>
      <c r="P2636" s="106">
        <v>1459.1</v>
      </c>
      <c r="Q2636" s="106">
        <v>1461.5</v>
      </c>
      <c r="R2636">
        <v>1612053</v>
      </c>
    </row>
    <row r="2637" spans="1:18" x14ac:dyDescent="0.25">
      <c r="A2637" s="143">
        <v>45887</v>
      </c>
      <c r="B2637" s="106">
        <v>1532</v>
      </c>
      <c r="C2637" s="106">
        <v>1522</v>
      </c>
      <c r="D2637" s="106">
        <v>1490.05</v>
      </c>
      <c r="E2637" s="106">
        <v>1490.05</v>
      </c>
      <c r="F2637" s="106">
        <v>1522</v>
      </c>
      <c r="G2637">
        <v>20943</v>
      </c>
      <c r="H2637" s="106"/>
      <c r="I2637" s="106"/>
      <c r="L2637" s="143">
        <v>45887</v>
      </c>
      <c r="M2637" s="106">
        <v>1522.6</v>
      </c>
      <c r="N2637" s="106">
        <v>1533.4</v>
      </c>
      <c r="O2637" s="106">
        <v>1495.8</v>
      </c>
      <c r="P2637" s="106">
        <v>1500</v>
      </c>
      <c r="Q2637" s="106">
        <v>1522.6</v>
      </c>
      <c r="R2637">
        <v>1354862</v>
      </c>
    </row>
    <row r="2638" spans="1:18" x14ac:dyDescent="0.25">
      <c r="A2638" s="143">
        <v>45888</v>
      </c>
      <c r="B2638" s="106">
        <v>1530</v>
      </c>
      <c r="C2638" s="106">
        <v>1529</v>
      </c>
      <c r="D2638" s="106">
        <v>1503.3</v>
      </c>
      <c r="E2638" s="106">
        <v>1524.95</v>
      </c>
      <c r="F2638" s="106">
        <v>1529</v>
      </c>
      <c r="G2638">
        <v>11484</v>
      </c>
      <c r="H2638" s="106"/>
      <c r="I2638" s="106"/>
      <c r="L2638" s="143">
        <v>45888</v>
      </c>
      <c r="M2638" s="106">
        <v>1527.9</v>
      </c>
      <c r="N2638" s="106">
        <v>1529.9</v>
      </c>
      <c r="O2638" s="106">
        <v>1503</v>
      </c>
      <c r="P2638" s="106">
        <v>1522.6</v>
      </c>
      <c r="Q2638" s="106">
        <v>1527.9</v>
      </c>
      <c r="R2638">
        <v>953552</v>
      </c>
    </row>
    <row r="2639" spans="1:18" x14ac:dyDescent="0.25">
      <c r="A2639" s="143">
        <v>45889</v>
      </c>
      <c r="B2639" s="106">
        <v>1535.75</v>
      </c>
      <c r="C2639" s="106">
        <v>1522.25</v>
      </c>
      <c r="D2639" s="106">
        <v>1510</v>
      </c>
      <c r="E2639" s="106">
        <v>1529</v>
      </c>
      <c r="F2639" s="106">
        <v>1522.25</v>
      </c>
      <c r="G2639">
        <v>19292</v>
      </c>
      <c r="H2639" s="106"/>
      <c r="I2639" s="106"/>
      <c r="L2639" s="143">
        <v>45889</v>
      </c>
      <c r="M2639" s="106">
        <v>1522.9</v>
      </c>
      <c r="N2639" s="106">
        <v>1536.3</v>
      </c>
      <c r="O2639" s="106">
        <v>1508.5</v>
      </c>
      <c r="P2639" s="106">
        <v>1527.8</v>
      </c>
      <c r="Q2639" s="106">
        <v>1522.9</v>
      </c>
      <c r="R2639">
        <v>1272429</v>
      </c>
    </row>
    <row r="2640" spans="1:18" x14ac:dyDescent="0.25">
      <c r="A2640" s="143">
        <v>45890</v>
      </c>
      <c r="B2640" s="106">
        <v>1527</v>
      </c>
      <c r="C2640" s="106">
        <v>1519.5</v>
      </c>
      <c r="D2640" s="106">
        <v>1513.45</v>
      </c>
      <c r="E2640" s="106">
        <v>1520.35</v>
      </c>
      <c r="F2640" s="106">
        <v>1519.5</v>
      </c>
      <c r="G2640">
        <v>16620</v>
      </c>
      <c r="H2640" s="106"/>
      <c r="I2640" s="106"/>
      <c r="L2640" s="143">
        <v>45890</v>
      </c>
      <c r="M2640" s="106">
        <v>1518.3</v>
      </c>
      <c r="N2640" s="106">
        <v>1527.7</v>
      </c>
      <c r="O2640" s="106">
        <v>1513.7</v>
      </c>
      <c r="P2640" s="106">
        <v>1525.9</v>
      </c>
      <c r="Q2640" s="106">
        <v>1518.3</v>
      </c>
      <c r="R2640">
        <v>728673</v>
      </c>
    </row>
    <row r="2641" spans="1:18" x14ac:dyDescent="0.25">
      <c r="A2641" s="143">
        <v>45891</v>
      </c>
      <c r="B2641" s="106">
        <v>1526.45</v>
      </c>
      <c r="C2641" s="106">
        <v>1524.55</v>
      </c>
      <c r="D2641" s="106">
        <v>1514.8</v>
      </c>
      <c r="E2641" s="106">
        <v>1519.05</v>
      </c>
      <c r="F2641" s="106">
        <v>1524.55</v>
      </c>
      <c r="G2641">
        <v>22581</v>
      </c>
      <c r="H2641" s="106"/>
      <c r="I2641" s="106"/>
      <c r="L2641" s="143">
        <v>45891</v>
      </c>
      <c r="M2641" s="106">
        <v>1524.1</v>
      </c>
      <c r="N2641" s="106">
        <v>1527</v>
      </c>
      <c r="O2641" s="106">
        <v>1511.3</v>
      </c>
      <c r="P2641" s="106">
        <v>1515</v>
      </c>
      <c r="Q2641" s="106">
        <v>1524.1</v>
      </c>
      <c r="R2641">
        <v>559123</v>
      </c>
    </row>
    <row r="2642" spans="1:18" x14ac:dyDescent="0.25">
      <c r="A2642" s="143">
        <v>45894</v>
      </c>
      <c r="B2642" s="106">
        <v>1530.2</v>
      </c>
      <c r="C2642" s="106">
        <v>1508.95</v>
      </c>
      <c r="D2642" s="106">
        <v>1503.9</v>
      </c>
      <c r="E2642" s="106">
        <v>1521.05</v>
      </c>
      <c r="F2642" s="106">
        <v>1508.95</v>
      </c>
      <c r="G2642">
        <v>25627</v>
      </c>
      <c r="H2642" s="106"/>
      <c r="I2642" s="106"/>
      <c r="L2642" s="143">
        <v>45894</v>
      </c>
      <c r="M2642" s="106">
        <v>1509.4</v>
      </c>
      <c r="N2642" s="106">
        <v>1530</v>
      </c>
      <c r="O2642" s="106">
        <v>1504.2</v>
      </c>
      <c r="P2642" s="106">
        <v>1524.9</v>
      </c>
      <c r="Q2642" s="106">
        <v>1509.4</v>
      </c>
      <c r="R2642">
        <v>701737</v>
      </c>
    </row>
    <row r="2643" spans="1:18" x14ac:dyDescent="0.25">
      <c r="A2643" s="143">
        <v>45895</v>
      </c>
      <c r="B2643" s="106">
        <v>1520.35</v>
      </c>
      <c r="C2643" s="106">
        <v>1476.45</v>
      </c>
      <c r="D2643" s="106">
        <v>1470.75</v>
      </c>
      <c r="E2643" s="106">
        <v>1520.35</v>
      </c>
      <c r="F2643" s="106">
        <v>1476.45</v>
      </c>
      <c r="G2643">
        <v>12904</v>
      </c>
      <c r="H2643" s="106"/>
      <c r="I2643" s="106"/>
      <c r="L2643" s="143">
        <v>45895</v>
      </c>
      <c r="M2643" s="106">
        <v>1476.2</v>
      </c>
      <c r="N2643" s="106">
        <v>1518.3</v>
      </c>
      <c r="O2643" s="106">
        <v>1470.1</v>
      </c>
      <c r="P2643" s="106">
        <v>1510.6</v>
      </c>
      <c r="Q2643" s="106">
        <v>1476.2</v>
      </c>
      <c r="R2643">
        <v>2035044</v>
      </c>
    </row>
    <row r="2644" spans="1:18" x14ac:dyDescent="0.25">
      <c r="A2644" s="143">
        <v>45897</v>
      </c>
      <c r="B2644" s="106">
        <v>1469.8</v>
      </c>
      <c r="C2644" s="106">
        <v>1439.95</v>
      </c>
      <c r="D2644" s="106">
        <v>1436.9</v>
      </c>
      <c r="E2644" s="106">
        <v>1455.2</v>
      </c>
      <c r="F2644" s="106">
        <v>1439.95</v>
      </c>
      <c r="G2644">
        <v>36034</v>
      </c>
      <c r="H2644" s="106"/>
      <c r="I2644" s="106"/>
      <c r="L2644" s="143">
        <v>45897</v>
      </c>
      <c r="M2644" s="106">
        <v>1439.8</v>
      </c>
      <c r="N2644" s="106">
        <v>1468.5</v>
      </c>
      <c r="O2644" s="106">
        <v>1435.9</v>
      </c>
      <c r="P2644" s="106">
        <v>1464.2</v>
      </c>
      <c r="Q2644" s="106">
        <v>1439.8</v>
      </c>
      <c r="R2644">
        <v>1548977</v>
      </c>
    </row>
    <row r="2645" spans="1:18" x14ac:dyDescent="0.25">
      <c r="A2645" s="143">
        <v>45898</v>
      </c>
      <c r="B2645" s="106">
        <v>1451.75</v>
      </c>
      <c r="C2645" s="106">
        <v>1420.45</v>
      </c>
      <c r="D2645" s="106">
        <v>1418</v>
      </c>
      <c r="E2645" s="106">
        <v>1425.95</v>
      </c>
      <c r="F2645" s="106">
        <v>1420.45</v>
      </c>
      <c r="G2645">
        <v>23220</v>
      </c>
      <c r="H2645" s="106"/>
      <c r="I2645" s="106"/>
      <c r="L2645" s="143">
        <v>45898</v>
      </c>
      <c r="M2645" s="106">
        <v>1420.7</v>
      </c>
      <c r="N2645" s="106">
        <v>1452.3</v>
      </c>
      <c r="O2645" s="106">
        <v>1418</v>
      </c>
      <c r="P2645" s="106">
        <v>1439</v>
      </c>
      <c r="Q2645" s="106">
        <v>1420.7</v>
      </c>
      <c r="R2645">
        <v>871127</v>
      </c>
    </row>
    <row r="2646" spans="1:18" x14ac:dyDescent="0.25">
      <c r="A2646" s="143">
        <v>45901</v>
      </c>
      <c r="B2646" s="106">
        <v>1455.2</v>
      </c>
      <c r="C2646" s="106">
        <v>1453.1</v>
      </c>
      <c r="D2646" s="106">
        <v>1416.8</v>
      </c>
      <c r="E2646" s="106">
        <v>1424.3</v>
      </c>
      <c r="F2646" s="106">
        <v>1453.1</v>
      </c>
      <c r="G2646">
        <v>12338</v>
      </c>
      <c r="H2646" s="106"/>
      <c r="I2646" s="106"/>
      <c r="L2646" s="143">
        <v>45901</v>
      </c>
      <c r="M2646" s="106">
        <v>1453.8</v>
      </c>
      <c r="N2646" s="106">
        <v>1455.4</v>
      </c>
      <c r="O2646" s="106">
        <v>1412.3</v>
      </c>
      <c r="P2646" s="106">
        <v>1419.4</v>
      </c>
      <c r="Q2646" s="106">
        <v>1453.8</v>
      </c>
      <c r="R2646">
        <v>909205</v>
      </c>
    </row>
    <row r="2647" spans="1:18" x14ac:dyDescent="0.25">
      <c r="A2647" s="143">
        <v>45902</v>
      </c>
      <c r="B2647" s="106">
        <v>1478.95</v>
      </c>
      <c r="C2647" s="106">
        <v>1433.2</v>
      </c>
      <c r="D2647" s="106">
        <v>1428.85</v>
      </c>
      <c r="E2647" s="106">
        <v>1478.95</v>
      </c>
      <c r="F2647" s="106">
        <v>1433.2</v>
      </c>
      <c r="G2647">
        <v>11355</v>
      </c>
      <c r="H2647" s="106"/>
      <c r="I2647" s="106"/>
      <c r="L2647" s="143">
        <v>45902</v>
      </c>
      <c r="M2647" s="106">
        <v>1431.4</v>
      </c>
      <c r="N2647" s="106">
        <v>1458.5</v>
      </c>
      <c r="O2647" s="106">
        <v>1428.7</v>
      </c>
      <c r="P2647" s="106">
        <v>1454.9</v>
      </c>
      <c r="Q2647" s="106">
        <v>1431.4</v>
      </c>
      <c r="R2647">
        <v>1087452</v>
      </c>
    </row>
    <row r="2648" spans="1:18" x14ac:dyDescent="0.25">
      <c r="A2648" s="143">
        <v>45903</v>
      </c>
      <c r="B2648" s="106">
        <v>1448.95</v>
      </c>
      <c r="C2648" s="106">
        <v>1439.9</v>
      </c>
      <c r="D2648" s="106">
        <v>1424.15</v>
      </c>
      <c r="E2648" s="106">
        <v>1448.95</v>
      </c>
      <c r="F2648" s="106">
        <v>1439.9</v>
      </c>
      <c r="G2648">
        <v>5570</v>
      </c>
      <c r="H2648" s="106"/>
      <c r="I2648" s="106"/>
      <c r="L2648" s="143">
        <v>45903</v>
      </c>
      <c r="M2648" s="106">
        <v>1439.8</v>
      </c>
      <c r="N2648" s="106">
        <v>1445</v>
      </c>
      <c r="O2648" s="106">
        <v>1424.2</v>
      </c>
      <c r="P2648" s="106">
        <v>1432.9</v>
      </c>
      <c r="Q2648" s="106">
        <v>1439.8</v>
      </c>
      <c r="R2648">
        <v>989265</v>
      </c>
    </row>
    <row r="2649" spans="1:18" x14ac:dyDescent="0.25">
      <c r="A2649" s="143">
        <v>45904</v>
      </c>
      <c r="B2649" s="106">
        <v>1485</v>
      </c>
      <c r="C2649" s="106">
        <v>1461.85</v>
      </c>
      <c r="D2649" s="106">
        <v>1448</v>
      </c>
      <c r="E2649" s="106">
        <v>1474</v>
      </c>
      <c r="F2649" s="106">
        <v>1461.85</v>
      </c>
      <c r="G2649">
        <v>81990</v>
      </c>
      <c r="H2649" s="106"/>
      <c r="I2649" s="106"/>
      <c r="L2649" s="143">
        <v>45904</v>
      </c>
      <c r="M2649" s="106">
        <v>1461.2</v>
      </c>
      <c r="N2649" s="106">
        <v>1486.7</v>
      </c>
      <c r="O2649" s="106">
        <v>1447.5</v>
      </c>
      <c r="P2649" s="106">
        <v>1475</v>
      </c>
      <c r="Q2649" s="106">
        <v>1461.2</v>
      </c>
      <c r="R2649">
        <v>1738436</v>
      </c>
    </row>
    <row r="2650" spans="1:18" x14ac:dyDescent="0.25">
      <c r="A2650" s="143">
        <v>45905</v>
      </c>
      <c r="B2650" s="106">
        <v>1495.3</v>
      </c>
      <c r="C2650" s="106">
        <v>1489.15</v>
      </c>
      <c r="D2650" s="106">
        <v>1457.45</v>
      </c>
      <c r="E2650" s="106">
        <v>1464.15</v>
      </c>
      <c r="F2650" s="106">
        <v>1489.15</v>
      </c>
      <c r="G2650">
        <v>24592</v>
      </c>
      <c r="H2650" s="106"/>
      <c r="I2650" s="106"/>
      <c r="L2650" s="143">
        <v>45905</v>
      </c>
      <c r="M2650" s="106">
        <v>1490.9</v>
      </c>
      <c r="N2650" s="106">
        <v>1495.7</v>
      </c>
      <c r="O2650" s="106">
        <v>1457</v>
      </c>
      <c r="P2650" s="106">
        <v>1471.9</v>
      </c>
      <c r="Q2650" s="106">
        <v>1490.9</v>
      </c>
      <c r="R2650">
        <v>1103269</v>
      </c>
    </row>
    <row r="2651" spans="1:18" x14ac:dyDescent="0.25">
      <c r="A2651" s="143">
        <v>45908</v>
      </c>
      <c r="B2651" s="106">
        <v>1513.6</v>
      </c>
      <c r="C2651" s="106">
        <v>1494.45</v>
      </c>
      <c r="D2651" s="106">
        <v>1483.95</v>
      </c>
      <c r="E2651" s="106">
        <v>1491.15</v>
      </c>
      <c r="F2651" s="106">
        <v>1494.45</v>
      </c>
      <c r="G2651">
        <v>27626</v>
      </c>
      <c r="H2651" s="106"/>
      <c r="I2651" s="106"/>
      <c r="L2651" s="143">
        <v>45908</v>
      </c>
      <c r="M2651" s="106">
        <v>1494</v>
      </c>
      <c r="N2651" s="106">
        <v>1514</v>
      </c>
      <c r="O2651" s="106">
        <v>1481.7</v>
      </c>
      <c r="P2651" s="106">
        <v>1498.8</v>
      </c>
      <c r="Q2651" s="106">
        <v>1494</v>
      </c>
      <c r="R2651">
        <v>869279</v>
      </c>
    </row>
    <row r="2652" spans="1:18" x14ac:dyDescent="0.25">
      <c r="A2652" s="143">
        <v>45909</v>
      </c>
      <c r="B2652" s="106">
        <v>1524.8</v>
      </c>
      <c r="C2652" s="106">
        <v>1507.1</v>
      </c>
      <c r="D2652" s="106">
        <v>1495.85</v>
      </c>
      <c r="E2652" s="106">
        <v>1502.75</v>
      </c>
      <c r="F2652" s="106">
        <v>1507.1</v>
      </c>
      <c r="G2652">
        <v>27040</v>
      </c>
      <c r="H2652" s="106"/>
      <c r="I2652" s="106"/>
      <c r="L2652" s="143">
        <v>45909</v>
      </c>
      <c r="M2652" s="106">
        <v>1507.1</v>
      </c>
      <c r="N2652" s="106">
        <v>1524.7</v>
      </c>
      <c r="O2652" s="106">
        <v>1495.6</v>
      </c>
      <c r="P2652" s="106">
        <v>1499.9</v>
      </c>
      <c r="Q2652" s="106">
        <v>1507.1</v>
      </c>
      <c r="R2652">
        <v>854933</v>
      </c>
    </row>
    <row r="2653" spans="1:18" x14ac:dyDescent="0.25">
      <c r="A2653" s="143">
        <v>45910</v>
      </c>
      <c r="B2653" s="106">
        <v>1526</v>
      </c>
      <c r="C2653" s="106">
        <v>1523.15</v>
      </c>
      <c r="D2653" s="106">
        <v>1500.1</v>
      </c>
      <c r="E2653" s="106">
        <v>1500.1</v>
      </c>
      <c r="F2653" s="106">
        <v>1523.15</v>
      </c>
      <c r="G2653">
        <v>18782</v>
      </c>
      <c r="H2653" s="106"/>
      <c r="I2653" s="106"/>
      <c r="L2653" s="143">
        <v>45910</v>
      </c>
      <c r="M2653" s="106">
        <v>1522.4</v>
      </c>
      <c r="N2653" s="106">
        <v>1528.4</v>
      </c>
      <c r="O2653" s="106">
        <v>1507</v>
      </c>
      <c r="P2653" s="106">
        <v>1507.1</v>
      </c>
      <c r="Q2653" s="106">
        <v>1522.4</v>
      </c>
      <c r="R2653">
        <v>847153</v>
      </c>
    </row>
    <row r="2654" spans="1:18" x14ac:dyDescent="0.25">
      <c r="A2654" s="143">
        <v>45911</v>
      </c>
      <c r="B2654" s="106">
        <v>1530</v>
      </c>
      <c r="C2654" s="106">
        <v>1495.35</v>
      </c>
      <c r="D2654" s="106">
        <v>1491</v>
      </c>
      <c r="E2654" s="106">
        <v>1506.85</v>
      </c>
      <c r="F2654" s="106">
        <v>1495.35</v>
      </c>
      <c r="G2654">
        <v>40406</v>
      </c>
      <c r="H2654" s="106"/>
      <c r="I2654" s="106"/>
      <c r="L2654" s="143">
        <v>45911</v>
      </c>
      <c r="M2654" s="106">
        <v>1495.7</v>
      </c>
      <c r="N2654" s="106">
        <v>1530.2</v>
      </c>
      <c r="O2654" s="106">
        <v>1490.5</v>
      </c>
      <c r="P2654" s="106">
        <v>1522</v>
      </c>
      <c r="Q2654" s="106">
        <v>1495.7</v>
      </c>
      <c r="R2654">
        <v>1286327</v>
      </c>
    </row>
    <row r="2655" spans="1:18" x14ac:dyDescent="0.25">
      <c r="A2655" s="143">
        <v>45912</v>
      </c>
      <c r="B2655" s="106">
        <v>1519.3</v>
      </c>
      <c r="C2655" s="106">
        <v>1512.05</v>
      </c>
      <c r="D2655" s="106">
        <v>1492</v>
      </c>
      <c r="E2655" s="106">
        <v>1500.05</v>
      </c>
      <c r="F2655" s="106">
        <v>1512.05</v>
      </c>
      <c r="G2655">
        <v>168488</v>
      </c>
      <c r="H2655" s="106"/>
      <c r="I2655" s="106"/>
      <c r="L2655" s="143">
        <v>45912</v>
      </c>
      <c r="M2655" s="106">
        <v>1512.3</v>
      </c>
      <c r="N2655" s="106">
        <v>1520</v>
      </c>
      <c r="O2655" s="106">
        <v>1491.2</v>
      </c>
      <c r="P2655" s="106">
        <v>1505</v>
      </c>
      <c r="Q2655" s="106">
        <v>1512.3</v>
      </c>
      <c r="R2655">
        <v>466301</v>
      </c>
    </row>
    <row r="2656" spans="1:18" x14ac:dyDescent="0.25">
      <c r="A2656" s="143">
        <v>45915</v>
      </c>
      <c r="B2656" s="106">
        <v>1523.3</v>
      </c>
      <c r="C2656" s="106">
        <v>1517.55</v>
      </c>
      <c r="D2656" s="106">
        <v>1505.8</v>
      </c>
      <c r="E2656" s="106">
        <v>1511.8</v>
      </c>
      <c r="F2656" s="106">
        <v>1517.55</v>
      </c>
      <c r="G2656">
        <v>723331</v>
      </c>
      <c r="H2656" s="106"/>
      <c r="I2656" s="106"/>
      <c r="L2656" s="143">
        <v>45915</v>
      </c>
      <c r="M2656" s="106">
        <v>1517.7</v>
      </c>
      <c r="N2656" s="106">
        <v>1522</v>
      </c>
      <c r="O2656" s="106">
        <v>1505.1</v>
      </c>
      <c r="P2656" s="106">
        <v>1510.7</v>
      </c>
      <c r="Q2656" s="106">
        <v>1517.7</v>
      </c>
      <c r="R2656">
        <v>844483</v>
      </c>
    </row>
    <row r="2657" spans="1:18" x14ac:dyDescent="0.25">
      <c r="A2657" s="143">
        <v>45916</v>
      </c>
      <c r="B2657" s="106">
        <v>1587.75</v>
      </c>
      <c r="C2657" s="106">
        <v>1581.4</v>
      </c>
      <c r="D2657" s="106">
        <v>1516.45</v>
      </c>
      <c r="E2657" s="106">
        <v>1516.45</v>
      </c>
      <c r="F2657" s="106">
        <v>1581.4</v>
      </c>
      <c r="G2657">
        <v>106925</v>
      </c>
      <c r="H2657" s="106"/>
      <c r="I2657" s="106"/>
      <c r="L2657" s="143">
        <v>45916</v>
      </c>
      <c r="M2657" s="106">
        <v>1583.1</v>
      </c>
      <c r="N2657" s="106">
        <v>1588.2</v>
      </c>
      <c r="O2657" s="106">
        <v>1515.6</v>
      </c>
      <c r="P2657" s="106">
        <v>1520.7</v>
      </c>
      <c r="Q2657" s="106">
        <v>1583.1</v>
      </c>
      <c r="R2657">
        <v>3343241</v>
      </c>
    </row>
    <row r="2658" spans="1:18" x14ac:dyDescent="0.25">
      <c r="A2658" s="143">
        <v>45917</v>
      </c>
      <c r="B2658" s="106">
        <v>1589.4</v>
      </c>
      <c r="C2658" s="106">
        <v>1571.85</v>
      </c>
      <c r="D2658" s="106">
        <v>1570</v>
      </c>
      <c r="E2658" s="106">
        <v>1580</v>
      </c>
      <c r="F2658" s="106">
        <v>1571.85</v>
      </c>
      <c r="G2658">
        <v>16472</v>
      </c>
      <c r="H2658" s="106"/>
      <c r="I2658" s="106"/>
      <c r="L2658" s="143">
        <v>45917</v>
      </c>
      <c r="M2658" s="106">
        <v>1573.4</v>
      </c>
      <c r="N2658" s="106">
        <v>1589.9</v>
      </c>
      <c r="O2658" s="106">
        <v>1569.2</v>
      </c>
      <c r="P2658" s="106">
        <v>1575.3</v>
      </c>
      <c r="Q2658" s="106">
        <v>1573.4</v>
      </c>
      <c r="R2658">
        <v>1113217</v>
      </c>
    </row>
    <row r="2659" spans="1:18" x14ac:dyDescent="0.25">
      <c r="A2659" s="143">
        <v>45918</v>
      </c>
      <c r="B2659" s="106">
        <v>1592.8</v>
      </c>
      <c r="C2659" s="106">
        <v>1585.95</v>
      </c>
      <c r="D2659" s="106">
        <v>1567.65</v>
      </c>
      <c r="E2659" s="106">
        <v>1588.45</v>
      </c>
      <c r="F2659" s="106">
        <v>1585.95</v>
      </c>
      <c r="G2659">
        <v>15204</v>
      </c>
      <c r="H2659" s="106"/>
      <c r="I2659" s="106"/>
      <c r="L2659" s="143">
        <v>45918</v>
      </c>
      <c r="M2659" s="106">
        <v>1586.6</v>
      </c>
      <c r="N2659" s="106">
        <v>1592.9</v>
      </c>
      <c r="O2659" s="106">
        <v>1568.1</v>
      </c>
      <c r="P2659" s="106">
        <v>1575</v>
      </c>
      <c r="Q2659" s="106">
        <v>1586.6</v>
      </c>
      <c r="R2659">
        <v>1022359</v>
      </c>
    </row>
    <row r="2660" spans="1:18" x14ac:dyDescent="0.25">
      <c r="A2660" s="143">
        <v>45919</v>
      </c>
      <c r="B2660" s="106">
        <v>1600</v>
      </c>
      <c r="C2660" s="106">
        <v>1594.25</v>
      </c>
      <c r="D2660" s="106">
        <v>1563</v>
      </c>
      <c r="E2660" s="106">
        <v>1572.5</v>
      </c>
      <c r="F2660" s="106">
        <v>1594.25</v>
      </c>
      <c r="G2660">
        <v>25645</v>
      </c>
      <c r="H2660" s="106"/>
      <c r="I2660" s="106"/>
      <c r="L2660" s="143">
        <v>45919</v>
      </c>
      <c r="M2660" s="106">
        <v>1590.9</v>
      </c>
      <c r="N2660" s="106">
        <v>1601.3</v>
      </c>
      <c r="O2660" s="106">
        <v>1563.3</v>
      </c>
      <c r="P2660" s="106">
        <v>1568.5</v>
      </c>
      <c r="Q2660" s="106">
        <v>1590.9</v>
      </c>
      <c r="R2660">
        <v>2436924</v>
      </c>
    </row>
    <row r="2661" spans="1:18" x14ac:dyDescent="0.25">
      <c r="A2661" s="143">
        <v>45922</v>
      </c>
      <c r="B2661" s="106">
        <v>1643.8</v>
      </c>
      <c r="C2661" s="106">
        <v>1629.7</v>
      </c>
      <c r="D2661" s="106">
        <v>1562.2</v>
      </c>
      <c r="E2661" s="106">
        <v>1562.2</v>
      </c>
      <c r="F2661" s="106">
        <v>1629.7</v>
      </c>
      <c r="G2661">
        <v>73037</v>
      </c>
      <c r="H2661" s="106"/>
      <c r="I2661" s="106"/>
      <c r="L2661" s="143">
        <v>45922</v>
      </c>
      <c r="M2661" s="106">
        <v>1630</v>
      </c>
      <c r="N2661" s="106">
        <v>1644.2</v>
      </c>
      <c r="O2661" s="106">
        <v>1586.5</v>
      </c>
      <c r="P2661" s="106">
        <v>1586.5</v>
      </c>
      <c r="Q2661" s="106">
        <v>1630</v>
      </c>
      <c r="R2661">
        <v>2983892</v>
      </c>
    </row>
    <row r="2662" spans="1:18" x14ac:dyDescent="0.25">
      <c r="A2662" s="143">
        <v>45923</v>
      </c>
      <c r="B2662" s="106">
        <v>1641.75</v>
      </c>
      <c r="C2662" s="106">
        <v>1624.5</v>
      </c>
      <c r="D2662" s="106">
        <v>1610.6</v>
      </c>
      <c r="E2662" s="106">
        <v>1639.95</v>
      </c>
      <c r="F2662" s="106">
        <v>1624.5</v>
      </c>
      <c r="G2662">
        <v>25805</v>
      </c>
      <c r="H2662" s="106"/>
      <c r="I2662" s="106"/>
      <c r="L2662" s="143">
        <v>45923</v>
      </c>
      <c r="M2662" s="106">
        <v>1623.8</v>
      </c>
      <c r="N2662" s="106">
        <v>1643.7</v>
      </c>
      <c r="O2662" s="106">
        <v>1610.1</v>
      </c>
      <c r="P2662" s="106">
        <v>1629.9</v>
      </c>
      <c r="Q2662" s="106">
        <v>1623.8</v>
      </c>
      <c r="R2662">
        <v>1724892</v>
      </c>
    </row>
    <row r="2663" spans="1:18" x14ac:dyDescent="0.25">
      <c r="A2663" s="143">
        <v>45924</v>
      </c>
      <c r="B2663" s="106">
        <v>1640</v>
      </c>
      <c r="C2663" s="106">
        <v>1631.6</v>
      </c>
      <c r="D2663" s="106">
        <v>1611.15</v>
      </c>
      <c r="E2663" s="106">
        <v>1611.15</v>
      </c>
      <c r="F2663" s="106">
        <v>1631.6</v>
      </c>
      <c r="G2663">
        <v>332961</v>
      </c>
      <c r="H2663" s="106"/>
      <c r="I2663" s="106"/>
      <c r="L2663" s="143">
        <v>45924</v>
      </c>
      <c r="M2663" s="106">
        <v>1630.2</v>
      </c>
      <c r="N2663" s="106">
        <v>1640</v>
      </c>
      <c r="O2663" s="106">
        <v>1611</v>
      </c>
      <c r="P2663" s="106">
        <v>1611</v>
      </c>
      <c r="Q2663" s="106">
        <v>1630.2</v>
      </c>
      <c r="R2663">
        <v>1640747</v>
      </c>
    </row>
    <row r="2664" spans="1:18" x14ac:dyDescent="0.25">
      <c r="A2664" s="143">
        <v>45925</v>
      </c>
      <c r="B2664" s="106">
        <v>1632.95</v>
      </c>
      <c r="C2664" s="106">
        <v>1591.55</v>
      </c>
      <c r="D2664" s="106">
        <v>1586.75</v>
      </c>
      <c r="E2664" s="106">
        <v>1619.95</v>
      </c>
      <c r="F2664" s="106">
        <v>1591.55</v>
      </c>
      <c r="G2664">
        <v>33462</v>
      </c>
      <c r="H2664" s="106"/>
      <c r="I2664" s="106"/>
      <c r="L2664" s="143">
        <v>45925</v>
      </c>
      <c r="M2664" s="106">
        <v>1592.8</v>
      </c>
      <c r="N2664" s="106">
        <v>1634.2</v>
      </c>
      <c r="O2664" s="106">
        <v>1586.7</v>
      </c>
      <c r="P2664" s="106">
        <v>1627</v>
      </c>
      <c r="Q2664" s="106">
        <v>1592.8</v>
      </c>
      <c r="R2664">
        <v>1350066</v>
      </c>
    </row>
    <row r="2665" spans="1:18" x14ac:dyDescent="0.25">
      <c r="A2665" s="143">
        <v>45926</v>
      </c>
      <c r="B2665" s="106">
        <v>1593</v>
      </c>
      <c r="C2665" s="106">
        <v>1569.4</v>
      </c>
      <c r="D2665" s="106">
        <v>1562.95</v>
      </c>
      <c r="E2665" s="106">
        <v>1589.9</v>
      </c>
      <c r="F2665" s="106">
        <v>1569.4</v>
      </c>
      <c r="G2665">
        <v>7013</v>
      </c>
      <c r="H2665" s="106"/>
      <c r="I2665" s="106"/>
      <c r="L2665" s="143">
        <v>45926</v>
      </c>
      <c r="M2665" s="106">
        <v>1569.9</v>
      </c>
      <c r="N2665" s="106">
        <v>1595</v>
      </c>
      <c r="O2665" s="106">
        <v>1562</v>
      </c>
      <c r="P2665" s="106">
        <v>1595</v>
      </c>
      <c r="Q2665" s="106">
        <v>1569.9</v>
      </c>
      <c r="R2665">
        <v>1273246</v>
      </c>
    </row>
    <row r="2666" spans="1:18" x14ac:dyDescent="0.25">
      <c r="A2666" s="143">
        <v>45929</v>
      </c>
      <c r="B2666" s="106">
        <v>1598.1</v>
      </c>
      <c r="C2666" s="106">
        <v>1592.15</v>
      </c>
      <c r="D2666" s="106">
        <v>1566.45</v>
      </c>
      <c r="E2666" s="106">
        <v>1579.95</v>
      </c>
      <c r="F2666" s="106">
        <v>1592.15</v>
      </c>
      <c r="G2666">
        <v>10341</v>
      </c>
      <c r="H2666" s="106"/>
      <c r="I2666" s="106"/>
      <c r="L2666" s="143">
        <v>45929</v>
      </c>
      <c r="M2666" s="106">
        <v>1591.7</v>
      </c>
      <c r="N2666" s="106">
        <v>1597.9</v>
      </c>
      <c r="O2666" s="106">
        <v>1566.7</v>
      </c>
      <c r="P2666" s="106">
        <v>1574</v>
      </c>
      <c r="Q2666" s="106">
        <v>1591.7</v>
      </c>
      <c r="R2666">
        <v>1415978</v>
      </c>
    </row>
    <row r="2667" spans="1:18" x14ac:dyDescent="0.25">
      <c r="A2667" s="143">
        <v>45930</v>
      </c>
      <c r="B2667" s="106">
        <v>1623.65</v>
      </c>
      <c r="C2667" s="106">
        <v>1610.15</v>
      </c>
      <c r="D2667" s="106">
        <v>1581.3</v>
      </c>
      <c r="E2667" s="106">
        <v>1591.95</v>
      </c>
      <c r="F2667" s="106">
        <v>1610.15</v>
      </c>
      <c r="G2667">
        <v>16021</v>
      </c>
      <c r="H2667" s="106"/>
      <c r="I2667" s="106"/>
      <c r="L2667" s="143">
        <v>45930</v>
      </c>
      <c r="M2667" s="106">
        <v>1610.8</v>
      </c>
      <c r="N2667" s="106">
        <v>1624</v>
      </c>
      <c r="O2667" s="106">
        <v>1576.3</v>
      </c>
      <c r="P2667" s="106">
        <v>1576.3</v>
      </c>
      <c r="Q2667" s="106">
        <v>1610.8</v>
      </c>
      <c r="R2667">
        <v>2707464</v>
      </c>
    </row>
    <row r="2668" spans="1:18" x14ac:dyDescent="0.25">
      <c r="A2668" s="143">
        <v>45931</v>
      </c>
      <c r="B2668" s="106">
        <v>1619.4</v>
      </c>
      <c r="C2668" s="106">
        <v>1605.95</v>
      </c>
      <c r="D2668" s="106">
        <v>1576.95</v>
      </c>
      <c r="E2668" s="106">
        <v>1604.95</v>
      </c>
      <c r="F2668" s="106">
        <v>1605.95</v>
      </c>
      <c r="G2668">
        <v>224061</v>
      </c>
      <c r="H2668" s="106"/>
      <c r="I2668" s="106"/>
      <c r="L2668" s="143">
        <v>45931</v>
      </c>
      <c r="M2668" s="106">
        <v>1605.3</v>
      </c>
      <c r="N2668" s="106">
        <v>1619.5</v>
      </c>
      <c r="O2668" s="106">
        <v>1577.6</v>
      </c>
      <c r="P2668" s="106">
        <v>1597.1</v>
      </c>
      <c r="Q2668" s="106">
        <v>1605.3</v>
      </c>
      <c r="R2668">
        <v>2199531</v>
      </c>
    </row>
    <row r="2669" spans="1:18" x14ac:dyDescent="0.25">
      <c r="A2669" s="143">
        <v>45933</v>
      </c>
      <c r="B2669" s="106">
        <v>1606.1</v>
      </c>
      <c r="C2669" s="106">
        <v>1570.05</v>
      </c>
      <c r="D2669" s="106">
        <v>1558.45</v>
      </c>
      <c r="E2669" s="106">
        <v>1606.1</v>
      </c>
      <c r="F2669" s="106">
        <v>1570.05</v>
      </c>
      <c r="G2669">
        <v>28470</v>
      </c>
      <c r="H2669" s="106"/>
      <c r="I2669" s="106"/>
      <c r="L2669" s="143">
        <v>45933</v>
      </c>
      <c r="M2669" s="106">
        <v>1570.9</v>
      </c>
      <c r="N2669" s="106">
        <v>1607.8</v>
      </c>
      <c r="O2669" s="106">
        <v>1557.8</v>
      </c>
      <c r="P2669" s="106">
        <v>1607.8</v>
      </c>
      <c r="Q2669" s="106">
        <v>1570.9</v>
      </c>
      <c r="R2669">
        <v>1515769</v>
      </c>
    </row>
    <row r="2670" spans="1:18" x14ac:dyDescent="0.25">
      <c r="A2670" s="143">
        <v>45936</v>
      </c>
      <c r="B2670" s="106">
        <v>1662.95</v>
      </c>
      <c r="C2670" s="106">
        <v>1644.35</v>
      </c>
      <c r="D2670" s="106">
        <v>1570.05</v>
      </c>
      <c r="E2670" s="106">
        <v>1570.05</v>
      </c>
      <c r="F2670" s="106">
        <v>1644.35</v>
      </c>
      <c r="G2670">
        <v>38799</v>
      </c>
      <c r="H2670" s="106"/>
      <c r="I2670" s="106"/>
      <c r="L2670" s="143">
        <v>45936</v>
      </c>
      <c r="M2670" s="106">
        <v>1634.1</v>
      </c>
      <c r="N2670" s="106">
        <v>1665</v>
      </c>
      <c r="O2670" s="106">
        <v>1570.5</v>
      </c>
      <c r="P2670" s="106">
        <v>1571.1</v>
      </c>
      <c r="Q2670" s="106">
        <v>1634.1</v>
      </c>
      <c r="R2670">
        <v>1859040</v>
      </c>
    </row>
    <row r="2671" spans="1:18" x14ac:dyDescent="0.25">
      <c r="A2671" s="143">
        <v>45937</v>
      </c>
      <c r="B2671" s="106">
        <v>1637.3</v>
      </c>
      <c r="C2671" s="106">
        <v>1630.8</v>
      </c>
      <c r="D2671" s="106">
        <v>1609.5</v>
      </c>
      <c r="E2671" s="106">
        <v>1629.95</v>
      </c>
      <c r="F2671" s="106">
        <v>1630.8</v>
      </c>
      <c r="G2671">
        <v>48147</v>
      </c>
      <c r="H2671" s="106"/>
      <c r="I2671" s="106"/>
      <c r="L2671" s="143">
        <v>45937</v>
      </c>
      <c r="M2671" s="106">
        <v>1631.6</v>
      </c>
      <c r="N2671" s="106">
        <v>1640</v>
      </c>
      <c r="O2671" s="106">
        <v>1609</v>
      </c>
      <c r="P2671" s="106">
        <v>1634.1</v>
      </c>
      <c r="Q2671" s="106">
        <v>1631.6</v>
      </c>
      <c r="R2671">
        <v>1722326</v>
      </c>
    </row>
    <row r="2672" spans="1:18" x14ac:dyDescent="0.25">
      <c r="A2672" s="143">
        <v>45938</v>
      </c>
      <c r="B2672" s="106">
        <v>1631.05</v>
      </c>
      <c r="C2672" s="106">
        <v>1607.45</v>
      </c>
      <c r="D2672" s="106">
        <v>1603</v>
      </c>
      <c r="E2672" s="106">
        <v>1631.05</v>
      </c>
      <c r="F2672" s="106">
        <v>1607.45</v>
      </c>
      <c r="G2672">
        <v>22821</v>
      </c>
      <c r="H2672" s="106"/>
      <c r="I2672" s="106"/>
      <c r="L2672" s="143">
        <v>45938</v>
      </c>
      <c r="M2672" s="106">
        <v>1607.3</v>
      </c>
      <c r="N2672" s="106">
        <v>1629.9</v>
      </c>
      <c r="O2672" s="106">
        <v>1602.2</v>
      </c>
      <c r="P2672" s="106">
        <v>1620</v>
      </c>
      <c r="Q2672" s="106">
        <v>1607.3</v>
      </c>
      <c r="R2672">
        <v>885008</v>
      </c>
    </row>
    <row r="2673" spans="1:18" x14ac:dyDescent="0.25">
      <c r="A2673" s="143">
        <v>45939</v>
      </c>
      <c r="B2673" s="106">
        <v>1625</v>
      </c>
      <c r="C2673" s="106">
        <v>1620.9</v>
      </c>
      <c r="D2673" s="106">
        <v>1597</v>
      </c>
      <c r="E2673" s="106">
        <v>1607.5</v>
      </c>
      <c r="F2673" s="106">
        <v>1620.9</v>
      </c>
      <c r="G2673">
        <v>205412</v>
      </c>
      <c r="H2673" s="106"/>
      <c r="I2673" s="106"/>
      <c r="L2673" s="143">
        <v>45939</v>
      </c>
      <c r="M2673" s="106">
        <v>1621.4</v>
      </c>
      <c r="N2673" s="106">
        <v>1625</v>
      </c>
      <c r="O2673" s="106">
        <v>1596.4</v>
      </c>
      <c r="P2673" s="106">
        <v>1607.5</v>
      </c>
      <c r="Q2673" s="106">
        <v>1621.4</v>
      </c>
      <c r="R2673">
        <v>1404177</v>
      </c>
    </row>
    <row r="2674" spans="1:18" x14ac:dyDescent="0.25">
      <c r="A2674" s="143">
        <v>45940</v>
      </c>
      <c r="B2674" s="106">
        <v>1632.1</v>
      </c>
      <c r="C2674" s="106">
        <v>1613.65</v>
      </c>
      <c r="D2674" s="106">
        <v>1611</v>
      </c>
      <c r="E2674" s="106">
        <v>1622.3</v>
      </c>
      <c r="F2674" s="106">
        <v>1613.65</v>
      </c>
      <c r="G2674">
        <v>7343</v>
      </c>
      <c r="H2674" s="106"/>
      <c r="I2674" s="106"/>
      <c r="L2674" s="143">
        <v>45940</v>
      </c>
      <c r="M2674" s="106">
        <v>1614.2</v>
      </c>
      <c r="N2674" s="106">
        <v>1630.9</v>
      </c>
      <c r="O2674" s="106">
        <v>1609.7</v>
      </c>
      <c r="P2674" s="106">
        <v>1623.9</v>
      </c>
      <c r="Q2674" s="106">
        <v>1614.2</v>
      </c>
      <c r="R2674">
        <v>451903</v>
      </c>
    </row>
    <row r="2675" spans="1:18" x14ac:dyDescent="0.25">
      <c r="A2675" s="143">
        <v>45943</v>
      </c>
      <c r="B2675" s="106">
        <v>1651.35</v>
      </c>
      <c r="C2675" s="106">
        <v>1644.75</v>
      </c>
      <c r="D2675" s="106">
        <v>1609.8</v>
      </c>
      <c r="E2675" s="106">
        <v>1615.5</v>
      </c>
      <c r="F2675" s="106">
        <v>1644.75</v>
      </c>
      <c r="G2675">
        <v>18157</v>
      </c>
      <c r="H2675" s="106"/>
      <c r="I2675" s="106"/>
      <c r="L2675" s="143">
        <v>45943</v>
      </c>
      <c r="M2675" s="106">
        <v>1647.2</v>
      </c>
      <c r="N2675" s="106">
        <v>1652.6</v>
      </c>
      <c r="O2675" s="106">
        <v>1609.1</v>
      </c>
      <c r="P2675" s="106">
        <v>1614</v>
      </c>
      <c r="Q2675" s="106">
        <v>1647.2</v>
      </c>
      <c r="R2675">
        <v>1392973</v>
      </c>
    </row>
    <row r="2676" spans="1:18" x14ac:dyDescent="0.25">
      <c r="A2676" s="143">
        <v>45944</v>
      </c>
      <c r="B2676" s="106">
        <v>1673.25</v>
      </c>
      <c r="C2676" s="106">
        <v>1646.25</v>
      </c>
      <c r="D2676" s="106">
        <v>1640</v>
      </c>
      <c r="E2676" s="106">
        <v>1659.15</v>
      </c>
      <c r="F2676" s="106">
        <v>1646.25</v>
      </c>
      <c r="G2676">
        <v>18552</v>
      </c>
      <c r="H2676" s="106"/>
      <c r="I2676" s="106"/>
      <c r="L2676" s="143">
        <v>45944</v>
      </c>
      <c r="M2676" s="106">
        <v>1645.7</v>
      </c>
      <c r="N2676" s="106">
        <v>1673</v>
      </c>
      <c r="O2676" s="106">
        <v>1639</v>
      </c>
      <c r="P2676" s="106">
        <v>1652.1</v>
      </c>
      <c r="Q2676" s="106">
        <v>1645.7</v>
      </c>
      <c r="R2676">
        <v>1887000</v>
      </c>
    </row>
    <row r="2677" spans="1:18" x14ac:dyDescent="0.25">
      <c r="A2677" s="143">
        <v>45945</v>
      </c>
      <c r="B2677" s="106">
        <v>1705</v>
      </c>
      <c r="C2677" s="106">
        <v>1699.15</v>
      </c>
      <c r="D2677" s="106">
        <v>1648.4</v>
      </c>
      <c r="E2677" s="106">
        <v>1648.65</v>
      </c>
      <c r="F2677" s="106">
        <v>1699.15</v>
      </c>
      <c r="G2677">
        <v>53427</v>
      </c>
      <c r="H2677" s="106"/>
      <c r="I2677" s="106"/>
      <c r="L2677" s="143">
        <v>45945</v>
      </c>
      <c r="M2677" s="106">
        <v>1698.4</v>
      </c>
      <c r="N2677" s="106">
        <v>1708</v>
      </c>
      <c r="O2677" s="106">
        <v>1648.1</v>
      </c>
      <c r="P2677" s="106">
        <v>1649</v>
      </c>
      <c r="Q2677" s="106">
        <v>1698.4</v>
      </c>
      <c r="R2677">
        <v>2004535</v>
      </c>
    </row>
    <row r="2678" spans="1:18" x14ac:dyDescent="0.25">
      <c r="A2678" s="143">
        <v>45946</v>
      </c>
      <c r="B2678" s="106">
        <v>1700</v>
      </c>
      <c r="C2678" s="106">
        <v>1668.6</v>
      </c>
      <c r="D2678" s="106">
        <v>1653.6</v>
      </c>
      <c r="E2678" s="106">
        <v>1700</v>
      </c>
      <c r="F2678" s="106">
        <v>1668.6</v>
      </c>
      <c r="G2678">
        <v>41099</v>
      </c>
      <c r="H2678" s="106"/>
      <c r="I2678" s="106"/>
      <c r="L2678" s="143">
        <v>45946</v>
      </c>
      <c r="M2678" s="106">
        <v>1668.1</v>
      </c>
      <c r="N2678" s="106">
        <v>1700.1</v>
      </c>
      <c r="O2678" s="106">
        <v>1653.2</v>
      </c>
      <c r="P2678" s="106">
        <v>1698</v>
      </c>
      <c r="Q2678" s="106">
        <v>1668.1</v>
      </c>
      <c r="R2678">
        <v>3202080</v>
      </c>
    </row>
    <row r="2679" spans="1:18" x14ac:dyDescent="0.25">
      <c r="A2679" s="143">
        <v>45947</v>
      </c>
      <c r="B2679" s="106">
        <v>1677.65</v>
      </c>
      <c r="C2679" s="106">
        <v>1654.25</v>
      </c>
      <c r="D2679" s="106">
        <v>1651.65</v>
      </c>
      <c r="E2679" s="106">
        <v>1667</v>
      </c>
      <c r="F2679" s="106">
        <v>1654.25</v>
      </c>
      <c r="G2679">
        <v>19326</v>
      </c>
      <c r="H2679" s="106"/>
      <c r="I2679" s="106"/>
      <c r="L2679" s="143">
        <v>45947</v>
      </c>
      <c r="M2679" s="106">
        <v>1654.3</v>
      </c>
      <c r="N2679" s="106">
        <v>1677.5</v>
      </c>
      <c r="O2679" s="106">
        <v>1652</v>
      </c>
      <c r="P2679" s="106">
        <v>1666.9</v>
      </c>
      <c r="Q2679" s="106">
        <v>1654.3</v>
      </c>
      <c r="R2679">
        <v>654858</v>
      </c>
    </row>
    <row r="2680" spans="1:18" x14ac:dyDescent="0.25">
      <c r="A2680" s="143">
        <v>45950</v>
      </c>
      <c r="B2680" s="106">
        <v>1675.55</v>
      </c>
      <c r="C2680" s="106">
        <v>1673.9</v>
      </c>
      <c r="D2680" s="106">
        <v>1655.6</v>
      </c>
      <c r="E2680" s="106">
        <v>1655.65</v>
      </c>
      <c r="F2680" s="106">
        <v>1673.9</v>
      </c>
      <c r="G2680">
        <v>12273</v>
      </c>
      <c r="H2680" s="106"/>
      <c r="I2680" s="106"/>
      <c r="L2680" s="143">
        <v>45950</v>
      </c>
      <c r="M2680" s="106">
        <v>1673.3</v>
      </c>
      <c r="N2680" s="106">
        <v>1675.5</v>
      </c>
      <c r="O2680" s="106">
        <v>1654</v>
      </c>
      <c r="P2680" s="106">
        <v>1661</v>
      </c>
      <c r="Q2680" s="106">
        <v>1673.3</v>
      </c>
      <c r="R2680">
        <v>715202</v>
      </c>
    </row>
    <row r="2681" spans="1:18" x14ac:dyDescent="0.25">
      <c r="A2681" s="143">
        <v>45951</v>
      </c>
      <c r="B2681" s="106">
        <v>1699.95</v>
      </c>
      <c r="C2681" s="106">
        <v>1670.55</v>
      </c>
      <c r="D2681" s="106">
        <v>1667.6</v>
      </c>
      <c r="E2681" s="106">
        <v>1699.95</v>
      </c>
      <c r="F2681" s="106">
        <v>1670.55</v>
      </c>
      <c r="G2681">
        <v>11352</v>
      </c>
      <c r="H2681" s="106"/>
      <c r="I2681" s="106"/>
      <c r="L2681" s="143">
        <v>45951</v>
      </c>
      <c r="M2681" s="106">
        <v>1670.3</v>
      </c>
      <c r="N2681" s="106">
        <v>1686.8</v>
      </c>
      <c r="O2681" s="106">
        <v>1665</v>
      </c>
      <c r="P2681" s="106">
        <v>1685.2</v>
      </c>
      <c r="Q2681" s="106">
        <v>1670.3</v>
      </c>
      <c r="R2681">
        <v>132071</v>
      </c>
    </row>
    <row r="2682" spans="1:18" x14ac:dyDescent="0.25">
      <c r="A2682" s="143">
        <v>45953</v>
      </c>
      <c r="B2682" s="106">
        <v>1694.9</v>
      </c>
      <c r="C2682" s="106">
        <v>1684.75</v>
      </c>
      <c r="D2682" s="106">
        <v>1672.35</v>
      </c>
      <c r="E2682" s="106">
        <v>1687.75</v>
      </c>
      <c r="F2682" s="106">
        <v>1684.75</v>
      </c>
      <c r="G2682">
        <v>47054</v>
      </c>
      <c r="H2682" s="106"/>
      <c r="I2682" s="106"/>
      <c r="L2682" s="143">
        <v>45953</v>
      </c>
      <c r="M2682" s="106">
        <v>1684.7</v>
      </c>
      <c r="N2682" s="106">
        <v>1695.1</v>
      </c>
      <c r="O2682" s="106">
        <v>1672.9</v>
      </c>
      <c r="P2682" s="106">
        <v>1676.6</v>
      </c>
      <c r="Q2682" s="106">
        <v>1684.7</v>
      </c>
      <c r="R2682">
        <v>1348437</v>
      </c>
    </row>
    <row r="2683" spans="1:18" x14ac:dyDescent="0.25">
      <c r="A2683" s="143">
        <v>45954</v>
      </c>
      <c r="B2683" s="106">
        <v>1753.25</v>
      </c>
      <c r="C2683" s="106">
        <v>1735.65</v>
      </c>
      <c r="D2683" s="106">
        <v>1678.1</v>
      </c>
      <c r="E2683" s="106">
        <v>1689.75</v>
      </c>
      <c r="F2683" s="106">
        <v>1735.65</v>
      </c>
      <c r="G2683">
        <v>95090</v>
      </c>
      <c r="H2683" s="106"/>
      <c r="I2683" s="106"/>
      <c r="L2683" s="143">
        <v>45954</v>
      </c>
      <c r="M2683" s="106">
        <v>1733.6</v>
      </c>
      <c r="N2683" s="106">
        <v>1752.7</v>
      </c>
      <c r="O2683" s="106">
        <v>1678.1</v>
      </c>
      <c r="P2683" s="106">
        <v>1685</v>
      </c>
      <c r="Q2683" s="106">
        <v>1733.6</v>
      </c>
      <c r="R2683">
        <v>2128154</v>
      </c>
    </row>
    <row r="2684" spans="1:18" x14ac:dyDescent="0.25">
      <c r="A2684" s="143">
        <v>45957</v>
      </c>
      <c r="B2684" s="106">
        <v>1780.9</v>
      </c>
      <c r="C2684" s="106">
        <v>1731</v>
      </c>
      <c r="D2684" s="106">
        <v>1721.65</v>
      </c>
      <c r="E2684" s="106">
        <v>1752.55</v>
      </c>
      <c r="F2684" s="106">
        <v>1731</v>
      </c>
      <c r="G2684">
        <v>76532</v>
      </c>
      <c r="H2684" s="106"/>
      <c r="I2684" s="106"/>
      <c r="L2684" s="143">
        <v>45957</v>
      </c>
      <c r="M2684" s="106">
        <v>1732.4</v>
      </c>
      <c r="N2684" s="106">
        <v>1782</v>
      </c>
      <c r="O2684" s="106">
        <v>1722.6</v>
      </c>
      <c r="P2684" s="106">
        <v>1747.2</v>
      </c>
      <c r="Q2684" s="106">
        <v>1732.4</v>
      </c>
      <c r="R2684">
        <v>2981176</v>
      </c>
    </row>
    <row r="2685" spans="1:18" x14ac:dyDescent="0.25">
      <c r="A2685" s="143">
        <v>45958</v>
      </c>
      <c r="B2685" s="106">
        <v>1742.3</v>
      </c>
      <c r="C2685" s="106">
        <v>1723.2</v>
      </c>
      <c r="D2685" s="106">
        <v>1710.3</v>
      </c>
      <c r="E2685" s="106">
        <v>1731.4</v>
      </c>
      <c r="F2685" s="106">
        <v>1723.2</v>
      </c>
      <c r="G2685">
        <v>11371</v>
      </c>
      <c r="H2685" s="106"/>
      <c r="I2685" s="106"/>
      <c r="L2685" s="143">
        <v>45958</v>
      </c>
      <c r="M2685" s="106">
        <v>1723.2</v>
      </c>
      <c r="N2685" s="106">
        <v>1743.6</v>
      </c>
      <c r="O2685" s="106">
        <v>1711</v>
      </c>
      <c r="P2685" s="106">
        <v>1732.4</v>
      </c>
      <c r="Q2685" s="106">
        <v>1723.2</v>
      </c>
      <c r="R2685">
        <v>2017814</v>
      </c>
    </row>
    <row r="2686" spans="1:18" x14ac:dyDescent="0.25">
      <c r="A2686" s="143">
        <v>45959</v>
      </c>
      <c r="B2686" s="106">
        <v>1724.35</v>
      </c>
      <c r="C2686" s="106">
        <v>1710.2</v>
      </c>
      <c r="D2686" s="106">
        <v>1686.8</v>
      </c>
      <c r="E2686" s="106">
        <v>1724.15</v>
      </c>
      <c r="F2686" s="106">
        <v>1710.2</v>
      </c>
      <c r="G2686">
        <v>48586</v>
      </c>
      <c r="H2686" s="106"/>
      <c r="I2686" s="106"/>
      <c r="L2686" s="143">
        <v>45959</v>
      </c>
      <c r="M2686" s="106">
        <v>1710.4</v>
      </c>
      <c r="N2686" s="106">
        <v>1725.8</v>
      </c>
      <c r="O2686" s="106">
        <v>1686.1</v>
      </c>
      <c r="P2686" s="106">
        <v>1720</v>
      </c>
      <c r="Q2686" s="106">
        <v>1710.4</v>
      </c>
      <c r="R2686">
        <v>2012855</v>
      </c>
    </row>
    <row r="2687" spans="1:18" x14ac:dyDescent="0.25">
      <c r="A2687" s="143">
        <v>45960</v>
      </c>
      <c r="B2687" s="106">
        <v>1723</v>
      </c>
      <c r="C2687" s="106">
        <v>1712.85</v>
      </c>
      <c r="D2687" s="106">
        <v>1700.4</v>
      </c>
      <c r="E2687" s="106">
        <v>1711.2</v>
      </c>
      <c r="F2687" s="106">
        <v>1712.85</v>
      </c>
      <c r="G2687">
        <v>7128</v>
      </c>
      <c r="H2687" s="106"/>
      <c r="I2687" s="106"/>
      <c r="L2687" s="143">
        <v>45960</v>
      </c>
      <c r="M2687" s="106">
        <v>1711.8</v>
      </c>
      <c r="N2687" s="106">
        <v>1723.8</v>
      </c>
      <c r="O2687" s="106">
        <v>1700</v>
      </c>
      <c r="P2687" s="106">
        <v>1719.9</v>
      </c>
      <c r="Q2687" s="106">
        <v>1711.8</v>
      </c>
      <c r="R2687">
        <v>654163</v>
      </c>
    </row>
    <row r="2688" spans="1:18" x14ac:dyDescent="0.25">
      <c r="A2688" s="143">
        <v>45961</v>
      </c>
      <c r="B2688" s="106">
        <v>1725.65</v>
      </c>
      <c r="C2688" s="106">
        <v>1697.2</v>
      </c>
      <c r="D2688" s="106">
        <v>1692.5</v>
      </c>
      <c r="E2688" s="106">
        <v>1713.5</v>
      </c>
      <c r="F2688" s="106">
        <v>1697.2</v>
      </c>
      <c r="G2688">
        <v>21846</v>
      </c>
      <c r="H2688" s="106"/>
      <c r="I2688" s="106"/>
      <c r="L2688" s="143">
        <v>45961</v>
      </c>
      <c r="M2688" s="106">
        <v>1696.8</v>
      </c>
      <c r="N2688" s="106">
        <v>1725.2</v>
      </c>
      <c r="O2688" s="106">
        <v>1692.2</v>
      </c>
      <c r="P2688" s="106">
        <v>1717.1</v>
      </c>
      <c r="Q2688" s="106">
        <v>1696.8</v>
      </c>
      <c r="R2688">
        <v>1093387</v>
      </c>
    </row>
    <row r="2689" spans="1:18" x14ac:dyDescent="0.25">
      <c r="A2689" s="143">
        <v>45964</v>
      </c>
      <c r="B2689" s="106">
        <v>1748</v>
      </c>
      <c r="C2689" s="106">
        <v>1718.65</v>
      </c>
      <c r="D2689" s="106">
        <v>1686.9</v>
      </c>
      <c r="E2689" s="106">
        <v>1686.9</v>
      </c>
      <c r="F2689" s="106">
        <v>1718.65</v>
      </c>
      <c r="G2689">
        <v>37072</v>
      </c>
      <c r="H2689" s="106"/>
      <c r="I2689" s="106"/>
      <c r="L2689" s="143">
        <v>45964</v>
      </c>
      <c r="M2689" s="106">
        <v>1718.5</v>
      </c>
      <c r="N2689" s="106">
        <v>1747.4</v>
      </c>
      <c r="O2689" s="106">
        <v>1697.9</v>
      </c>
      <c r="P2689" s="106">
        <v>1697.9</v>
      </c>
      <c r="Q2689" s="106">
        <v>1718.5</v>
      </c>
      <c r="R2689">
        <v>1170459</v>
      </c>
    </row>
    <row r="2690" spans="1:18" x14ac:dyDescent="0.25">
      <c r="A2690" s="143">
        <v>45965</v>
      </c>
      <c r="B2690" s="106">
        <v>1775</v>
      </c>
      <c r="C2690" s="106">
        <v>1755.25</v>
      </c>
      <c r="D2690" s="106">
        <v>1718.65</v>
      </c>
      <c r="E2690" s="106">
        <v>1724.95</v>
      </c>
      <c r="F2690" s="106">
        <v>1755.25</v>
      </c>
      <c r="G2690">
        <v>35809</v>
      </c>
      <c r="H2690" s="106"/>
      <c r="I2690" s="106"/>
      <c r="L2690" s="143">
        <v>45965</v>
      </c>
      <c r="M2690" s="106">
        <v>1745.9</v>
      </c>
      <c r="N2690" s="106">
        <v>1777</v>
      </c>
      <c r="O2690" s="106">
        <v>1718</v>
      </c>
      <c r="P2690" s="106">
        <v>1720</v>
      </c>
      <c r="Q2690" s="106">
        <v>1745.9</v>
      </c>
      <c r="R2690">
        <v>1886397</v>
      </c>
    </row>
    <row r="2691" spans="1:18" x14ac:dyDescent="0.25">
      <c r="A2691" s="143">
        <v>45967</v>
      </c>
      <c r="B2691" s="106">
        <v>1749.1</v>
      </c>
      <c r="C2691" s="106">
        <v>1677.3</v>
      </c>
      <c r="D2691" s="106">
        <v>1651.4</v>
      </c>
      <c r="E2691" s="106">
        <v>1749.1</v>
      </c>
      <c r="F2691" s="106">
        <v>1677.3</v>
      </c>
      <c r="G2691">
        <v>110339</v>
      </c>
      <c r="H2691" s="106"/>
      <c r="I2691" s="106"/>
      <c r="L2691" s="143">
        <v>45967</v>
      </c>
      <c r="M2691" s="106">
        <v>1683.4</v>
      </c>
      <c r="N2691" s="106">
        <v>1751.2</v>
      </c>
      <c r="O2691" s="106">
        <v>1653.4</v>
      </c>
      <c r="P2691" s="106">
        <v>1744.1</v>
      </c>
      <c r="Q2691" s="106">
        <v>1683.4</v>
      </c>
      <c r="R2691">
        <v>2300974</v>
      </c>
    </row>
    <row r="2692" spans="1:18" x14ac:dyDescent="0.25">
      <c r="A2692" s="143">
        <v>45968</v>
      </c>
      <c r="B2692" s="106">
        <v>1715.15</v>
      </c>
      <c r="C2692" s="106">
        <v>1701.6</v>
      </c>
      <c r="D2692" s="106">
        <v>1642.95</v>
      </c>
      <c r="E2692" s="106">
        <v>1676.65</v>
      </c>
      <c r="F2692" s="106">
        <v>1701.6</v>
      </c>
      <c r="G2692">
        <v>31267</v>
      </c>
      <c r="H2692" s="106"/>
      <c r="I2692" s="106"/>
      <c r="L2692" s="143">
        <v>45968</v>
      </c>
      <c r="M2692" s="106">
        <v>1703.9</v>
      </c>
      <c r="N2692" s="106">
        <v>1715</v>
      </c>
      <c r="O2692" s="106">
        <v>1644.6</v>
      </c>
      <c r="P2692" s="106">
        <v>1665.5</v>
      </c>
      <c r="Q2692" s="106">
        <v>1703.9</v>
      </c>
      <c r="R2692">
        <v>2353603</v>
      </c>
    </row>
    <row r="2693" spans="1:18" x14ac:dyDescent="0.25">
      <c r="A2693" s="143">
        <v>45971</v>
      </c>
      <c r="B2693" s="106">
        <v>1759</v>
      </c>
      <c r="C2693" s="106">
        <v>1754.5</v>
      </c>
      <c r="D2693" s="106">
        <v>1693.6</v>
      </c>
      <c r="E2693" s="106">
        <v>1704.25</v>
      </c>
      <c r="F2693" s="106">
        <v>1754.5</v>
      </c>
      <c r="G2693">
        <v>22313</v>
      </c>
      <c r="H2693" s="106"/>
      <c r="I2693" s="106"/>
      <c r="L2693" s="143">
        <v>45971</v>
      </c>
      <c r="M2693" s="106">
        <v>1754.4</v>
      </c>
      <c r="N2693" s="106">
        <v>1759</v>
      </c>
      <c r="O2693" s="106">
        <v>1691.9</v>
      </c>
      <c r="P2693" s="106">
        <v>1716.8</v>
      </c>
      <c r="Q2693" s="106">
        <v>1754.4</v>
      </c>
      <c r="R2693">
        <v>1647003</v>
      </c>
    </row>
    <row r="2694" spans="1:18" x14ac:dyDescent="0.25">
      <c r="A2694" s="143">
        <v>45972</v>
      </c>
      <c r="B2694" s="106">
        <v>1764.8</v>
      </c>
      <c r="C2694" s="106">
        <v>1741.5</v>
      </c>
      <c r="D2694" s="106">
        <v>1711</v>
      </c>
      <c r="E2694" s="106">
        <v>1764.8</v>
      </c>
      <c r="F2694" s="106">
        <v>1741.5</v>
      </c>
      <c r="G2694">
        <v>355959</v>
      </c>
      <c r="H2694" s="106"/>
      <c r="I2694" s="106"/>
      <c r="L2694" s="143">
        <v>45972</v>
      </c>
      <c r="M2694" s="106">
        <v>1741.8</v>
      </c>
      <c r="N2694" s="106">
        <v>1750</v>
      </c>
      <c r="O2694" s="106">
        <v>1711</v>
      </c>
      <c r="P2694" s="106">
        <v>1749.4</v>
      </c>
      <c r="Q2694" s="106">
        <v>1741.8</v>
      </c>
      <c r="R2694">
        <v>1659318</v>
      </c>
    </row>
    <row r="2695" spans="1:18" x14ac:dyDescent="0.25">
      <c r="A2695" s="143">
        <v>45973</v>
      </c>
      <c r="B2695" s="106">
        <v>1757.35</v>
      </c>
      <c r="C2695" s="106">
        <v>1718.3</v>
      </c>
      <c r="D2695" s="106">
        <v>1712.1</v>
      </c>
      <c r="E2695" s="106">
        <v>1746</v>
      </c>
      <c r="F2695" s="106">
        <v>1718.3</v>
      </c>
      <c r="G2695">
        <v>214476</v>
      </c>
      <c r="H2695" s="106"/>
      <c r="I2695" s="106"/>
      <c r="L2695" s="143">
        <v>45973</v>
      </c>
      <c r="M2695" s="106">
        <v>1718.8</v>
      </c>
      <c r="N2695" s="106">
        <v>1757</v>
      </c>
      <c r="O2695" s="106">
        <v>1710.7</v>
      </c>
      <c r="P2695" s="106">
        <v>1743.7</v>
      </c>
      <c r="Q2695" s="106">
        <v>1718.8</v>
      </c>
      <c r="R2695">
        <v>1343153</v>
      </c>
    </row>
    <row r="2696" spans="1:18" x14ac:dyDescent="0.25">
      <c r="A2696" s="143">
        <v>45974</v>
      </c>
      <c r="B2696" s="106">
        <v>1719.1</v>
      </c>
      <c r="C2696" s="106">
        <v>1710.55</v>
      </c>
      <c r="D2696" s="106">
        <v>1703.7</v>
      </c>
      <c r="E2696" s="106">
        <v>1715.95</v>
      </c>
      <c r="F2696" s="106">
        <v>1710.55</v>
      </c>
      <c r="G2696">
        <v>13253</v>
      </c>
      <c r="H2696" s="106"/>
      <c r="I2696" s="106"/>
      <c r="L2696" s="143">
        <v>45974</v>
      </c>
      <c r="M2696" s="106">
        <v>1710.6</v>
      </c>
      <c r="N2696" s="106">
        <v>1719.5</v>
      </c>
      <c r="O2696" s="106">
        <v>1701.2</v>
      </c>
      <c r="P2696" s="106">
        <v>1702.5</v>
      </c>
      <c r="Q2696" s="106">
        <v>1710.6</v>
      </c>
      <c r="R2696">
        <v>831622</v>
      </c>
    </row>
    <row r="2697" spans="1:18" x14ac:dyDescent="0.25">
      <c r="A2697" s="143">
        <v>45975</v>
      </c>
      <c r="B2697" s="106">
        <v>1726.1</v>
      </c>
      <c r="C2697" s="106">
        <v>1714.45</v>
      </c>
      <c r="D2697" s="106">
        <v>1706.2</v>
      </c>
      <c r="E2697" s="106">
        <v>1711</v>
      </c>
      <c r="F2697" s="106">
        <v>1714.45</v>
      </c>
      <c r="G2697">
        <v>14201</v>
      </c>
      <c r="H2697" s="106"/>
      <c r="I2697" s="106"/>
      <c r="L2697" s="143">
        <v>45975</v>
      </c>
      <c r="M2697" s="106">
        <v>1714.6</v>
      </c>
      <c r="N2697" s="106">
        <v>1726.9</v>
      </c>
      <c r="O2697" s="106">
        <v>1705.1</v>
      </c>
      <c r="P2697" s="106">
        <v>1710.6</v>
      </c>
      <c r="Q2697" s="106">
        <v>1714.6</v>
      </c>
      <c r="R2697">
        <v>912397</v>
      </c>
    </row>
    <row r="2698" spans="1:18" x14ac:dyDescent="0.25">
      <c r="A2698" s="143">
        <v>45978</v>
      </c>
      <c r="B2698" s="106">
        <v>1731.6</v>
      </c>
      <c r="C2698" s="106">
        <v>1699.75</v>
      </c>
      <c r="D2698" s="106">
        <v>1695.95</v>
      </c>
      <c r="E2698" s="106">
        <v>1731.6</v>
      </c>
      <c r="F2698" s="106">
        <v>1699.75</v>
      </c>
      <c r="G2698">
        <v>8636</v>
      </c>
      <c r="H2698" s="106"/>
      <c r="I2698" s="106"/>
      <c r="L2698" s="143">
        <v>45978</v>
      </c>
      <c r="M2698" s="106">
        <v>1699.7</v>
      </c>
      <c r="N2698" s="106">
        <v>1724</v>
      </c>
      <c r="O2698" s="106">
        <v>1695.8</v>
      </c>
      <c r="P2698" s="106">
        <v>1724</v>
      </c>
      <c r="Q2698" s="106">
        <v>1699.7</v>
      </c>
      <c r="R2698">
        <v>888281</v>
      </c>
    </row>
    <row r="2699" spans="1:18" x14ac:dyDescent="0.25">
      <c r="A2699" s="143">
        <v>45979</v>
      </c>
      <c r="B2699" s="106">
        <v>1719.85</v>
      </c>
      <c r="C2699" s="106">
        <v>1694.85</v>
      </c>
      <c r="D2699" s="106">
        <v>1679</v>
      </c>
      <c r="E2699" s="106">
        <v>1719.85</v>
      </c>
      <c r="F2699" s="106">
        <v>1694.85</v>
      </c>
      <c r="G2699">
        <v>333311</v>
      </c>
      <c r="H2699" s="106"/>
      <c r="I2699" s="106"/>
      <c r="L2699" s="143">
        <v>45979</v>
      </c>
      <c r="M2699" s="106">
        <v>1695.3</v>
      </c>
      <c r="N2699" s="106">
        <v>1709</v>
      </c>
      <c r="O2699" s="106">
        <v>1678.6</v>
      </c>
      <c r="P2699" s="106">
        <v>1709</v>
      </c>
      <c r="Q2699" s="106">
        <v>1695.3</v>
      </c>
      <c r="R2699">
        <v>1069184</v>
      </c>
    </row>
    <row r="2700" spans="1:18" x14ac:dyDescent="0.25">
      <c r="A2700" s="143">
        <v>45980</v>
      </c>
      <c r="B2700" s="106">
        <v>1696.05</v>
      </c>
      <c r="C2700" s="106">
        <v>1678.5</v>
      </c>
      <c r="D2700" s="106">
        <v>1670.05</v>
      </c>
      <c r="E2700" s="106">
        <v>1696.05</v>
      </c>
      <c r="F2700" s="106">
        <v>1678.5</v>
      </c>
      <c r="G2700">
        <v>8958</v>
      </c>
      <c r="H2700" s="106"/>
      <c r="I2700" s="106"/>
      <c r="L2700" s="143">
        <v>45980</v>
      </c>
      <c r="M2700" s="106">
        <v>1678.1</v>
      </c>
      <c r="N2700" s="106">
        <v>1699.6</v>
      </c>
      <c r="O2700" s="106">
        <v>1670</v>
      </c>
      <c r="P2700" s="106">
        <v>1699.6</v>
      </c>
      <c r="Q2700" s="106">
        <v>1678.1</v>
      </c>
      <c r="R2700">
        <v>1108061</v>
      </c>
    </row>
    <row r="2701" spans="1:18" x14ac:dyDescent="0.25">
      <c r="A2701" s="143">
        <v>45981</v>
      </c>
      <c r="B2701" s="106">
        <v>1707.45</v>
      </c>
      <c r="C2701" s="106">
        <v>1701.05</v>
      </c>
      <c r="D2701" s="106">
        <v>1670.2</v>
      </c>
      <c r="E2701" s="106">
        <v>1679.85</v>
      </c>
      <c r="F2701" s="106">
        <v>1701.05</v>
      </c>
      <c r="G2701">
        <v>140430</v>
      </c>
      <c r="H2701" s="106"/>
      <c r="I2701" s="106"/>
      <c r="L2701" s="143">
        <v>45981</v>
      </c>
      <c r="M2701" s="106">
        <v>1703.2</v>
      </c>
      <c r="N2701" s="106">
        <v>1709</v>
      </c>
      <c r="O2701" s="106">
        <v>1670.2</v>
      </c>
      <c r="P2701" s="106">
        <v>1687.3</v>
      </c>
      <c r="Q2701" s="106">
        <v>1703.2</v>
      </c>
      <c r="R2701">
        <v>880665</v>
      </c>
    </row>
    <row r="2702" spans="1:18" x14ac:dyDescent="0.25">
      <c r="A2702" s="143">
        <v>45982</v>
      </c>
      <c r="B2702" s="106">
        <v>1702</v>
      </c>
      <c r="C2702" s="106">
        <v>1659.2</v>
      </c>
      <c r="D2702" s="106">
        <v>1655.3</v>
      </c>
      <c r="E2702" s="106">
        <v>1685.3</v>
      </c>
      <c r="F2702" s="106">
        <v>1659.2</v>
      </c>
      <c r="G2702">
        <v>19002</v>
      </c>
      <c r="H2702" s="106"/>
      <c r="I2702" s="106"/>
      <c r="L2702" s="143">
        <v>45982</v>
      </c>
      <c r="M2702" s="106">
        <v>1659.7</v>
      </c>
      <c r="N2702" s="106">
        <v>1705.4</v>
      </c>
      <c r="O2702" s="106">
        <v>1655</v>
      </c>
      <c r="P2702" s="106">
        <v>1682.3</v>
      </c>
      <c r="Q2702" s="106">
        <v>1659.7</v>
      </c>
      <c r="R2702">
        <v>1888141</v>
      </c>
    </row>
    <row r="2703" spans="1:18" x14ac:dyDescent="0.25">
      <c r="A2703" s="143">
        <v>45985</v>
      </c>
      <c r="B2703" s="106">
        <v>1699.2</v>
      </c>
      <c r="C2703" s="106">
        <v>1651.55</v>
      </c>
      <c r="D2703" s="106">
        <v>1648</v>
      </c>
      <c r="E2703" s="106">
        <v>1650.15</v>
      </c>
      <c r="F2703" s="106">
        <v>1651.55</v>
      </c>
      <c r="G2703">
        <v>17451</v>
      </c>
      <c r="H2703" s="106"/>
      <c r="I2703" s="106"/>
      <c r="L2703" s="143">
        <v>45985</v>
      </c>
      <c r="M2703" s="106">
        <v>1651.7</v>
      </c>
      <c r="N2703" s="106">
        <v>1698.7</v>
      </c>
      <c r="O2703" s="106">
        <v>1647.2</v>
      </c>
      <c r="P2703" s="106">
        <v>1658.9</v>
      </c>
      <c r="Q2703" s="106">
        <v>1651.7</v>
      </c>
      <c r="R2703">
        <v>2099027</v>
      </c>
    </row>
    <row r="2704" spans="1:18" x14ac:dyDescent="0.25">
      <c r="A2704" s="143">
        <v>45986</v>
      </c>
      <c r="B2704" s="106">
        <v>1690.75</v>
      </c>
      <c r="C2704" s="106">
        <v>1685.85</v>
      </c>
      <c r="D2704" s="106">
        <v>1655</v>
      </c>
      <c r="E2704" s="106">
        <v>1690.75</v>
      </c>
      <c r="F2704" s="106">
        <v>1685.85</v>
      </c>
      <c r="G2704">
        <v>15676</v>
      </c>
      <c r="H2704" s="106"/>
      <c r="I2704" s="106"/>
      <c r="L2704" s="143">
        <v>45986</v>
      </c>
      <c r="M2704" s="106">
        <v>1685.4</v>
      </c>
      <c r="N2704" s="106">
        <v>1689.5</v>
      </c>
      <c r="O2704" s="106">
        <v>1651.7</v>
      </c>
      <c r="P2704" s="106">
        <v>1651.7</v>
      </c>
      <c r="Q2704" s="106">
        <v>1685.4</v>
      </c>
      <c r="R2704">
        <v>1092627</v>
      </c>
    </row>
    <row r="2705" spans="1:18" x14ac:dyDescent="0.25">
      <c r="A2705" s="143">
        <v>45987</v>
      </c>
      <c r="B2705" s="106">
        <v>1725</v>
      </c>
      <c r="C2705" s="106">
        <v>1711.6</v>
      </c>
      <c r="D2705" s="106">
        <v>1686.05</v>
      </c>
      <c r="E2705" s="106">
        <v>1694.5</v>
      </c>
      <c r="F2705" s="106">
        <v>1711.6</v>
      </c>
      <c r="G2705">
        <v>31259</v>
      </c>
      <c r="H2705" s="106"/>
      <c r="I2705" s="106"/>
      <c r="L2705" s="143">
        <v>45987</v>
      </c>
      <c r="M2705" s="106">
        <v>1712.9</v>
      </c>
      <c r="N2705" s="106">
        <v>1725.8</v>
      </c>
      <c r="O2705" s="106">
        <v>1686</v>
      </c>
      <c r="P2705" s="106">
        <v>1688</v>
      </c>
      <c r="Q2705" s="106">
        <v>1712.9</v>
      </c>
      <c r="R2705">
        <v>908178</v>
      </c>
    </row>
    <row r="2706" spans="1:18" x14ac:dyDescent="0.25">
      <c r="A2706" s="143">
        <v>45988</v>
      </c>
      <c r="B2706" s="106">
        <v>1748.85</v>
      </c>
      <c r="C2706" s="106">
        <v>1724.95</v>
      </c>
      <c r="D2706" s="106">
        <v>1711.6</v>
      </c>
      <c r="E2706" s="106">
        <v>1712.9</v>
      </c>
      <c r="F2706" s="106">
        <v>1724.95</v>
      </c>
      <c r="G2706">
        <v>27531</v>
      </c>
      <c r="H2706" s="106"/>
      <c r="I2706" s="106"/>
      <c r="L2706" s="143">
        <v>45988</v>
      </c>
      <c r="M2706" s="106">
        <v>1724.6</v>
      </c>
      <c r="N2706" s="106">
        <v>1749.8</v>
      </c>
      <c r="O2706" s="106">
        <v>1710.6</v>
      </c>
      <c r="P2706" s="106">
        <v>1712.9</v>
      </c>
      <c r="Q2706" s="106">
        <v>1724.6</v>
      </c>
      <c r="R2706">
        <v>1544531</v>
      </c>
    </row>
    <row r="2707" spans="1:18" x14ac:dyDescent="0.25">
      <c r="A2707" s="143">
        <v>45989</v>
      </c>
      <c r="B2707" s="106">
        <v>1749.8</v>
      </c>
      <c r="C2707" s="106">
        <v>1736.25</v>
      </c>
      <c r="D2707" s="106">
        <v>1713.3</v>
      </c>
      <c r="E2707" s="106">
        <v>1714.4</v>
      </c>
      <c r="F2707" s="106">
        <v>1736.25</v>
      </c>
      <c r="G2707">
        <v>25706</v>
      </c>
      <c r="H2707" s="106"/>
      <c r="I2707" s="106"/>
      <c r="L2707" s="143">
        <v>45989</v>
      </c>
      <c r="M2707" s="106">
        <v>1736</v>
      </c>
      <c r="N2707" s="106">
        <v>1749.8</v>
      </c>
      <c r="O2707" s="106">
        <v>1714.2</v>
      </c>
      <c r="P2707" s="106">
        <v>1722</v>
      </c>
      <c r="Q2707" s="106">
        <v>1736</v>
      </c>
      <c r="R2707">
        <v>963424</v>
      </c>
    </row>
    <row r="2708" spans="1:18" x14ac:dyDescent="0.25">
      <c r="A2708" s="143">
        <v>45992</v>
      </c>
      <c r="B2708" s="106">
        <v>1745</v>
      </c>
      <c r="C2708" s="106">
        <v>1726.15</v>
      </c>
      <c r="D2708" s="106">
        <v>1717.3</v>
      </c>
      <c r="E2708" s="106">
        <v>1745</v>
      </c>
      <c r="F2708" s="106">
        <v>1726.15</v>
      </c>
      <c r="G2708">
        <v>11143</v>
      </c>
      <c r="H2708" s="106"/>
      <c r="I2708" s="106"/>
      <c r="L2708" s="143">
        <v>45992</v>
      </c>
      <c r="M2708" s="106">
        <v>1724.9</v>
      </c>
      <c r="N2708" s="106">
        <v>1749</v>
      </c>
      <c r="O2708" s="106">
        <v>1717.4</v>
      </c>
      <c r="P2708" s="106">
        <v>1748</v>
      </c>
      <c r="Q2708" s="106">
        <v>1724.9</v>
      </c>
      <c r="R2708">
        <v>1110164</v>
      </c>
    </row>
    <row r="2709" spans="1:18" x14ac:dyDescent="0.25">
      <c r="A2709" s="143">
        <v>45993</v>
      </c>
      <c r="B2709">
        <v>1738.95</v>
      </c>
      <c r="C2709">
        <v>1711.25</v>
      </c>
      <c r="D2709">
        <v>1704.45</v>
      </c>
      <c r="E2709">
        <v>1711.05</v>
      </c>
      <c r="F2709">
        <v>1711.25</v>
      </c>
      <c r="G2709">
        <v>11860</v>
      </c>
      <c r="H2709" s="106"/>
      <c r="I2709" s="106"/>
      <c r="L2709" s="143">
        <v>45993</v>
      </c>
      <c r="M2709" s="106">
        <v>1711.6</v>
      </c>
      <c r="N2709" s="106">
        <v>1739.5</v>
      </c>
      <c r="O2709" s="106">
        <v>1704.5</v>
      </c>
      <c r="P2709" s="106">
        <v>1715</v>
      </c>
      <c r="Q2709" s="106">
        <v>1711.6</v>
      </c>
      <c r="R2709">
        <v>638234</v>
      </c>
    </row>
    <row r="2710" spans="1:18" x14ac:dyDescent="0.25">
      <c r="A2710" s="143">
        <v>45994</v>
      </c>
      <c r="B2710">
        <v>1708.15</v>
      </c>
      <c r="C2710">
        <v>1668.8</v>
      </c>
      <c r="D2710">
        <v>1662.9</v>
      </c>
      <c r="E2710">
        <v>1702.05</v>
      </c>
      <c r="F2710">
        <v>1668.8</v>
      </c>
      <c r="G2710">
        <v>14570</v>
      </c>
      <c r="H2710" s="106"/>
      <c r="I2710" s="106"/>
      <c r="L2710" s="143">
        <v>45994</v>
      </c>
      <c r="M2710" s="106">
        <v>1668.9</v>
      </c>
      <c r="N2710" s="106">
        <v>1710.9</v>
      </c>
      <c r="O2710" s="106">
        <v>1662.3</v>
      </c>
      <c r="P2710" s="106">
        <v>1701</v>
      </c>
      <c r="Q2710" s="106">
        <v>1668.9</v>
      </c>
      <c r="R2710">
        <v>898959</v>
      </c>
    </row>
    <row r="2711" spans="1:18" x14ac:dyDescent="0.25">
      <c r="A2711" s="143">
        <v>45995</v>
      </c>
      <c r="B2711">
        <v>1697.25</v>
      </c>
      <c r="C2711">
        <v>1675.5</v>
      </c>
      <c r="D2711">
        <v>1651.5</v>
      </c>
      <c r="E2711">
        <v>1697.25</v>
      </c>
      <c r="F2711">
        <v>1675.5</v>
      </c>
      <c r="G2711">
        <v>7029</v>
      </c>
      <c r="H2711" s="106"/>
      <c r="I2711" s="106"/>
      <c r="L2711" s="143">
        <v>45995</v>
      </c>
      <c r="M2711" s="106">
        <v>1675.7</v>
      </c>
      <c r="N2711" s="106">
        <v>1678.8</v>
      </c>
      <c r="O2711" s="106">
        <v>1651</v>
      </c>
      <c r="P2711" s="106">
        <v>1666</v>
      </c>
      <c r="Q2711" s="106">
        <v>1675.7</v>
      </c>
      <c r="R2711">
        <v>1291711</v>
      </c>
    </row>
    <row r="2712" spans="1:18" x14ac:dyDescent="0.25">
      <c r="A2712" s="143">
        <v>45996</v>
      </c>
      <c r="B2712">
        <v>1734.45</v>
      </c>
      <c r="C2712">
        <v>1730.55</v>
      </c>
      <c r="D2712">
        <v>1672.85</v>
      </c>
      <c r="E2712">
        <v>1675.5</v>
      </c>
      <c r="F2712">
        <v>1730.55</v>
      </c>
      <c r="G2712">
        <v>22839</v>
      </c>
      <c r="H2712" s="106"/>
      <c r="I2712" s="106"/>
      <c r="L2712" s="143">
        <v>45996</v>
      </c>
      <c r="M2712" s="106">
        <v>1730.4</v>
      </c>
      <c r="N2712" s="106">
        <v>1734.8</v>
      </c>
      <c r="O2712" s="106">
        <v>1671</v>
      </c>
      <c r="P2712" s="106">
        <v>1675.7</v>
      </c>
      <c r="Q2712" s="106">
        <v>1730.4</v>
      </c>
      <c r="R2712">
        <v>1344984</v>
      </c>
    </row>
    <row r="2713" spans="1:18" x14ac:dyDescent="0.25">
      <c r="A2713" s="143">
        <v>45999</v>
      </c>
      <c r="B2713">
        <v>1759.65</v>
      </c>
      <c r="C2713">
        <v>1724.5</v>
      </c>
      <c r="D2713">
        <v>1708.15</v>
      </c>
      <c r="E2713">
        <v>1731.95</v>
      </c>
      <c r="F2713">
        <v>1724.5</v>
      </c>
      <c r="G2713">
        <v>38765</v>
      </c>
      <c r="H2713" s="106"/>
      <c r="I2713" s="106"/>
      <c r="L2713" s="143">
        <v>45999</v>
      </c>
      <c r="M2713" s="106">
        <v>1724.4</v>
      </c>
      <c r="N2713" s="106">
        <v>1759.8</v>
      </c>
      <c r="O2713" s="106">
        <v>1708.9</v>
      </c>
      <c r="P2713" s="106">
        <v>1730</v>
      </c>
      <c r="Q2713" s="106">
        <v>1724.4</v>
      </c>
      <c r="R2713">
        <v>1060177</v>
      </c>
    </row>
    <row r="2714" spans="1:18" x14ac:dyDescent="0.25">
      <c r="A2714" s="143">
        <v>46000</v>
      </c>
      <c r="B2714">
        <v>1734.15</v>
      </c>
      <c r="C2714">
        <v>1730.35</v>
      </c>
      <c r="D2714">
        <v>1690</v>
      </c>
      <c r="E2714">
        <v>1717.25</v>
      </c>
      <c r="F2714">
        <v>1730.35</v>
      </c>
      <c r="G2714">
        <v>68466</v>
      </c>
      <c r="H2714" s="106"/>
      <c r="I2714" s="106"/>
      <c r="L2714" s="143">
        <v>46000</v>
      </c>
      <c r="M2714" s="106">
        <v>1731.2</v>
      </c>
      <c r="N2714" s="106">
        <v>1735.2</v>
      </c>
      <c r="O2714" s="106">
        <v>1690</v>
      </c>
      <c r="P2714" s="106">
        <v>1710</v>
      </c>
      <c r="Q2714" s="106">
        <v>1731.2</v>
      </c>
      <c r="R2714">
        <v>1381604</v>
      </c>
    </row>
    <row r="2715" spans="1:18" x14ac:dyDescent="0.25">
      <c r="A2715" s="143">
        <v>46001</v>
      </c>
      <c r="B2715">
        <v>1756.2</v>
      </c>
      <c r="C2715">
        <v>1744.25</v>
      </c>
      <c r="D2715">
        <v>1725.3</v>
      </c>
      <c r="E2715">
        <v>1730.15</v>
      </c>
      <c r="F2715">
        <v>1744.25</v>
      </c>
      <c r="G2715">
        <v>16966</v>
      </c>
      <c r="H2715" s="106"/>
      <c r="I2715" s="106"/>
      <c r="L2715" s="143">
        <v>46001</v>
      </c>
      <c r="M2715" s="106">
        <v>1744</v>
      </c>
      <c r="N2715" s="106">
        <v>1757.4</v>
      </c>
      <c r="O2715" s="106">
        <v>1721.6</v>
      </c>
      <c r="P2715" s="106">
        <v>1725</v>
      </c>
      <c r="Q2715" s="106">
        <v>1744</v>
      </c>
      <c r="R2715">
        <v>1194602</v>
      </c>
    </row>
    <row r="2716" spans="1:18" x14ac:dyDescent="0.25">
      <c r="A2716" s="143">
        <v>46002</v>
      </c>
      <c r="B2716">
        <v>1746.25</v>
      </c>
      <c r="C2716">
        <v>1720.3</v>
      </c>
      <c r="D2716">
        <v>1716.45</v>
      </c>
      <c r="E2716">
        <v>1744.3</v>
      </c>
      <c r="F2716">
        <v>1720.3</v>
      </c>
      <c r="G2716">
        <v>59345</v>
      </c>
      <c r="H2716" s="106"/>
      <c r="I2716" s="106"/>
      <c r="L2716" s="143">
        <v>46002</v>
      </c>
      <c r="M2716" s="106">
        <v>1719.4</v>
      </c>
      <c r="N2716" s="106">
        <v>1745.9</v>
      </c>
      <c r="O2716" s="106">
        <v>1716.3</v>
      </c>
      <c r="P2716" s="106">
        <v>1744.9</v>
      </c>
      <c r="Q2716" s="106">
        <v>1719.4</v>
      </c>
      <c r="R2716">
        <v>1613630</v>
      </c>
    </row>
    <row r="2717" spans="1:18" x14ac:dyDescent="0.25">
      <c r="A2717" s="143">
        <v>46003</v>
      </c>
      <c r="B2717">
        <v>1740.95</v>
      </c>
      <c r="C2717">
        <v>1735.65</v>
      </c>
      <c r="D2717">
        <v>1704.55</v>
      </c>
      <c r="E2717">
        <v>1720.3</v>
      </c>
      <c r="F2717">
        <v>1735.65</v>
      </c>
      <c r="G2717">
        <v>24074</v>
      </c>
      <c r="H2717" s="106"/>
      <c r="I2717" s="106"/>
      <c r="L2717" s="143">
        <v>46003</v>
      </c>
      <c r="M2717" s="106">
        <v>1735.6</v>
      </c>
      <c r="N2717" s="106">
        <v>1740.4</v>
      </c>
      <c r="O2717" s="106">
        <v>1703.8</v>
      </c>
      <c r="P2717" s="106">
        <v>1719.4</v>
      </c>
      <c r="Q2717" s="106">
        <v>1735.6</v>
      </c>
      <c r="R2717">
        <v>2309890</v>
      </c>
    </row>
    <row r="2718" spans="1:18" x14ac:dyDescent="0.25">
      <c r="A2718" s="143">
        <v>46006</v>
      </c>
      <c r="B2718">
        <v>1739.5</v>
      </c>
      <c r="C2718">
        <v>1734.25</v>
      </c>
      <c r="D2718">
        <v>1710.4</v>
      </c>
      <c r="E2718">
        <v>1735.85</v>
      </c>
      <c r="F2718">
        <v>1734.25</v>
      </c>
      <c r="G2718">
        <v>150388</v>
      </c>
      <c r="H2718" s="106"/>
      <c r="I2718" s="106"/>
      <c r="L2718" s="143">
        <v>46006</v>
      </c>
      <c r="M2718" s="106">
        <v>1733.7</v>
      </c>
      <c r="N2718" s="106">
        <v>1740.1</v>
      </c>
      <c r="O2718" s="106">
        <v>1710</v>
      </c>
      <c r="P2718" s="106">
        <v>1734</v>
      </c>
      <c r="Q2718" s="106">
        <v>1733.7</v>
      </c>
      <c r="R2718">
        <v>1622531</v>
      </c>
    </row>
    <row r="2719" spans="1:18" x14ac:dyDescent="0.25">
      <c r="A2719" s="143">
        <v>46007</v>
      </c>
      <c r="B2719">
        <v>1738.5</v>
      </c>
      <c r="C2719">
        <v>1714.15</v>
      </c>
      <c r="D2719">
        <v>1705</v>
      </c>
      <c r="E2719">
        <v>1734.3</v>
      </c>
      <c r="F2719">
        <v>1714.15</v>
      </c>
      <c r="G2719">
        <v>12657</v>
      </c>
      <c r="H2719" s="106"/>
      <c r="I2719" s="106"/>
      <c r="L2719" s="143">
        <v>46007</v>
      </c>
      <c r="M2719" s="106">
        <v>1715.4</v>
      </c>
      <c r="N2719" s="106">
        <v>1739.4</v>
      </c>
      <c r="O2719" s="106">
        <v>1703</v>
      </c>
      <c r="P2719" s="106">
        <v>1739</v>
      </c>
      <c r="Q2719" s="106">
        <v>1715.4</v>
      </c>
      <c r="R2719">
        <v>504325</v>
      </c>
    </row>
    <row r="2720" spans="1:18" x14ac:dyDescent="0.25">
      <c r="A2720" s="143">
        <v>46008</v>
      </c>
      <c r="B2720">
        <v>1731.55</v>
      </c>
      <c r="C2720">
        <v>1673.6</v>
      </c>
      <c r="D2720">
        <v>1667.7</v>
      </c>
      <c r="E2720">
        <v>1702.3</v>
      </c>
      <c r="F2720">
        <v>1673.6</v>
      </c>
      <c r="G2720">
        <v>268567</v>
      </c>
      <c r="H2720" s="106"/>
      <c r="I2720" s="106"/>
      <c r="L2720" s="143">
        <v>46008</v>
      </c>
      <c r="M2720" s="106">
        <v>1673.5</v>
      </c>
      <c r="N2720" s="106">
        <v>1731.8</v>
      </c>
      <c r="O2720" s="106">
        <v>1667.1</v>
      </c>
      <c r="P2720" s="106">
        <v>1710</v>
      </c>
      <c r="Q2720" s="106">
        <v>1673.5</v>
      </c>
      <c r="R2720">
        <v>1133450</v>
      </c>
    </row>
    <row r="2721" spans="1:18" x14ac:dyDescent="0.25">
      <c r="A2721" s="143">
        <v>46009</v>
      </c>
      <c r="B2721">
        <v>1689.6</v>
      </c>
      <c r="C2721">
        <v>1679.35</v>
      </c>
      <c r="D2721">
        <v>1661.7</v>
      </c>
      <c r="E2721">
        <v>1674.25</v>
      </c>
      <c r="F2721">
        <v>1679.35</v>
      </c>
      <c r="G2721">
        <v>14197</v>
      </c>
      <c r="H2721" s="106"/>
      <c r="I2721" s="106"/>
      <c r="L2721" s="143">
        <v>46009</v>
      </c>
      <c r="M2721" s="106">
        <v>1679</v>
      </c>
      <c r="N2721" s="106">
        <v>1690.4</v>
      </c>
      <c r="O2721" s="106">
        <v>1661.1</v>
      </c>
      <c r="P2721" s="106">
        <v>1678.8</v>
      </c>
      <c r="Q2721" s="106">
        <v>1679</v>
      </c>
      <c r="R2721">
        <v>744184</v>
      </c>
    </row>
    <row r="2722" spans="1:18" x14ac:dyDescent="0.25">
      <c r="A2722" s="143">
        <v>46010</v>
      </c>
      <c r="B2722">
        <v>1692</v>
      </c>
      <c r="C2722">
        <v>1645.3</v>
      </c>
      <c r="D2722">
        <v>1614.1</v>
      </c>
      <c r="E2722">
        <v>1686</v>
      </c>
      <c r="F2722">
        <v>1645.3</v>
      </c>
      <c r="G2722">
        <v>64842</v>
      </c>
      <c r="H2722" s="106"/>
      <c r="I2722" s="106"/>
      <c r="L2722" s="143">
        <v>46010</v>
      </c>
      <c r="M2722" s="106">
        <v>1648.1</v>
      </c>
      <c r="N2722" s="106">
        <v>1694.3</v>
      </c>
      <c r="O2722" s="106">
        <v>1614.2</v>
      </c>
      <c r="P2722" s="106">
        <v>1684.8</v>
      </c>
      <c r="Q2722" s="106">
        <v>1648.1</v>
      </c>
      <c r="R2722">
        <v>2356435</v>
      </c>
    </row>
    <row r="2723" spans="1:18" x14ac:dyDescent="0.25">
      <c r="A2723" s="143">
        <v>46013</v>
      </c>
      <c r="B2723">
        <v>1645.45</v>
      </c>
      <c r="C2723">
        <v>1584.75</v>
      </c>
      <c r="D2723">
        <v>1556</v>
      </c>
      <c r="E2723">
        <v>1645.35</v>
      </c>
      <c r="F2723">
        <v>1584.75</v>
      </c>
      <c r="G2723">
        <v>93815</v>
      </c>
      <c r="H2723" s="106"/>
      <c r="I2723" s="106"/>
      <c r="L2723" s="143">
        <v>46013</v>
      </c>
      <c r="M2723" s="106">
        <v>1584.9</v>
      </c>
      <c r="N2723" s="106">
        <v>1648.1</v>
      </c>
      <c r="O2723" s="106">
        <v>1554.7</v>
      </c>
      <c r="P2723" s="106">
        <v>1648</v>
      </c>
      <c r="Q2723" s="106">
        <v>1584.9</v>
      </c>
      <c r="R2723">
        <v>5780153</v>
      </c>
    </row>
    <row r="2724" spans="1:18" x14ac:dyDescent="0.25">
      <c r="A2724" s="143">
        <v>46014</v>
      </c>
      <c r="B2724">
        <v>1713</v>
      </c>
      <c r="C2724">
        <v>1680.6</v>
      </c>
      <c r="D2724">
        <v>1592.15</v>
      </c>
      <c r="E2724">
        <v>1595</v>
      </c>
      <c r="F2724">
        <v>1680.6</v>
      </c>
      <c r="G2724">
        <v>256776</v>
      </c>
      <c r="H2724" s="106"/>
      <c r="I2724" s="106"/>
      <c r="L2724" s="143">
        <v>46014</v>
      </c>
      <c r="M2724" s="106">
        <v>1678.5</v>
      </c>
      <c r="N2724" s="106">
        <v>1713.4</v>
      </c>
      <c r="O2724" s="106">
        <v>1595.8</v>
      </c>
      <c r="P2724" s="106">
        <v>1605</v>
      </c>
      <c r="Q2724" s="106">
        <v>1678.5</v>
      </c>
      <c r="R2724">
        <v>7716481</v>
      </c>
    </row>
    <row r="2725" spans="1:18" x14ac:dyDescent="0.25">
      <c r="A2725" s="143">
        <v>46015</v>
      </c>
      <c r="B2725">
        <v>1707</v>
      </c>
      <c r="C2725">
        <v>1697.1</v>
      </c>
      <c r="D2725">
        <v>1668.85</v>
      </c>
      <c r="E2725">
        <v>1680</v>
      </c>
      <c r="F2725">
        <v>1697.1</v>
      </c>
      <c r="G2725">
        <v>38168</v>
      </c>
      <c r="H2725" s="106"/>
      <c r="I2725" s="106"/>
      <c r="L2725" s="143">
        <v>46015</v>
      </c>
      <c r="M2725" s="106">
        <v>1697.8</v>
      </c>
      <c r="N2725" s="106">
        <v>1708.1</v>
      </c>
      <c r="O2725" s="106">
        <v>1669.4</v>
      </c>
      <c r="P2725" s="106">
        <v>1678.5</v>
      </c>
      <c r="Q2725" s="106">
        <v>1697.8</v>
      </c>
      <c r="R2725">
        <v>1861216</v>
      </c>
    </row>
    <row r="2726" spans="1:18" x14ac:dyDescent="0.25">
      <c r="A2726" s="143">
        <v>46017</v>
      </c>
      <c r="B2726">
        <v>1710.9</v>
      </c>
      <c r="C2726">
        <v>1696.85</v>
      </c>
      <c r="D2726">
        <v>1694.55</v>
      </c>
      <c r="E2726">
        <v>1699.65</v>
      </c>
      <c r="F2726">
        <v>1696.85</v>
      </c>
      <c r="G2726">
        <v>12985</v>
      </c>
      <c r="H2726" s="106"/>
      <c r="I2726" s="106"/>
      <c r="L2726" s="143">
        <v>46017</v>
      </c>
      <c r="M2726" s="106">
        <v>1698</v>
      </c>
      <c r="N2726" s="106">
        <v>1712.4</v>
      </c>
      <c r="O2726" s="106">
        <v>1694.8</v>
      </c>
      <c r="P2726" s="106">
        <v>1697.8</v>
      </c>
      <c r="Q2726" s="106">
        <v>1698</v>
      </c>
      <c r="R2726">
        <v>1309836</v>
      </c>
    </row>
    <row r="2727" spans="1:18" x14ac:dyDescent="0.25">
      <c r="A2727" s="143">
        <v>46020</v>
      </c>
      <c r="B2727">
        <v>1716.65</v>
      </c>
      <c r="C2727">
        <v>1698.35</v>
      </c>
      <c r="D2727">
        <v>1680.05</v>
      </c>
      <c r="E2727">
        <v>1716.65</v>
      </c>
      <c r="F2727">
        <v>1698.35</v>
      </c>
      <c r="G2727">
        <v>10195</v>
      </c>
      <c r="H2727" s="106"/>
      <c r="I2727" s="106"/>
      <c r="L2727" s="143">
        <v>46020</v>
      </c>
      <c r="M2727" s="106">
        <v>1698.8</v>
      </c>
      <c r="N2727" s="106">
        <v>1700.7</v>
      </c>
      <c r="O2727" s="106">
        <v>1680.5</v>
      </c>
      <c r="P2727" s="106">
        <v>1697</v>
      </c>
      <c r="Q2727" s="106">
        <v>1698.8</v>
      </c>
      <c r="R2727">
        <v>1016727</v>
      </c>
    </row>
    <row r="2728" spans="1:18" x14ac:dyDescent="0.25">
      <c r="A2728" s="143">
        <v>46021</v>
      </c>
      <c r="B2728">
        <v>1711.6</v>
      </c>
      <c r="C2728">
        <v>1702.15</v>
      </c>
      <c r="D2728">
        <v>1672.45</v>
      </c>
      <c r="E2728">
        <v>1672.45</v>
      </c>
      <c r="F2728">
        <v>1702.15</v>
      </c>
      <c r="G2728">
        <v>14485</v>
      </c>
      <c r="H2728" s="106"/>
      <c r="I2728" s="106"/>
      <c r="L2728" s="143">
        <v>46021</v>
      </c>
      <c r="M2728" s="106">
        <v>1701.5</v>
      </c>
      <c r="N2728" s="106">
        <v>1715.9</v>
      </c>
      <c r="O2728" s="106">
        <v>1679</v>
      </c>
      <c r="P2728" s="106">
        <v>1686</v>
      </c>
      <c r="Q2728" s="106">
        <v>1701.5</v>
      </c>
      <c r="R2728">
        <v>3270983</v>
      </c>
    </row>
    <row r="2729" spans="1:18" x14ac:dyDescent="0.25">
      <c r="A2729" s="143">
        <v>46022</v>
      </c>
      <c r="B2729">
        <v>1710</v>
      </c>
      <c r="C2729">
        <v>1702.25</v>
      </c>
      <c r="D2729">
        <v>1687.15</v>
      </c>
      <c r="E2729">
        <v>1700</v>
      </c>
      <c r="F2729">
        <v>1702.25</v>
      </c>
      <c r="G2729">
        <v>15419</v>
      </c>
      <c r="H2729" s="106"/>
      <c r="I2729" s="106"/>
      <c r="L2729" s="143">
        <v>46022</v>
      </c>
      <c r="M2729" s="106">
        <v>1702.2</v>
      </c>
      <c r="N2729" s="106">
        <v>1712.8</v>
      </c>
      <c r="O2729" s="106">
        <v>1688.5</v>
      </c>
      <c r="P2729" s="106">
        <v>1702</v>
      </c>
      <c r="Q2729" s="106">
        <v>1702.2</v>
      </c>
      <c r="R2729">
        <v>707240</v>
      </c>
    </row>
    <row r="2730" spans="1:18" x14ac:dyDescent="0.25">
      <c r="A2730" s="143">
        <v>46023</v>
      </c>
      <c r="B2730">
        <v>1726.8</v>
      </c>
      <c r="C2730">
        <v>1723.3</v>
      </c>
      <c r="D2730">
        <v>1699.6</v>
      </c>
      <c r="E2730">
        <v>1702.3</v>
      </c>
      <c r="F2730">
        <v>1723.3</v>
      </c>
      <c r="G2730">
        <v>20711</v>
      </c>
      <c r="H2730" s="106"/>
      <c r="I2730" s="106"/>
      <c r="L2730" s="143">
        <v>46023</v>
      </c>
      <c r="M2730" s="106">
        <v>1724</v>
      </c>
      <c r="N2730" s="106">
        <v>1727.5</v>
      </c>
      <c r="O2730" s="106">
        <v>1698.7</v>
      </c>
      <c r="P2730" s="106">
        <v>1707.1</v>
      </c>
      <c r="Q2730" s="106">
        <v>1724</v>
      </c>
      <c r="R2730">
        <v>390859</v>
      </c>
    </row>
    <row r="2731" spans="1:18" x14ac:dyDescent="0.25">
      <c r="A2731" s="143">
        <v>46024</v>
      </c>
      <c r="B2731">
        <v>1788.7</v>
      </c>
      <c r="C2731">
        <v>1780.55</v>
      </c>
      <c r="D2731">
        <v>1720</v>
      </c>
      <c r="E2731">
        <v>1724</v>
      </c>
      <c r="F2731">
        <v>1780.55</v>
      </c>
      <c r="G2731">
        <v>77379</v>
      </c>
      <c r="H2731" s="106"/>
      <c r="I2731" s="106"/>
      <c r="L2731" s="143">
        <v>46024</v>
      </c>
      <c r="M2731" s="106">
        <v>1781.1</v>
      </c>
      <c r="N2731" s="106">
        <v>1789.1</v>
      </c>
      <c r="O2731" s="106">
        <v>1718.7</v>
      </c>
      <c r="P2731" s="106">
        <v>1728.5</v>
      </c>
      <c r="Q2731" s="106">
        <v>1781.1</v>
      </c>
      <c r="R2731">
        <v>1793036</v>
      </c>
    </row>
    <row r="2732" spans="1:18" x14ac:dyDescent="0.25">
      <c r="A2732" s="143">
        <v>46027</v>
      </c>
      <c r="B2732">
        <v>1785</v>
      </c>
      <c r="C2732">
        <v>1773.4</v>
      </c>
      <c r="D2732">
        <v>1762</v>
      </c>
      <c r="E2732">
        <v>1781</v>
      </c>
      <c r="F2732">
        <v>1773.4</v>
      </c>
      <c r="G2732">
        <v>31055</v>
      </c>
      <c r="H2732" s="106"/>
      <c r="I2732" s="106"/>
      <c r="L2732" s="143">
        <v>46027</v>
      </c>
      <c r="M2732" s="106">
        <v>1772.4</v>
      </c>
      <c r="N2732" s="106">
        <v>1785</v>
      </c>
      <c r="O2732" s="106">
        <v>1761.4</v>
      </c>
      <c r="P2732" s="106">
        <v>1782</v>
      </c>
      <c r="Q2732" s="106">
        <v>1772.4</v>
      </c>
      <c r="R2732">
        <v>716553</v>
      </c>
    </row>
    <row r="2733" spans="1:18" x14ac:dyDescent="0.25">
      <c r="A2733" s="143">
        <v>46028</v>
      </c>
      <c r="B2733">
        <v>1831.8</v>
      </c>
      <c r="C2733">
        <v>1805.4</v>
      </c>
      <c r="D2733">
        <v>1773.4</v>
      </c>
      <c r="E2733">
        <v>1773.4</v>
      </c>
      <c r="F2733">
        <v>1805.4</v>
      </c>
      <c r="G2733">
        <v>60663</v>
      </c>
      <c r="H2733" s="106"/>
      <c r="I2733" s="106"/>
      <c r="L2733" s="143">
        <v>46028</v>
      </c>
      <c r="M2733" s="106">
        <v>1805.4</v>
      </c>
      <c r="N2733" s="106">
        <v>1831.5</v>
      </c>
      <c r="O2733" s="106">
        <v>1775</v>
      </c>
      <c r="P2733" s="106">
        <v>1775</v>
      </c>
      <c r="Q2733" s="106">
        <v>1805.4</v>
      </c>
      <c r="R2733">
        <v>1783196</v>
      </c>
    </row>
    <row r="2734" spans="1:18" x14ac:dyDescent="0.25">
      <c r="A2734" s="143">
        <v>46029</v>
      </c>
      <c r="B2734">
        <v>1806.6</v>
      </c>
      <c r="C2734">
        <v>1785.75</v>
      </c>
      <c r="D2734">
        <v>1777.8</v>
      </c>
      <c r="E2734">
        <v>1806.6</v>
      </c>
      <c r="F2734">
        <v>1785.75</v>
      </c>
      <c r="G2734">
        <v>22259</v>
      </c>
      <c r="H2734" s="106"/>
      <c r="I2734" s="106"/>
      <c r="L2734" s="143">
        <v>46029</v>
      </c>
      <c r="M2734" s="106">
        <v>1786.5</v>
      </c>
      <c r="N2734" s="106">
        <v>1809.8</v>
      </c>
      <c r="O2734" s="106">
        <v>1778.1</v>
      </c>
      <c r="P2734" s="106">
        <v>1809.8</v>
      </c>
      <c r="Q2734" s="106">
        <v>1786.5</v>
      </c>
      <c r="R2734">
        <v>656441</v>
      </c>
    </row>
    <row r="2735" spans="1:18" x14ac:dyDescent="0.25">
      <c r="A2735" s="143">
        <v>46030</v>
      </c>
      <c r="B2735">
        <v>1790.1</v>
      </c>
      <c r="C2735">
        <v>1755.4</v>
      </c>
      <c r="D2735">
        <v>1736</v>
      </c>
      <c r="E2735">
        <v>1788.2</v>
      </c>
      <c r="F2735">
        <v>1755.4</v>
      </c>
      <c r="G2735">
        <v>16635</v>
      </c>
      <c r="H2735" s="106"/>
      <c r="I2735" s="106"/>
      <c r="L2735" s="143">
        <v>46030</v>
      </c>
      <c r="M2735" s="106">
        <v>1754</v>
      </c>
      <c r="N2735" s="106">
        <v>1790</v>
      </c>
      <c r="O2735" s="106">
        <v>1735.5</v>
      </c>
      <c r="P2735" s="106">
        <v>1790</v>
      </c>
      <c r="Q2735" s="106">
        <v>1754</v>
      </c>
      <c r="R2735">
        <v>1408255</v>
      </c>
    </row>
    <row r="2736" spans="1:18" x14ac:dyDescent="0.25">
      <c r="A2736" s="143">
        <v>46031</v>
      </c>
      <c r="B2736">
        <v>1761.3</v>
      </c>
      <c r="C2736">
        <v>1719.25</v>
      </c>
      <c r="D2736">
        <v>1710.7</v>
      </c>
      <c r="E2736">
        <v>1746.3</v>
      </c>
      <c r="F2736">
        <v>1719.25</v>
      </c>
      <c r="G2736">
        <v>126559</v>
      </c>
      <c r="H2736" s="106"/>
      <c r="I2736" s="106"/>
      <c r="L2736" s="143">
        <v>46031</v>
      </c>
      <c r="M2736" s="106">
        <v>1717.1</v>
      </c>
      <c r="N2736" s="106">
        <v>1763.3</v>
      </c>
      <c r="O2736" s="106">
        <v>1709.9</v>
      </c>
      <c r="P2736" s="106">
        <v>1754</v>
      </c>
      <c r="Q2736" s="106">
        <v>1717.1</v>
      </c>
      <c r="R2736">
        <v>1493038</v>
      </c>
    </row>
    <row r="2737" spans="1:18" x14ac:dyDescent="0.25">
      <c r="A2737" s="143">
        <v>46034</v>
      </c>
      <c r="B2737">
        <v>1730.05</v>
      </c>
      <c r="C2737">
        <v>1711.1</v>
      </c>
      <c r="D2737">
        <v>1693.7</v>
      </c>
      <c r="E2737">
        <v>1704.45</v>
      </c>
      <c r="F2737">
        <v>1711.1</v>
      </c>
      <c r="G2737">
        <v>155923</v>
      </c>
      <c r="H2737" s="106"/>
      <c r="I2737" s="106"/>
      <c r="L2737" s="143">
        <v>46034</v>
      </c>
      <c r="M2737" s="106">
        <v>1710.8</v>
      </c>
      <c r="N2737" s="106">
        <v>1730.9</v>
      </c>
      <c r="O2737" s="106">
        <v>1693.3</v>
      </c>
      <c r="P2737" s="106">
        <v>1715</v>
      </c>
      <c r="Q2737" s="106">
        <v>1710.8</v>
      </c>
      <c r="R2737">
        <v>2424388</v>
      </c>
    </row>
    <row r="2738" spans="1:18" x14ac:dyDescent="0.25">
      <c r="A2738" s="143">
        <v>46035</v>
      </c>
      <c r="B2738">
        <v>1727.2</v>
      </c>
      <c r="C2738">
        <v>1701.7</v>
      </c>
      <c r="D2738">
        <v>1692.1</v>
      </c>
      <c r="E2738">
        <v>1710</v>
      </c>
      <c r="F2738">
        <v>1701.7</v>
      </c>
      <c r="G2738">
        <v>34363</v>
      </c>
      <c r="H2738" s="106"/>
      <c r="I2738" s="106"/>
      <c r="L2738" s="143">
        <v>46035</v>
      </c>
      <c r="M2738" s="106">
        <v>1701.1</v>
      </c>
      <c r="N2738" s="106">
        <v>1726.7</v>
      </c>
      <c r="O2738" s="106">
        <v>1691</v>
      </c>
      <c r="P2738" s="106">
        <v>1716</v>
      </c>
      <c r="Q2738" s="106">
        <v>1701.1</v>
      </c>
      <c r="R2738">
        <v>1914112</v>
      </c>
    </row>
    <row r="2739" spans="1:18" x14ac:dyDescent="0.25">
      <c r="A2739" s="143">
        <v>46036</v>
      </c>
      <c r="B2739">
        <v>1715</v>
      </c>
      <c r="C2739">
        <v>1689.8</v>
      </c>
      <c r="D2739">
        <v>1680.85</v>
      </c>
      <c r="E2739">
        <v>1695</v>
      </c>
      <c r="F2739">
        <v>1689.8</v>
      </c>
      <c r="G2739">
        <v>21249</v>
      </c>
      <c r="H2739" s="106"/>
      <c r="I2739" s="106"/>
      <c r="L2739" s="143">
        <v>46036</v>
      </c>
      <c r="M2739" s="106">
        <v>1689.5</v>
      </c>
      <c r="N2739" s="106">
        <v>1714.7</v>
      </c>
      <c r="O2739" s="106">
        <v>1681</v>
      </c>
      <c r="P2739" s="106">
        <v>1690.1</v>
      </c>
      <c r="Q2739" s="106">
        <v>1689.5</v>
      </c>
      <c r="R2739">
        <v>2111292</v>
      </c>
    </row>
    <row r="2740" spans="1:18" x14ac:dyDescent="0.25">
      <c r="A2740" s="143">
        <v>46038</v>
      </c>
      <c r="B2740">
        <v>1706.65</v>
      </c>
      <c r="C2740">
        <v>1699.45</v>
      </c>
      <c r="D2740">
        <v>1677.75</v>
      </c>
      <c r="E2740">
        <v>1685</v>
      </c>
      <c r="F2740">
        <v>1699.45</v>
      </c>
      <c r="G2740">
        <v>18667</v>
      </c>
      <c r="H2740" s="106"/>
      <c r="I2740" s="106"/>
      <c r="L2740" s="143">
        <v>46038</v>
      </c>
      <c r="M2740" s="106">
        <v>1699.2</v>
      </c>
      <c r="N2740" s="106">
        <v>1707.9</v>
      </c>
      <c r="O2740" s="106">
        <v>1676.9</v>
      </c>
      <c r="P2740" s="106">
        <v>1689.5</v>
      </c>
      <c r="Q2740" s="106">
        <v>1699.2</v>
      </c>
      <c r="R2740">
        <v>2796464</v>
      </c>
    </row>
    <row r="2741" spans="1:18" x14ac:dyDescent="0.25">
      <c r="A2741" s="143">
        <v>46041</v>
      </c>
      <c r="B2741">
        <v>1725.2</v>
      </c>
      <c r="C2741">
        <v>1700.35</v>
      </c>
      <c r="D2741">
        <v>1689.95</v>
      </c>
      <c r="E2741">
        <v>1689.95</v>
      </c>
      <c r="F2741">
        <v>1700.35</v>
      </c>
      <c r="G2741">
        <v>46390</v>
      </c>
      <c r="H2741" s="106"/>
      <c r="I2741" s="106"/>
      <c r="L2741" s="143">
        <v>46041</v>
      </c>
      <c r="M2741" s="106">
        <v>1700.4</v>
      </c>
      <c r="N2741" s="106">
        <v>1726.2</v>
      </c>
      <c r="O2741" s="106">
        <v>1691</v>
      </c>
      <c r="P2741" s="106">
        <v>1698</v>
      </c>
      <c r="Q2741" s="106">
        <v>1700.4</v>
      </c>
      <c r="R2741">
        <v>1233939</v>
      </c>
    </row>
    <row r="2742" spans="1:18" x14ac:dyDescent="0.25">
      <c r="A2742" s="143">
        <v>46042</v>
      </c>
      <c r="B2742">
        <v>1707.6</v>
      </c>
      <c r="C2742">
        <v>1649.85</v>
      </c>
      <c r="D2742">
        <v>1644.8</v>
      </c>
      <c r="E2742">
        <v>1707.6</v>
      </c>
      <c r="F2742">
        <v>1649.85</v>
      </c>
      <c r="G2742">
        <v>21873</v>
      </c>
      <c r="H2742" s="106"/>
      <c r="I2742" s="106"/>
      <c r="L2742" s="143">
        <v>46042</v>
      </c>
      <c r="M2742" s="106">
        <v>1649.9</v>
      </c>
      <c r="N2742" s="106">
        <v>1702.3</v>
      </c>
      <c r="O2742" s="106">
        <v>1644.2</v>
      </c>
      <c r="P2742" s="106">
        <v>1700.2</v>
      </c>
      <c r="Q2742" s="106">
        <v>1649.9</v>
      </c>
      <c r="R2742">
        <v>1974356</v>
      </c>
    </row>
    <row r="2743" spans="1:18" x14ac:dyDescent="0.25">
      <c r="A2743" s="143">
        <v>46043</v>
      </c>
      <c r="B2743">
        <v>1661.2</v>
      </c>
      <c r="C2743">
        <v>1628.4</v>
      </c>
      <c r="D2743">
        <v>1617.8</v>
      </c>
      <c r="E2743">
        <v>1626.1</v>
      </c>
      <c r="F2743">
        <v>1628.4</v>
      </c>
      <c r="G2743">
        <v>47269</v>
      </c>
      <c r="H2743" s="106"/>
      <c r="I2743" s="106"/>
      <c r="L2743" s="143">
        <v>46043</v>
      </c>
      <c r="M2743" s="106">
        <v>1627.8</v>
      </c>
      <c r="N2743" s="106">
        <v>1660.5</v>
      </c>
      <c r="O2743" s="106">
        <v>1617.7</v>
      </c>
      <c r="P2743" s="106">
        <v>1640</v>
      </c>
      <c r="Q2743" s="106">
        <v>1627.8</v>
      </c>
      <c r="R2743">
        <v>1024168</v>
      </c>
    </row>
    <row r="2744" spans="1:18" x14ac:dyDescent="0.25">
      <c r="A2744" s="143">
        <v>46044</v>
      </c>
      <c r="B2744">
        <v>1668.85</v>
      </c>
      <c r="C2744">
        <v>1663.3</v>
      </c>
      <c r="D2744">
        <v>1630</v>
      </c>
      <c r="E2744">
        <v>1632.2</v>
      </c>
      <c r="F2744">
        <v>1663.3</v>
      </c>
      <c r="G2744">
        <v>31396</v>
      </c>
      <c r="H2744" s="106"/>
      <c r="I2744" s="106"/>
      <c r="L2744" s="143">
        <v>46044</v>
      </c>
      <c r="M2744" s="106">
        <v>1664</v>
      </c>
      <c r="N2744" s="106">
        <v>1669.6</v>
      </c>
      <c r="O2744" s="106">
        <v>1628.9</v>
      </c>
      <c r="P2744" s="106">
        <v>1631.1</v>
      </c>
      <c r="Q2744" s="106">
        <v>1664</v>
      </c>
      <c r="R2744">
        <v>1241584</v>
      </c>
    </row>
    <row r="2745" spans="1:18" x14ac:dyDescent="0.25">
      <c r="A2745" s="143">
        <v>46045</v>
      </c>
      <c r="B2745">
        <v>1665.85</v>
      </c>
      <c r="C2745">
        <v>1642.6</v>
      </c>
      <c r="D2745">
        <v>1638.15</v>
      </c>
      <c r="E2745">
        <v>1665.85</v>
      </c>
      <c r="F2745">
        <v>1642.6</v>
      </c>
      <c r="G2745">
        <v>220570</v>
      </c>
      <c r="H2745" s="106"/>
      <c r="I2745" s="106"/>
      <c r="L2745" s="143">
        <v>46045</v>
      </c>
      <c r="M2745" s="106">
        <v>1643.2</v>
      </c>
      <c r="N2745" s="106">
        <v>1667</v>
      </c>
      <c r="O2745" s="106">
        <v>1638.3</v>
      </c>
      <c r="P2745" s="106">
        <v>1664</v>
      </c>
      <c r="Q2745" s="106">
        <v>1643.2</v>
      </c>
      <c r="R2745">
        <v>1068908</v>
      </c>
    </row>
    <row r="2746" spans="1:18" x14ac:dyDescent="0.25">
      <c r="A2746" s="143">
        <v>46049</v>
      </c>
      <c r="B2746">
        <v>1664.4</v>
      </c>
      <c r="C2746">
        <v>1640.6</v>
      </c>
      <c r="D2746">
        <v>1624.35</v>
      </c>
      <c r="E2746">
        <v>1648.95</v>
      </c>
      <c r="F2746">
        <v>1640.6</v>
      </c>
      <c r="G2746">
        <v>292499</v>
      </c>
      <c r="H2746" s="106"/>
      <c r="I2746" s="106"/>
      <c r="L2746" s="143">
        <v>46049</v>
      </c>
      <c r="M2746" s="106">
        <v>1639.7</v>
      </c>
      <c r="N2746" s="106">
        <v>1666.4</v>
      </c>
      <c r="O2746" s="106">
        <v>1623.8</v>
      </c>
      <c r="P2746" s="106">
        <v>1648.7</v>
      </c>
      <c r="Q2746" s="106">
        <v>1639.7</v>
      </c>
      <c r="R2746">
        <v>1673143</v>
      </c>
    </row>
    <row r="2747" spans="1:18" x14ac:dyDescent="0.25">
      <c r="A2747" s="143">
        <v>46050</v>
      </c>
      <c r="B2747">
        <v>1653</v>
      </c>
      <c r="C2747">
        <v>1635.9</v>
      </c>
      <c r="D2747">
        <v>1630.45</v>
      </c>
      <c r="E2747">
        <v>1640.65</v>
      </c>
      <c r="F2747">
        <v>1635.9</v>
      </c>
      <c r="G2747">
        <v>103591</v>
      </c>
      <c r="H2747" s="106"/>
      <c r="I2747" s="106"/>
      <c r="L2747" s="143">
        <v>46050</v>
      </c>
      <c r="M2747" s="106">
        <v>1636.8</v>
      </c>
      <c r="N2747" s="106">
        <v>1653</v>
      </c>
      <c r="O2747" s="106">
        <v>1630.1</v>
      </c>
      <c r="P2747" s="106">
        <v>1650.9</v>
      </c>
      <c r="Q2747" s="106">
        <v>1636.8</v>
      </c>
      <c r="R2747">
        <v>1066301</v>
      </c>
    </row>
    <row r="2748" spans="1:18" x14ac:dyDescent="0.25">
      <c r="A2748" s="143">
        <v>46051</v>
      </c>
      <c r="B2748">
        <v>1657.9</v>
      </c>
      <c r="C2748">
        <v>1650</v>
      </c>
      <c r="D2748">
        <v>1609.6</v>
      </c>
      <c r="E2748">
        <v>1641.6</v>
      </c>
      <c r="F2748">
        <v>1650</v>
      </c>
      <c r="G2748">
        <v>31892</v>
      </c>
      <c r="H2748" s="106"/>
      <c r="I2748" s="106"/>
      <c r="L2748" s="143">
        <v>46051</v>
      </c>
      <c r="M2748" s="106">
        <v>1648.9</v>
      </c>
      <c r="N2748" s="106">
        <v>1658.8</v>
      </c>
      <c r="O2748" s="106">
        <v>1607.4</v>
      </c>
      <c r="P2748" s="106">
        <v>1629</v>
      </c>
      <c r="Q2748" s="106">
        <v>1648.9</v>
      </c>
      <c r="R2748">
        <v>2289696</v>
      </c>
    </row>
    <row r="2749" spans="1:18" x14ac:dyDescent="0.25">
      <c r="A2749" s="143">
        <v>46052</v>
      </c>
      <c r="B2749">
        <v>1668.8</v>
      </c>
      <c r="C2749">
        <v>1631.45</v>
      </c>
      <c r="D2749">
        <v>1617.55</v>
      </c>
      <c r="E2749">
        <v>1645.95</v>
      </c>
      <c r="F2749">
        <v>1631.45</v>
      </c>
      <c r="G2749">
        <v>50174</v>
      </c>
      <c r="H2749" s="106"/>
      <c r="I2749" s="106"/>
      <c r="L2749" s="143">
        <v>46052</v>
      </c>
      <c r="M2749" s="106">
        <v>1631.6</v>
      </c>
      <c r="N2749" s="106">
        <v>1669.5</v>
      </c>
      <c r="O2749" s="106">
        <v>1617.9</v>
      </c>
      <c r="P2749" s="106">
        <v>1650</v>
      </c>
      <c r="Q2749" s="106">
        <v>1631.6</v>
      </c>
      <c r="R2749">
        <v>1716319</v>
      </c>
    </row>
    <row r="2750" spans="1:18" x14ac:dyDescent="0.25">
      <c r="A2750" s="143">
        <v>46054</v>
      </c>
      <c r="B2750">
        <v>1648.35</v>
      </c>
      <c r="C2750">
        <v>1578.7</v>
      </c>
      <c r="D2750">
        <v>1566.4</v>
      </c>
      <c r="E2750">
        <v>1605.55</v>
      </c>
      <c r="F2750">
        <v>1578.7</v>
      </c>
      <c r="G2750">
        <v>27282</v>
      </c>
      <c r="H2750" s="106"/>
      <c r="I2750" s="106"/>
      <c r="L2750" s="143">
        <v>46054</v>
      </c>
      <c r="M2750" s="106">
        <v>1579.5</v>
      </c>
      <c r="N2750" s="106">
        <v>1649</v>
      </c>
      <c r="O2750" s="106">
        <v>1565.6</v>
      </c>
      <c r="P2750" s="106">
        <v>1618</v>
      </c>
      <c r="Q2750" s="106">
        <v>1579.5</v>
      </c>
      <c r="R2750">
        <v>674879</v>
      </c>
    </row>
    <row r="2751" spans="1:18" x14ac:dyDescent="0.25">
      <c r="A2751" s="143">
        <v>46055</v>
      </c>
      <c r="B2751">
        <v>1598.65</v>
      </c>
      <c r="C2751">
        <v>1595.65</v>
      </c>
      <c r="D2751">
        <v>1526.15</v>
      </c>
      <c r="E2751">
        <v>1577.3</v>
      </c>
      <c r="F2751">
        <v>1595.65</v>
      </c>
      <c r="G2751">
        <v>39561</v>
      </c>
      <c r="H2751" s="106"/>
      <c r="I2751" s="106"/>
      <c r="L2751" s="143">
        <v>46055</v>
      </c>
      <c r="M2751" s="106">
        <v>1594.3</v>
      </c>
      <c r="N2751" s="106">
        <v>1598.2</v>
      </c>
      <c r="O2751" s="106">
        <v>1527</v>
      </c>
      <c r="P2751" s="106">
        <v>1570.9</v>
      </c>
      <c r="Q2751" s="106">
        <v>1594.3</v>
      </c>
      <c r="R2751">
        <v>2789681</v>
      </c>
    </row>
    <row r="2752" spans="1:18" x14ac:dyDescent="0.25">
      <c r="A2752" s="143">
        <v>46056</v>
      </c>
      <c r="B2752">
        <v>1736</v>
      </c>
      <c r="C2752">
        <v>1695.95</v>
      </c>
      <c r="D2752">
        <v>1651.45</v>
      </c>
      <c r="E2752">
        <v>1651.45</v>
      </c>
      <c r="F2752">
        <v>1695.95</v>
      </c>
      <c r="G2752">
        <v>65808</v>
      </c>
      <c r="H2752" s="106"/>
      <c r="I2752" s="106"/>
      <c r="L2752" s="143">
        <v>46056</v>
      </c>
      <c r="M2752" s="106">
        <v>1694.4</v>
      </c>
      <c r="N2752" s="106">
        <v>1740</v>
      </c>
      <c r="O2752" s="106">
        <v>1674.4</v>
      </c>
      <c r="P2752" s="106">
        <v>1689.8</v>
      </c>
      <c r="Q2752" s="106">
        <v>1694.4</v>
      </c>
      <c r="R2752">
        <v>2972692</v>
      </c>
    </row>
    <row r="2753" spans="1:18" x14ac:dyDescent="0.25">
      <c r="A2753" s="143">
        <v>46057</v>
      </c>
      <c r="B2753">
        <v>1742</v>
      </c>
      <c r="C2753">
        <v>1739.1</v>
      </c>
      <c r="D2753">
        <v>1671.1</v>
      </c>
      <c r="E2753">
        <v>1696.1</v>
      </c>
      <c r="F2753">
        <v>1739.1</v>
      </c>
      <c r="G2753">
        <v>25577</v>
      </c>
      <c r="H2753" s="106"/>
      <c r="I2753" s="106"/>
      <c r="L2753" s="143">
        <v>46057</v>
      </c>
      <c r="M2753" s="106">
        <v>1739.5</v>
      </c>
      <c r="N2753" s="106">
        <v>1742.9</v>
      </c>
      <c r="O2753" s="106">
        <v>1666.7</v>
      </c>
      <c r="P2753" s="106">
        <v>1694.4</v>
      </c>
      <c r="Q2753" s="106">
        <v>1739.5</v>
      </c>
      <c r="R2753">
        <v>2366864</v>
      </c>
    </row>
    <row r="2754" spans="1:18" x14ac:dyDescent="0.25">
      <c r="A2754" s="143">
        <v>46058</v>
      </c>
      <c r="B2754">
        <v>1742.05</v>
      </c>
      <c r="C2754">
        <v>1721.95</v>
      </c>
      <c r="D2754">
        <v>1717.6</v>
      </c>
      <c r="E2754">
        <v>1740</v>
      </c>
      <c r="F2754">
        <v>1721.95</v>
      </c>
      <c r="G2754">
        <v>6090</v>
      </c>
      <c r="H2754" s="106"/>
      <c r="I2754" s="106"/>
      <c r="L2754" s="143">
        <v>46058</v>
      </c>
      <c r="M2754" s="106">
        <v>1722.3</v>
      </c>
      <c r="N2754" s="106">
        <v>1745</v>
      </c>
      <c r="O2754" s="106">
        <v>1717.1</v>
      </c>
      <c r="P2754" s="106">
        <v>1740</v>
      </c>
      <c r="Q2754" s="106">
        <v>1722.3</v>
      </c>
      <c r="R2754">
        <v>391219</v>
      </c>
    </row>
    <row r="2755" spans="1:18" x14ac:dyDescent="0.25">
      <c r="A2755" s="143">
        <v>46059</v>
      </c>
      <c r="B2755">
        <v>1747.6</v>
      </c>
      <c r="C2755">
        <v>1742.35</v>
      </c>
      <c r="D2755">
        <v>1702.4</v>
      </c>
      <c r="E2755">
        <v>1717.7</v>
      </c>
      <c r="F2755">
        <v>1742.35</v>
      </c>
      <c r="G2755">
        <v>26133</v>
      </c>
      <c r="H2755" s="106"/>
      <c r="I2755" s="106"/>
      <c r="L2755" s="143">
        <v>46059</v>
      </c>
      <c r="M2755" s="106">
        <v>1742.2</v>
      </c>
      <c r="N2755" s="106">
        <v>1748</v>
      </c>
      <c r="O2755" s="106">
        <v>1701.8</v>
      </c>
      <c r="P2755" s="106">
        <v>1711.2</v>
      </c>
      <c r="Q2755" s="106">
        <v>1742.2</v>
      </c>
      <c r="R2755">
        <v>1197294</v>
      </c>
    </row>
    <row r="2756" spans="1:18" x14ac:dyDescent="0.25">
      <c r="A2756" s="143">
        <v>46062</v>
      </c>
      <c r="B2756">
        <v>1776.55</v>
      </c>
      <c r="C2756">
        <v>1770.7</v>
      </c>
      <c r="D2756">
        <v>1747.25</v>
      </c>
      <c r="E2756">
        <v>1747.25</v>
      </c>
      <c r="F2756">
        <v>1770.7</v>
      </c>
      <c r="G2756">
        <v>61597</v>
      </c>
      <c r="H2756" s="106"/>
      <c r="I2756" s="106"/>
      <c r="L2756" s="143">
        <v>46062</v>
      </c>
      <c r="M2756" s="106">
        <v>1770.2</v>
      </c>
      <c r="N2756" s="106">
        <v>1776.7</v>
      </c>
      <c r="O2756" s="106">
        <v>1750.3</v>
      </c>
      <c r="P2756" s="106">
        <v>1760</v>
      </c>
      <c r="Q2756" s="106">
        <v>1770.2</v>
      </c>
      <c r="R2756">
        <v>1602785</v>
      </c>
    </row>
    <row r="2757" spans="1:18" x14ac:dyDescent="0.25">
      <c r="A2757" s="143">
        <v>46063</v>
      </c>
      <c r="B2757">
        <v>1775</v>
      </c>
      <c r="C2757">
        <v>1726.95</v>
      </c>
      <c r="D2757">
        <v>1721.1</v>
      </c>
      <c r="E2757">
        <v>1771.7</v>
      </c>
      <c r="F2757">
        <v>1726.95</v>
      </c>
      <c r="G2757">
        <v>21441</v>
      </c>
      <c r="H2757" s="106"/>
      <c r="I2757" s="106"/>
      <c r="L2757" s="143">
        <v>46063</v>
      </c>
      <c r="M2757" s="106">
        <v>1726.2</v>
      </c>
      <c r="N2757" s="106">
        <v>1776.7</v>
      </c>
      <c r="O2757" s="106">
        <v>1721.6</v>
      </c>
      <c r="P2757" s="106">
        <v>1775</v>
      </c>
      <c r="Q2757" s="106">
        <v>1726.2</v>
      </c>
      <c r="R2757">
        <v>1161279</v>
      </c>
    </row>
    <row r="2758" spans="1:18" x14ac:dyDescent="0.25">
      <c r="A2758" s="143">
        <v>46064</v>
      </c>
      <c r="B2758">
        <v>1750.25</v>
      </c>
      <c r="C2758">
        <v>1722.7</v>
      </c>
      <c r="D2758">
        <v>1713.8</v>
      </c>
      <c r="E2758">
        <v>1750.25</v>
      </c>
      <c r="F2758">
        <v>1722.7</v>
      </c>
      <c r="G2758">
        <v>11295</v>
      </c>
      <c r="H2758" s="106"/>
      <c r="I2758" s="106"/>
      <c r="L2758" s="143">
        <v>46064</v>
      </c>
      <c r="M2758" s="106">
        <v>1723</v>
      </c>
      <c r="N2758" s="106">
        <v>1736.2</v>
      </c>
      <c r="O2758" s="106">
        <v>1714.6</v>
      </c>
      <c r="P2758" s="106">
        <v>1732</v>
      </c>
      <c r="Q2758" s="106">
        <v>1723</v>
      </c>
      <c r="R2758">
        <v>321552</v>
      </c>
    </row>
    <row r="2759" spans="1:18" x14ac:dyDescent="0.25">
      <c r="A2759" s="143">
        <v>46065</v>
      </c>
      <c r="B2759">
        <v>1740.4</v>
      </c>
      <c r="C2759">
        <v>1733.5</v>
      </c>
      <c r="D2759">
        <v>1699</v>
      </c>
      <c r="E2759">
        <v>1724.45</v>
      </c>
      <c r="F2759">
        <v>1733.5</v>
      </c>
      <c r="G2759">
        <v>19251</v>
      </c>
      <c r="H2759" s="106"/>
      <c r="I2759" s="106"/>
      <c r="L2759" s="143">
        <v>46065</v>
      </c>
      <c r="M2759" s="106">
        <v>1731.8</v>
      </c>
      <c r="N2759" s="106">
        <v>1741</v>
      </c>
      <c r="O2759" s="106">
        <v>1699</v>
      </c>
      <c r="P2759" s="106">
        <v>1718</v>
      </c>
      <c r="Q2759" s="106">
        <v>1731.8</v>
      </c>
      <c r="R2759">
        <v>1316309</v>
      </c>
    </row>
    <row r="2760" spans="1:18" x14ac:dyDescent="0.25">
      <c r="A2760" s="143">
        <v>46066</v>
      </c>
      <c r="B2760">
        <v>1727.9</v>
      </c>
      <c r="C2760">
        <v>1708.9</v>
      </c>
      <c r="D2760">
        <v>1703.95</v>
      </c>
      <c r="E2760">
        <v>1727.9</v>
      </c>
      <c r="F2760">
        <v>1708.9</v>
      </c>
      <c r="G2760">
        <v>25535</v>
      </c>
      <c r="H2760" s="106"/>
      <c r="I2760" s="106"/>
      <c r="L2760" s="143">
        <v>46066</v>
      </c>
      <c r="M2760" s="106">
        <v>1709.4</v>
      </c>
      <c r="N2760" s="106">
        <v>1731</v>
      </c>
      <c r="O2760" s="106">
        <v>1703</v>
      </c>
      <c r="P2760" s="106">
        <v>1727.3</v>
      </c>
      <c r="Q2760" s="106">
        <v>1709.4</v>
      </c>
      <c r="R2760">
        <v>1544271</v>
      </c>
    </row>
    <row r="2761" spans="1:18" x14ac:dyDescent="0.25">
      <c r="A2761" s="143">
        <v>46069</v>
      </c>
      <c r="B2761">
        <v>1720.5</v>
      </c>
      <c r="C2761">
        <v>1714.8</v>
      </c>
      <c r="D2761">
        <v>1684</v>
      </c>
      <c r="E2761">
        <v>1696.3</v>
      </c>
      <c r="F2761">
        <v>1714.8</v>
      </c>
      <c r="G2761">
        <v>8373</v>
      </c>
      <c r="H2761" s="106"/>
      <c r="I2761" s="106"/>
      <c r="L2761" s="143">
        <v>46069</v>
      </c>
      <c r="M2761" s="106">
        <v>1714.8</v>
      </c>
      <c r="N2761" s="106">
        <v>1721.4</v>
      </c>
      <c r="O2761" s="106">
        <v>1683.8</v>
      </c>
      <c r="P2761" s="106">
        <v>1692</v>
      </c>
      <c r="Q2761" s="106">
        <v>1714.8</v>
      </c>
      <c r="R2761">
        <v>900028</v>
      </c>
    </row>
    <row r="2762" spans="1:18" x14ac:dyDescent="0.25">
      <c r="A2762" s="143">
        <v>46070</v>
      </c>
      <c r="B2762">
        <v>1737.95</v>
      </c>
      <c r="C2762">
        <v>1732.4</v>
      </c>
      <c r="D2762">
        <v>1695.2</v>
      </c>
      <c r="E2762">
        <v>1714.5</v>
      </c>
      <c r="F2762">
        <v>1732.4</v>
      </c>
      <c r="G2762">
        <v>17510</v>
      </c>
      <c r="H2762" s="106"/>
      <c r="I2762" s="106"/>
      <c r="L2762" s="143">
        <v>46070</v>
      </c>
      <c r="M2762" s="106">
        <v>1732.1</v>
      </c>
      <c r="N2762" s="106">
        <v>1737.6</v>
      </c>
      <c r="O2762" s="106">
        <v>1695</v>
      </c>
      <c r="P2762" s="106">
        <v>1713</v>
      </c>
      <c r="Q2762" s="106">
        <v>1732.1</v>
      </c>
      <c r="R2762">
        <v>324355</v>
      </c>
    </row>
    <row r="2763" spans="1:18" x14ac:dyDescent="0.25">
      <c r="A2763" s="143">
        <v>46071</v>
      </c>
      <c r="B2763">
        <v>1729.65</v>
      </c>
      <c r="C2763">
        <v>1716.95</v>
      </c>
      <c r="D2763">
        <v>1709.25</v>
      </c>
      <c r="E2763">
        <v>1718.45</v>
      </c>
      <c r="F2763">
        <v>1716.95</v>
      </c>
      <c r="G2763">
        <v>157072</v>
      </c>
      <c r="H2763" s="106"/>
      <c r="I2763" s="106"/>
      <c r="L2763" s="143">
        <v>46071</v>
      </c>
      <c r="M2763" s="106">
        <v>1717</v>
      </c>
      <c r="N2763" s="106">
        <v>1732.1</v>
      </c>
      <c r="O2763" s="106">
        <v>1709.6</v>
      </c>
      <c r="P2763" s="106">
        <v>1730</v>
      </c>
      <c r="Q2763" s="106">
        <v>1717</v>
      </c>
      <c r="R2763">
        <v>1254525</v>
      </c>
    </row>
    <row r="2764" spans="1:18" x14ac:dyDescent="0.25">
      <c r="A2764" s="143">
        <v>46072</v>
      </c>
      <c r="B2764">
        <v>1724.6</v>
      </c>
      <c r="C2764">
        <v>1669.5</v>
      </c>
      <c r="D2764">
        <v>1657.45</v>
      </c>
      <c r="E2764">
        <v>1721.45</v>
      </c>
      <c r="F2764">
        <v>1669.5</v>
      </c>
      <c r="G2764">
        <v>31670</v>
      </c>
      <c r="H2764" s="106"/>
      <c r="I2764" s="106"/>
      <c r="L2764" s="143">
        <v>46072</v>
      </c>
      <c r="M2764" s="106">
        <v>1676.6</v>
      </c>
      <c r="N2764" s="106">
        <v>1728.9</v>
      </c>
      <c r="O2764" s="106">
        <v>1671.7</v>
      </c>
      <c r="P2764" s="106">
        <v>1725.2</v>
      </c>
      <c r="Q2764" s="106">
        <v>1676.6</v>
      </c>
      <c r="R2764">
        <v>947586</v>
      </c>
    </row>
    <row r="2765" spans="1:18" x14ac:dyDescent="0.25">
      <c r="A2765" s="143">
        <v>46073</v>
      </c>
      <c r="B2765">
        <v>1684.4</v>
      </c>
      <c r="C2765">
        <v>1671.05</v>
      </c>
      <c r="D2765">
        <v>1662.6</v>
      </c>
      <c r="E2765">
        <v>1669.6</v>
      </c>
      <c r="F2765">
        <v>1671.05</v>
      </c>
      <c r="G2765">
        <v>7948</v>
      </c>
      <c r="H2765" s="106"/>
      <c r="I2765" s="106"/>
      <c r="L2765" s="143">
        <v>46073</v>
      </c>
      <c r="M2765" s="106">
        <v>1669.6</v>
      </c>
      <c r="N2765" s="106">
        <v>1686</v>
      </c>
      <c r="O2765" s="106">
        <v>1662</v>
      </c>
      <c r="P2765" s="106">
        <v>1670.6</v>
      </c>
      <c r="Q2765" s="106">
        <v>1669.6</v>
      </c>
      <c r="R2765">
        <v>643936</v>
      </c>
    </row>
    <row r="2766" spans="1:18" x14ac:dyDescent="0.25">
      <c r="A2766" s="143">
        <v>46076</v>
      </c>
      <c r="B2766">
        <v>1706.8</v>
      </c>
      <c r="C2766">
        <v>1690.65</v>
      </c>
      <c r="D2766">
        <v>1675</v>
      </c>
      <c r="E2766">
        <v>1675.25</v>
      </c>
      <c r="F2766">
        <v>1690.65</v>
      </c>
      <c r="G2766">
        <v>19461</v>
      </c>
      <c r="H2766" s="106"/>
      <c r="I2766" s="106"/>
      <c r="L2766" s="143">
        <v>46076</v>
      </c>
      <c r="M2766" s="106">
        <v>1689.8</v>
      </c>
      <c r="N2766" s="106">
        <v>1706.8</v>
      </c>
      <c r="O2766" s="106">
        <v>1672.7</v>
      </c>
      <c r="P2766" s="106">
        <v>1677.5</v>
      </c>
      <c r="Q2766" s="106">
        <v>1689.8</v>
      </c>
      <c r="R2766">
        <v>731931</v>
      </c>
    </row>
    <row r="2767" spans="1:18" x14ac:dyDescent="0.25">
      <c r="A2767" s="143">
        <v>46077</v>
      </c>
      <c r="B2767">
        <v>1740</v>
      </c>
      <c r="C2767">
        <v>1735.35</v>
      </c>
      <c r="D2767">
        <v>1664.6</v>
      </c>
      <c r="E2767">
        <v>1690.7</v>
      </c>
      <c r="F2767">
        <v>1735.35</v>
      </c>
      <c r="G2767">
        <v>42257</v>
      </c>
      <c r="H2767" s="106"/>
      <c r="I2767" s="106"/>
      <c r="L2767" s="143">
        <v>46077</v>
      </c>
      <c r="M2767" s="106">
        <v>1735.1</v>
      </c>
      <c r="N2767" s="106">
        <v>1740</v>
      </c>
      <c r="O2767" s="106">
        <v>1663.4</v>
      </c>
      <c r="P2767" s="106">
        <v>1686.3</v>
      </c>
      <c r="Q2767" s="106">
        <v>1735.1</v>
      </c>
      <c r="R2767">
        <v>2032442</v>
      </c>
    </row>
    <row r="2768" spans="1:18" x14ac:dyDescent="0.25">
      <c r="A2768" s="143">
        <v>46078</v>
      </c>
      <c r="B2768">
        <v>1757.95</v>
      </c>
      <c r="C2768">
        <v>1754.45</v>
      </c>
      <c r="D2768">
        <v>1728</v>
      </c>
      <c r="E2768">
        <v>1757.95</v>
      </c>
      <c r="F2768">
        <v>1754.45</v>
      </c>
      <c r="G2768">
        <v>148463</v>
      </c>
      <c r="H2768" s="106"/>
      <c r="I2768" s="106"/>
      <c r="L2768" s="143">
        <v>46078</v>
      </c>
      <c r="M2768" s="106">
        <v>1754.5</v>
      </c>
      <c r="N2768" s="106">
        <v>1757</v>
      </c>
      <c r="O2768" s="106">
        <v>1727.6</v>
      </c>
      <c r="P2768" s="106">
        <v>1746</v>
      </c>
      <c r="Q2768" s="106">
        <v>1754.5</v>
      </c>
      <c r="R2768">
        <v>779164</v>
      </c>
    </row>
    <row r="2769" spans="1:18" x14ac:dyDescent="0.25">
      <c r="A2769" s="143">
        <v>46079</v>
      </c>
      <c r="B2769">
        <v>1774.15</v>
      </c>
      <c r="C2769">
        <v>1748.3</v>
      </c>
      <c r="D2769">
        <v>1628.45</v>
      </c>
      <c r="E2769">
        <v>1763.1</v>
      </c>
      <c r="F2769">
        <v>1748.3</v>
      </c>
      <c r="G2769">
        <v>964172</v>
      </c>
      <c r="H2769" s="106"/>
      <c r="I2769" s="106"/>
      <c r="L2769" s="143">
        <v>46079</v>
      </c>
      <c r="M2769" s="106">
        <v>1748.1</v>
      </c>
      <c r="N2769" s="106">
        <v>1774.6</v>
      </c>
      <c r="O2769" s="106">
        <v>1628</v>
      </c>
      <c r="P2769" s="106">
        <v>1754.9</v>
      </c>
      <c r="Q2769" s="106">
        <v>1748.1</v>
      </c>
      <c r="R2769">
        <v>9382761</v>
      </c>
    </row>
    <row r="2770" spans="1:18" x14ac:dyDescent="0.25">
      <c r="A2770" s="143">
        <v>46080</v>
      </c>
      <c r="B2770">
        <v>1751.65</v>
      </c>
      <c r="C2770">
        <v>1730.65</v>
      </c>
      <c r="D2770">
        <v>1723.05</v>
      </c>
      <c r="E2770">
        <v>1742</v>
      </c>
      <c r="F2770">
        <v>1730.65</v>
      </c>
      <c r="G2770">
        <v>1509245</v>
      </c>
      <c r="H2770" s="106"/>
      <c r="I2770" s="106"/>
      <c r="L2770" s="143">
        <v>46080</v>
      </c>
      <c r="M2770" s="106">
        <v>1730.8</v>
      </c>
      <c r="N2770" s="106">
        <v>1752.5</v>
      </c>
      <c r="O2770" s="106">
        <v>1722.4</v>
      </c>
      <c r="P2770" s="106">
        <v>1740</v>
      </c>
      <c r="Q2770" s="106">
        <v>1730.8</v>
      </c>
      <c r="R2770">
        <v>1844360</v>
      </c>
    </row>
    <row r="2771" spans="1:18" x14ac:dyDescent="0.25">
      <c r="A2771" s="143">
        <v>46083</v>
      </c>
      <c r="B2771">
        <v>1721.3</v>
      </c>
      <c r="C2771">
        <v>1703.9</v>
      </c>
      <c r="D2771">
        <v>1657.05</v>
      </c>
      <c r="E2771">
        <v>1657.05</v>
      </c>
      <c r="F2771">
        <v>1703.9</v>
      </c>
      <c r="G2771">
        <v>16227</v>
      </c>
      <c r="H2771" s="106"/>
      <c r="I2771" s="106"/>
      <c r="L2771" s="143">
        <v>46083</v>
      </c>
      <c r="M2771" s="106">
        <v>1703.7</v>
      </c>
      <c r="N2771" s="106">
        <v>1722.1</v>
      </c>
      <c r="O2771" s="106">
        <v>1661</v>
      </c>
      <c r="P2771" s="106">
        <v>1661</v>
      </c>
      <c r="Q2771" s="106">
        <v>1703.7</v>
      </c>
      <c r="R2771">
        <v>985503</v>
      </c>
    </row>
    <row r="2772" spans="1:18" x14ac:dyDescent="0.25">
      <c r="A2772" s="143">
        <v>46085</v>
      </c>
      <c r="B2772">
        <v>1690</v>
      </c>
      <c r="C2772">
        <v>1653.45</v>
      </c>
      <c r="D2772">
        <v>1630</v>
      </c>
      <c r="E2772">
        <v>1670.05</v>
      </c>
      <c r="F2772">
        <v>1653.45</v>
      </c>
      <c r="G2772">
        <v>41249</v>
      </c>
      <c r="H2772" s="106"/>
      <c r="I2772" s="106"/>
      <c r="L2772" s="143">
        <v>46085</v>
      </c>
      <c r="M2772" s="106">
        <v>1653.6</v>
      </c>
      <c r="N2772" s="106">
        <v>1695.9</v>
      </c>
      <c r="O2772" s="106">
        <v>1628.1</v>
      </c>
      <c r="P2772" s="106">
        <v>1695.9</v>
      </c>
      <c r="Q2772" s="106">
        <v>1653.6</v>
      </c>
      <c r="R2772">
        <v>1509341</v>
      </c>
    </row>
    <row r="2773" spans="1:18" x14ac:dyDescent="0.25">
      <c r="A2773" s="143">
        <v>46086</v>
      </c>
      <c r="B2773">
        <v>1689.9</v>
      </c>
      <c r="C2773">
        <v>1671.15</v>
      </c>
      <c r="D2773">
        <v>1640</v>
      </c>
      <c r="E2773">
        <v>1641.05</v>
      </c>
      <c r="F2773">
        <v>1671.15</v>
      </c>
      <c r="G2773">
        <v>22323</v>
      </c>
      <c r="H2773" s="106"/>
      <c r="I2773" s="106"/>
      <c r="L2773" s="143">
        <v>46086</v>
      </c>
      <c r="M2773" s="106">
        <v>1669</v>
      </c>
      <c r="N2773" s="106">
        <v>1690.4</v>
      </c>
      <c r="O2773" s="106">
        <v>1639.6</v>
      </c>
      <c r="P2773" s="106">
        <v>1655</v>
      </c>
      <c r="Q2773" s="106">
        <v>1669</v>
      </c>
      <c r="R2773">
        <v>2076383</v>
      </c>
    </row>
    <row r="2774" spans="1:18" x14ac:dyDescent="0.25">
      <c r="A2774" s="143">
        <v>46087</v>
      </c>
      <c r="B2774">
        <v>1669.55</v>
      </c>
      <c r="C2774">
        <v>1625.5</v>
      </c>
      <c r="D2774">
        <v>1621</v>
      </c>
      <c r="E2774">
        <v>1651.55</v>
      </c>
      <c r="F2774">
        <v>1625.5</v>
      </c>
      <c r="G2774">
        <v>22269</v>
      </c>
      <c r="H2774" s="106"/>
      <c r="I2774" s="106"/>
      <c r="L2774" s="143">
        <v>46087</v>
      </c>
      <c r="M2774" s="106">
        <v>1626.3</v>
      </c>
      <c r="N2774" s="106">
        <v>1674.6</v>
      </c>
      <c r="O2774" s="106">
        <v>1620</v>
      </c>
      <c r="P2774" s="106">
        <v>1664</v>
      </c>
      <c r="Q2774" s="106">
        <v>1626.3</v>
      </c>
      <c r="R2774">
        <v>1022219</v>
      </c>
    </row>
    <row r="2775" spans="1:18" x14ac:dyDescent="0.25">
      <c r="A2775" s="143">
        <v>46090</v>
      </c>
      <c r="B2775">
        <v>1588.9</v>
      </c>
      <c r="C2775">
        <v>1583.15</v>
      </c>
      <c r="D2775">
        <v>1470.05</v>
      </c>
      <c r="E2775">
        <v>1574.05</v>
      </c>
      <c r="F2775">
        <v>1583.15</v>
      </c>
      <c r="G2775">
        <v>45633</v>
      </c>
      <c r="H2775" s="106"/>
      <c r="I2775" s="106"/>
      <c r="L2775" s="143">
        <v>46090</v>
      </c>
      <c r="M2775" s="106">
        <v>1583</v>
      </c>
      <c r="N2775" s="106">
        <v>1589.4</v>
      </c>
      <c r="O2775" s="106">
        <v>1465</v>
      </c>
      <c r="P2775" s="106">
        <v>1575</v>
      </c>
      <c r="Q2775" s="106">
        <v>1583</v>
      </c>
      <c r="R2775">
        <v>1756873</v>
      </c>
    </row>
    <row r="2776" spans="1:18" x14ac:dyDescent="0.25">
      <c r="A2776" s="143">
        <v>46091</v>
      </c>
      <c r="B2776">
        <v>1633.1</v>
      </c>
      <c r="C2776">
        <v>1621.7</v>
      </c>
      <c r="D2776">
        <v>1590.75</v>
      </c>
      <c r="E2776">
        <v>1590.75</v>
      </c>
      <c r="F2776">
        <v>1621.7</v>
      </c>
      <c r="G2776">
        <v>34101</v>
      </c>
      <c r="H2776" s="106"/>
      <c r="I2776" s="106"/>
      <c r="L2776" s="143">
        <v>46091</v>
      </c>
      <c r="M2776" s="106">
        <v>1621.9</v>
      </c>
      <c r="N2776" s="106">
        <v>1632.9</v>
      </c>
      <c r="O2776" s="106">
        <v>1593</v>
      </c>
      <c r="P2776" s="106">
        <v>1606</v>
      </c>
      <c r="Q2776" s="106">
        <v>1621.9</v>
      </c>
      <c r="R2776">
        <v>1062910</v>
      </c>
    </row>
    <row r="2777" spans="1:18" x14ac:dyDescent="0.25">
      <c r="A2777" s="143">
        <v>46092</v>
      </c>
      <c r="B2777">
        <v>1627.8</v>
      </c>
      <c r="C2777">
        <v>1557.3</v>
      </c>
      <c r="D2777">
        <v>1552.95</v>
      </c>
      <c r="E2777">
        <v>1627.8</v>
      </c>
      <c r="F2777">
        <v>1557.3</v>
      </c>
      <c r="G2777">
        <v>167099</v>
      </c>
      <c r="H2777" s="106"/>
      <c r="I2777" s="106"/>
      <c r="L2777" s="143">
        <v>46092</v>
      </c>
      <c r="M2777" s="106">
        <v>1557.4</v>
      </c>
      <c r="N2777" s="106">
        <v>1622.3</v>
      </c>
      <c r="O2777" s="106">
        <v>1553.1</v>
      </c>
      <c r="P2777" s="106">
        <v>1620.1</v>
      </c>
      <c r="Q2777" s="106">
        <v>1557.4</v>
      </c>
      <c r="R2777">
        <v>1499792</v>
      </c>
    </row>
    <row r="2778" spans="1:18" x14ac:dyDescent="0.25">
      <c r="A2778" s="143">
        <v>46093</v>
      </c>
      <c r="B2778">
        <v>1557</v>
      </c>
      <c r="C2778">
        <v>1523.85</v>
      </c>
      <c r="D2778">
        <v>1510</v>
      </c>
      <c r="E2778">
        <v>1544.1</v>
      </c>
      <c r="F2778">
        <v>1523.85</v>
      </c>
      <c r="G2778">
        <v>41787</v>
      </c>
      <c r="H2778" s="106"/>
      <c r="I2778" s="106"/>
      <c r="L2778" s="143">
        <v>46093</v>
      </c>
      <c r="M2778" s="106">
        <v>1526.1</v>
      </c>
      <c r="N2778" s="106">
        <v>1552.3</v>
      </c>
      <c r="O2778" s="106">
        <v>1510</v>
      </c>
      <c r="P2778" s="106">
        <v>1548</v>
      </c>
      <c r="Q2778" s="106">
        <v>1526.1</v>
      </c>
      <c r="R2778">
        <v>2352076</v>
      </c>
    </row>
    <row r="2779" spans="1:18" x14ac:dyDescent="0.25">
      <c r="A2779" s="143">
        <v>46094</v>
      </c>
      <c r="B2779">
        <v>1531.85</v>
      </c>
      <c r="C2779">
        <v>1514.2</v>
      </c>
      <c r="D2779">
        <v>1500.45</v>
      </c>
      <c r="E2779">
        <v>1500.85</v>
      </c>
      <c r="F2779">
        <v>1514.2</v>
      </c>
      <c r="G2779">
        <v>31882</v>
      </c>
      <c r="H2779" s="106"/>
      <c r="I2779" s="106"/>
      <c r="L2779" s="143">
        <v>46094</v>
      </c>
      <c r="M2779" s="106">
        <v>1514</v>
      </c>
      <c r="N2779" s="106">
        <v>1531.8</v>
      </c>
      <c r="O2779" s="106">
        <v>1500</v>
      </c>
      <c r="P2779" s="106">
        <v>1515.9</v>
      </c>
      <c r="Q2779" s="106">
        <v>1514</v>
      </c>
      <c r="R2779">
        <v>1452053</v>
      </c>
    </row>
    <row r="2780" spans="1:18" x14ac:dyDescent="0.25">
      <c r="A2780" s="143">
        <v>46097</v>
      </c>
      <c r="B2780">
        <v>1542.4</v>
      </c>
      <c r="C2780">
        <v>1526.7</v>
      </c>
      <c r="D2780">
        <v>1485</v>
      </c>
      <c r="E2780">
        <v>1518</v>
      </c>
      <c r="F2780">
        <v>1526.7</v>
      </c>
      <c r="G2780">
        <v>179091</v>
      </c>
      <c r="H2780" s="106"/>
      <c r="I2780" s="106"/>
      <c r="L2780" s="143">
        <v>46097</v>
      </c>
      <c r="M2780" s="106">
        <v>1527.1</v>
      </c>
      <c r="N2780" s="106">
        <v>1542.3</v>
      </c>
      <c r="O2780" s="106">
        <v>1485</v>
      </c>
      <c r="P2780" s="106">
        <v>1514</v>
      </c>
      <c r="Q2780" s="106">
        <v>1527.1</v>
      </c>
      <c r="R2780">
        <v>2959644</v>
      </c>
    </row>
    <row r="2781" spans="1:18" x14ac:dyDescent="0.25">
      <c r="A2781" s="143">
        <v>46098</v>
      </c>
      <c r="B2781">
        <v>1555.8</v>
      </c>
      <c r="C2781">
        <v>1528.2</v>
      </c>
      <c r="D2781">
        <v>1511</v>
      </c>
      <c r="E2781">
        <v>1549.95</v>
      </c>
      <c r="F2781">
        <v>1528.2</v>
      </c>
      <c r="G2781">
        <v>1203069</v>
      </c>
      <c r="H2781" s="106"/>
      <c r="I2781" s="106"/>
      <c r="L2781" s="143">
        <v>46098</v>
      </c>
      <c r="M2781" s="106">
        <v>1529</v>
      </c>
      <c r="N2781" s="106">
        <v>1557.4</v>
      </c>
      <c r="O2781" s="106">
        <v>1511</v>
      </c>
      <c r="P2781" s="106">
        <v>1530.1</v>
      </c>
      <c r="Q2781" s="106">
        <v>1529</v>
      </c>
      <c r="R2781">
        <v>972406</v>
      </c>
    </row>
    <row r="2782" spans="1:18" x14ac:dyDescent="0.25">
      <c r="A2782" s="143">
        <v>46099</v>
      </c>
      <c r="B2782">
        <v>1544.35</v>
      </c>
      <c r="C2782">
        <v>1524.9</v>
      </c>
      <c r="D2782">
        <v>1511.2</v>
      </c>
      <c r="E2782">
        <v>1529</v>
      </c>
      <c r="F2782">
        <v>1524.9</v>
      </c>
      <c r="G2782">
        <v>80622</v>
      </c>
      <c r="H2782" s="106"/>
      <c r="I2782" s="106"/>
      <c r="L2782" s="143">
        <v>46099</v>
      </c>
      <c r="M2782" s="106">
        <v>1524.2</v>
      </c>
      <c r="N2782" s="106">
        <v>1547.3</v>
      </c>
      <c r="O2782" s="106">
        <v>1510.4</v>
      </c>
      <c r="P2782" s="106">
        <v>1530.5</v>
      </c>
      <c r="Q2782" s="106">
        <v>1524.2</v>
      </c>
      <c r="R2782">
        <v>2077220</v>
      </c>
    </row>
    <row r="2783" spans="1:18" x14ac:dyDescent="0.25">
      <c r="A2783" s="143">
        <v>46100</v>
      </c>
      <c r="B2783">
        <v>1502.8</v>
      </c>
      <c r="C2783">
        <v>1454.5</v>
      </c>
      <c r="D2783">
        <v>1445.15</v>
      </c>
      <c r="E2783">
        <v>1485.55</v>
      </c>
      <c r="F2783">
        <v>1454.5</v>
      </c>
      <c r="G2783">
        <v>70279</v>
      </c>
      <c r="H2783" s="106"/>
      <c r="I2783" s="106"/>
      <c r="L2783" s="143">
        <v>46100</v>
      </c>
      <c r="M2783" s="106">
        <v>1455.1</v>
      </c>
      <c r="N2783" s="106">
        <v>1504.7</v>
      </c>
      <c r="O2783" s="106">
        <v>1445.1</v>
      </c>
      <c r="P2783" s="106">
        <v>1500</v>
      </c>
      <c r="Q2783" s="106">
        <v>1455.1</v>
      </c>
      <c r="R2783">
        <v>1822028</v>
      </c>
    </row>
    <row r="2784" spans="1:18" x14ac:dyDescent="0.25">
      <c r="A2784" s="143">
        <v>46101</v>
      </c>
      <c r="B2784">
        <v>1467.25</v>
      </c>
      <c r="C2784">
        <v>1440.25</v>
      </c>
      <c r="D2784">
        <v>1437</v>
      </c>
      <c r="E2784">
        <v>1460</v>
      </c>
      <c r="F2784">
        <v>1440.25</v>
      </c>
      <c r="G2784">
        <v>139501</v>
      </c>
      <c r="H2784" s="106"/>
      <c r="I2784" s="106"/>
      <c r="L2784" s="143">
        <v>46101</v>
      </c>
      <c r="M2784" s="106">
        <v>1440.5</v>
      </c>
      <c r="N2784" s="106">
        <v>1468</v>
      </c>
      <c r="O2784" s="106">
        <v>1436.3</v>
      </c>
      <c r="P2784" s="106">
        <v>1460</v>
      </c>
      <c r="Q2784" s="106">
        <v>1440.5</v>
      </c>
      <c r="R2784">
        <v>2452413</v>
      </c>
    </row>
    <row r="2785" spans="1:18" x14ac:dyDescent="0.25">
      <c r="A2785" s="143">
        <v>46104</v>
      </c>
      <c r="B2785">
        <v>1439.35</v>
      </c>
      <c r="C2785">
        <v>1381.55</v>
      </c>
      <c r="D2785">
        <v>1375.4</v>
      </c>
      <c r="E2785">
        <v>1439.35</v>
      </c>
      <c r="F2785">
        <v>1381.55</v>
      </c>
      <c r="G2785">
        <v>40022</v>
      </c>
      <c r="H2785" s="106"/>
      <c r="I2785" s="106"/>
      <c r="L2785" s="143">
        <v>46104</v>
      </c>
      <c r="M2785" s="106">
        <v>1380.9</v>
      </c>
      <c r="N2785" s="106">
        <v>1429.7</v>
      </c>
      <c r="O2785" s="106">
        <v>1375.6</v>
      </c>
      <c r="P2785" s="106">
        <v>1429.7</v>
      </c>
      <c r="Q2785" s="106">
        <v>1380.9</v>
      </c>
      <c r="R2785">
        <v>2569553</v>
      </c>
    </row>
    <row r="2786" spans="1:18" x14ac:dyDescent="0.25">
      <c r="A2786" s="143">
        <v>46105</v>
      </c>
      <c r="B2786">
        <v>1428</v>
      </c>
      <c r="C2786">
        <v>1416.15</v>
      </c>
      <c r="D2786">
        <v>1376</v>
      </c>
      <c r="E2786">
        <v>1393.95</v>
      </c>
      <c r="F2786">
        <v>1416.15</v>
      </c>
      <c r="G2786">
        <v>429772</v>
      </c>
      <c r="H2786" s="106"/>
      <c r="I2786" s="106"/>
      <c r="L2786" s="143">
        <v>46105</v>
      </c>
      <c r="M2786" s="106">
        <v>1418.9</v>
      </c>
      <c r="N2786" s="106">
        <v>1428</v>
      </c>
      <c r="O2786" s="106">
        <v>1375.2</v>
      </c>
      <c r="P2786" s="106">
        <v>1400</v>
      </c>
      <c r="Q2786" s="106">
        <v>1418.9</v>
      </c>
      <c r="R2786">
        <v>2457386</v>
      </c>
    </row>
    <row r="2787" spans="1:18" x14ac:dyDescent="0.25">
      <c r="A2787" s="143">
        <v>46106</v>
      </c>
      <c r="B2787">
        <v>1483.3</v>
      </c>
      <c r="C2787">
        <v>1474.25</v>
      </c>
      <c r="D2787">
        <v>1420</v>
      </c>
      <c r="E2787">
        <v>1453.75</v>
      </c>
      <c r="F2787">
        <v>1474.25</v>
      </c>
      <c r="G2787">
        <v>367680</v>
      </c>
      <c r="H2787" s="106"/>
      <c r="I2787" s="106"/>
      <c r="L2787" s="143">
        <v>46106</v>
      </c>
      <c r="M2787" s="106">
        <v>1473.8</v>
      </c>
      <c r="N2787" s="106">
        <v>1483.3</v>
      </c>
      <c r="O2787" s="106">
        <v>1428.7</v>
      </c>
      <c r="P2787" s="106">
        <v>1442</v>
      </c>
      <c r="Q2787" s="106">
        <v>1473.8</v>
      </c>
      <c r="R2787">
        <v>2569710</v>
      </c>
    </row>
    <row r="2788" spans="1:18" x14ac:dyDescent="0.25">
      <c r="A2788" s="143">
        <v>46108</v>
      </c>
      <c r="B2788">
        <v>1469.95</v>
      </c>
      <c r="C2788">
        <v>1416.75</v>
      </c>
      <c r="D2788">
        <v>1411</v>
      </c>
      <c r="E2788">
        <v>1468.05</v>
      </c>
      <c r="F2788">
        <v>1416.75</v>
      </c>
      <c r="G2788">
        <v>334509</v>
      </c>
      <c r="H2788" s="106"/>
      <c r="I2788" s="106"/>
      <c r="L2788" s="143">
        <v>46108</v>
      </c>
      <c r="M2788" s="106">
        <v>1416.3</v>
      </c>
      <c r="N2788" s="106">
        <v>1470</v>
      </c>
      <c r="O2788" s="106">
        <v>1410</v>
      </c>
      <c r="P2788" s="106">
        <v>1470</v>
      </c>
      <c r="Q2788" s="106">
        <v>1416.3</v>
      </c>
      <c r="R2788">
        <v>3233197</v>
      </c>
    </row>
    <row r="2789" spans="1:18" x14ac:dyDescent="0.25">
      <c r="A2789" s="143">
        <v>46111</v>
      </c>
      <c r="B2789">
        <v>1392.85</v>
      </c>
      <c r="C2789">
        <v>1353.85</v>
      </c>
      <c r="D2789">
        <v>1340.9</v>
      </c>
      <c r="E2789">
        <v>1365.25</v>
      </c>
      <c r="F2789">
        <v>1353.85</v>
      </c>
      <c r="G2789">
        <v>356444</v>
      </c>
      <c r="H2789" s="106"/>
      <c r="I2789" s="106"/>
      <c r="L2789" s="143">
        <v>46111</v>
      </c>
      <c r="M2789" s="106">
        <v>1354.7</v>
      </c>
      <c r="N2789" s="106">
        <v>1392.5</v>
      </c>
      <c r="O2789" s="106">
        <v>1335</v>
      </c>
      <c r="P2789" s="106">
        <v>1366</v>
      </c>
      <c r="Q2789" s="106">
        <v>1354.7</v>
      </c>
      <c r="R2789">
        <v>3710019</v>
      </c>
    </row>
    <row r="2790" spans="1:18" x14ac:dyDescent="0.25">
      <c r="A2790" s="143">
        <v>46113</v>
      </c>
      <c r="B2790">
        <v>1414.55</v>
      </c>
      <c r="C2790">
        <v>1372.9</v>
      </c>
      <c r="D2790">
        <v>1363.6</v>
      </c>
      <c r="E2790">
        <v>1414.55</v>
      </c>
      <c r="F2790">
        <v>1372.9</v>
      </c>
      <c r="G2790">
        <v>131295</v>
      </c>
      <c r="H2790" s="106"/>
      <c r="I2790" s="106"/>
      <c r="L2790" s="143">
        <v>46113</v>
      </c>
      <c r="M2790" s="106">
        <v>1373.6</v>
      </c>
      <c r="N2790" s="106">
        <v>1409.6</v>
      </c>
      <c r="O2790" s="106">
        <v>1363</v>
      </c>
      <c r="P2790" s="106">
        <v>1401.9</v>
      </c>
      <c r="Q2790" s="106">
        <v>1373.6</v>
      </c>
      <c r="R2790">
        <v>2262261</v>
      </c>
    </row>
    <row r="2791" spans="1:18" x14ac:dyDescent="0.25">
      <c r="A2791" s="143">
        <v>46114</v>
      </c>
      <c r="B2791">
        <v>1364.35</v>
      </c>
      <c r="C2791">
        <v>1357.2</v>
      </c>
      <c r="D2791">
        <v>1299.8</v>
      </c>
      <c r="E2791">
        <v>1364.35</v>
      </c>
      <c r="F2791">
        <v>1357.2</v>
      </c>
      <c r="G2791">
        <v>250625</v>
      </c>
      <c r="H2791" s="106"/>
      <c r="I2791" s="106"/>
      <c r="L2791" s="143">
        <v>46114</v>
      </c>
      <c r="M2791" s="106">
        <v>1356.3</v>
      </c>
      <c r="N2791" s="106">
        <v>1364.4</v>
      </c>
      <c r="O2791" s="106">
        <v>1299.4000000000001</v>
      </c>
      <c r="P2791" s="106">
        <v>1359.7</v>
      </c>
      <c r="Q2791" s="106">
        <v>1356.3</v>
      </c>
      <c r="R2791">
        <v>2245874</v>
      </c>
    </row>
    <row r="2792" spans="1:18" x14ac:dyDescent="0.25">
      <c r="A2792" s="143">
        <v>46118</v>
      </c>
      <c r="B2792">
        <v>1399.25</v>
      </c>
      <c r="C2792">
        <v>1393.4</v>
      </c>
      <c r="D2792">
        <v>1344.9</v>
      </c>
      <c r="E2792">
        <v>1366.4</v>
      </c>
      <c r="F2792">
        <v>1393.4</v>
      </c>
      <c r="G2792">
        <v>50041</v>
      </c>
      <c r="H2792" s="106"/>
      <c r="I2792" s="106"/>
      <c r="L2792" s="143">
        <v>46118</v>
      </c>
      <c r="M2792" s="106">
        <v>1393.2</v>
      </c>
      <c r="N2792" s="106">
        <v>1399.1</v>
      </c>
      <c r="O2792" s="106">
        <v>1344.5</v>
      </c>
      <c r="P2792" s="106">
        <v>1373.6</v>
      </c>
      <c r="Q2792" s="106">
        <v>1393.2</v>
      </c>
      <c r="R2792">
        <v>3779021</v>
      </c>
    </row>
    <row r="2793" spans="1:18" x14ac:dyDescent="0.25">
      <c r="A2793" s="143">
        <v>46119</v>
      </c>
      <c r="B2793">
        <v>1417.1</v>
      </c>
      <c r="C2793">
        <v>1413.4</v>
      </c>
      <c r="D2793">
        <v>1386.6</v>
      </c>
      <c r="E2793">
        <v>1393.5</v>
      </c>
      <c r="F2793">
        <v>1413.4</v>
      </c>
      <c r="G2793">
        <v>49774</v>
      </c>
      <c r="H2793" s="106"/>
      <c r="I2793" s="106"/>
      <c r="L2793" s="143">
        <v>46119</v>
      </c>
      <c r="M2793" s="106">
        <v>1415</v>
      </c>
      <c r="N2793" s="106">
        <v>1417.9</v>
      </c>
      <c r="O2793" s="106">
        <v>1385</v>
      </c>
      <c r="P2793" s="106">
        <v>1397.9</v>
      </c>
      <c r="Q2793" s="106">
        <v>1415</v>
      </c>
      <c r="R2793">
        <v>1458087</v>
      </c>
    </row>
    <row r="2794" spans="1:18" x14ac:dyDescent="0.25">
      <c r="A2794" s="143">
        <v>46120</v>
      </c>
      <c r="B2794">
        <v>1558.2</v>
      </c>
      <c r="C2794">
        <v>1553.95</v>
      </c>
      <c r="D2794">
        <v>1502.25</v>
      </c>
      <c r="E2794">
        <v>1519.75</v>
      </c>
      <c r="F2794">
        <v>1553.95</v>
      </c>
      <c r="G2794">
        <v>393960</v>
      </c>
      <c r="H2794" s="106"/>
      <c r="I2794" s="106"/>
      <c r="L2794" s="143">
        <v>46120</v>
      </c>
      <c r="M2794" s="106">
        <v>1554.3</v>
      </c>
      <c r="N2794" s="106">
        <v>1558.9</v>
      </c>
      <c r="O2794" s="106">
        <v>1503</v>
      </c>
      <c r="P2794" s="106">
        <v>1503</v>
      </c>
      <c r="Q2794" s="106">
        <v>1554.3</v>
      </c>
      <c r="R2794">
        <v>4054814</v>
      </c>
    </row>
    <row r="2795" spans="1:18" x14ac:dyDescent="0.25">
      <c r="A2795" s="143">
        <v>46121</v>
      </c>
      <c r="B2795">
        <v>1554.25</v>
      </c>
      <c r="C2795">
        <v>1534.45</v>
      </c>
      <c r="D2795">
        <v>1519.05</v>
      </c>
      <c r="E2795">
        <v>1554.25</v>
      </c>
      <c r="F2795">
        <v>1534.45</v>
      </c>
      <c r="G2795">
        <v>566521</v>
      </c>
      <c r="H2795" s="106"/>
      <c r="I2795" s="106"/>
      <c r="L2795" s="143">
        <v>46121</v>
      </c>
      <c r="M2795" s="106">
        <v>1533.1</v>
      </c>
      <c r="N2795" s="106">
        <v>1554.3</v>
      </c>
      <c r="O2795" s="106">
        <v>1519</v>
      </c>
      <c r="P2795" s="106">
        <v>1546.7</v>
      </c>
      <c r="Q2795" s="106">
        <v>1533.1</v>
      </c>
      <c r="R2795">
        <v>2195354</v>
      </c>
    </row>
    <row r="2796" spans="1:18" x14ac:dyDescent="0.25">
      <c r="A2796" s="143">
        <v>46122</v>
      </c>
      <c r="B2796">
        <v>1584.95</v>
      </c>
      <c r="C2796">
        <v>1581.5</v>
      </c>
      <c r="D2796">
        <v>1546</v>
      </c>
      <c r="E2796">
        <v>1546</v>
      </c>
      <c r="F2796">
        <v>1581.5</v>
      </c>
      <c r="G2796">
        <v>472261</v>
      </c>
      <c r="H2796" s="106"/>
      <c r="I2796" s="106"/>
      <c r="L2796" s="143">
        <v>46122</v>
      </c>
      <c r="M2796" s="106">
        <v>1581.2</v>
      </c>
      <c r="N2796" s="106">
        <v>1584.5</v>
      </c>
      <c r="O2796" s="106">
        <v>1544.9</v>
      </c>
      <c r="P2796" s="106">
        <v>1548</v>
      </c>
      <c r="Q2796" s="106">
        <v>1581.2</v>
      </c>
      <c r="R2796">
        <v>2340856</v>
      </c>
    </row>
    <row r="2797" spans="1:18" x14ac:dyDescent="0.25">
      <c r="A2797" s="143">
        <v>46125</v>
      </c>
      <c r="B2797">
        <v>1541.15</v>
      </c>
      <c r="C2797">
        <v>1507.5</v>
      </c>
      <c r="D2797">
        <v>1502.05</v>
      </c>
      <c r="E2797">
        <v>1514.45</v>
      </c>
      <c r="F2797">
        <v>1507.5</v>
      </c>
      <c r="G2797">
        <v>859168</v>
      </c>
      <c r="H2797" s="106"/>
      <c r="I2797" s="106"/>
      <c r="L2797" s="143">
        <v>46125</v>
      </c>
      <c r="M2797" s="106">
        <v>1507.2</v>
      </c>
      <c r="N2797" s="106">
        <v>1542</v>
      </c>
      <c r="O2797" s="106">
        <v>1502</v>
      </c>
      <c r="P2797" s="106">
        <v>1525</v>
      </c>
      <c r="Q2797" s="106">
        <v>1507.2</v>
      </c>
      <c r="R2797">
        <v>3388598</v>
      </c>
    </row>
    <row r="2798" spans="1:18" x14ac:dyDescent="0.25">
      <c r="A2798" s="143">
        <v>46127</v>
      </c>
      <c r="B2798">
        <v>1558.85</v>
      </c>
      <c r="C2798">
        <v>1549.1</v>
      </c>
      <c r="D2798">
        <v>1530.1</v>
      </c>
      <c r="E2798">
        <v>1530.1</v>
      </c>
      <c r="F2798">
        <v>1549.1</v>
      </c>
      <c r="G2798">
        <v>430493</v>
      </c>
      <c r="H2798" s="106"/>
      <c r="I2798" s="106"/>
      <c r="L2798" s="143">
        <v>46127</v>
      </c>
      <c r="M2798" s="106">
        <v>1550.6</v>
      </c>
      <c r="N2798" s="106">
        <v>1567.9</v>
      </c>
      <c r="O2798" s="106">
        <v>1535.6</v>
      </c>
      <c r="P2798" s="106">
        <v>1537.1</v>
      </c>
      <c r="Q2798" s="106">
        <v>1550.6</v>
      </c>
      <c r="R2798">
        <v>1410204</v>
      </c>
    </row>
    <row r="2799" spans="1:18" x14ac:dyDescent="0.25">
      <c r="A2799" s="143">
        <v>46128</v>
      </c>
      <c r="B2799">
        <v>1605.8</v>
      </c>
      <c r="C2799">
        <v>1569.1</v>
      </c>
      <c r="D2799">
        <v>1550.95</v>
      </c>
      <c r="E2799">
        <v>1550.95</v>
      </c>
      <c r="F2799">
        <v>1569.1</v>
      </c>
      <c r="G2799">
        <v>214923</v>
      </c>
      <c r="H2799" s="106"/>
      <c r="I2799" s="106"/>
      <c r="L2799" s="143">
        <v>46128</v>
      </c>
      <c r="M2799" s="106">
        <v>1569.9</v>
      </c>
      <c r="N2799" s="106">
        <v>1605.6</v>
      </c>
      <c r="O2799" s="106">
        <v>1558</v>
      </c>
      <c r="P2799" s="106">
        <v>1558</v>
      </c>
      <c r="Q2799" s="106">
        <v>1569.9</v>
      </c>
      <c r="R2799">
        <v>2767683</v>
      </c>
    </row>
    <row r="2800" spans="1:18" x14ac:dyDescent="0.25">
      <c r="A2800" s="143">
        <v>46129</v>
      </c>
      <c r="B2800">
        <v>1584.5</v>
      </c>
      <c r="C2800">
        <v>1579.65</v>
      </c>
      <c r="D2800">
        <v>1544.75</v>
      </c>
      <c r="E2800">
        <v>1567.95</v>
      </c>
      <c r="F2800">
        <v>1579.65</v>
      </c>
      <c r="G2800">
        <v>66663</v>
      </c>
      <c r="H2800" s="106"/>
      <c r="I2800" s="106"/>
      <c r="L2800" s="143">
        <v>46129</v>
      </c>
      <c r="M2800" s="106">
        <v>1579</v>
      </c>
      <c r="N2800" s="106">
        <v>1585</v>
      </c>
      <c r="O2800" s="106">
        <v>1542.4</v>
      </c>
      <c r="P2800" s="106">
        <v>1564</v>
      </c>
      <c r="Q2800" s="106">
        <v>1579</v>
      </c>
      <c r="R2800">
        <v>1168171</v>
      </c>
    </row>
    <row r="2801" spans="1:18" x14ac:dyDescent="0.25">
      <c r="A2801" s="143">
        <v>46132</v>
      </c>
      <c r="B2801">
        <v>1588.5</v>
      </c>
      <c r="C2801">
        <v>1568.8</v>
      </c>
      <c r="D2801">
        <v>1550.45</v>
      </c>
      <c r="E2801">
        <v>1577.15</v>
      </c>
      <c r="F2801">
        <v>1568.8</v>
      </c>
      <c r="G2801">
        <v>68087</v>
      </c>
      <c r="H2801" s="106"/>
      <c r="I2801" s="106"/>
      <c r="L2801" s="143">
        <v>46132</v>
      </c>
      <c r="M2801" s="106">
        <v>1569.3</v>
      </c>
      <c r="N2801" s="106">
        <v>1588.8</v>
      </c>
      <c r="O2801" s="106">
        <v>1550.1</v>
      </c>
      <c r="P2801" s="106">
        <v>1578.8</v>
      </c>
      <c r="Q2801" s="106">
        <v>1569.3</v>
      </c>
      <c r="R2801">
        <v>810091</v>
      </c>
    </row>
    <row r="2802" spans="1:18" x14ac:dyDescent="0.25">
      <c r="A2802" s="143">
        <v>46133</v>
      </c>
      <c r="B2802">
        <v>1594.65</v>
      </c>
      <c r="C2802">
        <v>1588.55</v>
      </c>
      <c r="D2802">
        <v>1573</v>
      </c>
      <c r="E2802">
        <v>1575</v>
      </c>
      <c r="F2802">
        <v>1588.55</v>
      </c>
      <c r="G2802">
        <v>29727</v>
      </c>
      <c r="H2802" s="106"/>
      <c r="I2802" s="106"/>
      <c r="L2802" s="143">
        <v>46133</v>
      </c>
      <c r="M2802" s="106">
        <v>1589.2</v>
      </c>
      <c r="N2802" s="106">
        <v>1594.4</v>
      </c>
      <c r="O2802" s="106">
        <v>1572.2</v>
      </c>
      <c r="P2802" s="106">
        <v>1578</v>
      </c>
      <c r="Q2802" s="106">
        <v>1589.2</v>
      </c>
      <c r="R2802">
        <v>612548</v>
      </c>
    </row>
    <row r="2803" spans="1:18" x14ac:dyDescent="0.25">
      <c r="A2803" s="143">
        <v>46134</v>
      </c>
      <c r="B2803">
        <v>1589.05</v>
      </c>
      <c r="C2803">
        <v>1565.2</v>
      </c>
      <c r="D2803">
        <v>1564</v>
      </c>
      <c r="E2803">
        <v>1580.05</v>
      </c>
      <c r="F2803">
        <v>1565.2</v>
      </c>
      <c r="G2803">
        <v>48104</v>
      </c>
      <c r="H2803" s="106"/>
      <c r="I2803" s="106"/>
      <c r="L2803" s="143">
        <v>46134</v>
      </c>
      <c r="M2803" s="106">
        <v>1565.6</v>
      </c>
      <c r="N2803" s="106">
        <v>1589</v>
      </c>
      <c r="O2803" s="106">
        <v>1562.9</v>
      </c>
      <c r="P2803" s="106">
        <v>1583</v>
      </c>
      <c r="Q2803" s="106">
        <v>1565.6</v>
      </c>
      <c r="R2803">
        <v>1713023</v>
      </c>
    </row>
    <row r="2804" spans="1:18" x14ac:dyDescent="0.25">
      <c r="A2804" s="143">
        <v>46135</v>
      </c>
      <c r="B2804">
        <v>1560.55</v>
      </c>
      <c r="C2804">
        <v>1542.65</v>
      </c>
      <c r="D2804">
        <v>1533</v>
      </c>
      <c r="E2804">
        <v>1551.6</v>
      </c>
      <c r="F2804">
        <v>1542.65</v>
      </c>
      <c r="G2804">
        <v>553460</v>
      </c>
      <c r="H2804" s="106"/>
      <c r="I2804" s="106"/>
      <c r="L2804" s="143">
        <v>46135</v>
      </c>
      <c r="M2804" s="106">
        <v>1543.4</v>
      </c>
      <c r="N2804" s="106">
        <v>1560.8</v>
      </c>
      <c r="O2804" s="106">
        <v>1532.5</v>
      </c>
      <c r="P2804" s="106">
        <v>1558</v>
      </c>
      <c r="Q2804" s="106">
        <v>1543.4</v>
      </c>
      <c r="R2804">
        <v>1853317</v>
      </c>
    </row>
    <row r="2805" spans="1:18" x14ac:dyDescent="0.25">
      <c r="A2805" s="143">
        <v>46136</v>
      </c>
      <c r="B2805">
        <v>1574</v>
      </c>
      <c r="C2805">
        <v>1568.7</v>
      </c>
      <c r="D2805">
        <v>1530.1</v>
      </c>
      <c r="E2805">
        <v>1555.25</v>
      </c>
      <c r="F2805">
        <v>1568.7</v>
      </c>
      <c r="G2805">
        <v>64352</v>
      </c>
      <c r="H2805" s="106"/>
      <c r="I2805" s="106"/>
      <c r="L2805" s="143">
        <v>46136</v>
      </c>
      <c r="M2805" s="106">
        <v>1568.2</v>
      </c>
      <c r="N2805" s="106">
        <v>1575</v>
      </c>
      <c r="O2805" s="106">
        <v>1529.9</v>
      </c>
      <c r="P2805" s="106">
        <v>1546.9</v>
      </c>
      <c r="Q2805" s="106">
        <v>1568.2</v>
      </c>
      <c r="R2805">
        <v>1225033</v>
      </c>
    </row>
    <row r="2806" spans="1:18" x14ac:dyDescent="0.25">
      <c r="A2806" s="143">
        <v>46139</v>
      </c>
      <c r="B2806">
        <v>1578.9</v>
      </c>
      <c r="C2806">
        <v>1556.3</v>
      </c>
      <c r="D2806">
        <v>1534.75</v>
      </c>
      <c r="E2806">
        <v>1571</v>
      </c>
      <c r="F2806">
        <v>1556.3</v>
      </c>
      <c r="G2806">
        <v>75021</v>
      </c>
      <c r="H2806" s="106"/>
      <c r="I2806" s="106"/>
      <c r="L2806" s="143">
        <v>46139</v>
      </c>
      <c r="M2806" s="106">
        <v>1560.7</v>
      </c>
      <c r="N2806" s="106">
        <v>1577.8</v>
      </c>
      <c r="O2806" s="106">
        <v>1534.8</v>
      </c>
      <c r="P2806" s="106">
        <v>1570.5</v>
      </c>
      <c r="Q2806" s="106">
        <v>1560.7</v>
      </c>
      <c r="R2806">
        <v>2919111</v>
      </c>
    </row>
    <row r="2807" spans="1:18" x14ac:dyDescent="0.25">
      <c r="A2807" s="143">
        <v>46140</v>
      </c>
      <c r="B2807">
        <v>1571.55</v>
      </c>
      <c r="C2807">
        <v>1536.7</v>
      </c>
      <c r="D2807">
        <v>1532</v>
      </c>
      <c r="E2807">
        <v>1564.65</v>
      </c>
      <c r="F2807">
        <v>1536.7</v>
      </c>
      <c r="G2807">
        <v>21256</v>
      </c>
      <c r="H2807" s="106"/>
      <c r="I2807" s="106"/>
      <c r="L2807" s="143">
        <v>46140</v>
      </c>
      <c r="M2807" s="106">
        <v>1536.4</v>
      </c>
      <c r="N2807" s="106">
        <v>1579.2</v>
      </c>
      <c r="O2807" s="106">
        <v>1530.8</v>
      </c>
      <c r="P2807" s="106">
        <v>1560.1</v>
      </c>
      <c r="Q2807" s="106">
        <v>1536.4</v>
      </c>
      <c r="R2807">
        <v>964837</v>
      </c>
    </row>
    <row r="2808" spans="1:18" x14ac:dyDescent="0.25">
      <c r="A2808" s="143">
        <v>46141</v>
      </c>
      <c r="B2808">
        <v>1572.6</v>
      </c>
      <c r="C2808">
        <v>1552.4</v>
      </c>
      <c r="D2808">
        <v>1531.55</v>
      </c>
      <c r="E2808">
        <v>1534.85</v>
      </c>
      <c r="F2808">
        <v>1552.4</v>
      </c>
      <c r="G2808">
        <v>33552</v>
      </c>
      <c r="H2808" s="106"/>
      <c r="I2808" s="106"/>
      <c r="L2808" s="143">
        <v>46141</v>
      </c>
      <c r="M2808" s="106">
        <v>1553.3</v>
      </c>
      <c r="N2808" s="106">
        <v>1572.6</v>
      </c>
      <c r="O2808" s="106">
        <v>1530.8</v>
      </c>
      <c r="P2808" s="106">
        <v>1539.9</v>
      </c>
      <c r="Q2808" s="106">
        <v>1553.3</v>
      </c>
      <c r="R2808">
        <v>723397</v>
      </c>
    </row>
    <row r="2809" spans="1:18" x14ac:dyDescent="0.25">
      <c r="A2809" s="143">
        <v>46142</v>
      </c>
      <c r="B2809">
        <v>1591.3</v>
      </c>
      <c r="C2809">
        <v>1561.05</v>
      </c>
      <c r="D2809">
        <v>1477.75</v>
      </c>
      <c r="E2809">
        <v>1526.2</v>
      </c>
      <c r="F2809">
        <v>1561.05</v>
      </c>
      <c r="G2809">
        <v>806787</v>
      </c>
      <c r="H2809" s="106"/>
      <c r="I2809" s="106"/>
      <c r="L2809" s="143">
        <v>46142</v>
      </c>
      <c r="M2809" s="106">
        <v>1562.9</v>
      </c>
      <c r="N2809" s="106">
        <v>1592.2</v>
      </c>
      <c r="O2809" s="106">
        <v>1472.3</v>
      </c>
      <c r="P2809" s="106">
        <v>1521.8</v>
      </c>
      <c r="Q2809" s="106">
        <v>1562.9</v>
      </c>
      <c r="R2809">
        <v>7213356</v>
      </c>
    </row>
    <row r="2810" spans="1:18" x14ac:dyDescent="0.25">
      <c r="A2810" s="143">
        <v>46146</v>
      </c>
      <c r="B2810">
        <v>1648.95</v>
      </c>
      <c r="C2810">
        <v>1638.3</v>
      </c>
      <c r="D2810">
        <v>1570.5</v>
      </c>
      <c r="E2810">
        <v>1571.95</v>
      </c>
      <c r="F2810">
        <v>1638.3</v>
      </c>
      <c r="G2810">
        <v>350611</v>
      </c>
      <c r="H2810" s="106"/>
      <c r="I2810" s="106"/>
      <c r="L2810" s="143">
        <v>46146</v>
      </c>
      <c r="M2810" s="106">
        <v>1639.5</v>
      </c>
      <c r="N2810" s="106">
        <v>1649</v>
      </c>
      <c r="O2810" s="106">
        <v>1564.8</v>
      </c>
      <c r="P2810" s="106">
        <v>1564.8</v>
      </c>
      <c r="Q2810" s="106">
        <v>1639.5</v>
      </c>
      <c r="R2810">
        <v>5637755</v>
      </c>
    </row>
    <row r="2811" spans="1:18" x14ac:dyDescent="0.25">
      <c r="A2811" s="143">
        <v>46147</v>
      </c>
      <c r="B2811">
        <v>1666</v>
      </c>
      <c r="C2811">
        <v>1656.6</v>
      </c>
      <c r="D2811">
        <v>1624</v>
      </c>
      <c r="E2811">
        <v>1642.05</v>
      </c>
      <c r="F2811">
        <v>1656.6</v>
      </c>
      <c r="G2811">
        <v>72671</v>
      </c>
      <c r="H2811" s="106"/>
      <c r="I2811" s="106"/>
      <c r="L2811" s="143">
        <v>46147</v>
      </c>
      <c r="M2811" s="106">
        <v>1657.4</v>
      </c>
      <c r="N2811" s="106">
        <v>1666.9</v>
      </c>
      <c r="O2811" s="106">
        <v>1623</v>
      </c>
      <c r="P2811" s="106">
        <v>1644</v>
      </c>
      <c r="Q2811" s="106">
        <v>1657.4</v>
      </c>
      <c r="R2811">
        <v>2688312</v>
      </c>
    </row>
    <row r="2812" spans="1:18" x14ac:dyDescent="0.25">
      <c r="A2812" s="143">
        <v>46148</v>
      </c>
      <c r="B2812">
        <v>1719</v>
      </c>
      <c r="C2812">
        <v>1710.95</v>
      </c>
      <c r="D2812">
        <v>1681.4</v>
      </c>
      <c r="E2812">
        <v>1690.45</v>
      </c>
      <c r="F2812">
        <v>1710.95</v>
      </c>
      <c r="G2812">
        <v>747845</v>
      </c>
      <c r="H2812" s="106"/>
      <c r="I2812" s="106"/>
      <c r="L2812" s="143">
        <v>46148</v>
      </c>
      <c r="M2812" s="106">
        <v>1711.9</v>
      </c>
      <c r="N2812" s="106">
        <v>1724</v>
      </c>
      <c r="O2812" s="106">
        <v>1678.9</v>
      </c>
      <c r="P2812" s="106">
        <v>1681.2</v>
      </c>
      <c r="Q2812" s="106">
        <v>1711.9</v>
      </c>
      <c r="R2812">
        <v>2751781</v>
      </c>
    </row>
    <row r="2813" spans="1:18" x14ac:dyDescent="0.25">
      <c r="A2813" s="143">
        <v>46149</v>
      </c>
      <c r="B2813">
        <v>1734</v>
      </c>
      <c r="C2813">
        <v>1689.15</v>
      </c>
      <c r="D2813">
        <v>1677.6</v>
      </c>
      <c r="E2813">
        <v>1711.25</v>
      </c>
      <c r="F2813">
        <v>1689.15</v>
      </c>
      <c r="G2813">
        <v>83005</v>
      </c>
      <c r="H2813" s="106"/>
      <c r="I2813" s="106"/>
      <c r="L2813" s="143">
        <v>46149</v>
      </c>
      <c r="M2813" s="106">
        <v>1689.2</v>
      </c>
      <c r="N2813" s="106">
        <v>1734.8</v>
      </c>
      <c r="O2813" s="106">
        <v>1677.8</v>
      </c>
      <c r="P2813" s="106">
        <v>1725</v>
      </c>
      <c r="Q2813" s="106">
        <v>1689.2</v>
      </c>
      <c r="R2813">
        <v>2640682</v>
      </c>
    </row>
    <row r="2814" spans="1:18" x14ac:dyDescent="0.25">
      <c r="A2814" s="143">
        <v>46150</v>
      </c>
      <c r="B2814">
        <v>1693.85</v>
      </c>
      <c r="C2814">
        <v>1676.05</v>
      </c>
      <c r="D2814">
        <v>1670.05</v>
      </c>
      <c r="E2814">
        <v>1693.85</v>
      </c>
      <c r="F2814">
        <v>1676.05</v>
      </c>
      <c r="G2814">
        <v>90830</v>
      </c>
      <c r="H2814" s="106"/>
      <c r="I2814" s="106"/>
      <c r="L2814" s="143">
        <v>46150</v>
      </c>
      <c r="M2814" s="106">
        <v>1674.1</v>
      </c>
      <c r="N2814" s="106">
        <v>1694.9</v>
      </c>
      <c r="O2814" s="106">
        <v>1670.6</v>
      </c>
      <c r="P2814" s="106">
        <v>1688.1</v>
      </c>
      <c r="Q2814" s="106">
        <v>1674.1</v>
      </c>
      <c r="R2814">
        <v>919240</v>
      </c>
    </row>
    <row r="2815" spans="1:18" x14ac:dyDescent="0.25">
      <c r="A2815" s="143">
        <v>46153</v>
      </c>
      <c r="B2815">
        <v>1645.9</v>
      </c>
      <c r="C2815">
        <v>1624.65</v>
      </c>
      <c r="D2815">
        <v>1621</v>
      </c>
      <c r="E2815">
        <v>1625.25</v>
      </c>
      <c r="F2815">
        <v>1624.65</v>
      </c>
      <c r="G2815">
        <v>47888</v>
      </c>
      <c r="H2815" s="106"/>
      <c r="I2815" s="106"/>
      <c r="L2815" s="143">
        <v>46153</v>
      </c>
      <c r="M2815" s="106">
        <v>1624.5</v>
      </c>
      <c r="N2815" s="106">
        <v>1646.4</v>
      </c>
      <c r="O2815" s="106">
        <v>1621</v>
      </c>
      <c r="P2815" s="106">
        <v>1630.4</v>
      </c>
      <c r="Q2815" s="106">
        <v>1624.5</v>
      </c>
      <c r="R2815">
        <v>1626071</v>
      </c>
    </row>
    <row r="2816" spans="1:18" x14ac:dyDescent="0.25">
      <c r="A2816" s="143">
        <v>46154</v>
      </c>
      <c r="B2816">
        <v>1625.6</v>
      </c>
      <c r="C2816">
        <v>1560.85</v>
      </c>
      <c r="D2816">
        <v>1557.9</v>
      </c>
      <c r="E2816">
        <v>1624.3</v>
      </c>
      <c r="F2816">
        <v>1560.85</v>
      </c>
      <c r="G2816">
        <v>434992</v>
      </c>
      <c r="H2816" s="106"/>
      <c r="I2816" s="106"/>
      <c r="L2816" s="143">
        <v>46154</v>
      </c>
      <c r="M2816" s="106">
        <v>1561</v>
      </c>
      <c r="N2816" s="106">
        <v>1628.8</v>
      </c>
      <c r="O2816" s="106">
        <v>1556.5</v>
      </c>
      <c r="P2816" s="106">
        <v>1617.2</v>
      </c>
      <c r="Q2816" s="106">
        <v>1561</v>
      </c>
      <c r="R2816">
        <v>1647134</v>
      </c>
    </row>
    <row r="2817" spans="1:18" x14ac:dyDescent="0.25">
      <c r="A2817" s="143">
        <v>46155</v>
      </c>
      <c r="B2817">
        <v>1596.8</v>
      </c>
      <c r="C2817">
        <v>1574.4</v>
      </c>
      <c r="D2817">
        <v>1542</v>
      </c>
      <c r="E2817">
        <v>1542</v>
      </c>
      <c r="F2817">
        <v>1574.4</v>
      </c>
      <c r="G2817">
        <v>200163</v>
      </c>
      <c r="H2817" s="106"/>
      <c r="I2817" s="106"/>
      <c r="L2817" s="143">
        <v>46155</v>
      </c>
      <c r="M2817" s="106">
        <v>1574.6</v>
      </c>
      <c r="N2817" s="106">
        <v>1597.5</v>
      </c>
      <c r="O2817" s="106">
        <v>1550.2</v>
      </c>
      <c r="P2817" s="106">
        <v>1567.8</v>
      </c>
      <c r="Q2817" s="106">
        <v>1574.6</v>
      </c>
      <c r="R2817">
        <v>1052244</v>
      </c>
    </row>
    <row r="2818" spans="1:18" x14ac:dyDescent="0.25">
      <c r="A2818" s="143">
        <v>46156</v>
      </c>
      <c r="B2818">
        <v>1594.85</v>
      </c>
      <c r="C2818">
        <v>1567.95</v>
      </c>
      <c r="D2818">
        <v>1546.75</v>
      </c>
      <c r="E2818">
        <v>1594.85</v>
      </c>
      <c r="F2818">
        <v>1567.95</v>
      </c>
      <c r="G2818">
        <v>182000</v>
      </c>
      <c r="H2818" s="106"/>
      <c r="I2818" s="106"/>
      <c r="L2818" s="143">
        <v>46156</v>
      </c>
      <c r="M2818" s="106">
        <v>1567.1</v>
      </c>
      <c r="N2818" s="106">
        <v>1590</v>
      </c>
      <c r="O2818" s="106">
        <v>1545.5</v>
      </c>
      <c r="P2818" s="106">
        <v>1580</v>
      </c>
      <c r="Q2818" s="106">
        <v>1567.1</v>
      </c>
      <c r="R2818">
        <v>1324905</v>
      </c>
    </row>
    <row r="2819" spans="1:18" x14ac:dyDescent="0.25">
      <c r="A2819" s="143">
        <v>46157</v>
      </c>
      <c r="B2819">
        <v>1574</v>
      </c>
      <c r="C2819">
        <v>1547.05</v>
      </c>
      <c r="D2819">
        <v>1532.75</v>
      </c>
      <c r="E2819">
        <v>1540</v>
      </c>
      <c r="F2819">
        <v>1547.05</v>
      </c>
      <c r="G2819">
        <v>48157</v>
      </c>
      <c r="H2819" s="106"/>
      <c r="I2819" s="106"/>
      <c r="L2819" s="143">
        <v>46157</v>
      </c>
      <c r="M2819" s="106">
        <v>1546.3</v>
      </c>
      <c r="N2819" s="106">
        <v>1573.7</v>
      </c>
      <c r="O2819" s="106">
        <v>1528.9</v>
      </c>
      <c r="P2819" s="106">
        <v>1535.9</v>
      </c>
      <c r="Q2819" s="106">
        <v>1546.3</v>
      </c>
      <c r="R2819">
        <v>883202</v>
      </c>
    </row>
    <row r="2820" spans="1:18" x14ac:dyDescent="0.25">
      <c r="A2820" s="143">
        <v>46160</v>
      </c>
      <c r="B2820">
        <v>1532.95</v>
      </c>
      <c r="C2820">
        <v>1528</v>
      </c>
      <c r="D2820">
        <v>1501</v>
      </c>
      <c r="E2820">
        <v>1529.85</v>
      </c>
      <c r="F2820">
        <v>1528</v>
      </c>
      <c r="G2820">
        <v>39119</v>
      </c>
      <c r="H2820" s="106"/>
      <c r="I2820" s="106"/>
      <c r="L2820" s="143">
        <v>46160</v>
      </c>
      <c r="M2820" s="106">
        <v>1527.9</v>
      </c>
      <c r="N2820" s="106">
        <v>1538</v>
      </c>
      <c r="O2820" s="106">
        <v>1500</v>
      </c>
      <c r="P2820" s="106">
        <v>1538</v>
      </c>
      <c r="Q2820" s="106">
        <v>1527.9</v>
      </c>
      <c r="R2820">
        <v>822208</v>
      </c>
    </row>
    <row r="2821" spans="1:18" x14ac:dyDescent="0.25">
      <c r="A2821" s="143">
        <v>46161</v>
      </c>
      <c r="B2821">
        <v>1537.35</v>
      </c>
      <c r="C2821">
        <v>1511.3</v>
      </c>
      <c r="D2821">
        <v>1508.15</v>
      </c>
      <c r="E2821">
        <v>1518.05</v>
      </c>
      <c r="F2821">
        <v>1511.3</v>
      </c>
      <c r="G2821">
        <v>393782</v>
      </c>
      <c r="H2821" s="106"/>
      <c r="I2821" s="106"/>
      <c r="L2821" s="143">
        <v>46161</v>
      </c>
      <c r="M2821" s="106">
        <v>1511.4</v>
      </c>
      <c r="N2821" s="106">
        <v>1538.3</v>
      </c>
      <c r="O2821" s="106">
        <v>1508</v>
      </c>
      <c r="P2821" s="106">
        <v>1518</v>
      </c>
      <c r="Q2821" s="106">
        <v>1511.4</v>
      </c>
      <c r="R2821">
        <v>1043113</v>
      </c>
    </row>
    <row r="2822" spans="1:18" x14ac:dyDescent="0.25">
      <c r="A2822" s="143">
        <v>46162</v>
      </c>
      <c r="B2822">
        <v>1520.9</v>
      </c>
      <c r="C2822">
        <v>1518.85</v>
      </c>
      <c r="D2822">
        <v>1491.6</v>
      </c>
      <c r="E2822">
        <v>1500.45</v>
      </c>
      <c r="F2822">
        <v>1518.85</v>
      </c>
      <c r="G2822">
        <v>348060</v>
      </c>
      <c r="H2822" s="106"/>
      <c r="I2822" s="106"/>
      <c r="L2822" s="143">
        <v>46162</v>
      </c>
      <c r="M2822" s="106">
        <v>1518.9</v>
      </c>
      <c r="N2822" s="106">
        <v>1522</v>
      </c>
      <c r="O2822" s="106">
        <v>1491</v>
      </c>
      <c r="P2822" s="106">
        <v>1502</v>
      </c>
      <c r="Q2822" s="106">
        <v>1518.9</v>
      </c>
      <c r="R2822">
        <v>857291</v>
      </c>
    </row>
    <row r="2823" spans="1:18" x14ac:dyDescent="0.25">
      <c r="A2823" s="143">
        <v>46163</v>
      </c>
      <c r="B2823">
        <v>1538.7</v>
      </c>
      <c r="C2823">
        <v>1504.5</v>
      </c>
      <c r="D2823">
        <v>1499.4</v>
      </c>
      <c r="E2823">
        <v>1524.15</v>
      </c>
      <c r="F2823">
        <v>1504.5</v>
      </c>
      <c r="G2823">
        <v>441532</v>
      </c>
      <c r="H2823" s="106"/>
      <c r="I2823" s="106"/>
      <c r="L2823" s="143">
        <v>46163</v>
      </c>
      <c r="M2823" s="106">
        <v>1504</v>
      </c>
      <c r="N2823" s="106">
        <v>1540.5</v>
      </c>
      <c r="O2823" s="106">
        <v>1498.9</v>
      </c>
      <c r="P2823" s="106">
        <v>1532</v>
      </c>
      <c r="Q2823" s="106">
        <v>1504</v>
      </c>
      <c r="R2823">
        <v>1311311</v>
      </c>
    </row>
    <row r="2824" spans="1:18" x14ac:dyDescent="0.25">
      <c r="A2824" s="143">
        <v>46164</v>
      </c>
      <c r="B2824">
        <v>1545.95</v>
      </c>
      <c r="C2824">
        <v>1540.85</v>
      </c>
      <c r="D2824">
        <v>1504</v>
      </c>
      <c r="E2824">
        <v>1510.15</v>
      </c>
      <c r="F2824">
        <v>1540.85</v>
      </c>
      <c r="G2824">
        <v>122101</v>
      </c>
      <c r="H2824" s="106"/>
      <c r="I2824" s="106"/>
      <c r="L2824" s="143">
        <v>46164</v>
      </c>
      <c r="M2824" s="106">
        <v>1539.8</v>
      </c>
      <c r="N2824" s="106">
        <v>1548</v>
      </c>
      <c r="O2824" s="106">
        <v>1503</v>
      </c>
      <c r="P2824" s="106">
        <v>1514.7</v>
      </c>
      <c r="Q2824" s="106">
        <v>1539.8</v>
      </c>
      <c r="R2824">
        <v>1287931</v>
      </c>
    </row>
    <row r="2825" spans="1:18" x14ac:dyDescent="0.25">
      <c r="A2825" s="143">
        <v>46167</v>
      </c>
      <c r="B2825">
        <v>1600</v>
      </c>
      <c r="C2825">
        <v>1590.3</v>
      </c>
      <c r="D2825">
        <v>1553.7</v>
      </c>
      <c r="E2825">
        <v>1554.25</v>
      </c>
      <c r="F2825">
        <v>1590.3</v>
      </c>
      <c r="G2825">
        <v>57918</v>
      </c>
      <c r="H2825" s="106"/>
      <c r="I2825" s="106"/>
      <c r="L2825" s="143">
        <v>46167</v>
      </c>
      <c r="M2825" s="106">
        <v>1591</v>
      </c>
      <c r="N2825" s="106">
        <v>1600</v>
      </c>
      <c r="O2825" s="106">
        <v>1548.5</v>
      </c>
      <c r="P2825" s="106">
        <v>1566</v>
      </c>
      <c r="Q2825" s="106">
        <v>1591</v>
      </c>
      <c r="R2825">
        <v>1668255</v>
      </c>
    </row>
    <row r="2826" spans="1:18" x14ac:dyDescent="0.25">
      <c r="A2826" s="143">
        <v>46168</v>
      </c>
      <c r="B2826">
        <v>1614.9</v>
      </c>
      <c r="C2826">
        <v>1568.1</v>
      </c>
      <c r="D2826">
        <v>1562.6</v>
      </c>
      <c r="E2826">
        <v>1614.9</v>
      </c>
      <c r="F2826">
        <v>1568.1</v>
      </c>
      <c r="G2826">
        <v>20903</v>
      </c>
      <c r="H2826" s="106"/>
      <c r="I2826" s="106"/>
      <c r="L2826" s="143">
        <v>46168</v>
      </c>
      <c r="M2826" s="106">
        <v>1567.3</v>
      </c>
      <c r="N2826" s="106">
        <v>1598.9</v>
      </c>
      <c r="O2826" s="106">
        <v>1562.2</v>
      </c>
      <c r="P2826" s="106">
        <v>1598.5</v>
      </c>
      <c r="Q2826" s="106">
        <v>1567.3</v>
      </c>
      <c r="R2826">
        <v>866674</v>
      </c>
    </row>
    <row r="2827" spans="1:18" x14ac:dyDescent="0.25">
      <c r="A2827" s="143">
        <v>46169</v>
      </c>
      <c r="B2827">
        <v>1586.2</v>
      </c>
      <c r="C2827">
        <v>1578.75</v>
      </c>
      <c r="D2827">
        <v>1556</v>
      </c>
      <c r="E2827">
        <v>1560.4</v>
      </c>
      <c r="F2827">
        <v>1578.75</v>
      </c>
      <c r="G2827">
        <v>26383</v>
      </c>
      <c r="H2827" s="106"/>
      <c r="I2827" s="106"/>
      <c r="L2827" s="143">
        <v>46169</v>
      </c>
      <c r="M2827" s="106">
        <v>1579.2</v>
      </c>
      <c r="N2827" s="106">
        <v>1587</v>
      </c>
      <c r="O2827" s="106">
        <v>1555.3</v>
      </c>
      <c r="P2827" s="106">
        <v>1568</v>
      </c>
      <c r="Q2827" s="106">
        <v>1579.2</v>
      </c>
      <c r="R2827">
        <v>557092</v>
      </c>
    </row>
    <row r="2828" spans="1:18" x14ac:dyDescent="0.25">
      <c r="A2828" s="143">
        <v>46171</v>
      </c>
      <c r="B2828">
        <v>1621.65</v>
      </c>
      <c r="C2828">
        <v>1536.8</v>
      </c>
      <c r="D2828">
        <v>1531.2</v>
      </c>
      <c r="E2828">
        <v>1580.6</v>
      </c>
      <c r="F2828">
        <v>1536.8</v>
      </c>
      <c r="G2828">
        <v>37623</v>
      </c>
      <c r="H2828" s="106"/>
      <c r="I2828" s="106"/>
      <c r="L2828" s="143">
        <v>46171</v>
      </c>
      <c r="M2828" s="106">
        <v>1537.7</v>
      </c>
      <c r="N2828" s="106">
        <v>1629.9</v>
      </c>
      <c r="O2828" s="106">
        <v>1530.2</v>
      </c>
      <c r="P2828" s="106">
        <v>1590.4</v>
      </c>
      <c r="Q2828" s="106">
        <v>1537.7</v>
      </c>
      <c r="R2828">
        <v>2265673</v>
      </c>
    </row>
    <row r="2829" spans="1:18" x14ac:dyDescent="0.25">
      <c r="A2829" s="143">
        <v>46174</v>
      </c>
      <c r="B2829">
        <v>1546.95</v>
      </c>
      <c r="C2829">
        <v>1492.05</v>
      </c>
      <c r="D2829">
        <v>1489.3</v>
      </c>
      <c r="E2829">
        <v>1536.75</v>
      </c>
      <c r="F2829">
        <v>1492.05</v>
      </c>
      <c r="G2829">
        <v>23186</v>
      </c>
      <c r="H2829" s="106"/>
      <c r="I2829" s="106"/>
      <c r="L2829" s="143">
        <v>46174</v>
      </c>
      <c r="M2829" s="106">
        <v>1492.9</v>
      </c>
      <c r="N2829" s="106">
        <v>1548.3</v>
      </c>
      <c r="O2829" s="106">
        <v>1486.9</v>
      </c>
      <c r="P2829" s="106">
        <v>1532.9</v>
      </c>
      <c r="Q2829" s="106">
        <v>1492.9</v>
      </c>
      <c r="R2829">
        <v>2918334</v>
      </c>
    </row>
    <row r="2830" spans="1:18" x14ac:dyDescent="0.25">
      <c r="A2830" s="143">
        <v>46175</v>
      </c>
      <c r="B2830">
        <v>1488.05</v>
      </c>
      <c r="C2830">
        <v>1482.8</v>
      </c>
      <c r="D2830">
        <v>1452.55</v>
      </c>
      <c r="E2830">
        <v>1477.95</v>
      </c>
      <c r="F2830">
        <v>1482.8</v>
      </c>
      <c r="G2830">
        <v>29064</v>
      </c>
      <c r="H2830" s="106"/>
      <c r="I2830" s="106"/>
      <c r="L2830" s="143">
        <v>46175</v>
      </c>
      <c r="M2830" s="106">
        <v>1482.8</v>
      </c>
      <c r="N2830" s="106">
        <v>1488</v>
      </c>
      <c r="O2830" s="106">
        <v>1452.1</v>
      </c>
      <c r="P2830" s="106">
        <v>1476</v>
      </c>
      <c r="Q2830" s="106">
        <v>1482.8</v>
      </c>
      <c r="R2830">
        <v>867651</v>
      </c>
    </row>
    <row r="2831" spans="1:18" x14ac:dyDescent="0.25">
      <c r="A2831" s="143">
        <v>46176</v>
      </c>
      <c r="B2831">
        <v>1484.6</v>
      </c>
      <c r="C2831">
        <v>1470.6</v>
      </c>
      <c r="D2831">
        <v>1445</v>
      </c>
      <c r="E2831">
        <v>1472.4</v>
      </c>
      <c r="F2831">
        <v>1470.6</v>
      </c>
      <c r="G2831">
        <v>34506</v>
      </c>
      <c r="H2831" s="106"/>
      <c r="I2831" s="106"/>
      <c r="L2831" s="143">
        <v>46176</v>
      </c>
      <c r="M2831" s="106">
        <v>1470.6</v>
      </c>
      <c r="N2831" s="106">
        <v>1494</v>
      </c>
      <c r="O2831" s="106">
        <v>1444.6</v>
      </c>
      <c r="P2831" s="106">
        <v>1494</v>
      </c>
      <c r="Q2831" s="106">
        <v>1470.6</v>
      </c>
      <c r="R2831">
        <v>1078181</v>
      </c>
    </row>
    <row r="2832" spans="1:18" x14ac:dyDescent="0.25">
      <c r="A2832" s="143">
        <v>46177</v>
      </c>
      <c r="B2832">
        <v>1494.3</v>
      </c>
      <c r="C2832">
        <v>1486.35</v>
      </c>
      <c r="D2832">
        <v>1454.2</v>
      </c>
      <c r="E2832">
        <v>1474.9</v>
      </c>
      <c r="F2832">
        <v>1486.35</v>
      </c>
      <c r="G2832">
        <v>18468</v>
      </c>
      <c r="H2832" s="106"/>
      <c r="I2832" s="106"/>
      <c r="L2832" s="143">
        <v>46177</v>
      </c>
      <c r="M2832" s="106">
        <v>1486</v>
      </c>
      <c r="N2832" s="106">
        <v>1494</v>
      </c>
      <c r="O2832" s="106">
        <v>1452.3</v>
      </c>
      <c r="P2832" s="106">
        <v>1465.1</v>
      </c>
      <c r="Q2832" s="106">
        <v>1486</v>
      </c>
      <c r="R2832">
        <v>871155</v>
      </c>
    </row>
    <row r="2833" spans="1:18" x14ac:dyDescent="0.25">
      <c r="A2833" s="143">
        <v>46178</v>
      </c>
      <c r="B2833">
        <v>1548.7</v>
      </c>
      <c r="C2833">
        <v>1503.55</v>
      </c>
      <c r="D2833">
        <v>1480.85</v>
      </c>
      <c r="E2833">
        <v>1486.35</v>
      </c>
      <c r="F2833">
        <v>1503.55</v>
      </c>
      <c r="G2833">
        <v>213436</v>
      </c>
      <c r="H2833" s="106"/>
      <c r="I2833" s="106"/>
      <c r="L2833" s="143">
        <v>46178</v>
      </c>
      <c r="M2833" s="106">
        <v>1503.2</v>
      </c>
      <c r="N2833" s="106">
        <v>1549</v>
      </c>
      <c r="O2833" s="106">
        <v>1480.1</v>
      </c>
      <c r="P2833" s="106">
        <v>1486.5</v>
      </c>
      <c r="Q2833" s="106">
        <v>1503.2</v>
      </c>
      <c r="R2833">
        <v>2458256</v>
      </c>
    </row>
    <row r="2834" spans="1:18" x14ac:dyDescent="0.25">
      <c r="A2834" s="143">
        <v>46181</v>
      </c>
      <c r="B2834">
        <v>1482.9</v>
      </c>
      <c r="C2834">
        <v>1458.9</v>
      </c>
      <c r="D2834">
        <v>1450</v>
      </c>
      <c r="E2834">
        <v>1475</v>
      </c>
      <c r="F2834">
        <v>1458.9</v>
      </c>
      <c r="G2834">
        <v>659760</v>
      </c>
      <c r="H2834" s="106"/>
      <c r="I2834" s="106"/>
      <c r="L2834" s="143">
        <v>46181</v>
      </c>
      <c r="M2834" s="106">
        <v>1456</v>
      </c>
      <c r="N2834" s="106">
        <v>1483.8</v>
      </c>
      <c r="O2834" s="106">
        <v>1450</v>
      </c>
      <c r="P2834" s="106">
        <v>1475.1</v>
      </c>
      <c r="Q2834" s="106">
        <v>1456</v>
      </c>
      <c r="R2834">
        <v>1115497</v>
      </c>
    </row>
    <row r="2835" spans="1:18" x14ac:dyDescent="0.25">
      <c r="A2835" s="143">
        <v>46182</v>
      </c>
      <c r="B2835">
        <v>1500</v>
      </c>
      <c r="C2835">
        <v>1495.5</v>
      </c>
      <c r="D2835">
        <v>1462</v>
      </c>
      <c r="E2835">
        <v>1469.95</v>
      </c>
      <c r="F2835">
        <v>1495.5</v>
      </c>
      <c r="G2835">
        <v>58547</v>
      </c>
      <c r="H2835" s="106"/>
      <c r="I2835" s="106"/>
      <c r="L2835" s="143">
        <v>46182</v>
      </c>
      <c r="M2835" s="106">
        <v>1495.4</v>
      </c>
      <c r="N2835" s="106">
        <v>1500</v>
      </c>
      <c r="O2835" s="106">
        <v>1459.1</v>
      </c>
      <c r="P2835" s="106">
        <v>1464.6</v>
      </c>
      <c r="Q2835" s="106">
        <v>1495.4</v>
      </c>
      <c r="R2835">
        <v>1430472</v>
      </c>
    </row>
    <row r="2836" spans="1:18" x14ac:dyDescent="0.25">
      <c r="A2836" s="143">
        <v>46183</v>
      </c>
      <c r="B2836">
        <v>1516.15</v>
      </c>
      <c r="C2836">
        <v>1472.65</v>
      </c>
      <c r="D2836">
        <v>1467</v>
      </c>
      <c r="E2836">
        <v>1495.15</v>
      </c>
      <c r="F2836">
        <v>1472.65</v>
      </c>
      <c r="G2836">
        <v>33127</v>
      </c>
      <c r="H2836" s="106"/>
      <c r="I2836" s="106"/>
      <c r="L2836" s="143">
        <v>46183</v>
      </c>
      <c r="M2836" s="106">
        <v>1472.6</v>
      </c>
      <c r="N2836" s="106">
        <v>1517.4</v>
      </c>
      <c r="O2836" s="106">
        <v>1466.2</v>
      </c>
      <c r="P2836" s="106">
        <v>1489.7</v>
      </c>
      <c r="Q2836" s="106">
        <v>1472.6</v>
      </c>
      <c r="R2836">
        <v>1771871</v>
      </c>
    </row>
    <row r="2837" spans="1:18" x14ac:dyDescent="0.25">
      <c r="A2837" s="143">
        <v>46184</v>
      </c>
      <c r="B2837">
        <v>1472.25</v>
      </c>
      <c r="C2837">
        <v>1453.2</v>
      </c>
      <c r="D2837">
        <v>1449.3</v>
      </c>
      <c r="E2837">
        <v>1456.7</v>
      </c>
      <c r="F2837">
        <v>1453.2</v>
      </c>
      <c r="G2837">
        <v>30222</v>
      </c>
      <c r="H2837" s="106"/>
      <c r="I2837" s="106"/>
      <c r="L2837" s="143">
        <v>46184</v>
      </c>
      <c r="M2837" s="106">
        <v>1454.9</v>
      </c>
      <c r="N2837" s="106">
        <v>1473.3</v>
      </c>
      <c r="O2837" s="106">
        <v>1449.3</v>
      </c>
      <c r="P2837" s="106">
        <v>1459</v>
      </c>
      <c r="Q2837" s="106">
        <v>1454.9</v>
      </c>
      <c r="R2837">
        <v>1160022</v>
      </c>
    </row>
    <row r="2838" spans="1:18" x14ac:dyDescent="0.25">
      <c r="A2838" s="143">
        <v>46185</v>
      </c>
      <c r="B2838">
        <v>1577</v>
      </c>
      <c r="C2838">
        <v>1566.9</v>
      </c>
      <c r="D2838">
        <v>1474.25</v>
      </c>
      <c r="E2838">
        <v>1474.25</v>
      </c>
      <c r="F2838">
        <v>1566.9</v>
      </c>
      <c r="G2838">
        <v>173038</v>
      </c>
      <c r="H2838" s="106"/>
      <c r="I2838" s="106"/>
      <c r="L2838" s="143">
        <v>46185</v>
      </c>
      <c r="M2838" s="106">
        <v>1568.1</v>
      </c>
      <c r="N2838" s="106">
        <v>1577.6</v>
      </c>
      <c r="O2838" s="106">
        <v>1485</v>
      </c>
      <c r="P2838" s="106">
        <v>1489.4</v>
      </c>
      <c r="Q2838" s="106">
        <v>1568.1</v>
      </c>
      <c r="R2838">
        <v>3265447</v>
      </c>
    </row>
    <row r="2839" spans="1:18" x14ac:dyDescent="0.25">
      <c r="A2839" s="143">
        <v>46188</v>
      </c>
      <c r="B2839">
        <v>1664</v>
      </c>
      <c r="C2839">
        <v>1653.65</v>
      </c>
      <c r="D2839">
        <v>1608.4</v>
      </c>
      <c r="E2839">
        <v>1618.35</v>
      </c>
      <c r="F2839">
        <v>1653.65</v>
      </c>
      <c r="G2839">
        <v>195948</v>
      </c>
      <c r="H2839" s="106"/>
      <c r="I2839" s="106"/>
      <c r="L2839" s="143">
        <v>46188</v>
      </c>
      <c r="M2839" s="106">
        <v>1653.6</v>
      </c>
      <c r="N2839" s="106">
        <v>1664</v>
      </c>
      <c r="O2839" s="106">
        <v>1607.3</v>
      </c>
      <c r="P2839" s="106">
        <v>1610</v>
      </c>
      <c r="Q2839" s="106">
        <v>1653.6</v>
      </c>
      <c r="R2839">
        <v>4372229</v>
      </c>
    </row>
    <row r="2840" spans="1:18" x14ac:dyDescent="0.25">
      <c r="A2840" s="143">
        <v>46189</v>
      </c>
      <c r="B2840">
        <v>1685.95</v>
      </c>
      <c r="C2840">
        <v>1679.55</v>
      </c>
      <c r="D2840">
        <v>1652.8</v>
      </c>
      <c r="E2840">
        <v>1656.8</v>
      </c>
      <c r="F2840">
        <v>1679.55</v>
      </c>
      <c r="G2840">
        <v>342619</v>
      </c>
      <c r="H2840" s="106"/>
      <c r="I2840" s="106"/>
      <c r="L2840" s="143">
        <v>46189</v>
      </c>
      <c r="M2840" s="106">
        <v>1680.4</v>
      </c>
      <c r="N2840" s="106">
        <v>1685.7</v>
      </c>
      <c r="O2840" s="106">
        <v>1649.8</v>
      </c>
      <c r="P2840" s="106">
        <v>1649.9</v>
      </c>
      <c r="Q2840" s="106">
        <v>1680.4</v>
      </c>
      <c r="R2840">
        <v>2152281</v>
      </c>
    </row>
    <row r="2841" spans="1:18" x14ac:dyDescent="0.25">
      <c r="A2841" s="143">
        <v>46190</v>
      </c>
      <c r="B2841">
        <v>1692.15</v>
      </c>
      <c r="C2841">
        <v>1679.65</v>
      </c>
      <c r="D2841">
        <v>1673</v>
      </c>
      <c r="E2841">
        <v>1687.35</v>
      </c>
      <c r="F2841">
        <v>1679.65</v>
      </c>
      <c r="G2841">
        <v>22931</v>
      </c>
      <c r="H2841" s="106"/>
      <c r="I2841" s="106"/>
      <c r="L2841" s="143">
        <v>46190</v>
      </c>
      <c r="M2841" s="106">
        <v>1679.2</v>
      </c>
      <c r="N2841" s="106">
        <v>1690.9</v>
      </c>
      <c r="O2841" s="106">
        <v>1672.6</v>
      </c>
      <c r="P2841" s="106">
        <v>1680.4</v>
      </c>
      <c r="Q2841" s="106">
        <v>1679.2</v>
      </c>
      <c r="R2841">
        <v>980447</v>
      </c>
    </row>
    <row r="2842" spans="1:18" x14ac:dyDescent="0.25">
      <c r="A2842" s="143">
        <v>46191</v>
      </c>
      <c r="B2842">
        <v>1691.6</v>
      </c>
      <c r="C2842">
        <v>1689.1</v>
      </c>
      <c r="D2842">
        <v>1660.25</v>
      </c>
      <c r="E2842">
        <v>1668.2</v>
      </c>
      <c r="F2842">
        <v>1689.1</v>
      </c>
      <c r="G2842">
        <v>22909</v>
      </c>
      <c r="H2842" s="106"/>
      <c r="I2842" s="106"/>
      <c r="L2842" s="143">
        <v>46191</v>
      </c>
      <c r="M2842" s="106">
        <v>1688.9</v>
      </c>
      <c r="N2842" s="106">
        <v>1692</v>
      </c>
      <c r="O2842" s="106">
        <v>1661</v>
      </c>
      <c r="P2842" s="106">
        <v>1675</v>
      </c>
      <c r="Q2842" s="106">
        <v>1688.9</v>
      </c>
      <c r="R2842">
        <v>770645</v>
      </c>
    </row>
    <row r="2843" spans="1:18" x14ac:dyDescent="0.25">
      <c r="A2843" s="143">
        <v>46192</v>
      </c>
      <c r="B2843">
        <v>1705</v>
      </c>
      <c r="C2843">
        <v>1694.7</v>
      </c>
      <c r="D2843">
        <v>1677.3</v>
      </c>
      <c r="E2843">
        <v>1678.6</v>
      </c>
      <c r="F2843">
        <v>1694.7</v>
      </c>
      <c r="G2843">
        <v>63005</v>
      </c>
      <c r="H2843" s="106"/>
      <c r="I2843" s="106"/>
      <c r="L2843" s="143">
        <v>46192</v>
      </c>
      <c r="M2843" s="106">
        <v>1693.4</v>
      </c>
      <c r="N2843" s="106">
        <v>1704.1</v>
      </c>
      <c r="O2843" s="106">
        <v>1676.5</v>
      </c>
      <c r="P2843" s="106">
        <v>1684</v>
      </c>
      <c r="Q2843" s="106">
        <v>1693.4</v>
      </c>
      <c r="R2843">
        <v>1247083</v>
      </c>
    </row>
    <row r="2844" spans="1:18" x14ac:dyDescent="0.25">
      <c r="A2844" s="143">
        <v>46195</v>
      </c>
      <c r="B2844">
        <v>1723.4</v>
      </c>
      <c r="C2844">
        <v>1718.15</v>
      </c>
      <c r="D2844">
        <v>1675.3</v>
      </c>
      <c r="E2844">
        <v>1675.3</v>
      </c>
      <c r="F2844">
        <v>1718.15</v>
      </c>
      <c r="G2844">
        <v>29108</v>
      </c>
      <c r="H2844" s="106"/>
      <c r="I2844" s="106"/>
      <c r="L2844" s="143">
        <v>46195</v>
      </c>
      <c r="M2844" s="106">
        <v>1718.8</v>
      </c>
      <c r="N2844" s="106">
        <v>1724.3</v>
      </c>
      <c r="O2844" s="106">
        <v>1694.9</v>
      </c>
      <c r="P2844" s="106">
        <v>1694.9</v>
      </c>
      <c r="Q2844" s="106">
        <v>1718.8</v>
      </c>
      <c r="R2844">
        <v>1704231</v>
      </c>
    </row>
    <row r="2845" spans="1:18" x14ac:dyDescent="0.25">
      <c r="A2845" s="143">
        <v>46196</v>
      </c>
      <c r="B2845">
        <v>1742.9</v>
      </c>
      <c r="C2845">
        <v>1723.95</v>
      </c>
      <c r="D2845">
        <v>1717.7</v>
      </c>
      <c r="E2845">
        <v>1729.6</v>
      </c>
      <c r="F2845">
        <v>1723.95</v>
      </c>
      <c r="G2845">
        <v>716099</v>
      </c>
      <c r="H2845" s="106"/>
      <c r="I2845" s="106"/>
      <c r="L2845" s="143">
        <v>46196</v>
      </c>
      <c r="M2845" s="106">
        <v>1725.9</v>
      </c>
      <c r="N2845" s="106">
        <v>1742.8</v>
      </c>
      <c r="O2845" s="106">
        <v>1711.7</v>
      </c>
      <c r="P2845" s="106">
        <v>1719.9</v>
      </c>
      <c r="Q2845" s="106">
        <v>1725.9</v>
      </c>
      <c r="R2845">
        <v>1934588</v>
      </c>
    </row>
    <row r="2846" spans="1:18" x14ac:dyDescent="0.25">
      <c r="H2846" s="106"/>
      <c r="I2846" s="106"/>
    </row>
    <row r="2847" spans="1:18" x14ac:dyDescent="0.25">
      <c r="H2847" s="106"/>
      <c r="I2847" s="106"/>
    </row>
    <row r="2848" spans="1:18" x14ac:dyDescent="0.25">
      <c r="H2848" s="106"/>
      <c r="I2848" s="106"/>
    </row>
    <row r="2849" spans="8:9" x14ac:dyDescent="0.25">
      <c r="H2849" s="106"/>
      <c r="I2849" s="106"/>
    </row>
    <row r="2850" spans="8:9" x14ac:dyDescent="0.25">
      <c r="H2850" s="106"/>
      <c r="I2850" s="106"/>
    </row>
    <row r="2851" spans="8:9" x14ac:dyDescent="0.25">
      <c r="H2851" s="106"/>
      <c r="I2851" s="106"/>
    </row>
    <row r="2852" spans="8:9" x14ac:dyDescent="0.25">
      <c r="H2852" s="106"/>
      <c r="I2852" s="106"/>
    </row>
    <row r="2853" spans="8:9" x14ac:dyDescent="0.25">
      <c r="H2853" s="106"/>
      <c r="I2853" s="106"/>
    </row>
    <row r="2854" spans="8:9" x14ac:dyDescent="0.25">
      <c r="H2854" s="106"/>
      <c r="I2854" s="106"/>
    </row>
    <row r="2855" spans="8:9" x14ac:dyDescent="0.25">
      <c r="H2855" s="106"/>
      <c r="I2855" s="106"/>
    </row>
    <row r="2856" spans="8:9" x14ac:dyDescent="0.25">
      <c r="H2856" s="106"/>
      <c r="I2856" s="106"/>
    </row>
    <row r="2857" spans="8:9" x14ac:dyDescent="0.25">
      <c r="H2857" s="106"/>
      <c r="I2857" s="106"/>
    </row>
    <row r="2858" spans="8:9" x14ac:dyDescent="0.25">
      <c r="H2858" s="106"/>
      <c r="I2858" s="106"/>
    </row>
    <row r="2859" spans="8:9" x14ac:dyDescent="0.25">
      <c r="H2859" s="106"/>
      <c r="I2859" s="106"/>
    </row>
    <row r="2860" spans="8:9" x14ac:dyDescent="0.25">
      <c r="H2860" s="106"/>
      <c r="I2860" s="106"/>
    </row>
    <row r="2861" spans="8:9" x14ac:dyDescent="0.25">
      <c r="H2861" s="106"/>
      <c r="I2861" s="106"/>
    </row>
    <row r="2862" spans="8:9" x14ac:dyDescent="0.25">
      <c r="H2862" s="106"/>
      <c r="I2862" s="106"/>
    </row>
    <row r="2863" spans="8:9" x14ac:dyDescent="0.25">
      <c r="H2863" s="106"/>
      <c r="I2863" s="106"/>
    </row>
    <row r="2864" spans="8:9" x14ac:dyDescent="0.25">
      <c r="H2864" s="106"/>
      <c r="I2864" s="106"/>
    </row>
    <row r="2865" spans="8:9" x14ac:dyDescent="0.25">
      <c r="H2865" s="106"/>
      <c r="I2865" s="106"/>
    </row>
    <row r="2866" spans="8:9" x14ac:dyDescent="0.25">
      <c r="H2866" s="106"/>
      <c r="I2866" s="106"/>
    </row>
    <row r="2867" spans="8:9" x14ac:dyDescent="0.25">
      <c r="H2867" s="106"/>
      <c r="I2867" s="106"/>
    </row>
    <row r="2868" spans="8:9" x14ac:dyDescent="0.25">
      <c r="H2868" s="106"/>
      <c r="I2868" s="106"/>
    </row>
    <row r="2869" spans="8:9" x14ac:dyDescent="0.25">
      <c r="H2869" s="106"/>
      <c r="I2869" s="106"/>
    </row>
    <row r="2870" spans="8:9" x14ac:dyDescent="0.25">
      <c r="H2870" s="106"/>
      <c r="I2870" s="106"/>
    </row>
    <row r="2871" spans="8:9" x14ac:dyDescent="0.25">
      <c r="H2871" s="106"/>
      <c r="I2871" s="106"/>
    </row>
    <row r="2872" spans="8:9" x14ac:dyDescent="0.25">
      <c r="H2872" s="106"/>
      <c r="I2872" s="106"/>
    </row>
    <row r="2873" spans="8:9" x14ac:dyDescent="0.25">
      <c r="H2873" s="106"/>
      <c r="I2873" s="106"/>
    </row>
    <row r="2874" spans="8:9" x14ac:dyDescent="0.25">
      <c r="H2874" s="106"/>
      <c r="I2874" s="106"/>
    </row>
    <row r="2875" spans="8:9" x14ac:dyDescent="0.25">
      <c r="H2875" s="106"/>
      <c r="I2875" s="106"/>
    </row>
    <row r="2876" spans="8:9" x14ac:dyDescent="0.25">
      <c r="H2876" s="106"/>
      <c r="I2876" s="106"/>
    </row>
    <row r="2877" spans="8:9" x14ac:dyDescent="0.25">
      <c r="H2877" s="106"/>
      <c r="I2877" s="106"/>
    </row>
    <row r="2878" spans="8:9" x14ac:dyDescent="0.25">
      <c r="H2878" s="106"/>
      <c r="I2878" s="106"/>
    </row>
    <row r="2879" spans="8:9" x14ac:dyDescent="0.25">
      <c r="H2879" s="106"/>
      <c r="I2879" s="106"/>
    </row>
    <row r="2880" spans="8:9" x14ac:dyDescent="0.25">
      <c r="H2880" s="106"/>
      <c r="I2880" s="106"/>
    </row>
    <row r="2881" spans="8:9" x14ac:dyDescent="0.25">
      <c r="H2881" s="106"/>
      <c r="I2881" s="106"/>
    </row>
    <row r="2882" spans="8:9" x14ac:dyDescent="0.25">
      <c r="H2882" s="106"/>
      <c r="I2882" s="106"/>
    </row>
    <row r="2883" spans="8:9" x14ac:dyDescent="0.25">
      <c r="H2883" s="106"/>
      <c r="I2883" s="106"/>
    </row>
    <row r="2884" spans="8:9" x14ac:dyDescent="0.25">
      <c r="H2884" s="106"/>
      <c r="I2884" s="106"/>
    </row>
    <row r="2885" spans="8:9" x14ac:dyDescent="0.25">
      <c r="H2885" s="106"/>
      <c r="I2885" s="106"/>
    </row>
    <row r="2886" spans="8:9" x14ac:dyDescent="0.25">
      <c r="H2886" s="106"/>
      <c r="I2886" s="106"/>
    </row>
    <row r="2887" spans="8:9" x14ac:dyDescent="0.25">
      <c r="H2887" s="106"/>
      <c r="I2887" s="106"/>
    </row>
    <row r="2888" spans="8:9" x14ac:dyDescent="0.25">
      <c r="H2888" s="106"/>
      <c r="I2888" s="106"/>
    </row>
    <row r="2889" spans="8:9" x14ac:dyDescent="0.25">
      <c r="H2889" s="106"/>
      <c r="I2889" s="106"/>
    </row>
    <row r="2890" spans="8:9" x14ac:dyDescent="0.25">
      <c r="H2890" s="106"/>
      <c r="I2890" s="106"/>
    </row>
    <row r="2891" spans="8:9" x14ac:dyDescent="0.25">
      <c r="H2891" s="106"/>
      <c r="I2891" s="106"/>
    </row>
    <row r="2892" spans="8:9" x14ac:dyDescent="0.25">
      <c r="H2892" s="106"/>
      <c r="I2892" s="106"/>
    </row>
    <row r="2893" spans="8:9" x14ac:dyDescent="0.25">
      <c r="H2893" s="106"/>
      <c r="I2893" s="106"/>
    </row>
    <row r="2894" spans="8:9" x14ac:dyDescent="0.25">
      <c r="H2894" s="106"/>
      <c r="I2894" s="106"/>
    </row>
    <row r="2895" spans="8:9" x14ac:dyDescent="0.25">
      <c r="H2895" s="106"/>
      <c r="I2895" s="106"/>
    </row>
    <row r="2896" spans="8:9" x14ac:dyDescent="0.25">
      <c r="H2896" s="106"/>
      <c r="I2896" s="106"/>
    </row>
    <row r="2897" spans="8:9" x14ac:dyDescent="0.25">
      <c r="H2897" s="106"/>
      <c r="I2897" s="106"/>
    </row>
    <row r="2898" spans="8:9" x14ac:dyDescent="0.25">
      <c r="H2898" s="106"/>
      <c r="I2898" s="106"/>
    </row>
    <row r="2899" spans="8:9" x14ac:dyDescent="0.25">
      <c r="H2899" s="106"/>
      <c r="I2899" s="106"/>
    </row>
    <row r="2900" spans="8:9" x14ac:dyDescent="0.25">
      <c r="H2900" s="106"/>
      <c r="I2900" s="106"/>
    </row>
    <row r="2901" spans="8:9" x14ac:dyDescent="0.25">
      <c r="H2901" s="106"/>
      <c r="I2901" s="106"/>
    </row>
    <row r="2902" spans="8:9" x14ac:dyDescent="0.25">
      <c r="H2902" s="106"/>
      <c r="I2902" s="106"/>
    </row>
    <row r="2903" spans="8:9" x14ac:dyDescent="0.25">
      <c r="H2903" s="106"/>
      <c r="I2903" s="106"/>
    </row>
    <row r="2904" spans="8:9" x14ac:dyDescent="0.25">
      <c r="H2904" s="106"/>
      <c r="I2904" s="106"/>
    </row>
    <row r="2905" spans="8:9" x14ac:dyDescent="0.25">
      <c r="H2905" s="106"/>
      <c r="I2905" s="106"/>
    </row>
    <row r="2906" spans="8:9" x14ac:dyDescent="0.25">
      <c r="H2906" s="106"/>
      <c r="I2906" s="106"/>
    </row>
    <row r="2907" spans="8:9" x14ac:dyDescent="0.25">
      <c r="H2907" s="106"/>
      <c r="I2907" s="106"/>
    </row>
    <row r="2908" spans="8:9" x14ac:dyDescent="0.25">
      <c r="H2908" s="106"/>
      <c r="I2908" s="106"/>
    </row>
    <row r="2909" spans="8:9" x14ac:dyDescent="0.25">
      <c r="H2909" s="106"/>
      <c r="I2909" s="106"/>
    </row>
    <row r="2910" spans="8:9" x14ac:dyDescent="0.25">
      <c r="H2910" s="106"/>
      <c r="I2910" s="106"/>
    </row>
    <row r="2911" spans="8:9" x14ac:dyDescent="0.25">
      <c r="H2911" s="106"/>
      <c r="I2911" s="106"/>
    </row>
    <row r="2912" spans="8:9" x14ac:dyDescent="0.25">
      <c r="H2912" s="106"/>
      <c r="I2912" s="106"/>
    </row>
    <row r="2913" spans="8:9" x14ac:dyDescent="0.25">
      <c r="H2913" s="106"/>
      <c r="I2913" s="106"/>
    </row>
    <row r="2914" spans="8:9" x14ac:dyDescent="0.25">
      <c r="H2914" s="106"/>
      <c r="I2914" s="106"/>
    </row>
    <row r="2915" spans="8:9" x14ac:dyDescent="0.25">
      <c r="H2915" s="106"/>
      <c r="I2915" s="106"/>
    </row>
    <row r="2916" spans="8:9" x14ac:dyDescent="0.25">
      <c r="H2916" s="106"/>
      <c r="I2916" s="106"/>
    </row>
    <row r="2917" spans="8:9" x14ac:dyDescent="0.25">
      <c r="H2917" s="106"/>
      <c r="I2917" s="106"/>
    </row>
    <row r="2918" spans="8:9" x14ac:dyDescent="0.25">
      <c r="H2918" s="106"/>
      <c r="I2918" s="106"/>
    </row>
    <row r="2919" spans="8:9" x14ac:dyDescent="0.25">
      <c r="H2919" s="106"/>
      <c r="I2919" s="106"/>
    </row>
    <row r="2920" spans="8:9" x14ac:dyDescent="0.25">
      <c r="H2920" s="106"/>
      <c r="I2920" s="106"/>
    </row>
    <row r="2921" spans="8:9" x14ac:dyDescent="0.25">
      <c r="H2921" s="106"/>
      <c r="I2921" s="106"/>
    </row>
    <row r="2922" spans="8:9" x14ac:dyDescent="0.25">
      <c r="H2922" s="106"/>
      <c r="I2922" s="106"/>
    </row>
    <row r="2923" spans="8:9" x14ac:dyDescent="0.25">
      <c r="H2923" s="106"/>
      <c r="I2923" s="106"/>
    </row>
    <row r="2924" spans="8:9" x14ac:dyDescent="0.25">
      <c r="H2924" s="106"/>
      <c r="I2924" s="106"/>
    </row>
    <row r="2925" spans="8:9" x14ac:dyDescent="0.25">
      <c r="H2925" s="106"/>
      <c r="I2925" s="106"/>
    </row>
    <row r="2926" spans="8:9" x14ac:dyDescent="0.25">
      <c r="H2926" s="106"/>
      <c r="I2926" s="106"/>
    </row>
    <row r="2927" spans="8:9" x14ac:dyDescent="0.25">
      <c r="H2927" s="106"/>
      <c r="I2927" s="106"/>
    </row>
    <row r="2928" spans="8:9" x14ac:dyDescent="0.25">
      <c r="H2928" s="106"/>
      <c r="I2928" s="106"/>
    </row>
    <row r="2929" spans="8:9" x14ac:dyDescent="0.25">
      <c r="H2929" s="106"/>
      <c r="I2929" s="106"/>
    </row>
    <row r="2930" spans="8:9" x14ac:dyDescent="0.25">
      <c r="H2930" s="106"/>
      <c r="I2930" s="106"/>
    </row>
    <row r="2931" spans="8:9" x14ac:dyDescent="0.25">
      <c r="H2931" s="106"/>
      <c r="I2931" s="106"/>
    </row>
    <row r="2932" spans="8:9" x14ac:dyDescent="0.25">
      <c r="H2932" s="106"/>
      <c r="I2932" s="106"/>
    </row>
    <row r="2933" spans="8:9" x14ac:dyDescent="0.25">
      <c r="H2933" s="106"/>
      <c r="I2933" s="106"/>
    </row>
    <row r="2934" spans="8:9" x14ac:dyDescent="0.25">
      <c r="H2934" s="106"/>
      <c r="I2934" s="106"/>
    </row>
    <row r="2935" spans="8:9" x14ac:dyDescent="0.25">
      <c r="H2935" s="106"/>
      <c r="I2935" s="106"/>
    </row>
    <row r="2936" spans="8:9" x14ac:dyDescent="0.25">
      <c r="H2936" s="106"/>
      <c r="I2936" s="106"/>
    </row>
    <row r="2937" spans="8:9" x14ac:dyDescent="0.25">
      <c r="H2937" s="106"/>
      <c r="I2937" s="106"/>
    </row>
    <row r="2938" spans="8:9" x14ac:dyDescent="0.25">
      <c r="H2938" s="106"/>
      <c r="I2938" s="106"/>
    </row>
    <row r="2939" spans="8:9" x14ac:dyDescent="0.25">
      <c r="H2939" s="106"/>
      <c r="I2939" s="106"/>
    </row>
    <row r="2940" spans="8:9" x14ac:dyDescent="0.25">
      <c r="H2940" s="106"/>
      <c r="I2940" s="106"/>
    </row>
    <row r="2941" spans="8:9" x14ac:dyDescent="0.25">
      <c r="H2941" s="106"/>
      <c r="I2941" s="106"/>
    </row>
    <row r="2942" spans="8:9" x14ac:dyDescent="0.25">
      <c r="H2942" s="106"/>
      <c r="I2942" s="106"/>
    </row>
    <row r="2943" spans="8:9" x14ac:dyDescent="0.25">
      <c r="H2943" s="106"/>
      <c r="I2943" s="106"/>
    </row>
    <row r="2944" spans="8:9" x14ac:dyDescent="0.25">
      <c r="H2944" s="106"/>
      <c r="I2944" s="106"/>
    </row>
    <row r="2945" spans="8:9" x14ac:dyDescent="0.25">
      <c r="H2945" s="106"/>
      <c r="I2945" s="106"/>
    </row>
    <row r="2946" spans="8:9" x14ac:dyDescent="0.25">
      <c r="H2946" s="106"/>
      <c r="I2946" s="106"/>
    </row>
    <row r="2947" spans="8:9" x14ac:dyDescent="0.25">
      <c r="H2947" s="106"/>
      <c r="I2947" s="106"/>
    </row>
    <row r="2948" spans="8:9" x14ac:dyDescent="0.25">
      <c r="H2948" s="106"/>
      <c r="I2948" s="106"/>
    </row>
    <row r="2949" spans="8:9" x14ac:dyDescent="0.25">
      <c r="H2949" s="106"/>
      <c r="I2949" s="106"/>
    </row>
    <row r="2950" spans="8:9" x14ac:dyDescent="0.25">
      <c r="H2950" s="106"/>
      <c r="I2950" s="106"/>
    </row>
    <row r="2951" spans="8:9" x14ac:dyDescent="0.25">
      <c r="H2951" s="106"/>
      <c r="I2951" s="106"/>
    </row>
    <row r="2952" spans="8:9" x14ac:dyDescent="0.25">
      <c r="H2952" s="106"/>
      <c r="I2952" s="106"/>
    </row>
    <row r="2953" spans="8:9" x14ac:dyDescent="0.25">
      <c r="H2953" s="106"/>
      <c r="I2953" s="106"/>
    </row>
    <row r="2954" spans="8:9" x14ac:dyDescent="0.25">
      <c r="H2954" s="106"/>
      <c r="I2954" s="106"/>
    </row>
    <row r="2955" spans="8:9" x14ac:dyDescent="0.25">
      <c r="H2955" s="106"/>
      <c r="I2955" s="106"/>
    </row>
    <row r="2956" spans="8:9" x14ac:dyDescent="0.25">
      <c r="H2956" s="106"/>
      <c r="I2956" s="106"/>
    </row>
    <row r="2957" spans="8:9" x14ac:dyDescent="0.25">
      <c r="H2957" s="106"/>
      <c r="I2957" s="106"/>
    </row>
    <row r="2958" spans="8:9" x14ac:dyDescent="0.25">
      <c r="H2958" s="106"/>
      <c r="I2958" s="106"/>
    </row>
    <row r="2959" spans="8:9" x14ac:dyDescent="0.25">
      <c r="H2959" s="106"/>
      <c r="I2959" s="106"/>
    </row>
    <row r="2960" spans="8:9" x14ac:dyDescent="0.25">
      <c r="H2960" s="106"/>
      <c r="I2960" s="106"/>
    </row>
    <row r="2961" spans="8:9" x14ac:dyDescent="0.25">
      <c r="H2961" s="106"/>
      <c r="I2961" s="106"/>
    </row>
    <row r="2962" spans="8:9" x14ac:dyDescent="0.25">
      <c r="H2962" s="106"/>
      <c r="I2962" s="106"/>
    </row>
    <row r="2963" spans="8:9" x14ac:dyDescent="0.25">
      <c r="H2963" s="106"/>
      <c r="I2963" s="106"/>
    </row>
    <row r="2964" spans="8:9" x14ac:dyDescent="0.25">
      <c r="H2964" s="106"/>
      <c r="I2964" s="106"/>
    </row>
    <row r="2965" spans="8:9" x14ac:dyDescent="0.25">
      <c r="H2965" s="106"/>
      <c r="I2965" s="106"/>
    </row>
    <row r="2966" spans="8:9" x14ac:dyDescent="0.25">
      <c r="H2966" s="106"/>
      <c r="I2966" s="106"/>
    </row>
    <row r="2967" spans="8:9" x14ac:dyDescent="0.25">
      <c r="H2967" s="106"/>
      <c r="I2967" s="106"/>
    </row>
    <row r="2968" spans="8:9" x14ac:dyDescent="0.25">
      <c r="H2968" s="106"/>
      <c r="I2968" s="106"/>
    </row>
    <row r="2969" spans="8:9" x14ac:dyDescent="0.25">
      <c r="H2969" s="106"/>
      <c r="I2969" s="106"/>
    </row>
    <row r="2970" spans="8:9" x14ac:dyDescent="0.25">
      <c r="H2970" s="106"/>
      <c r="I2970" s="106"/>
    </row>
    <row r="2971" spans="8:9" x14ac:dyDescent="0.25">
      <c r="H2971" s="106"/>
      <c r="I2971" s="106"/>
    </row>
    <row r="2972" spans="8:9" x14ac:dyDescent="0.25">
      <c r="H2972" s="106"/>
      <c r="I2972" s="106"/>
    </row>
    <row r="2973" spans="8:9" x14ac:dyDescent="0.25">
      <c r="H2973" s="106"/>
      <c r="I2973" s="106"/>
    </row>
    <row r="2974" spans="8:9" x14ac:dyDescent="0.25">
      <c r="H2974" s="106"/>
      <c r="I2974" s="106"/>
    </row>
    <row r="2975" spans="8:9" x14ac:dyDescent="0.25">
      <c r="H2975" s="106"/>
      <c r="I2975" s="106"/>
    </row>
    <row r="2976" spans="8:9" x14ac:dyDescent="0.25">
      <c r="H2976" s="106"/>
      <c r="I2976" s="106"/>
    </row>
    <row r="2977" spans="8:9" x14ac:dyDescent="0.25">
      <c r="H2977" s="106"/>
      <c r="I2977" s="106"/>
    </row>
    <row r="2978" spans="8:9" x14ac:dyDescent="0.25">
      <c r="H2978" s="106"/>
      <c r="I2978" s="106"/>
    </row>
    <row r="2979" spans="8:9" x14ac:dyDescent="0.25">
      <c r="H2979" s="106"/>
      <c r="I2979" s="106"/>
    </row>
    <row r="2980" spans="8:9" x14ac:dyDescent="0.25">
      <c r="H2980" s="106"/>
      <c r="I2980" s="106"/>
    </row>
    <row r="2981" spans="8:9" x14ac:dyDescent="0.25">
      <c r="H2981" s="106"/>
      <c r="I2981" s="106"/>
    </row>
    <row r="2982" spans="8:9" x14ac:dyDescent="0.25">
      <c r="H2982" s="106"/>
      <c r="I2982" s="106"/>
    </row>
    <row r="2983" spans="8:9" x14ac:dyDescent="0.25">
      <c r="H2983" s="106"/>
      <c r="I2983" s="106"/>
    </row>
    <row r="2984" spans="8:9" x14ac:dyDescent="0.25">
      <c r="H2984" s="106"/>
      <c r="I2984" s="106"/>
    </row>
    <row r="2985" spans="8:9" x14ac:dyDescent="0.25">
      <c r="H2985" s="106"/>
      <c r="I2985" s="106"/>
    </row>
    <row r="2986" spans="8:9" x14ac:dyDescent="0.25">
      <c r="H2986" s="106"/>
      <c r="I2986" s="106"/>
    </row>
    <row r="2987" spans="8:9" x14ac:dyDescent="0.25">
      <c r="H2987" s="106"/>
      <c r="I2987" s="106"/>
    </row>
    <row r="2988" spans="8:9" x14ac:dyDescent="0.25">
      <c r="H2988" s="106"/>
      <c r="I2988" s="106"/>
    </row>
    <row r="2989" spans="8:9" x14ac:dyDescent="0.25">
      <c r="H2989" s="106"/>
      <c r="I2989" s="106"/>
    </row>
    <row r="2990" spans="8:9" x14ac:dyDescent="0.25">
      <c r="H2990" s="106"/>
      <c r="I2990" s="106"/>
    </row>
    <row r="2991" spans="8:9" x14ac:dyDescent="0.25">
      <c r="H2991" s="106"/>
      <c r="I2991" s="106"/>
    </row>
    <row r="2992" spans="8:9" x14ac:dyDescent="0.25">
      <c r="H2992" s="106"/>
      <c r="I2992" s="106"/>
    </row>
    <row r="2993" spans="8:9" x14ac:dyDescent="0.25">
      <c r="H2993" s="106"/>
      <c r="I2993" s="106"/>
    </row>
    <row r="2994" spans="8:9" x14ac:dyDescent="0.25">
      <c r="H2994" s="106"/>
      <c r="I2994" s="106"/>
    </row>
    <row r="2995" spans="8:9" x14ac:dyDescent="0.25">
      <c r="H2995" s="106"/>
      <c r="I2995" s="106"/>
    </row>
    <row r="2996" spans="8:9" x14ac:dyDescent="0.25">
      <c r="H2996" s="106"/>
      <c r="I2996" s="106"/>
    </row>
    <row r="2997" spans="8:9" x14ac:dyDescent="0.25">
      <c r="H2997" s="106"/>
      <c r="I2997" s="106"/>
    </row>
    <row r="2998" spans="8:9" x14ac:dyDescent="0.25">
      <c r="H2998" s="106"/>
      <c r="I2998" s="106"/>
    </row>
    <row r="2999" spans="8:9" x14ac:dyDescent="0.25">
      <c r="H2999" s="106"/>
      <c r="I2999" s="106"/>
    </row>
    <row r="3000" spans="8:9" x14ac:dyDescent="0.25">
      <c r="H3000" s="106"/>
      <c r="I3000" s="106"/>
    </row>
    <row r="3001" spans="8:9" x14ac:dyDescent="0.25">
      <c r="H3001" s="106"/>
      <c r="I3001" s="106"/>
    </row>
    <row r="3002" spans="8:9" x14ac:dyDescent="0.25">
      <c r="H3002" s="106"/>
      <c r="I3002" s="106"/>
    </row>
    <row r="3003" spans="8:9" x14ac:dyDescent="0.25">
      <c r="H3003" s="106"/>
      <c r="I3003" s="106"/>
    </row>
    <row r="3004" spans="8:9" x14ac:dyDescent="0.25">
      <c r="H3004" s="106"/>
      <c r="I3004" s="106"/>
    </row>
    <row r="3005" spans="8:9" x14ac:dyDescent="0.25">
      <c r="H3005" s="106"/>
      <c r="I3005" s="106"/>
    </row>
    <row r="3006" spans="8:9" x14ac:dyDescent="0.25">
      <c r="H3006" s="106"/>
      <c r="I3006" s="106"/>
    </row>
    <row r="3007" spans="8:9" x14ac:dyDescent="0.25">
      <c r="H3007" s="106"/>
      <c r="I3007" s="106"/>
    </row>
    <row r="3008" spans="8:9" x14ac:dyDescent="0.25">
      <c r="H3008" s="106"/>
      <c r="I3008" s="106"/>
    </row>
    <row r="3009" spans="8:9" x14ac:dyDescent="0.25">
      <c r="H3009" s="106"/>
      <c r="I3009" s="106"/>
    </row>
    <row r="3010" spans="8:9" x14ac:dyDescent="0.25">
      <c r="H3010" s="106"/>
      <c r="I3010" s="106"/>
    </row>
    <row r="3011" spans="8:9" x14ac:dyDescent="0.25">
      <c r="H3011" s="106"/>
      <c r="I3011" s="106"/>
    </row>
    <row r="3012" spans="8:9" x14ac:dyDescent="0.25">
      <c r="H3012" s="106"/>
      <c r="I3012" s="106"/>
    </row>
    <row r="3013" spans="8:9" x14ac:dyDescent="0.25">
      <c r="H3013" s="106"/>
      <c r="I3013" s="106"/>
    </row>
    <row r="3014" spans="8:9" x14ac:dyDescent="0.25">
      <c r="H3014" s="106"/>
      <c r="I3014" s="106"/>
    </row>
    <row r="3015" spans="8:9" x14ac:dyDescent="0.25">
      <c r="H3015" s="106"/>
      <c r="I3015" s="106"/>
    </row>
    <row r="3016" spans="8:9" x14ac:dyDescent="0.25">
      <c r="H3016" s="106"/>
      <c r="I3016" s="106"/>
    </row>
    <row r="3017" spans="8:9" x14ac:dyDescent="0.25">
      <c r="H3017" s="106"/>
      <c r="I3017" s="106"/>
    </row>
    <row r="3018" spans="8:9" x14ac:dyDescent="0.25">
      <c r="H3018" s="106"/>
      <c r="I3018" s="106"/>
    </row>
    <row r="3019" spans="8:9" x14ac:dyDescent="0.25">
      <c r="H3019" s="106"/>
      <c r="I3019" s="106"/>
    </row>
    <row r="3020" spans="8:9" x14ac:dyDescent="0.25">
      <c r="H3020" s="106"/>
      <c r="I3020" s="106"/>
    </row>
    <row r="3021" spans="8:9" x14ac:dyDescent="0.25">
      <c r="H3021" s="106"/>
      <c r="I3021" s="106"/>
    </row>
    <row r="3022" spans="8:9" x14ac:dyDescent="0.25">
      <c r="H3022" s="106"/>
      <c r="I3022" s="106"/>
    </row>
    <row r="3023" spans="8:9" x14ac:dyDescent="0.25">
      <c r="H3023" s="106"/>
      <c r="I3023" s="106"/>
    </row>
    <row r="3024" spans="8:9" x14ac:dyDescent="0.25">
      <c r="H3024" s="106"/>
      <c r="I3024" s="106"/>
    </row>
    <row r="3025" spans="8:9" x14ac:dyDescent="0.25">
      <c r="H3025" s="106"/>
      <c r="I3025" s="106"/>
    </row>
    <row r="3026" spans="8:9" x14ac:dyDescent="0.25">
      <c r="H3026" s="106"/>
      <c r="I3026" s="106"/>
    </row>
    <row r="3027" spans="8:9" x14ac:dyDescent="0.25">
      <c r="H3027" s="106"/>
      <c r="I3027" s="106"/>
    </row>
    <row r="3028" spans="8:9" x14ac:dyDescent="0.25">
      <c r="H3028" s="106"/>
      <c r="I3028" s="106"/>
    </row>
    <row r="3029" spans="8:9" x14ac:dyDescent="0.25">
      <c r="H3029" s="106"/>
      <c r="I3029" s="106"/>
    </row>
    <row r="3030" spans="8:9" x14ac:dyDescent="0.25">
      <c r="H3030" s="106"/>
      <c r="I3030" s="106"/>
    </row>
    <row r="3031" spans="8:9" x14ac:dyDescent="0.25">
      <c r="H3031" s="106"/>
      <c r="I3031" s="106"/>
    </row>
    <row r="3032" spans="8:9" x14ac:dyDescent="0.25">
      <c r="H3032" s="106"/>
      <c r="I3032" s="106"/>
    </row>
    <row r="3033" spans="8:9" x14ac:dyDescent="0.25">
      <c r="H3033" s="106"/>
      <c r="I3033" s="106"/>
    </row>
    <row r="3034" spans="8:9" x14ac:dyDescent="0.25">
      <c r="H3034" s="106"/>
      <c r="I3034" s="106"/>
    </row>
    <row r="3035" spans="8:9" x14ac:dyDescent="0.25">
      <c r="H3035" s="106"/>
      <c r="I3035" s="106"/>
    </row>
    <row r="3036" spans="8:9" x14ac:dyDescent="0.25">
      <c r="H3036" s="106"/>
      <c r="I3036" s="106"/>
    </row>
    <row r="3037" spans="8:9" x14ac:dyDescent="0.25">
      <c r="H3037" s="106"/>
      <c r="I3037" s="106"/>
    </row>
    <row r="3038" spans="8:9" x14ac:dyDescent="0.25">
      <c r="H3038" s="106"/>
      <c r="I3038" s="106"/>
    </row>
    <row r="3039" spans="8:9" x14ac:dyDescent="0.25">
      <c r="H3039" s="106"/>
      <c r="I3039" s="106"/>
    </row>
    <row r="3040" spans="8:9" x14ac:dyDescent="0.25">
      <c r="H3040" s="106"/>
      <c r="I3040" s="106"/>
    </row>
    <row r="3041" spans="8:9" x14ac:dyDescent="0.25">
      <c r="H3041" s="106"/>
      <c r="I3041" s="106"/>
    </row>
    <row r="3042" spans="8:9" x14ac:dyDescent="0.25">
      <c r="H3042" s="106"/>
      <c r="I3042" s="106"/>
    </row>
    <row r="3043" spans="8:9" x14ac:dyDescent="0.25">
      <c r="H3043" s="106"/>
      <c r="I3043" s="106"/>
    </row>
    <row r="3044" spans="8:9" x14ac:dyDescent="0.25">
      <c r="H3044" s="106"/>
      <c r="I3044" s="106"/>
    </row>
    <row r="3045" spans="8:9" x14ac:dyDescent="0.25">
      <c r="H3045" s="106"/>
      <c r="I3045" s="106"/>
    </row>
    <row r="3046" spans="8:9" x14ac:dyDescent="0.25">
      <c r="H3046" s="106"/>
      <c r="I3046" s="106"/>
    </row>
    <row r="3047" spans="8:9" x14ac:dyDescent="0.25">
      <c r="H3047" s="106"/>
      <c r="I3047" s="106"/>
    </row>
    <row r="3048" spans="8:9" x14ac:dyDescent="0.25">
      <c r="H3048" s="106"/>
      <c r="I3048" s="106"/>
    </row>
    <row r="3049" spans="8:9" x14ac:dyDescent="0.25">
      <c r="H3049" s="106"/>
      <c r="I3049" s="106"/>
    </row>
    <row r="3050" spans="8:9" x14ac:dyDescent="0.25">
      <c r="H3050" s="106"/>
      <c r="I3050" s="106"/>
    </row>
    <row r="3051" spans="8:9" x14ac:dyDescent="0.25">
      <c r="H3051" s="106"/>
      <c r="I3051" s="106"/>
    </row>
    <row r="3052" spans="8:9" x14ac:dyDescent="0.25">
      <c r="H3052" s="106"/>
      <c r="I3052" s="106"/>
    </row>
    <row r="3053" spans="8:9" x14ac:dyDescent="0.25">
      <c r="H3053" s="106"/>
      <c r="I3053" s="106"/>
    </row>
    <row r="3054" spans="8:9" x14ac:dyDescent="0.25">
      <c r="H3054" s="106"/>
      <c r="I3054" s="106"/>
    </row>
    <row r="3055" spans="8:9" x14ac:dyDescent="0.25">
      <c r="H3055" s="106"/>
      <c r="I3055" s="106"/>
    </row>
    <row r="3056" spans="8:9" x14ac:dyDescent="0.25">
      <c r="H3056" s="106"/>
      <c r="I3056" s="106"/>
    </row>
    <row r="3057" spans="8:9" x14ac:dyDescent="0.25">
      <c r="H3057" s="106"/>
      <c r="I3057" s="106"/>
    </row>
    <row r="3058" spans="8:9" x14ac:dyDescent="0.25">
      <c r="H3058" s="106"/>
      <c r="I3058" s="106"/>
    </row>
    <row r="3059" spans="8:9" x14ac:dyDescent="0.25">
      <c r="H3059" s="106"/>
      <c r="I3059" s="106"/>
    </row>
    <row r="3060" spans="8:9" x14ac:dyDescent="0.25">
      <c r="H3060" s="106"/>
      <c r="I3060" s="106"/>
    </row>
    <row r="3061" spans="8:9" x14ac:dyDescent="0.25">
      <c r="H3061" s="106"/>
      <c r="I3061" s="106"/>
    </row>
    <row r="3062" spans="8:9" x14ac:dyDescent="0.25">
      <c r="H3062" s="106"/>
      <c r="I3062" s="106"/>
    </row>
    <row r="3063" spans="8:9" x14ac:dyDescent="0.25">
      <c r="H3063" s="106"/>
      <c r="I3063" s="106"/>
    </row>
    <row r="3064" spans="8:9" x14ac:dyDescent="0.25">
      <c r="H3064" s="106"/>
      <c r="I3064" s="106"/>
    </row>
    <row r="3065" spans="8:9" x14ac:dyDescent="0.25">
      <c r="H3065" s="106"/>
      <c r="I3065" s="106"/>
    </row>
    <row r="3066" spans="8:9" x14ac:dyDescent="0.25">
      <c r="H3066" s="106"/>
      <c r="I3066" s="106"/>
    </row>
    <row r="3067" spans="8:9" x14ac:dyDescent="0.25">
      <c r="H3067" s="106"/>
      <c r="I3067" s="106"/>
    </row>
    <row r="3068" spans="8:9" x14ac:dyDescent="0.25">
      <c r="H3068" s="106"/>
      <c r="I3068" s="106"/>
    </row>
    <row r="3069" spans="8:9" x14ac:dyDescent="0.25">
      <c r="H3069" s="106"/>
      <c r="I3069" s="106"/>
    </row>
    <row r="3070" spans="8:9" x14ac:dyDescent="0.25">
      <c r="H3070" s="106"/>
      <c r="I3070" s="106"/>
    </row>
    <row r="3071" spans="8:9" x14ac:dyDescent="0.25">
      <c r="H3071" s="106"/>
      <c r="I3071" s="106"/>
    </row>
    <row r="3072" spans="8:9" x14ac:dyDescent="0.25">
      <c r="H3072" s="106"/>
      <c r="I3072" s="106"/>
    </row>
    <row r="3073" spans="8:9" x14ac:dyDescent="0.25">
      <c r="H3073" s="106"/>
      <c r="I3073" s="106"/>
    </row>
    <row r="3074" spans="8:9" x14ac:dyDescent="0.25">
      <c r="H3074" s="106"/>
      <c r="I3074" s="106"/>
    </row>
    <row r="3075" spans="8:9" x14ac:dyDescent="0.25">
      <c r="H3075" s="106"/>
      <c r="I3075" s="106"/>
    </row>
    <row r="3076" spans="8:9" x14ac:dyDescent="0.25">
      <c r="H3076" s="106"/>
      <c r="I3076" s="106"/>
    </row>
    <row r="3077" spans="8:9" x14ac:dyDescent="0.25">
      <c r="H3077" s="106"/>
      <c r="I3077" s="106"/>
    </row>
    <row r="3078" spans="8:9" x14ac:dyDescent="0.25">
      <c r="H3078" s="106"/>
      <c r="I3078" s="106"/>
    </row>
    <row r="3079" spans="8:9" x14ac:dyDescent="0.25">
      <c r="H3079" s="106"/>
      <c r="I3079" s="106"/>
    </row>
    <row r="3080" spans="8:9" x14ac:dyDescent="0.25">
      <c r="H3080" s="106"/>
      <c r="I3080" s="106"/>
    </row>
    <row r="3081" spans="8:9" x14ac:dyDescent="0.25">
      <c r="H3081" s="106"/>
      <c r="I3081" s="106"/>
    </row>
    <row r="3082" spans="8:9" x14ac:dyDescent="0.25">
      <c r="H3082" s="106"/>
      <c r="I3082" s="106"/>
    </row>
    <row r="3083" spans="8:9" x14ac:dyDescent="0.25">
      <c r="H3083" s="106"/>
      <c r="I3083" s="106"/>
    </row>
    <row r="3084" spans="8:9" x14ac:dyDescent="0.25">
      <c r="H3084" s="106"/>
      <c r="I3084" s="106"/>
    </row>
    <row r="3085" spans="8:9" x14ac:dyDescent="0.25">
      <c r="H3085" s="106"/>
      <c r="I3085" s="106"/>
    </row>
    <row r="3086" spans="8:9" x14ac:dyDescent="0.25">
      <c r="H3086" s="106"/>
      <c r="I3086" s="106"/>
    </row>
    <row r="3087" spans="8:9" x14ac:dyDescent="0.25">
      <c r="H3087" s="106"/>
      <c r="I3087" s="106"/>
    </row>
    <row r="3088" spans="8:9" x14ac:dyDescent="0.25">
      <c r="H3088" s="106"/>
      <c r="I3088" s="106"/>
    </row>
    <row r="3089" spans="8:9" x14ac:dyDescent="0.25">
      <c r="H3089" s="106"/>
      <c r="I3089" s="106"/>
    </row>
    <row r="3090" spans="8:9" x14ac:dyDescent="0.25">
      <c r="H3090" s="106"/>
      <c r="I3090" s="106"/>
    </row>
    <row r="3091" spans="8:9" x14ac:dyDescent="0.25">
      <c r="H3091" s="106"/>
      <c r="I3091" s="106"/>
    </row>
    <row r="3092" spans="8:9" x14ac:dyDescent="0.25">
      <c r="H3092" s="106"/>
      <c r="I3092" s="106"/>
    </row>
    <row r="3093" spans="8:9" x14ac:dyDescent="0.25">
      <c r="H3093" s="106"/>
      <c r="I3093" s="106"/>
    </row>
    <row r="3094" spans="8:9" x14ac:dyDescent="0.25">
      <c r="H3094" s="106"/>
      <c r="I3094" s="106"/>
    </row>
    <row r="3095" spans="8:9" x14ac:dyDescent="0.25">
      <c r="H3095" s="106"/>
      <c r="I3095" s="106"/>
    </row>
    <row r="3096" spans="8:9" x14ac:dyDescent="0.25">
      <c r="H3096" s="106"/>
      <c r="I3096" s="106"/>
    </row>
    <row r="3097" spans="8:9" x14ac:dyDescent="0.25">
      <c r="H3097" s="106"/>
      <c r="I3097" s="106"/>
    </row>
    <row r="3098" spans="8:9" x14ac:dyDescent="0.25">
      <c r="H3098" s="106"/>
      <c r="I3098" s="106"/>
    </row>
    <row r="3099" spans="8:9" x14ac:dyDescent="0.25">
      <c r="H3099" s="106"/>
      <c r="I3099" s="106"/>
    </row>
    <row r="3100" spans="8:9" x14ac:dyDescent="0.25">
      <c r="H3100" s="106"/>
      <c r="I3100" s="106"/>
    </row>
    <row r="3101" spans="8:9" x14ac:dyDescent="0.25">
      <c r="H3101" s="106"/>
      <c r="I3101" s="106"/>
    </row>
    <row r="3102" spans="8:9" x14ac:dyDescent="0.25">
      <c r="H3102" s="106"/>
      <c r="I3102" s="106"/>
    </row>
    <row r="3103" spans="8:9" x14ac:dyDescent="0.25">
      <c r="H3103" s="106"/>
      <c r="I3103" s="106"/>
    </row>
    <row r="3104" spans="8:9" x14ac:dyDescent="0.25">
      <c r="H3104" s="106"/>
      <c r="I3104" s="106"/>
    </row>
    <row r="3105" spans="8:9" x14ac:dyDescent="0.25">
      <c r="H3105" s="106"/>
      <c r="I3105" s="106"/>
    </row>
    <row r="3106" spans="8:9" x14ac:dyDescent="0.25">
      <c r="H3106" s="106"/>
      <c r="I3106" s="106"/>
    </row>
    <row r="3107" spans="8:9" x14ac:dyDescent="0.25">
      <c r="H3107" s="106"/>
      <c r="I3107" s="106"/>
    </row>
    <row r="3108" spans="8:9" x14ac:dyDescent="0.25">
      <c r="H3108" s="106"/>
      <c r="I3108" s="106"/>
    </row>
    <row r="3109" spans="8:9" x14ac:dyDescent="0.25">
      <c r="H3109" s="106"/>
      <c r="I3109" s="106"/>
    </row>
    <row r="3110" spans="8:9" x14ac:dyDescent="0.25">
      <c r="H3110" s="106"/>
      <c r="I3110" s="106"/>
    </row>
    <row r="3111" spans="8:9" x14ac:dyDescent="0.25">
      <c r="H3111" s="106"/>
      <c r="I3111" s="106"/>
    </row>
    <row r="3112" spans="8:9" x14ac:dyDescent="0.25">
      <c r="H3112" s="106"/>
      <c r="I3112" s="106"/>
    </row>
    <row r="3113" spans="8:9" x14ac:dyDescent="0.25">
      <c r="H3113" s="106"/>
      <c r="I3113" s="106"/>
    </row>
    <row r="3114" spans="8:9" x14ac:dyDescent="0.25">
      <c r="H3114" s="106"/>
      <c r="I3114" s="106"/>
    </row>
    <row r="3115" spans="8:9" x14ac:dyDescent="0.25">
      <c r="H3115" s="106"/>
      <c r="I3115" s="106"/>
    </row>
    <row r="3116" spans="8:9" x14ac:dyDescent="0.25">
      <c r="H3116" s="106"/>
      <c r="I3116" s="106"/>
    </row>
    <row r="3117" spans="8:9" x14ac:dyDescent="0.25">
      <c r="H3117" s="106"/>
      <c r="I3117" s="106"/>
    </row>
    <row r="3118" spans="8:9" x14ac:dyDescent="0.25">
      <c r="H3118" s="106"/>
      <c r="I3118" s="106"/>
    </row>
    <row r="3119" spans="8:9" x14ac:dyDescent="0.25">
      <c r="H3119" s="106"/>
      <c r="I3119" s="106"/>
    </row>
    <row r="3120" spans="8:9" x14ac:dyDescent="0.25">
      <c r="H3120" s="106"/>
      <c r="I3120" s="106"/>
    </row>
    <row r="3121" spans="8:9" x14ac:dyDescent="0.25">
      <c r="H3121" s="106"/>
      <c r="I3121" s="106"/>
    </row>
    <row r="3122" spans="8:9" x14ac:dyDescent="0.25">
      <c r="H3122" s="106"/>
      <c r="I3122" s="106"/>
    </row>
    <row r="3123" spans="8:9" x14ac:dyDescent="0.25">
      <c r="H3123" s="106"/>
      <c r="I3123" s="106"/>
    </row>
    <row r="3124" spans="8:9" x14ac:dyDescent="0.25">
      <c r="H3124" s="106"/>
      <c r="I3124" s="106"/>
    </row>
    <row r="3125" spans="8:9" x14ac:dyDescent="0.25">
      <c r="H3125" s="106"/>
      <c r="I3125" s="106"/>
    </row>
    <row r="3126" spans="8:9" x14ac:dyDescent="0.25">
      <c r="H3126" s="106"/>
      <c r="I3126" s="106"/>
    </row>
    <row r="3127" spans="8:9" x14ac:dyDescent="0.25">
      <c r="H3127" s="106"/>
      <c r="I3127" s="106"/>
    </row>
    <row r="3128" spans="8:9" x14ac:dyDescent="0.25">
      <c r="H3128" s="106"/>
      <c r="I3128" s="106"/>
    </row>
    <row r="3129" spans="8:9" x14ac:dyDescent="0.25">
      <c r="H3129" s="106"/>
      <c r="I3129" s="106"/>
    </row>
    <row r="3130" spans="8:9" x14ac:dyDescent="0.25">
      <c r="H3130" s="106"/>
      <c r="I3130" s="106"/>
    </row>
    <row r="3131" spans="8:9" x14ac:dyDescent="0.25">
      <c r="H3131" s="106"/>
      <c r="I3131" s="106"/>
    </row>
    <row r="3132" spans="8:9" x14ac:dyDescent="0.25">
      <c r="H3132" s="106"/>
      <c r="I3132" s="106"/>
    </row>
    <row r="3133" spans="8:9" x14ac:dyDescent="0.25">
      <c r="H3133" s="106"/>
      <c r="I3133" s="106"/>
    </row>
    <row r="3134" spans="8:9" x14ac:dyDescent="0.25">
      <c r="H3134" s="106"/>
      <c r="I3134" s="106"/>
    </row>
    <row r="3135" spans="8:9" x14ac:dyDescent="0.25">
      <c r="H3135" s="106"/>
      <c r="I3135" s="106"/>
    </row>
    <row r="3136" spans="8:9" x14ac:dyDescent="0.25">
      <c r="H3136" s="106"/>
      <c r="I3136" s="106"/>
    </row>
    <row r="3137" spans="8:9" x14ac:dyDescent="0.25">
      <c r="H3137" s="106"/>
      <c r="I3137" s="106"/>
    </row>
    <row r="3138" spans="8:9" x14ac:dyDescent="0.25">
      <c r="H3138" s="106"/>
      <c r="I3138" s="106"/>
    </row>
    <row r="3139" spans="8:9" x14ac:dyDescent="0.25">
      <c r="H3139" s="106"/>
      <c r="I3139" s="106"/>
    </row>
    <row r="3140" spans="8:9" x14ac:dyDescent="0.25">
      <c r="H3140" s="106"/>
      <c r="I3140" s="106"/>
    </row>
    <row r="3141" spans="8:9" x14ac:dyDescent="0.25">
      <c r="H3141" s="106"/>
      <c r="I3141" s="106"/>
    </row>
    <row r="3142" spans="8:9" x14ac:dyDescent="0.25">
      <c r="H3142" s="106"/>
      <c r="I3142" s="106"/>
    </row>
    <row r="3143" spans="8:9" x14ac:dyDescent="0.25">
      <c r="H3143" s="106"/>
      <c r="I3143" s="106"/>
    </row>
    <row r="3144" spans="8:9" x14ac:dyDescent="0.25">
      <c r="H3144" s="106"/>
      <c r="I3144" s="106"/>
    </row>
    <row r="3145" spans="8:9" x14ac:dyDescent="0.25">
      <c r="H3145" s="106"/>
      <c r="I3145" s="106"/>
    </row>
    <row r="3146" spans="8:9" x14ac:dyDescent="0.25">
      <c r="H3146" s="106"/>
      <c r="I3146" s="106"/>
    </row>
    <row r="3147" spans="8:9" x14ac:dyDescent="0.25">
      <c r="H3147" s="106"/>
      <c r="I3147" s="106"/>
    </row>
    <row r="3148" spans="8:9" x14ac:dyDescent="0.25">
      <c r="H3148" s="106"/>
      <c r="I3148" s="106"/>
    </row>
    <row r="3149" spans="8:9" x14ac:dyDescent="0.25">
      <c r="H3149" s="106"/>
      <c r="I3149" s="106"/>
    </row>
    <row r="3150" spans="8:9" x14ac:dyDescent="0.25">
      <c r="H3150" s="106"/>
      <c r="I3150" s="106"/>
    </row>
    <row r="3151" spans="8:9" x14ac:dyDescent="0.25">
      <c r="H3151" s="106"/>
      <c r="I3151" s="106"/>
    </row>
    <row r="3152" spans="8:9" x14ac:dyDescent="0.25">
      <c r="H3152" s="106"/>
      <c r="I3152" s="106"/>
    </row>
    <row r="3153" spans="8:9" x14ac:dyDescent="0.25">
      <c r="H3153" s="106"/>
      <c r="I3153" s="106"/>
    </row>
    <row r="3154" spans="8:9" x14ac:dyDescent="0.25">
      <c r="H3154" s="106"/>
      <c r="I3154" s="106"/>
    </row>
    <row r="3155" spans="8:9" x14ac:dyDescent="0.25">
      <c r="H3155" s="106"/>
      <c r="I3155" s="106"/>
    </row>
    <row r="3156" spans="8:9" x14ac:dyDescent="0.25">
      <c r="H3156" s="106"/>
      <c r="I3156" s="106"/>
    </row>
    <row r="3157" spans="8:9" x14ac:dyDescent="0.25">
      <c r="H3157" s="106"/>
      <c r="I3157" s="106"/>
    </row>
    <row r="3158" spans="8:9" x14ac:dyDescent="0.25">
      <c r="H3158" s="106"/>
      <c r="I3158" s="106"/>
    </row>
    <row r="3159" spans="8:9" x14ac:dyDescent="0.25">
      <c r="H3159" s="106"/>
      <c r="I3159" s="106"/>
    </row>
    <row r="3160" spans="8:9" x14ac:dyDescent="0.25">
      <c r="H3160" s="106"/>
      <c r="I3160" s="106"/>
    </row>
    <row r="3161" spans="8:9" x14ac:dyDescent="0.25">
      <c r="H3161" s="106"/>
      <c r="I3161" s="106"/>
    </row>
    <row r="3162" spans="8:9" x14ac:dyDescent="0.25">
      <c r="H3162" s="106"/>
      <c r="I3162" s="106"/>
    </row>
    <row r="3163" spans="8:9" x14ac:dyDescent="0.25">
      <c r="H3163" s="106"/>
      <c r="I3163" s="106"/>
    </row>
    <row r="3164" spans="8:9" x14ac:dyDescent="0.25">
      <c r="H3164" s="106"/>
      <c r="I3164" s="106"/>
    </row>
    <row r="3165" spans="8:9" x14ac:dyDescent="0.25">
      <c r="H3165" s="106"/>
      <c r="I3165" s="106"/>
    </row>
    <row r="3166" spans="8:9" x14ac:dyDescent="0.25">
      <c r="H3166" s="106"/>
      <c r="I3166" s="106"/>
    </row>
    <row r="3167" spans="8:9" x14ac:dyDescent="0.25">
      <c r="H3167" s="106"/>
      <c r="I3167" s="106"/>
    </row>
    <row r="3168" spans="8:9" x14ac:dyDescent="0.25">
      <c r="H3168" s="106"/>
      <c r="I3168" s="106"/>
    </row>
    <row r="3169" spans="8:9" x14ac:dyDescent="0.25">
      <c r="H3169" s="106"/>
      <c r="I3169" s="106"/>
    </row>
    <row r="3170" spans="8:9" x14ac:dyDescent="0.25">
      <c r="H3170" s="106"/>
      <c r="I3170" s="106"/>
    </row>
    <row r="3171" spans="8:9" x14ac:dyDescent="0.25">
      <c r="H3171" s="106"/>
      <c r="I3171" s="106"/>
    </row>
    <row r="3172" spans="8:9" x14ac:dyDescent="0.25">
      <c r="H3172" s="106"/>
      <c r="I3172" s="106"/>
    </row>
    <row r="3173" spans="8:9" x14ac:dyDescent="0.25">
      <c r="H3173" s="106"/>
      <c r="I3173" s="106"/>
    </row>
    <row r="3174" spans="8:9" x14ac:dyDescent="0.25">
      <c r="H3174" s="106"/>
      <c r="I3174" s="106"/>
    </row>
    <row r="3175" spans="8:9" x14ac:dyDescent="0.25">
      <c r="H3175" s="106"/>
      <c r="I3175" s="106"/>
    </row>
    <row r="3176" spans="8:9" x14ac:dyDescent="0.25">
      <c r="H3176" s="106"/>
      <c r="I3176" s="106"/>
    </row>
    <row r="3177" spans="8:9" x14ac:dyDescent="0.25">
      <c r="H3177" s="106"/>
      <c r="I3177" s="106"/>
    </row>
    <row r="3178" spans="8:9" x14ac:dyDescent="0.25">
      <c r="H3178" s="106"/>
      <c r="I3178" s="106"/>
    </row>
    <row r="3179" spans="8:9" x14ac:dyDescent="0.25">
      <c r="H3179" s="106"/>
      <c r="I3179" s="106"/>
    </row>
    <row r="3180" spans="8:9" x14ac:dyDescent="0.25">
      <c r="H3180" s="106"/>
      <c r="I3180" s="106"/>
    </row>
    <row r="3181" spans="8:9" x14ac:dyDescent="0.25">
      <c r="H3181" s="106"/>
      <c r="I3181" s="106"/>
    </row>
    <row r="3182" spans="8:9" x14ac:dyDescent="0.25">
      <c r="H3182" s="106"/>
      <c r="I3182" s="106"/>
    </row>
    <row r="3183" spans="8:9" x14ac:dyDescent="0.25">
      <c r="H3183" s="106"/>
      <c r="I3183" s="106"/>
    </row>
    <row r="3184" spans="8:9" x14ac:dyDescent="0.25">
      <c r="H3184" s="106"/>
      <c r="I3184" s="106"/>
    </row>
    <row r="3185" spans="8:9" x14ac:dyDescent="0.25">
      <c r="H3185" s="106"/>
      <c r="I3185" s="106"/>
    </row>
    <row r="3186" spans="8:9" x14ac:dyDescent="0.25">
      <c r="H3186" s="106"/>
      <c r="I3186" s="106"/>
    </row>
    <row r="3187" spans="8:9" x14ac:dyDescent="0.25">
      <c r="H3187" s="106"/>
      <c r="I3187" s="106"/>
    </row>
    <row r="3188" spans="8:9" x14ac:dyDescent="0.25">
      <c r="H3188" s="106"/>
      <c r="I3188" s="106"/>
    </row>
    <row r="3189" spans="8:9" x14ac:dyDescent="0.25">
      <c r="H3189" s="106"/>
      <c r="I3189" s="106"/>
    </row>
    <row r="3190" spans="8:9" x14ac:dyDescent="0.25">
      <c r="H3190" s="106"/>
      <c r="I3190" s="106"/>
    </row>
    <row r="3191" spans="8:9" x14ac:dyDescent="0.25">
      <c r="H3191" s="106"/>
      <c r="I3191" s="106"/>
    </row>
    <row r="3192" spans="8:9" x14ac:dyDescent="0.25">
      <c r="H3192" s="106"/>
      <c r="I3192" s="106"/>
    </row>
    <row r="3193" spans="8:9" x14ac:dyDescent="0.25">
      <c r="H3193" s="106"/>
      <c r="I3193" s="106"/>
    </row>
    <row r="3194" spans="8:9" x14ac:dyDescent="0.25">
      <c r="H3194" s="106"/>
      <c r="I3194" s="106"/>
    </row>
    <row r="3195" spans="8:9" x14ac:dyDescent="0.25">
      <c r="H3195" s="106"/>
      <c r="I3195" s="106"/>
    </row>
    <row r="3196" spans="8:9" x14ac:dyDescent="0.25">
      <c r="H3196" s="106"/>
      <c r="I3196" s="106"/>
    </row>
    <row r="3197" spans="8:9" x14ac:dyDescent="0.25">
      <c r="H3197" s="106"/>
      <c r="I3197" s="106"/>
    </row>
    <row r="3198" spans="8:9" x14ac:dyDescent="0.25">
      <c r="H3198" s="106"/>
      <c r="I3198" s="106"/>
    </row>
    <row r="3199" spans="8:9" x14ac:dyDescent="0.25">
      <c r="H3199" s="106"/>
      <c r="I3199" s="106"/>
    </row>
    <row r="3200" spans="8:9" x14ac:dyDescent="0.25">
      <c r="H3200" s="106"/>
      <c r="I3200" s="106"/>
    </row>
    <row r="3201" spans="8:9" x14ac:dyDescent="0.25">
      <c r="H3201" s="106"/>
      <c r="I3201" s="106"/>
    </row>
    <row r="3202" spans="8:9" x14ac:dyDescent="0.25">
      <c r="H3202" s="106"/>
      <c r="I3202" s="106"/>
    </row>
    <row r="3203" spans="8:9" x14ac:dyDescent="0.25">
      <c r="H3203" s="106"/>
      <c r="I3203" s="106"/>
    </row>
    <row r="3204" spans="8:9" x14ac:dyDescent="0.25">
      <c r="H3204" s="106"/>
      <c r="I3204" s="106"/>
    </row>
    <row r="3205" spans="8:9" x14ac:dyDescent="0.25">
      <c r="H3205" s="106"/>
      <c r="I3205" s="106"/>
    </row>
    <row r="3206" spans="8:9" x14ac:dyDescent="0.25">
      <c r="H3206" s="106"/>
      <c r="I3206" s="106"/>
    </row>
    <row r="3207" spans="8:9" x14ac:dyDescent="0.25">
      <c r="H3207" s="106"/>
      <c r="I3207" s="106"/>
    </row>
    <row r="3208" spans="8:9" x14ac:dyDescent="0.25">
      <c r="H3208" s="106"/>
      <c r="I3208" s="106"/>
    </row>
    <row r="3209" spans="8:9" x14ac:dyDescent="0.25">
      <c r="H3209" s="106"/>
      <c r="I3209" s="106"/>
    </row>
    <row r="3210" spans="8:9" x14ac:dyDescent="0.25">
      <c r="H3210" s="106"/>
      <c r="I3210" s="106"/>
    </row>
    <row r="3211" spans="8:9" x14ac:dyDescent="0.25">
      <c r="H3211" s="106"/>
      <c r="I3211" s="106"/>
    </row>
    <row r="3212" spans="8:9" x14ac:dyDescent="0.25">
      <c r="H3212" s="106"/>
      <c r="I3212" s="106"/>
    </row>
    <row r="3213" spans="8:9" x14ac:dyDescent="0.25">
      <c r="H3213" s="106"/>
      <c r="I3213" s="106"/>
    </row>
    <row r="3214" spans="8:9" x14ac:dyDescent="0.25">
      <c r="H3214" s="106"/>
      <c r="I3214" s="106"/>
    </row>
    <row r="3215" spans="8:9" x14ac:dyDescent="0.25">
      <c r="H3215" s="106"/>
      <c r="I3215" s="106"/>
    </row>
    <row r="3216" spans="8:9" x14ac:dyDescent="0.25">
      <c r="H3216" s="106"/>
      <c r="I3216" s="106"/>
    </row>
    <row r="3217" spans="8:9" x14ac:dyDescent="0.25">
      <c r="H3217" s="106"/>
      <c r="I3217" s="106"/>
    </row>
    <row r="3218" spans="8:9" x14ac:dyDescent="0.25">
      <c r="H3218" s="106"/>
      <c r="I3218" s="106"/>
    </row>
    <row r="3219" spans="8:9" x14ac:dyDescent="0.25">
      <c r="H3219" s="106"/>
      <c r="I3219" s="106"/>
    </row>
    <row r="3220" spans="8:9" x14ac:dyDescent="0.25">
      <c r="H3220" s="106"/>
      <c r="I3220" s="106"/>
    </row>
    <row r="3221" spans="8:9" x14ac:dyDescent="0.25">
      <c r="H3221" s="106"/>
      <c r="I3221" s="106"/>
    </row>
    <row r="3222" spans="8:9" x14ac:dyDescent="0.25">
      <c r="H3222" s="106"/>
      <c r="I3222" s="106"/>
    </row>
    <row r="3223" spans="8:9" x14ac:dyDescent="0.25">
      <c r="H3223" s="106"/>
      <c r="I3223" s="106"/>
    </row>
    <row r="3224" spans="8:9" x14ac:dyDescent="0.25">
      <c r="H3224" s="106"/>
      <c r="I3224" s="106"/>
    </row>
    <row r="3225" spans="8:9" x14ac:dyDescent="0.25">
      <c r="H3225" s="106"/>
      <c r="I3225" s="106"/>
    </row>
    <row r="3226" spans="8:9" x14ac:dyDescent="0.25">
      <c r="H3226" s="106"/>
      <c r="I3226" s="106"/>
    </row>
    <row r="3227" spans="8:9" x14ac:dyDescent="0.25">
      <c r="H3227" s="106"/>
      <c r="I3227" s="106"/>
    </row>
    <row r="3228" spans="8:9" x14ac:dyDescent="0.25">
      <c r="H3228" s="106"/>
      <c r="I3228" s="106"/>
    </row>
    <row r="3229" spans="8:9" x14ac:dyDescent="0.25">
      <c r="H3229" s="106"/>
      <c r="I3229" s="106"/>
    </row>
    <row r="3230" spans="8:9" x14ac:dyDescent="0.25">
      <c r="H3230" s="106"/>
      <c r="I3230" s="106"/>
    </row>
    <row r="3231" spans="8:9" x14ac:dyDescent="0.25">
      <c r="H3231" s="106"/>
      <c r="I3231" s="106"/>
    </row>
    <row r="3232" spans="8:9" x14ac:dyDescent="0.25">
      <c r="H3232" s="106"/>
      <c r="I3232" s="106"/>
    </row>
    <row r="3233" spans="8:9" x14ac:dyDescent="0.25">
      <c r="H3233" s="106"/>
      <c r="I3233" s="106"/>
    </row>
    <row r="3234" spans="8:9" x14ac:dyDescent="0.25">
      <c r="H3234" s="106"/>
      <c r="I3234" s="106"/>
    </row>
    <row r="3235" spans="8:9" x14ac:dyDescent="0.25">
      <c r="H3235" s="106"/>
      <c r="I3235" s="106"/>
    </row>
    <row r="3236" spans="8:9" x14ac:dyDescent="0.25">
      <c r="H3236" s="106"/>
      <c r="I3236" s="106"/>
    </row>
    <row r="3237" spans="8:9" x14ac:dyDescent="0.25">
      <c r="H3237" s="106"/>
      <c r="I3237" s="106"/>
    </row>
    <row r="3238" spans="8:9" x14ac:dyDescent="0.25">
      <c r="H3238" s="106"/>
      <c r="I3238" s="106"/>
    </row>
    <row r="3239" spans="8:9" x14ac:dyDescent="0.25">
      <c r="H3239" s="106"/>
      <c r="I3239" s="106"/>
    </row>
    <row r="3240" spans="8:9" x14ac:dyDescent="0.25">
      <c r="H3240" s="106"/>
      <c r="I3240" s="106"/>
    </row>
    <row r="3241" spans="8:9" x14ac:dyDescent="0.25">
      <c r="H3241" s="106"/>
      <c r="I3241" s="106"/>
    </row>
    <row r="3242" spans="8:9" x14ac:dyDescent="0.25">
      <c r="H3242" s="106"/>
      <c r="I3242" s="106"/>
    </row>
    <row r="3243" spans="8:9" x14ac:dyDescent="0.25">
      <c r="H3243" s="106"/>
      <c r="I3243" s="106"/>
    </row>
    <row r="3244" spans="8:9" x14ac:dyDescent="0.25">
      <c r="H3244" s="106"/>
      <c r="I3244" s="106"/>
    </row>
    <row r="3245" spans="8:9" x14ac:dyDescent="0.25">
      <c r="H3245" s="106"/>
      <c r="I3245" s="106"/>
    </row>
    <row r="3246" spans="8:9" x14ac:dyDescent="0.25">
      <c r="H3246" s="106"/>
      <c r="I3246" s="106"/>
    </row>
    <row r="3247" spans="8:9" x14ac:dyDescent="0.25">
      <c r="H3247" s="106"/>
      <c r="I3247" s="106"/>
    </row>
    <row r="3248" spans="8:9" x14ac:dyDescent="0.25">
      <c r="H3248" s="106"/>
      <c r="I3248" s="106"/>
    </row>
    <row r="3249" spans="8:9" x14ac:dyDescent="0.25">
      <c r="H3249" s="106"/>
      <c r="I3249" s="106"/>
    </row>
    <row r="3250" spans="8:9" x14ac:dyDescent="0.25">
      <c r="H3250" s="106"/>
      <c r="I3250" s="106"/>
    </row>
    <row r="3251" spans="8:9" x14ac:dyDescent="0.25">
      <c r="H3251" s="106"/>
      <c r="I3251" s="106"/>
    </row>
    <row r="3252" spans="8:9" x14ac:dyDescent="0.25">
      <c r="H3252" s="106"/>
      <c r="I3252" s="106"/>
    </row>
    <row r="3253" spans="8:9" x14ac:dyDescent="0.25">
      <c r="H3253" s="106"/>
      <c r="I3253" s="106"/>
    </row>
    <row r="3254" spans="8:9" x14ac:dyDescent="0.25">
      <c r="H3254" s="106"/>
      <c r="I3254" s="106"/>
    </row>
    <row r="3255" spans="8:9" x14ac:dyDescent="0.25">
      <c r="H3255" s="106"/>
      <c r="I3255" s="106"/>
    </row>
    <row r="3256" spans="8:9" x14ac:dyDescent="0.25">
      <c r="H3256" s="106"/>
      <c r="I3256" s="106"/>
    </row>
    <row r="3257" spans="8:9" x14ac:dyDescent="0.25">
      <c r="H3257" s="106"/>
      <c r="I3257" s="106"/>
    </row>
    <row r="3258" spans="8:9" x14ac:dyDescent="0.25">
      <c r="H3258" s="106"/>
      <c r="I3258" s="106"/>
    </row>
    <row r="3259" spans="8:9" x14ac:dyDescent="0.25">
      <c r="H3259" s="106"/>
      <c r="I3259" s="106"/>
    </row>
    <row r="3260" spans="8:9" x14ac:dyDescent="0.25">
      <c r="H3260" s="106"/>
      <c r="I3260" s="106"/>
    </row>
    <row r="3261" spans="8:9" x14ac:dyDescent="0.25">
      <c r="H3261" s="106"/>
      <c r="I3261" s="106"/>
    </row>
    <row r="3262" spans="8:9" x14ac:dyDescent="0.25">
      <c r="H3262" s="106"/>
      <c r="I3262" s="106"/>
    </row>
    <row r="3263" spans="8:9" x14ac:dyDescent="0.25">
      <c r="H3263" s="106"/>
      <c r="I3263" s="106"/>
    </row>
    <row r="3264" spans="8:9" x14ac:dyDescent="0.25">
      <c r="H3264" s="106"/>
      <c r="I3264" s="106"/>
    </row>
    <row r="3265" spans="8:9" x14ac:dyDescent="0.25">
      <c r="H3265" s="106"/>
      <c r="I3265" s="106"/>
    </row>
    <row r="3266" spans="8:9" x14ac:dyDescent="0.25">
      <c r="H3266" s="106"/>
      <c r="I3266" s="106"/>
    </row>
    <row r="3267" spans="8:9" x14ac:dyDescent="0.25">
      <c r="H3267" s="106"/>
      <c r="I3267" s="106"/>
    </row>
    <row r="3268" spans="8:9" x14ac:dyDescent="0.25">
      <c r="H3268" s="106"/>
      <c r="I3268" s="106"/>
    </row>
    <row r="3269" spans="8:9" x14ac:dyDescent="0.25">
      <c r="H3269" s="106"/>
      <c r="I3269" s="106"/>
    </row>
    <row r="3270" spans="8:9" x14ac:dyDescent="0.25">
      <c r="H3270" s="106"/>
      <c r="I3270" s="106"/>
    </row>
    <row r="3271" spans="8:9" x14ac:dyDescent="0.25">
      <c r="H3271" s="106"/>
      <c r="I3271" s="106"/>
    </row>
    <row r="3272" spans="8:9" x14ac:dyDescent="0.25">
      <c r="H3272" s="106"/>
      <c r="I3272" s="106"/>
    </row>
    <row r="3273" spans="8:9" x14ac:dyDescent="0.25">
      <c r="H3273" s="106"/>
      <c r="I3273" s="106"/>
    </row>
    <row r="3274" spans="8:9" x14ac:dyDescent="0.25">
      <c r="H3274" s="106"/>
      <c r="I3274" s="106"/>
    </row>
    <row r="3275" spans="8:9" x14ac:dyDescent="0.25">
      <c r="H3275" s="106"/>
      <c r="I3275" s="106"/>
    </row>
    <row r="3276" spans="8:9" x14ac:dyDescent="0.25">
      <c r="H3276" s="106"/>
      <c r="I3276" s="106"/>
    </row>
    <row r="3277" spans="8:9" x14ac:dyDescent="0.25">
      <c r="H3277" s="106"/>
      <c r="I3277" s="106"/>
    </row>
    <row r="3278" spans="8:9" x14ac:dyDescent="0.25">
      <c r="H3278" s="106"/>
      <c r="I3278" s="106"/>
    </row>
    <row r="3279" spans="8:9" x14ac:dyDescent="0.25">
      <c r="H3279" s="106"/>
      <c r="I3279" s="106"/>
    </row>
    <row r="3280" spans="8:9" x14ac:dyDescent="0.25">
      <c r="H3280" s="106"/>
      <c r="I3280" s="106"/>
    </row>
    <row r="3281" spans="8:9" x14ac:dyDescent="0.25">
      <c r="H3281" s="106"/>
      <c r="I3281" s="106"/>
    </row>
    <row r="3282" spans="8:9" x14ac:dyDescent="0.25">
      <c r="H3282" s="106"/>
      <c r="I3282" s="106"/>
    </row>
    <row r="3283" spans="8:9" x14ac:dyDescent="0.25">
      <c r="H3283" s="106"/>
      <c r="I3283" s="106"/>
    </row>
    <row r="3284" spans="8:9" x14ac:dyDescent="0.25">
      <c r="H3284" s="106"/>
      <c r="I3284" s="106"/>
    </row>
    <row r="3285" spans="8:9" x14ac:dyDescent="0.25">
      <c r="H3285" s="106"/>
      <c r="I3285" s="106"/>
    </row>
    <row r="3286" spans="8:9" x14ac:dyDescent="0.25">
      <c r="H3286" s="106"/>
      <c r="I3286" s="106"/>
    </row>
    <row r="3287" spans="8:9" x14ac:dyDescent="0.25">
      <c r="H3287" s="106"/>
      <c r="I3287" s="106"/>
    </row>
    <row r="3288" spans="8:9" x14ac:dyDescent="0.25">
      <c r="H3288" s="106"/>
      <c r="I3288" s="106"/>
    </row>
    <row r="3289" spans="8:9" x14ac:dyDescent="0.25">
      <c r="H3289" s="106"/>
      <c r="I3289" s="106"/>
    </row>
    <row r="3290" spans="8:9" x14ac:dyDescent="0.25">
      <c r="H3290" s="106"/>
      <c r="I3290" s="106"/>
    </row>
    <row r="3291" spans="8:9" x14ac:dyDescent="0.25">
      <c r="H3291" s="106"/>
      <c r="I3291" s="106"/>
    </row>
    <row r="3292" spans="8:9" x14ac:dyDescent="0.25">
      <c r="H3292" s="106"/>
      <c r="I3292" s="106"/>
    </row>
    <row r="3293" spans="8:9" x14ac:dyDescent="0.25">
      <c r="H3293" s="106"/>
      <c r="I3293" s="106"/>
    </row>
    <row r="3294" spans="8:9" x14ac:dyDescent="0.25">
      <c r="H3294" s="106"/>
      <c r="I3294" s="106"/>
    </row>
    <row r="3295" spans="8:9" x14ac:dyDescent="0.25">
      <c r="H3295" s="106"/>
      <c r="I3295" s="106"/>
    </row>
    <row r="3296" spans="8:9" x14ac:dyDescent="0.25">
      <c r="H3296" s="106"/>
      <c r="I3296" s="106"/>
    </row>
    <row r="3297" spans="8:9" x14ac:dyDescent="0.25">
      <c r="H3297" s="106"/>
      <c r="I3297" s="106"/>
    </row>
    <row r="3298" spans="8:9" x14ac:dyDescent="0.25">
      <c r="H3298" s="106"/>
      <c r="I3298" s="106"/>
    </row>
    <row r="3299" spans="8:9" x14ac:dyDescent="0.25">
      <c r="H3299" s="106"/>
      <c r="I3299" s="106"/>
    </row>
    <row r="3300" spans="8:9" x14ac:dyDescent="0.25">
      <c r="H3300" s="106"/>
      <c r="I3300" s="106"/>
    </row>
    <row r="3301" spans="8:9" x14ac:dyDescent="0.25">
      <c r="H3301" s="106"/>
      <c r="I3301" s="106"/>
    </row>
    <row r="3302" spans="8:9" x14ac:dyDescent="0.25">
      <c r="H3302" s="106"/>
      <c r="I3302" s="106"/>
    </row>
    <row r="3303" spans="8:9" x14ac:dyDescent="0.25">
      <c r="H3303" s="106"/>
      <c r="I3303" s="106"/>
    </row>
    <row r="3304" spans="8:9" x14ac:dyDescent="0.25">
      <c r="H3304" s="106"/>
      <c r="I3304" s="106"/>
    </row>
    <row r="3305" spans="8:9" x14ac:dyDescent="0.25">
      <c r="H3305" s="106"/>
      <c r="I3305" s="106"/>
    </row>
    <row r="3306" spans="8:9" x14ac:dyDescent="0.25">
      <c r="H3306" s="106"/>
      <c r="I3306" s="106"/>
    </row>
    <row r="3307" spans="8:9" x14ac:dyDescent="0.25">
      <c r="H3307" s="106"/>
      <c r="I3307" s="106"/>
    </row>
    <row r="3308" spans="8:9" x14ac:dyDescent="0.25">
      <c r="H3308" s="106"/>
      <c r="I3308" s="106"/>
    </row>
    <row r="3309" spans="8:9" x14ac:dyDescent="0.25">
      <c r="H3309" s="106"/>
      <c r="I3309" s="106"/>
    </row>
    <row r="3310" spans="8:9" x14ac:dyDescent="0.25">
      <c r="H3310" s="106"/>
      <c r="I3310" s="106"/>
    </row>
    <row r="3311" spans="8:9" x14ac:dyDescent="0.25">
      <c r="H3311" s="106"/>
      <c r="I3311" s="106"/>
    </row>
    <row r="3312" spans="8:9" x14ac:dyDescent="0.25">
      <c r="H3312" s="106"/>
      <c r="I3312" s="106"/>
    </row>
    <row r="3313" spans="8:9" x14ac:dyDescent="0.25">
      <c r="H3313" s="106"/>
      <c r="I3313" s="106"/>
    </row>
    <row r="3314" spans="8:9" x14ac:dyDescent="0.25">
      <c r="H3314" s="106"/>
      <c r="I3314" s="106"/>
    </row>
    <row r="3315" spans="8:9" x14ac:dyDescent="0.25">
      <c r="H3315" s="106"/>
      <c r="I3315" s="106"/>
    </row>
    <row r="3316" spans="8:9" x14ac:dyDescent="0.25">
      <c r="H3316" s="106"/>
      <c r="I3316" s="106"/>
    </row>
    <row r="3317" spans="8:9" x14ac:dyDescent="0.25">
      <c r="H3317" s="106"/>
      <c r="I3317" s="106"/>
    </row>
    <row r="3318" spans="8:9" x14ac:dyDescent="0.25">
      <c r="H3318" s="106"/>
      <c r="I3318" s="106"/>
    </row>
    <row r="3319" spans="8:9" x14ac:dyDescent="0.25">
      <c r="H3319" s="106"/>
      <c r="I3319" s="106"/>
    </row>
    <row r="3320" spans="8:9" x14ac:dyDescent="0.25">
      <c r="H3320" s="106"/>
      <c r="I3320" s="106"/>
    </row>
    <row r="3321" spans="8:9" x14ac:dyDescent="0.25">
      <c r="H3321" s="106"/>
      <c r="I3321" s="106"/>
    </row>
    <row r="3322" spans="8:9" x14ac:dyDescent="0.25">
      <c r="H3322" s="106"/>
      <c r="I3322" s="106"/>
    </row>
    <row r="3323" spans="8:9" x14ac:dyDescent="0.25">
      <c r="H3323" s="106"/>
      <c r="I3323" s="106"/>
    </row>
    <row r="3324" spans="8:9" x14ac:dyDescent="0.25">
      <c r="H3324" s="106"/>
      <c r="I3324" s="106"/>
    </row>
    <row r="3325" spans="8:9" x14ac:dyDescent="0.25">
      <c r="H3325" s="106"/>
      <c r="I3325" s="106"/>
    </row>
    <row r="3326" spans="8:9" x14ac:dyDescent="0.25">
      <c r="H3326" s="106"/>
      <c r="I3326" s="106"/>
    </row>
    <row r="3327" spans="8:9" x14ac:dyDescent="0.25">
      <c r="H3327" s="106"/>
      <c r="I3327" s="106"/>
    </row>
    <row r="3328" spans="8:9" x14ac:dyDescent="0.25">
      <c r="H3328" s="106"/>
      <c r="I3328" s="106"/>
    </row>
    <row r="3329" spans="8:9" x14ac:dyDescent="0.25">
      <c r="H3329" s="106"/>
      <c r="I3329" s="106"/>
    </row>
    <row r="3330" spans="8:9" x14ac:dyDescent="0.25">
      <c r="H3330" s="106"/>
      <c r="I3330" s="106"/>
    </row>
    <row r="3331" spans="8:9" x14ac:dyDescent="0.25">
      <c r="H3331" s="106"/>
      <c r="I3331" s="106"/>
    </row>
    <row r="3332" spans="8:9" x14ac:dyDescent="0.25">
      <c r="H3332" s="106"/>
      <c r="I3332" s="106"/>
    </row>
    <row r="3333" spans="8:9" x14ac:dyDescent="0.25">
      <c r="H3333" s="106"/>
      <c r="I3333" s="106"/>
    </row>
    <row r="3334" spans="8:9" x14ac:dyDescent="0.25">
      <c r="H3334" s="106"/>
      <c r="I3334" s="106"/>
    </row>
    <row r="3335" spans="8:9" x14ac:dyDescent="0.25">
      <c r="H3335" s="106"/>
      <c r="I3335" s="106"/>
    </row>
    <row r="3336" spans="8:9" x14ac:dyDescent="0.25">
      <c r="H3336" s="106"/>
      <c r="I3336" s="106"/>
    </row>
    <row r="3337" spans="8:9" x14ac:dyDescent="0.25">
      <c r="H3337" s="106"/>
      <c r="I3337" s="106"/>
    </row>
    <row r="3338" spans="8:9" x14ac:dyDescent="0.25">
      <c r="H3338" s="106"/>
      <c r="I3338" s="106"/>
    </row>
    <row r="3339" spans="8:9" x14ac:dyDescent="0.25">
      <c r="H3339" s="106"/>
      <c r="I3339" s="106"/>
    </row>
    <row r="3340" spans="8:9" x14ac:dyDescent="0.25">
      <c r="H3340" s="106"/>
      <c r="I3340" s="106"/>
    </row>
    <row r="3341" spans="8:9" x14ac:dyDescent="0.25">
      <c r="H3341" s="106"/>
      <c r="I3341" s="106"/>
    </row>
    <row r="3342" spans="8:9" x14ac:dyDescent="0.25">
      <c r="H3342" s="106"/>
      <c r="I3342" s="106"/>
    </row>
    <row r="3343" spans="8:9" x14ac:dyDescent="0.25">
      <c r="H3343" s="106"/>
      <c r="I3343" s="106"/>
    </row>
    <row r="3344" spans="8:9" x14ac:dyDescent="0.25">
      <c r="H3344" s="106"/>
      <c r="I3344" s="106"/>
    </row>
    <row r="3345" spans="8:9" x14ac:dyDescent="0.25">
      <c r="H3345" s="106"/>
      <c r="I3345" s="106"/>
    </row>
    <row r="3346" spans="8:9" x14ac:dyDescent="0.25">
      <c r="H3346" s="106"/>
      <c r="I3346" s="106"/>
    </row>
    <row r="3347" spans="8:9" x14ac:dyDescent="0.25">
      <c r="H3347" s="106"/>
      <c r="I3347" s="106"/>
    </row>
    <row r="3348" spans="8:9" x14ac:dyDescent="0.25">
      <c r="H3348" s="106"/>
      <c r="I3348" s="106"/>
    </row>
    <row r="3349" spans="8:9" x14ac:dyDescent="0.25">
      <c r="H3349" s="106"/>
      <c r="I3349" s="106"/>
    </row>
    <row r="3350" spans="8:9" x14ac:dyDescent="0.25">
      <c r="H3350" s="106"/>
      <c r="I3350" s="106"/>
    </row>
    <row r="3351" spans="8:9" x14ac:dyDescent="0.25">
      <c r="H3351" s="106"/>
      <c r="I3351" s="106"/>
    </row>
    <row r="3352" spans="8:9" x14ac:dyDescent="0.25">
      <c r="H3352" s="106"/>
      <c r="I3352" s="106"/>
    </row>
    <row r="3353" spans="8:9" x14ac:dyDescent="0.25">
      <c r="H3353" s="106"/>
      <c r="I3353" s="106"/>
    </row>
    <row r="3354" spans="8:9" x14ac:dyDescent="0.25">
      <c r="H3354" s="106"/>
      <c r="I3354" s="106"/>
    </row>
    <row r="3355" spans="8:9" x14ac:dyDescent="0.25">
      <c r="H3355" s="106"/>
      <c r="I3355" s="106"/>
    </row>
    <row r="3356" spans="8:9" x14ac:dyDescent="0.25">
      <c r="H3356" s="106"/>
      <c r="I3356" s="106"/>
    </row>
    <row r="3357" spans="8:9" x14ac:dyDescent="0.25">
      <c r="H3357" s="106"/>
      <c r="I3357" s="106"/>
    </row>
    <row r="3358" spans="8:9" x14ac:dyDescent="0.25">
      <c r="H3358" s="106"/>
      <c r="I3358" s="106"/>
    </row>
    <row r="3359" spans="8:9" x14ac:dyDescent="0.25">
      <c r="H3359" s="106"/>
      <c r="I3359" s="106"/>
    </row>
    <row r="3360" spans="8:9" x14ac:dyDescent="0.25">
      <c r="H3360" s="106"/>
      <c r="I3360" s="106"/>
    </row>
    <row r="3361" spans="8:9" x14ac:dyDescent="0.25">
      <c r="H3361" s="106"/>
      <c r="I3361" s="106"/>
    </row>
    <row r="3362" spans="8:9" x14ac:dyDescent="0.25">
      <c r="H3362" s="106"/>
      <c r="I3362" s="106"/>
    </row>
    <row r="3363" spans="8:9" x14ac:dyDescent="0.25">
      <c r="H3363" s="106"/>
      <c r="I3363" s="106"/>
    </row>
    <row r="3364" spans="8:9" x14ac:dyDescent="0.25">
      <c r="H3364" s="106"/>
      <c r="I3364" s="106"/>
    </row>
    <row r="3365" spans="8:9" x14ac:dyDescent="0.25">
      <c r="H3365" s="106"/>
      <c r="I3365" s="106"/>
    </row>
    <row r="3366" spans="8:9" x14ac:dyDescent="0.25">
      <c r="H3366" s="106"/>
      <c r="I3366" s="106"/>
    </row>
    <row r="3367" spans="8:9" x14ac:dyDescent="0.25">
      <c r="H3367" s="106"/>
      <c r="I3367" s="106"/>
    </row>
    <row r="3368" spans="8:9" x14ac:dyDescent="0.25">
      <c r="H3368" s="106"/>
      <c r="I3368" s="106"/>
    </row>
    <row r="3369" spans="8:9" x14ac:dyDescent="0.25">
      <c r="H3369" s="106"/>
      <c r="I3369" s="106"/>
    </row>
    <row r="3370" spans="8:9" x14ac:dyDescent="0.25">
      <c r="H3370" s="106"/>
      <c r="I3370" s="106"/>
    </row>
    <row r="3371" spans="8:9" x14ac:dyDescent="0.25">
      <c r="H3371" s="106"/>
      <c r="I3371" s="106"/>
    </row>
    <row r="3372" spans="8:9" x14ac:dyDescent="0.25">
      <c r="H3372" s="106"/>
      <c r="I3372" s="106"/>
    </row>
    <row r="3373" spans="8:9" x14ac:dyDescent="0.25">
      <c r="H3373" s="106"/>
      <c r="I3373" s="106"/>
    </row>
    <row r="3374" spans="8:9" x14ac:dyDescent="0.25">
      <c r="H3374" s="106"/>
      <c r="I3374" s="106"/>
    </row>
    <row r="3375" spans="8:9" x14ac:dyDescent="0.25">
      <c r="H3375" s="106"/>
      <c r="I3375" s="106"/>
    </row>
    <row r="3376" spans="8:9" x14ac:dyDescent="0.25">
      <c r="H3376" s="106"/>
      <c r="I3376" s="106"/>
    </row>
    <row r="3377" spans="8:9" x14ac:dyDescent="0.25">
      <c r="H3377" s="106"/>
      <c r="I3377" s="106"/>
    </row>
    <row r="3378" spans="8:9" x14ac:dyDescent="0.25">
      <c r="H3378" s="106"/>
      <c r="I3378" s="106"/>
    </row>
    <row r="3379" spans="8:9" x14ac:dyDescent="0.25">
      <c r="H3379" s="106"/>
      <c r="I3379" s="106"/>
    </row>
    <row r="3380" spans="8:9" x14ac:dyDescent="0.25">
      <c r="H3380" s="106"/>
      <c r="I3380" s="106"/>
    </row>
    <row r="3381" spans="8:9" x14ac:dyDescent="0.25">
      <c r="H3381" s="106"/>
      <c r="I3381" s="106"/>
    </row>
    <row r="3382" spans="8:9" x14ac:dyDescent="0.25">
      <c r="H3382" s="106"/>
      <c r="I3382" s="106"/>
    </row>
    <row r="3383" spans="8:9" x14ac:dyDescent="0.25">
      <c r="H3383" s="106"/>
      <c r="I3383" s="106"/>
    </row>
    <row r="3384" spans="8:9" x14ac:dyDescent="0.25">
      <c r="H3384" s="106"/>
      <c r="I3384" s="106"/>
    </row>
    <row r="3385" spans="8:9" x14ac:dyDescent="0.25">
      <c r="H3385" s="106"/>
      <c r="I3385" s="106"/>
    </row>
    <row r="3386" spans="8:9" x14ac:dyDescent="0.25">
      <c r="H3386" s="106"/>
      <c r="I3386" s="106"/>
    </row>
    <row r="3387" spans="8:9" x14ac:dyDescent="0.25">
      <c r="H3387" s="106"/>
      <c r="I3387" s="106"/>
    </row>
    <row r="3388" spans="8:9" x14ac:dyDescent="0.25">
      <c r="H3388" s="106"/>
      <c r="I3388" s="106"/>
    </row>
    <row r="3389" spans="8:9" x14ac:dyDescent="0.25">
      <c r="H3389" s="106"/>
      <c r="I3389" s="106"/>
    </row>
    <row r="3390" spans="8:9" x14ac:dyDescent="0.25">
      <c r="H3390" s="106"/>
      <c r="I3390" s="106"/>
    </row>
    <row r="3391" spans="8:9" x14ac:dyDescent="0.25">
      <c r="H3391" s="106"/>
      <c r="I3391" s="106"/>
    </row>
    <row r="3392" spans="8:9" x14ac:dyDescent="0.25">
      <c r="H3392" s="106"/>
      <c r="I3392" s="106"/>
    </row>
    <row r="3393" spans="8:9" x14ac:dyDescent="0.25">
      <c r="H3393" s="106"/>
      <c r="I3393" s="106"/>
    </row>
    <row r="3394" spans="8:9" x14ac:dyDescent="0.25">
      <c r="H3394" s="106"/>
      <c r="I3394" s="106"/>
    </row>
    <row r="3395" spans="8:9" x14ac:dyDescent="0.25">
      <c r="H3395" s="106"/>
      <c r="I3395" s="106"/>
    </row>
    <row r="3396" spans="8:9" x14ac:dyDescent="0.25">
      <c r="H3396" s="106"/>
      <c r="I3396" s="106"/>
    </row>
    <row r="3397" spans="8:9" x14ac:dyDescent="0.25">
      <c r="H3397" s="106"/>
      <c r="I3397" s="106"/>
    </row>
    <row r="3398" spans="8:9" x14ac:dyDescent="0.25">
      <c r="H3398" s="106"/>
      <c r="I3398" s="106"/>
    </row>
    <row r="3399" spans="8:9" x14ac:dyDescent="0.25">
      <c r="H3399" s="106"/>
      <c r="I3399" s="106"/>
    </row>
    <row r="3400" spans="8:9" x14ac:dyDescent="0.25">
      <c r="H3400" s="106"/>
      <c r="I3400" s="106"/>
    </row>
    <row r="3401" spans="8:9" x14ac:dyDescent="0.25">
      <c r="H3401" s="106"/>
      <c r="I3401" s="106"/>
    </row>
    <row r="3402" spans="8:9" x14ac:dyDescent="0.25">
      <c r="H3402" s="106"/>
      <c r="I3402" s="106"/>
    </row>
    <row r="3403" spans="8:9" x14ac:dyDescent="0.25">
      <c r="H3403" s="106"/>
      <c r="I3403" s="106"/>
    </row>
    <row r="3404" spans="8:9" x14ac:dyDescent="0.25">
      <c r="H3404" s="106"/>
      <c r="I3404" s="106"/>
    </row>
    <row r="3405" spans="8:9" x14ac:dyDescent="0.25">
      <c r="H3405" s="106"/>
      <c r="I3405" s="106"/>
    </row>
    <row r="3406" spans="8:9" x14ac:dyDescent="0.25">
      <c r="H3406" s="106"/>
      <c r="I3406" s="106"/>
    </row>
    <row r="3407" spans="8:9" x14ac:dyDescent="0.25">
      <c r="H3407" s="106"/>
      <c r="I3407" s="106"/>
    </row>
    <row r="3408" spans="8:9" x14ac:dyDescent="0.25">
      <c r="H3408" s="106"/>
      <c r="I3408" s="106"/>
    </row>
    <row r="3409" spans="8:9" x14ac:dyDescent="0.25">
      <c r="H3409" s="106"/>
      <c r="I3409" s="106"/>
    </row>
    <row r="3410" spans="8:9" x14ac:dyDescent="0.25">
      <c r="H3410" s="106"/>
      <c r="I3410" s="106"/>
    </row>
    <row r="3411" spans="8:9" x14ac:dyDescent="0.25">
      <c r="H3411" s="106"/>
      <c r="I3411" s="106"/>
    </row>
    <row r="3412" spans="8:9" x14ac:dyDescent="0.25">
      <c r="H3412" s="106"/>
      <c r="I3412" s="106"/>
    </row>
    <row r="3413" spans="8:9" x14ac:dyDescent="0.25">
      <c r="H3413" s="106"/>
      <c r="I3413" s="106"/>
    </row>
    <row r="3414" spans="8:9" x14ac:dyDescent="0.25">
      <c r="H3414" s="106"/>
      <c r="I3414" s="106"/>
    </row>
    <row r="3415" spans="8:9" x14ac:dyDescent="0.25">
      <c r="H3415" s="106"/>
      <c r="I3415" s="106"/>
    </row>
    <row r="3416" spans="8:9" x14ac:dyDescent="0.25">
      <c r="H3416" s="106"/>
      <c r="I3416" s="106"/>
    </row>
    <row r="3417" spans="8:9" x14ac:dyDescent="0.25">
      <c r="H3417" s="106"/>
      <c r="I3417" s="106"/>
    </row>
    <row r="3418" spans="8:9" x14ac:dyDescent="0.25">
      <c r="H3418" s="106"/>
      <c r="I3418" s="106"/>
    </row>
    <row r="3419" spans="8:9" x14ac:dyDescent="0.25">
      <c r="H3419" s="106"/>
      <c r="I3419" s="106"/>
    </row>
    <row r="3420" spans="8:9" x14ac:dyDescent="0.25">
      <c r="H3420" s="106"/>
      <c r="I3420" s="106"/>
    </row>
    <row r="3421" spans="8:9" x14ac:dyDescent="0.25">
      <c r="H3421" s="106"/>
      <c r="I3421" s="106"/>
    </row>
    <row r="3422" spans="8:9" x14ac:dyDescent="0.25">
      <c r="H3422" s="106"/>
      <c r="I3422" s="106"/>
    </row>
    <row r="3423" spans="8:9" x14ac:dyDescent="0.25">
      <c r="H3423" s="106"/>
      <c r="I3423" s="106"/>
    </row>
    <row r="3424" spans="8:9" x14ac:dyDescent="0.25">
      <c r="H3424" s="106"/>
      <c r="I3424" s="106"/>
    </row>
    <row r="3425" spans="8:9" x14ac:dyDescent="0.25">
      <c r="H3425" s="106"/>
      <c r="I3425" s="106"/>
    </row>
    <row r="3426" spans="8:9" x14ac:dyDescent="0.25">
      <c r="H3426" s="106"/>
      <c r="I3426" s="106"/>
    </row>
    <row r="3427" spans="8:9" x14ac:dyDescent="0.25">
      <c r="H3427" s="106"/>
      <c r="I3427" s="106"/>
    </row>
    <row r="3428" spans="8:9" x14ac:dyDescent="0.25">
      <c r="H3428" s="106"/>
      <c r="I3428" s="106"/>
    </row>
    <row r="3429" spans="8:9" x14ac:dyDescent="0.25">
      <c r="H3429" s="106"/>
      <c r="I3429" s="106"/>
    </row>
    <row r="3430" spans="8:9" x14ac:dyDescent="0.25">
      <c r="H3430" s="106"/>
      <c r="I3430" s="106"/>
    </row>
    <row r="3431" spans="8:9" x14ac:dyDescent="0.25">
      <c r="H3431" s="106"/>
      <c r="I3431" s="106"/>
    </row>
    <row r="3432" spans="8:9" x14ac:dyDescent="0.25">
      <c r="H3432" s="106"/>
      <c r="I3432" s="106"/>
    </row>
    <row r="3433" spans="8:9" x14ac:dyDescent="0.25">
      <c r="H3433" s="106"/>
      <c r="I3433" s="106"/>
    </row>
    <row r="3434" spans="8:9" x14ac:dyDescent="0.25">
      <c r="H3434" s="106"/>
      <c r="I3434" s="106"/>
    </row>
    <row r="3435" spans="8:9" x14ac:dyDescent="0.25">
      <c r="H3435" s="106"/>
      <c r="I3435" s="106"/>
    </row>
    <row r="3436" spans="8:9" x14ac:dyDescent="0.25">
      <c r="H3436" s="106"/>
      <c r="I3436" s="106"/>
    </row>
    <row r="3437" spans="8:9" x14ac:dyDescent="0.25">
      <c r="H3437" s="106"/>
      <c r="I3437" s="106"/>
    </row>
    <row r="3438" spans="8:9" x14ac:dyDescent="0.25">
      <c r="H3438" s="106"/>
      <c r="I3438" s="106"/>
    </row>
    <row r="3439" spans="8:9" x14ac:dyDescent="0.25">
      <c r="H3439" s="106"/>
      <c r="I3439" s="106"/>
    </row>
    <row r="3440" spans="8:9" x14ac:dyDescent="0.25">
      <c r="H3440" s="106"/>
      <c r="I3440" s="106"/>
    </row>
    <row r="3441" spans="8:9" x14ac:dyDescent="0.25">
      <c r="H3441" s="106"/>
      <c r="I3441" s="106"/>
    </row>
    <row r="3442" spans="8:9" x14ac:dyDescent="0.25">
      <c r="H3442" s="106"/>
      <c r="I3442" s="106"/>
    </row>
    <row r="3443" spans="8:9" x14ac:dyDescent="0.25">
      <c r="H3443" s="106"/>
      <c r="I3443" s="106"/>
    </row>
    <row r="3444" spans="8:9" x14ac:dyDescent="0.25">
      <c r="H3444" s="106"/>
      <c r="I3444" s="106"/>
    </row>
    <row r="3445" spans="8:9" x14ac:dyDescent="0.25">
      <c r="H3445" s="106"/>
      <c r="I3445" s="106"/>
    </row>
    <row r="3446" spans="8:9" x14ac:dyDescent="0.25">
      <c r="H3446" s="106"/>
      <c r="I3446" s="106"/>
    </row>
    <row r="3447" spans="8:9" x14ac:dyDescent="0.25">
      <c r="H3447" s="106"/>
      <c r="I3447" s="106"/>
    </row>
    <row r="3448" spans="8:9" x14ac:dyDescent="0.25">
      <c r="H3448" s="106"/>
      <c r="I3448" s="106"/>
    </row>
    <row r="3449" spans="8:9" x14ac:dyDescent="0.25">
      <c r="H3449" s="106"/>
      <c r="I3449" s="106"/>
    </row>
    <row r="3450" spans="8:9" x14ac:dyDescent="0.25">
      <c r="H3450" s="106"/>
      <c r="I3450" s="106"/>
    </row>
    <row r="3451" spans="8:9" x14ac:dyDescent="0.25">
      <c r="H3451" s="106"/>
      <c r="I3451" s="106"/>
    </row>
    <row r="3452" spans="8:9" x14ac:dyDescent="0.25">
      <c r="H3452" s="106"/>
      <c r="I3452" s="106"/>
    </row>
    <row r="3453" spans="8:9" x14ac:dyDescent="0.25">
      <c r="H3453" s="106"/>
      <c r="I3453" s="106"/>
    </row>
    <row r="3454" spans="8:9" x14ac:dyDescent="0.25">
      <c r="H3454" s="106"/>
      <c r="I3454" s="106"/>
    </row>
    <row r="3455" spans="8:9" x14ac:dyDescent="0.25">
      <c r="H3455" s="106"/>
      <c r="I3455" s="106"/>
    </row>
    <row r="3456" spans="8:9" x14ac:dyDescent="0.25">
      <c r="H3456" s="106"/>
      <c r="I3456" s="106"/>
    </row>
    <row r="3457" spans="8:9" x14ac:dyDescent="0.25">
      <c r="H3457" s="106"/>
      <c r="I3457" s="106"/>
    </row>
    <row r="3458" spans="8:9" x14ac:dyDescent="0.25">
      <c r="H3458" s="106"/>
      <c r="I3458" s="106"/>
    </row>
    <row r="3459" spans="8:9" x14ac:dyDescent="0.25">
      <c r="H3459" s="106"/>
      <c r="I3459" s="106"/>
    </row>
    <row r="3460" spans="8:9" x14ac:dyDescent="0.25">
      <c r="H3460" s="106"/>
      <c r="I3460" s="106"/>
    </row>
    <row r="3461" spans="8:9" x14ac:dyDescent="0.25">
      <c r="H3461" s="106"/>
      <c r="I3461" s="106"/>
    </row>
    <row r="3462" spans="8:9" x14ac:dyDescent="0.25">
      <c r="H3462" s="106"/>
      <c r="I3462" s="106"/>
    </row>
    <row r="3463" spans="8:9" x14ac:dyDescent="0.25">
      <c r="H3463" s="106"/>
      <c r="I3463" s="106"/>
    </row>
    <row r="3464" spans="8:9" x14ac:dyDescent="0.25">
      <c r="H3464" s="106"/>
      <c r="I3464" s="106"/>
    </row>
    <row r="3465" spans="8:9" x14ac:dyDescent="0.25">
      <c r="H3465" s="106"/>
      <c r="I3465" s="106"/>
    </row>
    <row r="3466" spans="8:9" x14ac:dyDescent="0.25">
      <c r="H3466" s="106"/>
      <c r="I3466" s="106"/>
    </row>
    <row r="3467" spans="8:9" x14ac:dyDescent="0.25">
      <c r="H3467" s="106"/>
      <c r="I3467" s="106"/>
    </row>
    <row r="3468" spans="8:9" x14ac:dyDescent="0.25">
      <c r="H3468" s="106"/>
      <c r="I3468" s="106"/>
    </row>
    <row r="3469" spans="8:9" x14ac:dyDescent="0.25">
      <c r="H3469" s="106"/>
      <c r="I3469" s="106"/>
    </row>
    <row r="3470" spans="8:9" x14ac:dyDescent="0.25">
      <c r="H3470" s="106"/>
      <c r="I3470" s="106"/>
    </row>
    <row r="3471" spans="8:9" x14ac:dyDescent="0.25">
      <c r="H3471" s="106"/>
      <c r="I3471" s="106"/>
    </row>
    <row r="3472" spans="8:9" x14ac:dyDescent="0.25">
      <c r="H3472" s="106"/>
      <c r="I3472" s="106"/>
    </row>
    <row r="3473" spans="8:9" x14ac:dyDescent="0.25">
      <c r="H3473" s="106"/>
      <c r="I3473" s="106"/>
    </row>
    <row r="3474" spans="8:9" x14ac:dyDescent="0.25">
      <c r="H3474" s="106"/>
      <c r="I3474" s="106"/>
    </row>
    <row r="3475" spans="8:9" x14ac:dyDescent="0.25">
      <c r="H3475" s="106"/>
      <c r="I3475" s="106"/>
    </row>
    <row r="3476" spans="8:9" x14ac:dyDescent="0.25">
      <c r="H3476" s="106"/>
      <c r="I3476" s="106"/>
    </row>
    <row r="3477" spans="8:9" x14ac:dyDescent="0.25">
      <c r="H3477" s="106"/>
      <c r="I3477" s="106"/>
    </row>
    <row r="3478" spans="8:9" x14ac:dyDescent="0.25">
      <c r="H3478" s="106"/>
      <c r="I3478" s="106"/>
    </row>
    <row r="3479" spans="8:9" x14ac:dyDescent="0.25">
      <c r="H3479" s="106"/>
      <c r="I3479" s="106"/>
    </row>
    <row r="3480" spans="8:9" x14ac:dyDescent="0.25">
      <c r="H3480" s="106"/>
      <c r="I3480" s="106"/>
    </row>
    <row r="3481" spans="8:9" x14ac:dyDescent="0.25">
      <c r="H3481" s="106"/>
      <c r="I3481" s="106"/>
    </row>
    <row r="3482" spans="8:9" x14ac:dyDescent="0.25">
      <c r="H3482" s="106"/>
      <c r="I3482" s="106"/>
    </row>
    <row r="3483" spans="8:9" x14ac:dyDescent="0.25">
      <c r="H3483" s="106"/>
      <c r="I3483" s="106"/>
    </row>
    <row r="3484" spans="8:9" x14ac:dyDescent="0.25">
      <c r="H3484" s="106"/>
      <c r="I3484" s="106"/>
    </row>
    <row r="3485" spans="8:9" x14ac:dyDescent="0.25">
      <c r="H3485" s="106"/>
      <c r="I3485" s="106"/>
    </row>
    <row r="3486" spans="8:9" x14ac:dyDescent="0.25">
      <c r="H3486" s="106"/>
      <c r="I3486" s="106"/>
    </row>
    <row r="3487" spans="8:9" x14ac:dyDescent="0.25">
      <c r="H3487" s="106"/>
      <c r="I3487" s="106"/>
    </row>
    <row r="3488" spans="8:9" x14ac:dyDescent="0.25">
      <c r="H3488" s="106"/>
      <c r="I3488" s="106"/>
    </row>
    <row r="3489" spans="8:9" x14ac:dyDescent="0.25">
      <c r="H3489" s="106"/>
      <c r="I3489" s="106"/>
    </row>
    <row r="3490" spans="8:9" x14ac:dyDescent="0.25">
      <c r="H3490" s="106"/>
      <c r="I3490" s="106"/>
    </row>
    <row r="3491" spans="8:9" x14ac:dyDescent="0.25">
      <c r="H3491" s="106"/>
      <c r="I3491" s="106"/>
    </row>
    <row r="3492" spans="8:9" x14ac:dyDescent="0.25">
      <c r="H3492" s="106"/>
      <c r="I3492" s="106"/>
    </row>
    <row r="3493" spans="8:9" x14ac:dyDescent="0.25">
      <c r="H3493" s="106"/>
      <c r="I3493" s="106"/>
    </row>
    <row r="3494" spans="8:9" x14ac:dyDescent="0.25">
      <c r="H3494" s="106"/>
      <c r="I3494" s="106"/>
    </row>
    <row r="3495" spans="8:9" x14ac:dyDescent="0.25">
      <c r="H3495" s="106"/>
      <c r="I3495" s="106"/>
    </row>
    <row r="3496" spans="8:9" x14ac:dyDescent="0.25">
      <c r="H3496" s="106"/>
      <c r="I3496" s="106"/>
    </row>
    <row r="3497" spans="8:9" x14ac:dyDescent="0.25">
      <c r="H3497" s="106"/>
      <c r="I3497" s="106"/>
    </row>
    <row r="3498" spans="8:9" x14ac:dyDescent="0.25">
      <c r="H3498" s="106"/>
      <c r="I3498" s="106"/>
    </row>
    <row r="3499" spans="8:9" x14ac:dyDescent="0.25">
      <c r="H3499" s="106"/>
      <c r="I3499" s="106"/>
    </row>
    <row r="3500" spans="8:9" x14ac:dyDescent="0.25">
      <c r="H3500" s="106"/>
      <c r="I3500" s="106"/>
    </row>
    <row r="3501" spans="8:9" x14ac:dyDescent="0.25">
      <c r="H3501" s="106"/>
      <c r="I3501" s="106"/>
    </row>
    <row r="3502" spans="8:9" x14ac:dyDescent="0.25">
      <c r="H3502" s="106"/>
      <c r="I3502" s="106"/>
    </row>
    <row r="3503" spans="8:9" x14ac:dyDescent="0.25">
      <c r="H3503" s="106"/>
      <c r="I3503" s="106"/>
    </row>
    <row r="3504" spans="8:9" x14ac:dyDescent="0.25">
      <c r="H3504" s="106"/>
      <c r="I3504" s="106"/>
    </row>
    <row r="3505" spans="8:9" x14ac:dyDescent="0.25">
      <c r="H3505" s="106"/>
      <c r="I3505" s="106"/>
    </row>
    <row r="3506" spans="8:9" x14ac:dyDescent="0.25">
      <c r="H3506" s="106"/>
      <c r="I3506" s="106"/>
    </row>
    <row r="3507" spans="8:9" x14ac:dyDescent="0.25">
      <c r="H3507" s="106"/>
      <c r="I3507" s="106"/>
    </row>
    <row r="3508" spans="8:9" x14ac:dyDescent="0.25">
      <c r="H3508" s="106"/>
      <c r="I3508" s="106"/>
    </row>
    <row r="3509" spans="8:9" x14ac:dyDescent="0.25">
      <c r="H3509" s="106"/>
      <c r="I3509" s="106"/>
    </row>
    <row r="3510" spans="8:9" x14ac:dyDescent="0.25">
      <c r="H3510" s="106"/>
      <c r="I3510" s="106"/>
    </row>
    <row r="3511" spans="8:9" x14ac:dyDescent="0.25">
      <c r="H3511" s="106"/>
      <c r="I3511" s="106"/>
    </row>
    <row r="3512" spans="8:9" x14ac:dyDescent="0.25">
      <c r="H3512" s="106"/>
      <c r="I3512" s="106"/>
    </row>
    <row r="3513" spans="8:9" x14ac:dyDescent="0.25">
      <c r="H3513" s="106"/>
      <c r="I3513" s="106"/>
    </row>
    <row r="3514" spans="8:9" x14ac:dyDescent="0.25">
      <c r="H3514" s="106"/>
      <c r="I3514" s="106"/>
    </row>
    <row r="3515" spans="8:9" x14ac:dyDescent="0.25">
      <c r="H3515" s="106"/>
      <c r="I3515" s="106"/>
    </row>
    <row r="3516" spans="8:9" x14ac:dyDescent="0.25">
      <c r="H3516" s="106"/>
      <c r="I3516" s="106"/>
    </row>
    <row r="3517" spans="8:9" x14ac:dyDescent="0.25">
      <c r="H3517" s="106"/>
      <c r="I3517" s="106"/>
    </row>
    <row r="3518" spans="8:9" x14ac:dyDescent="0.25">
      <c r="H3518" s="106"/>
      <c r="I3518" s="106"/>
    </row>
    <row r="3519" spans="8:9" x14ac:dyDescent="0.25">
      <c r="H3519" s="106"/>
      <c r="I3519" s="106"/>
    </row>
    <row r="3520" spans="8:9" x14ac:dyDescent="0.25">
      <c r="H3520" s="106"/>
      <c r="I3520" s="106"/>
    </row>
    <row r="3521" spans="8:9" x14ac:dyDescent="0.25">
      <c r="H3521" s="106"/>
      <c r="I3521" s="106"/>
    </row>
    <row r="3522" spans="8:9" x14ac:dyDescent="0.25">
      <c r="H3522" s="106"/>
      <c r="I3522" s="106"/>
    </row>
    <row r="3523" spans="8:9" x14ac:dyDescent="0.25">
      <c r="H3523" s="106"/>
      <c r="I3523" s="106"/>
    </row>
    <row r="3524" spans="8:9" x14ac:dyDescent="0.25">
      <c r="H3524" s="106"/>
      <c r="I3524" s="106"/>
    </row>
    <row r="3525" spans="8:9" x14ac:dyDescent="0.25">
      <c r="H3525" s="106"/>
      <c r="I3525" s="106"/>
    </row>
    <row r="3526" spans="8:9" x14ac:dyDescent="0.25">
      <c r="H3526" s="106"/>
      <c r="I3526" s="106"/>
    </row>
    <row r="3527" spans="8:9" x14ac:dyDescent="0.25">
      <c r="H3527" s="106"/>
      <c r="I3527" s="106"/>
    </row>
    <row r="3528" spans="8:9" x14ac:dyDescent="0.25">
      <c r="H3528" s="106"/>
      <c r="I3528" s="106"/>
    </row>
    <row r="3529" spans="8:9" x14ac:dyDescent="0.25">
      <c r="H3529" s="106"/>
      <c r="I3529" s="106"/>
    </row>
    <row r="3530" spans="8:9" x14ac:dyDescent="0.25">
      <c r="H3530" s="106"/>
      <c r="I3530" s="106"/>
    </row>
    <row r="3531" spans="8:9" x14ac:dyDescent="0.25">
      <c r="H3531" s="106"/>
      <c r="I3531" s="106"/>
    </row>
    <row r="3532" spans="8:9" x14ac:dyDescent="0.25">
      <c r="H3532" s="106"/>
      <c r="I3532" s="106"/>
    </row>
    <row r="3533" spans="8:9" x14ac:dyDescent="0.25">
      <c r="H3533" s="106"/>
      <c r="I3533" s="106"/>
    </row>
    <row r="3534" spans="8:9" x14ac:dyDescent="0.25">
      <c r="H3534" s="106"/>
      <c r="I3534" s="106"/>
    </row>
    <row r="3535" spans="8:9" x14ac:dyDescent="0.25">
      <c r="H3535" s="106"/>
      <c r="I3535" s="106"/>
    </row>
    <row r="3536" spans="8:9" x14ac:dyDescent="0.25">
      <c r="H3536" s="106"/>
      <c r="I3536" s="106"/>
    </row>
    <row r="3537" spans="8:9" x14ac:dyDescent="0.25">
      <c r="H3537" s="106"/>
      <c r="I3537" s="106"/>
    </row>
    <row r="3538" spans="8:9" x14ac:dyDescent="0.25">
      <c r="H3538" s="106"/>
      <c r="I3538" s="106"/>
    </row>
    <row r="3539" spans="8:9" x14ac:dyDescent="0.25">
      <c r="H3539" s="106"/>
      <c r="I3539" s="106"/>
    </row>
    <row r="3540" spans="8:9" x14ac:dyDescent="0.25">
      <c r="H3540" s="106"/>
      <c r="I3540" s="106"/>
    </row>
    <row r="3541" spans="8:9" x14ac:dyDescent="0.25">
      <c r="H3541" s="106"/>
      <c r="I3541" s="106"/>
    </row>
    <row r="3542" spans="8:9" x14ac:dyDescent="0.25">
      <c r="H3542" s="106"/>
      <c r="I3542" s="106"/>
    </row>
    <row r="3543" spans="8:9" x14ac:dyDescent="0.25">
      <c r="H3543" s="106"/>
      <c r="I3543" s="106"/>
    </row>
    <row r="3544" spans="8:9" x14ac:dyDescent="0.25">
      <c r="H3544" s="106"/>
      <c r="I3544" s="106"/>
    </row>
    <row r="3545" spans="8:9" x14ac:dyDescent="0.25">
      <c r="H3545" s="106"/>
      <c r="I3545" s="106"/>
    </row>
    <row r="3546" spans="8:9" x14ac:dyDescent="0.25">
      <c r="H3546" s="106"/>
      <c r="I3546" s="106"/>
    </row>
    <row r="3547" spans="8:9" x14ac:dyDescent="0.25">
      <c r="H3547" s="106"/>
      <c r="I3547" s="106"/>
    </row>
    <row r="3548" spans="8:9" x14ac:dyDescent="0.25">
      <c r="H3548" s="106"/>
      <c r="I3548" s="106"/>
    </row>
    <row r="3549" spans="8:9" x14ac:dyDescent="0.25">
      <c r="H3549" s="106"/>
      <c r="I3549" s="106"/>
    </row>
    <row r="3550" spans="8:9" x14ac:dyDescent="0.25">
      <c r="H3550" s="106"/>
      <c r="I3550" s="106"/>
    </row>
    <row r="3551" spans="8:9" x14ac:dyDescent="0.25">
      <c r="H3551" s="106"/>
      <c r="I3551" s="106"/>
    </row>
    <row r="3552" spans="8:9" x14ac:dyDescent="0.25">
      <c r="H3552" s="106"/>
      <c r="I3552" s="106"/>
    </row>
    <row r="3553" spans="8:9" x14ac:dyDescent="0.25">
      <c r="H3553" s="106"/>
      <c r="I3553" s="106"/>
    </row>
    <row r="3554" spans="8:9" x14ac:dyDescent="0.25">
      <c r="H3554" s="106"/>
      <c r="I3554" s="106"/>
    </row>
    <row r="3555" spans="8:9" x14ac:dyDescent="0.25">
      <c r="H3555" s="106"/>
      <c r="I3555" s="106"/>
    </row>
    <row r="3556" spans="8:9" x14ac:dyDescent="0.25">
      <c r="H3556" s="106"/>
      <c r="I3556" s="106"/>
    </row>
    <row r="3557" spans="8:9" x14ac:dyDescent="0.25">
      <c r="H3557" s="106"/>
      <c r="I3557" s="106"/>
    </row>
    <row r="3558" spans="8:9" x14ac:dyDescent="0.25">
      <c r="H3558" s="106"/>
      <c r="I3558" s="106"/>
    </row>
    <row r="3559" spans="8:9" x14ac:dyDescent="0.25">
      <c r="H3559" s="106"/>
      <c r="I3559" s="106"/>
    </row>
    <row r="3560" spans="8:9" x14ac:dyDescent="0.25">
      <c r="H3560" s="106"/>
      <c r="I3560" s="106"/>
    </row>
    <row r="3561" spans="8:9" x14ac:dyDescent="0.25">
      <c r="H3561" s="106"/>
      <c r="I3561" s="106"/>
    </row>
    <row r="3562" spans="8:9" x14ac:dyDescent="0.25">
      <c r="H3562" s="106"/>
      <c r="I3562" s="106"/>
    </row>
    <row r="3563" spans="8:9" x14ac:dyDescent="0.25">
      <c r="H3563" s="106"/>
      <c r="I3563" s="106"/>
    </row>
    <row r="3564" spans="8:9" x14ac:dyDescent="0.25">
      <c r="H3564" s="106"/>
      <c r="I3564" s="106"/>
    </row>
    <row r="3565" spans="8:9" x14ac:dyDescent="0.25">
      <c r="H3565" s="106"/>
      <c r="I3565" s="106"/>
    </row>
    <row r="3566" spans="8:9" x14ac:dyDescent="0.25">
      <c r="H3566" s="106"/>
      <c r="I3566" s="106"/>
    </row>
    <row r="3567" spans="8:9" x14ac:dyDescent="0.25">
      <c r="H3567" s="106"/>
      <c r="I3567" s="106"/>
    </row>
    <row r="3568" spans="8:9" x14ac:dyDescent="0.25">
      <c r="H3568" s="106"/>
      <c r="I3568" s="106"/>
    </row>
    <row r="3569" spans="8:9" x14ac:dyDescent="0.25">
      <c r="H3569" s="106"/>
      <c r="I3569" s="106"/>
    </row>
    <row r="3570" spans="8:9" x14ac:dyDescent="0.25">
      <c r="H3570" s="106"/>
      <c r="I3570" s="106"/>
    </row>
    <row r="3571" spans="8:9" x14ac:dyDescent="0.25">
      <c r="H3571" s="106"/>
      <c r="I3571" s="106"/>
    </row>
    <row r="3572" spans="8:9" x14ac:dyDescent="0.25">
      <c r="H3572" s="106"/>
      <c r="I3572" s="106"/>
    </row>
    <row r="3573" spans="8:9" x14ac:dyDescent="0.25">
      <c r="H3573" s="106"/>
      <c r="I3573" s="106"/>
    </row>
    <row r="3574" spans="8:9" x14ac:dyDescent="0.25">
      <c r="H3574" s="106"/>
      <c r="I3574" s="106"/>
    </row>
    <row r="3575" spans="8:9" x14ac:dyDescent="0.25">
      <c r="H3575" s="106"/>
      <c r="I3575" s="106"/>
    </row>
    <row r="3576" spans="8:9" x14ac:dyDescent="0.25">
      <c r="H3576" s="106"/>
      <c r="I3576" s="106"/>
    </row>
    <row r="3577" spans="8:9" x14ac:dyDescent="0.25">
      <c r="H3577" s="106"/>
      <c r="I3577" s="106"/>
    </row>
    <row r="3578" spans="8:9" x14ac:dyDescent="0.25">
      <c r="H3578" s="106"/>
      <c r="I3578" s="106"/>
    </row>
    <row r="3579" spans="8:9" x14ac:dyDescent="0.25">
      <c r="H3579" s="106"/>
      <c r="I3579" s="106"/>
    </row>
    <row r="3580" spans="8:9" x14ac:dyDescent="0.25">
      <c r="H3580" s="106"/>
      <c r="I3580" s="106"/>
    </row>
    <row r="3581" spans="8:9" x14ac:dyDescent="0.25">
      <c r="H3581" s="106"/>
      <c r="I3581" s="106"/>
    </row>
    <row r="3582" spans="8:9" x14ac:dyDescent="0.25">
      <c r="H3582" s="106"/>
      <c r="I3582" s="106"/>
    </row>
    <row r="3583" spans="8:9" x14ac:dyDescent="0.25">
      <c r="H3583" s="106"/>
      <c r="I3583" s="106"/>
    </row>
    <row r="3584" spans="8:9" x14ac:dyDescent="0.25">
      <c r="H3584" s="106"/>
      <c r="I3584" s="106"/>
    </row>
    <row r="3585" spans="8:9" x14ac:dyDescent="0.25">
      <c r="H3585" s="106"/>
      <c r="I3585" s="106"/>
    </row>
    <row r="3586" spans="8:9" x14ac:dyDescent="0.25">
      <c r="H3586" s="106"/>
      <c r="I3586" s="106"/>
    </row>
    <row r="3587" spans="8:9" x14ac:dyDescent="0.25">
      <c r="H3587" s="106"/>
      <c r="I3587" s="106"/>
    </row>
    <row r="3588" spans="8:9" x14ac:dyDescent="0.25">
      <c r="H3588" s="106"/>
      <c r="I3588" s="106"/>
    </row>
    <row r="3589" spans="8:9" x14ac:dyDescent="0.25">
      <c r="H3589" s="106"/>
      <c r="I3589" s="106"/>
    </row>
    <row r="3590" spans="8:9" x14ac:dyDescent="0.25">
      <c r="H3590" s="106"/>
      <c r="I3590" s="106"/>
    </row>
    <row r="3591" spans="8:9" x14ac:dyDescent="0.25">
      <c r="H3591" s="106"/>
      <c r="I3591" s="106"/>
    </row>
    <row r="3592" spans="8:9" x14ac:dyDescent="0.25">
      <c r="H3592" s="106"/>
      <c r="I3592" s="106"/>
    </row>
    <row r="3593" spans="8:9" x14ac:dyDescent="0.25">
      <c r="H3593" s="106"/>
      <c r="I3593" s="106"/>
    </row>
    <row r="3594" spans="8:9" x14ac:dyDescent="0.25">
      <c r="H3594" s="106"/>
      <c r="I3594" s="106"/>
    </row>
    <row r="3595" spans="8:9" x14ac:dyDescent="0.25">
      <c r="H3595" s="106"/>
      <c r="I3595" s="106"/>
    </row>
    <row r="3596" spans="8:9" x14ac:dyDescent="0.25">
      <c r="H3596" s="106"/>
      <c r="I3596" s="106"/>
    </row>
    <row r="3597" spans="8:9" x14ac:dyDescent="0.25">
      <c r="H3597" s="106"/>
      <c r="I3597" s="106"/>
    </row>
    <row r="3598" spans="8:9" x14ac:dyDescent="0.25">
      <c r="H3598" s="106"/>
      <c r="I3598" s="106"/>
    </row>
    <row r="3599" spans="8:9" x14ac:dyDescent="0.25">
      <c r="H3599" s="106"/>
      <c r="I3599" s="106"/>
    </row>
    <row r="3600" spans="8:9" x14ac:dyDescent="0.25">
      <c r="H3600" s="106"/>
      <c r="I3600" s="106"/>
    </row>
    <row r="3601" spans="8:9" x14ac:dyDescent="0.25">
      <c r="H3601" s="106"/>
      <c r="I3601" s="106"/>
    </row>
    <row r="3602" spans="8:9" x14ac:dyDescent="0.25">
      <c r="H3602" s="106"/>
      <c r="I3602" s="106"/>
    </row>
    <row r="3603" spans="8:9" x14ac:dyDescent="0.25">
      <c r="H3603" s="106"/>
      <c r="I3603" s="106"/>
    </row>
    <row r="3604" spans="8:9" x14ac:dyDescent="0.25">
      <c r="H3604" s="106"/>
      <c r="I3604" s="106"/>
    </row>
    <row r="3605" spans="8:9" x14ac:dyDescent="0.25">
      <c r="H3605" s="106"/>
      <c r="I3605" s="106"/>
    </row>
    <row r="3606" spans="8:9" x14ac:dyDescent="0.25">
      <c r="H3606" s="106"/>
      <c r="I3606" s="106"/>
    </row>
    <row r="3607" spans="8:9" x14ac:dyDescent="0.25">
      <c r="H3607" s="106"/>
      <c r="I3607" s="106"/>
    </row>
    <row r="3608" spans="8:9" x14ac:dyDescent="0.25">
      <c r="H3608" s="106"/>
      <c r="I3608" s="106"/>
    </row>
    <row r="3609" spans="8:9" x14ac:dyDescent="0.25">
      <c r="H3609" s="106"/>
      <c r="I3609" s="106"/>
    </row>
    <row r="3610" spans="8:9" x14ac:dyDescent="0.25">
      <c r="H3610" s="106"/>
      <c r="I3610" s="106"/>
    </row>
    <row r="3611" spans="8:9" x14ac:dyDescent="0.25">
      <c r="H3611" s="106"/>
      <c r="I3611" s="106"/>
    </row>
    <row r="3612" spans="8:9" x14ac:dyDescent="0.25">
      <c r="H3612" s="106"/>
      <c r="I3612" s="106"/>
    </row>
    <row r="3613" spans="8:9" x14ac:dyDescent="0.25">
      <c r="H3613" s="106"/>
      <c r="I3613" s="106"/>
    </row>
    <row r="3614" spans="8:9" x14ac:dyDescent="0.25">
      <c r="H3614" s="106"/>
      <c r="I3614" s="106"/>
    </row>
    <row r="3615" spans="8:9" x14ac:dyDescent="0.25">
      <c r="H3615" s="106"/>
      <c r="I3615" s="106"/>
    </row>
    <row r="3616" spans="8:9" x14ac:dyDescent="0.25">
      <c r="H3616" s="106"/>
      <c r="I3616" s="106"/>
    </row>
    <row r="3617" spans="8:9" x14ac:dyDescent="0.25">
      <c r="H3617" s="106"/>
      <c r="I3617" s="106"/>
    </row>
    <row r="3618" spans="8:9" x14ac:dyDescent="0.25">
      <c r="H3618" s="106"/>
      <c r="I3618" s="106"/>
    </row>
    <row r="3619" spans="8:9" x14ac:dyDescent="0.25">
      <c r="H3619" s="106"/>
      <c r="I3619" s="106"/>
    </row>
    <row r="3620" spans="8:9" x14ac:dyDescent="0.25">
      <c r="H3620" s="106"/>
      <c r="I3620" s="106"/>
    </row>
    <row r="3621" spans="8:9" x14ac:dyDescent="0.25">
      <c r="H3621" s="106"/>
      <c r="I3621" s="106"/>
    </row>
    <row r="3622" spans="8:9" x14ac:dyDescent="0.25">
      <c r="H3622" s="106"/>
      <c r="I3622" s="106"/>
    </row>
    <row r="3623" spans="8:9" x14ac:dyDescent="0.25">
      <c r="H3623" s="106"/>
      <c r="I3623" s="106"/>
    </row>
    <row r="3624" spans="8:9" x14ac:dyDescent="0.25">
      <c r="H3624" s="106"/>
      <c r="I3624" s="106"/>
    </row>
    <row r="3625" spans="8:9" x14ac:dyDescent="0.25">
      <c r="H3625" s="106"/>
      <c r="I3625" s="106"/>
    </row>
    <row r="3626" spans="8:9" x14ac:dyDescent="0.25">
      <c r="H3626" s="106"/>
      <c r="I3626" s="106"/>
    </row>
    <row r="3627" spans="8:9" x14ac:dyDescent="0.25">
      <c r="H3627" s="106"/>
      <c r="I3627" s="106"/>
    </row>
    <row r="3628" spans="8:9" x14ac:dyDescent="0.25">
      <c r="H3628" s="106"/>
      <c r="I3628" s="106"/>
    </row>
    <row r="3629" spans="8:9" x14ac:dyDescent="0.25">
      <c r="H3629" s="106"/>
      <c r="I3629" s="106"/>
    </row>
    <row r="3630" spans="8:9" x14ac:dyDescent="0.25">
      <c r="H3630" s="106"/>
      <c r="I3630" s="106"/>
    </row>
    <row r="3631" spans="8:9" x14ac:dyDescent="0.25">
      <c r="H3631" s="106"/>
      <c r="I3631" s="106"/>
    </row>
    <row r="3632" spans="8:9" x14ac:dyDescent="0.25">
      <c r="H3632" s="106"/>
      <c r="I3632" s="106"/>
    </row>
    <row r="3633" spans="8:9" x14ac:dyDescent="0.25">
      <c r="H3633" s="106"/>
      <c r="I3633" s="106"/>
    </row>
    <row r="3634" spans="8:9" x14ac:dyDescent="0.25">
      <c r="H3634" s="106"/>
      <c r="I3634" s="106"/>
    </row>
    <row r="3635" spans="8:9" x14ac:dyDescent="0.25">
      <c r="H3635" s="106"/>
      <c r="I3635" s="106"/>
    </row>
    <row r="3636" spans="8:9" x14ac:dyDescent="0.25">
      <c r="H3636" s="106"/>
      <c r="I3636" s="106"/>
    </row>
    <row r="3637" spans="8:9" x14ac:dyDescent="0.25">
      <c r="H3637" s="106"/>
      <c r="I3637" s="106"/>
    </row>
    <row r="3638" spans="8:9" x14ac:dyDescent="0.25">
      <c r="H3638" s="106"/>
      <c r="I3638" s="106"/>
    </row>
    <row r="3639" spans="8:9" x14ac:dyDescent="0.25">
      <c r="H3639" s="106"/>
      <c r="I3639" s="106"/>
    </row>
    <row r="3640" spans="8:9" x14ac:dyDescent="0.25">
      <c r="H3640" s="106"/>
      <c r="I3640" s="106"/>
    </row>
    <row r="3641" spans="8:9" x14ac:dyDescent="0.25">
      <c r="H3641" s="106"/>
      <c r="I3641" s="106"/>
    </row>
    <row r="3642" spans="8:9" x14ac:dyDescent="0.25">
      <c r="H3642" s="106"/>
      <c r="I3642" s="106"/>
    </row>
    <row r="3643" spans="8:9" x14ac:dyDescent="0.25">
      <c r="H3643" s="106"/>
      <c r="I3643" s="106"/>
    </row>
    <row r="3644" spans="8:9" x14ac:dyDescent="0.25">
      <c r="H3644" s="106"/>
      <c r="I3644" s="106"/>
    </row>
    <row r="3645" spans="8:9" x14ac:dyDescent="0.25">
      <c r="H3645" s="106"/>
      <c r="I3645" s="106"/>
    </row>
    <row r="3646" spans="8:9" x14ac:dyDescent="0.25">
      <c r="H3646" s="106"/>
      <c r="I3646" s="106"/>
    </row>
    <row r="3647" spans="8:9" x14ac:dyDescent="0.25">
      <c r="H3647" s="106"/>
      <c r="I3647" s="106"/>
    </row>
    <row r="3648" spans="8:9" x14ac:dyDescent="0.25">
      <c r="H3648" s="106"/>
      <c r="I3648" s="106"/>
    </row>
    <row r="3649" spans="8:9" x14ac:dyDescent="0.25">
      <c r="H3649" s="106"/>
      <c r="I3649" s="106"/>
    </row>
    <row r="3650" spans="8:9" x14ac:dyDescent="0.25">
      <c r="H3650" s="106"/>
      <c r="I3650" s="106"/>
    </row>
    <row r="3651" spans="8:9" x14ac:dyDescent="0.25">
      <c r="H3651" s="106"/>
      <c r="I3651" s="106"/>
    </row>
    <row r="3652" spans="8:9" x14ac:dyDescent="0.25">
      <c r="H3652" s="106"/>
      <c r="I3652" s="106"/>
    </row>
    <row r="3653" spans="8:9" x14ac:dyDescent="0.25">
      <c r="H3653" s="106"/>
      <c r="I3653" s="106"/>
    </row>
    <row r="3654" spans="8:9" x14ac:dyDescent="0.25">
      <c r="H3654" s="106"/>
      <c r="I3654" s="106"/>
    </row>
    <row r="3655" spans="8:9" x14ac:dyDescent="0.25">
      <c r="H3655" s="106"/>
      <c r="I3655" s="106"/>
    </row>
    <row r="3656" spans="8:9" x14ac:dyDescent="0.25">
      <c r="H3656" s="106"/>
      <c r="I3656" s="106"/>
    </row>
    <row r="3657" spans="8:9" x14ac:dyDescent="0.25">
      <c r="H3657" s="106"/>
      <c r="I3657" s="106"/>
    </row>
    <row r="3658" spans="8:9" x14ac:dyDescent="0.25">
      <c r="H3658" s="106"/>
      <c r="I3658" s="106"/>
    </row>
    <row r="3659" spans="8:9" x14ac:dyDescent="0.25">
      <c r="H3659" s="106"/>
      <c r="I3659" s="106"/>
    </row>
    <row r="3660" spans="8:9" x14ac:dyDescent="0.25">
      <c r="H3660" s="106"/>
      <c r="I3660" s="106"/>
    </row>
    <row r="3661" spans="8:9" x14ac:dyDescent="0.25">
      <c r="H3661" s="106"/>
      <c r="I3661" s="106"/>
    </row>
    <row r="3662" spans="8:9" x14ac:dyDescent="0.25">
      <c r="H3662" s="106"/>
      <c r="I3662" s="106"/>
    </row>
    <row r="3663" spans="8:9" x14ac:dyDescent="0.25">
      <c r="H3663" s="106"/>
      <c r="I3663" s="106"/>
    </row>
    <row r="3664" spans="8:9" x14ac:dyDescent="0.25">
      <c r="H3664" s="106"/>
      <c r="I3664" s="106"/>
    </row>
    <row r="3665" spans="8:9" x14ac:dyDescent="0.25">
      <c r="H3665" s="106"/>
      <c r="I3665" s="106"/>
    </row>
    <row r="3666" spans="8:9" x14ac:dyDescent="0.25">
      <c r="H3666" s="106"/>
      <c r="I3666" s="106"/>
    </row>
    <row r="3667" spans="8:9" x14ac:dyDescent="0.25">
      <c r="H3667" s="106"/>
      <c r="I3667" s="106"/>
    </row>
    <row r="3668" spans="8:9" x14ac:dyDescent="0.25">
      <c r="H3668" s="106"/>
      <c r="I3668" s="106"/>
    </row>
    <row r="3669" spans="8:9" x14ac:dyDescent="0.25">
      <c r="H3669" s="106"/>
      <c r="I3669" s="106"/>
    </row>
    <row r="3670" spans="8:9" x14ac:dyDescent="0.25">
      <c r="H3670" s="106"/>
      <c r="I3670" s="106"/>
    </row>
    <row r="3671" spans="8:9" x14ac:dyDescent="0.25">
      <c r="H3671" s="106"/>
      <c r="I3671" s="106"/>
    </row>
    <row r="3672" spans="8:9" x14ac:dyDescent="0.25">
      <c r="H3672" s="106"/>
      <c r="I3672" s="106"/>
    </row>
    <row r="3673" spans="8:9" x14ac:dyDescent="0.25">
      <c r="H3673" s="106"/>
      <c r="I3673" s="106"/>
    </row>
    <row r="3674" spans="8:9" x14ac:dyDescent="0.25">
      <c r="H3674" s="106"/>
      <c r="I3674" s="106"/>
    </row>
    <row r="3675" spans="8:9" x14ac:dyDescent="0.25">
      <c r="H3675" s="106"/>
      <c r="I3675" s="106"/>
    </row>
    <row r="3676" spans="8:9" x14ac:dyDescent="0.25">
      <c r="H3676" s="106"/>
      <c r="I3676" s="106"/>
    </row>
    <row r="3677" spans="8:9" x14ac:dyDescent="0.25">
      <c r="H3677" s="106"/>
      <c r="I3677" s="106"/>
    </row>
    <row r="3678" spans="8:9" x14ac:dyDescent="0.25">
      <c r="H3678" s="106"/>
      <c r="I3678" s="106"/>
    </row>
    <row r="3679" spans="8:9" x14ac:dyDescent="0.25">
      <c r="H3679" s="106"/>
      <c r="I3679" s="106"/>
    </row>
    <row r="3680" spans="8:9" x14ac:dyDescent="0.25">
      <c r="H3680" s="106"/>
      <c r="I3680" s="106"/>
    </row>
    <row r="3681" spans="8:9" x14ac:dyDescent="0.25">
      <c r="H3681" s="106"/>
      <c r="I3681" s="106"/>
    </row>
    <row r="3682" spans="8:9" x14ac:dyDescent="0.25">
      <c r="H3682" s="106"/>
      <c r="I3682" s="106"/>
    </row>
    <row r="3683" spans="8:9" x14ac:dyDescent="0.25">
      <c r="H3683" s="106"/>
      <c r="I3683" s="106"/>
    </row>
    <row r="3684" spans="8:9" x14ac:dyDescent="0.25">
      <c r="H3684" s="106"/>
      <c r="I3684" s="106"/>
    </row>
    <row r="3685" spans="8:9" x14ac:dyDescent="0.25">
      <c r="H3685" s="106"/>
      <c r="I3685" s="106"/>
    </row>
    <row r="3686" spans="8:9" x14ac:dyDescent="0.25">
      <c r="H3686" s="106"/>
      <c r="I3686" s="106"/>
    </row>
    <row r="3687" spans="8:9" x14ac:dyDescent="0.25">
      <c r="H3687" s="106"/>
      <c r="I3687" s="106"/>
    </row>
    <row r="3688" spans="8:9" x14ac:dyDescent="0.25">
      <c r="H3688" s="106"/>
      <c r="I3688" s="106"/>
    </row>
    <row r="3689" spans="8:9" x14ac:dyDescent="0.25">
      <c r="H3689" s="106"/>
      <c r="I3689" s="106"/>
    </row>
    <row r="3690" spans="8:9" x14ac:dyDescent="0.25">
      <c r="H3690" s="106"/>
      <c r="I3690" s="106"/>
    </row>
    <row r="3691" spans="8:9" x14ac:dyDescent="0.25">
      <c r="H3691" s="106"/>
      <c r="I3691" s="106"/>
    </row>
    <row r="3692" spans="8:9" x14ac:dyDescent="0.25">
      <c r="H3692" s="106"/>
      <c r="I3692" s="106"/>
    </row>
    <row r="3693" spans="8:9" x14ac:dyDescent="0.25">
      <c r="H3693" s="106"/>
      <c r="I3693" s="106"/>
    </row>
    <row r="3694" spans="8:9" x14ac:dyDescent="0.25">
      <c r="H3694" s="106"/>
      <c r="I3694" s="106"/>
    </row>
    <row r="3695" spans="8:9" x14ac:dyDescent="0.25">
      <c r="H3695" s="106"/>
      <c r="I3695" s="106"/>
    </row>
    <row r="3696" spans="8:9" x14ac:dyDescent="0.25">
      <c r="H3696" s="106"/>
      <c r="I3696" s="106"/>
    </row>
    <row r="3697" spans="8:9" x14ac:dyDescent="0.25">
      <c r="H3697" s="106"/>
      <c r="I3697" s="106"/>
    </row>
    <row r="3698" spans="8:9" x14ac:dyDescent="0.25">
      <c r="H3698" s="106"/>
      <c r="I3698" s="106"/>
    </row>
    <row r="3699" spans="8:9" x14ac:dyDescent="0.25">
      <c r="H3699" s="106"/>
      <c r="I3699" s="106"/>
    </row>
    <row r="3700" spans="8:9" x14ac:dyDescent="0.25">
      <c r="H3700" s="106"/>
      <c r="I3700" s="106"/>
    </row>
    <row r="3701" spans="8:9" x14ac:dyDescent="0.25">
      <c r="H3701" s="106"/>
      <c r="I3701" s="106"/>
    </row>
    <row r="3702" spans="8:9" x14ac:dyDescent="0.25">
      <c r="H3702" s="106"/>
      <c r="I3702" s="106"/>
    </row>
    <row r="3703" spans="8:9" x14ac:dyDescent="0.25">
      <c r="H3703" s="106"/>
      <c r="I3703" s="106"/>
    </row>
    <row r="3704" spans="8:9" x14ac:dyDescent="0.25">
      <c r="H3704" s="106"/>
      <c r="I3704" s="106"/>
    </row>
    <row r="3705" spans="8:9" x14ac:dyDescent="0.25">
      <c r="H3705" s="106"/>
      <c r="I3705" s="106"/>
    </row>
    <row r="3706" spans="8:9" x14ac:dyDescent="0.25">
      <c r="H3706" s="106"/>
      <c r="I3706" s="106"/>
    </row>
    <row r="3707" spans="8:9" x14ac:dyDescent="0.25">
      <c r="H3707" s="106"/>
      <c r="I3707" s="106"/>
    </row>
    <row r="3708" spans="8:9" x14ac:dyDescent="0.25">
      <c r="H3708" s="106"/>
      <c r="I3708" s="106"/>
    </row>
    <row r="3709" spans="8:9" x14ac:dyDescent="0.25">
      <c r="H3709" s="106"/>
      <c r="I3709" s="106"/>
    </row>
    <row r="3710" spans="8:9" x14ac:dyDescent="0.25">
      <c r="H3710" s="106"/>
      <c r="I3710" s="106"/>
    </row>
    <row r="3711" spans="8:9" x14ac:dyDescent="0.25">
      <c r="H3711" s="106"/>
      <c r="I3711" s="106"/>
    </row>
    <row r="3712" spans="8:9" x14ac:dyDescent="0.25">
      <c r="H3712" s="106"/>
      <c r="I3712" s="106"/>
    </row>
    <row r="3713" spans="8:9" x14ac:dyDescent="0.25">
      <c r="H3713" s="106"/>
      <c r="I3713" s="106"/>
    </row>
    <row r="3714" spans="8:9" x14ac:dyDescent="0.25">
      <c r="H3714" s="106"/>
      <c r="I3714" s="106"/>
    </row>
    <row r="3715" spans="8:9" x14ac:dyDescent="0.25">
      <c r="H3715" s="106"/>
      <c r="I3715" s="106"/>
    </row>
    <row r="3716" spans="8:9" x14ac:dyDescent="0.25">
      <c r="H3716" s="106"/>
      <c r="I3716" s="106"/>
    </row>
    <row r="3717" spans="8:9" x14ac:dyDescent="0.25">
      <c r="H3717" s="106"/>
      <c r="I3717" s="106"/>
    </row>
    <row r="3718" spans="8:9" x14ac:dyDescent="0.25">
      <c r="H3718" s="106"/>
      <c r="I3718" s="106"/>
    </row>
    <row r="3719" spans="8:9" x14ac:dyDescent="0.25">
      <c r="H3719" s="106"/>
      <c r="I3719" s="106"/>
    </row>
    <row r="3720" spans="8:9" x14ac:dyDescent="0.25">
      <c r="H3720" s="106"/>
      <c r="I3720" s="106"/>
    </row>
    <row r="3721" spans="8:9" x14ac:dyDescent="0.25">
      <c r="H3721" s="106"/>
      <c r="I3721" s="106"/>
    </row>
    <row r="3722" spans="8:9" x14ac:dyDescent="0.25">
      <c r="H3722" s="106"/>
      <c r="I3722" s="106"/>
    </row>
    <row r="3723" spans="8:9" x14ac:dyDescent="0.25">
      <c r="H3723" s="106"/>
      <c r="I3723" s="106"/>
    </row>
    <row r="3724" spans="8:9" x14ac:dyDescent="0.25">
      <c r="H3724" s="106"/>
      <c r="I3724" s="106"/>
    </row>
    <row r="3725" spans="8:9" x14ac:dyDescent="0.25">
      <c r="H3725" s="106"/>
      <c r="I3725" s="106"/>
    </row>
    <row r="3726" spans="8:9" x14ac:dyDescent="0.25">
      <c r="H3726" s="106"/>
      <c r="I3726" s="106"/>
    </row>
    <row r="3727" spans="8:9" x14ac:dyDescent="0.25">
      <c r="H3727" s="106"/>
      <c r="I3727" s="106"/>
    </row>
    <row r="3728" spans="8:9" x14ac:dyDescent="0.25">
      <c r="H3728" s="106"/>
      <c r="I3728" s="106"/>
    </row>
    <row r="3729" spans="8:9" x14ac:dyDescent="0.25">
      <c r="H3729" s="106"/>
      <c r="I3729" s="106"/>
    </row>
    <row r="3730" spans="8:9" x14ac:dyDescent="0.25">
      <c r="H3730" s="106"/>
      <c r="I3730" s="106"/>
    </row>
    <row r="3731" spans="8:9" x14ac:dyDescent="0.25">
      <c r="H3731" s="106"/>
      <c r="I3731" s="106"/>
    </row>
    <row r="3732" spans="8:9" x14ac:dyDescent="0.25">
      <c r="H3732" s="106"/>
      <c r="I3732" s="106"/>
    </row>
    <row r="3733" spans="8:9" x14ac:dyDescent="0.25">
      <c r="H3733" s="106"/>
      <c r="I3733" s="106"/>
    </row>
    <row r="3734" spans="8:9" x14ac:dyDescent="0.25">
      <c r="H3734" s="106"/>
      <c r="I3734" s="106"/>
    </row>
    <row r="3735" spans="8:9" x14ac:dyDescent="0.25">
      <c r="H3735" s="106"/>
      <c r="I3735" s="106"/>
    </row>
    <row r="3736" spans="8:9" x14ac:dyDescent="0.25">
      <c r="H3736" s="106"/>
      <c r="I3736" s="106"/>
    </row>
    <row r="3737" spans="8:9" x14ac:dyDescent="0.25">
      <c r="H3737" s="106"/>
      <c r="I3737" s="106"/>
    </row>
    <row r="3738" spans="8:9" x14ac:dyDescent="0.25">
      <c r="H3738" s="106"/>
      <c r="I3738" s="106"/>
    </row>
    <row r="3739" spans="8:9" x14ac:dyDescent="0.25">
      <c r="H3739" s="106"/>
      <c r="I3739" s="106"/>
    </row>
    <row r="3740" spans="8:9" x14ac:dyDescent="0.25">
      <c r="H3740" s="106"/>
      <c r="I3740" s="106"/>
    </row>
    <row r="3741" spans="8:9" x14ac:dyDescent="0.25">
      <c r="H3741" s="106"/>
      <c r="I3741" s="106"/>
    </row>
    <row r="3742" spans="8:9" x14ac:dyDescent="0.25">
      <c r="H3742" s="106"/>
      <c r="I3742" s="106"/>
    </row>
    <row r="3743" spans="8:9" x14ac:dyDescent="0.25">
      <c r="H3743" s="106"/>
      <c r="I3743" s="106"/>
    </row>
    <row r="3744" spans="8:9" x14ac:dyDescent="0.25">
      <c r="H3744" s="106"/>
      <c r="I3744" s="106"/>
    </row>
    <row r="3745" spans="8:9" x14ac:dyDescent="0.25">
      <c r="H3745" s="106"/>
      <c r="I3745" s="106"/>
    </row>
    <row r="3746" spans="8:9" x14ac:dyDescent="0.25">
      <c r="H3746" s="106"/>
      <c r="I3746" s="106"/>
    </row>
    <row r="3747" spans="8:9" x14ac:dyDescent="0.25">
      <c r="H3747" s="106"/>
      <c r="I3747" s="106"/>
    </row>
    <row r="3748" spans="8:9" x14ac:dyDescent="0.25">
      <c r="H3748" s="106"/>
      <c r="I3748" s="106"/>
    </row>
    <row r="3749" spans="8:9" x14ac:dyDescent="0.25">
      <c r="H3749" s="106"/>
      <c r="I3749" s="106"/>
    </row>
    <row r="3750" spans="8:9" x14ac:dyDescent="0.25">
      <c r="H3750" s="106"/>
      <c r="I3750" s="106"/>
    </row>
    <row r="3751" spans="8:9" x14ac:dyDescent="0.25">
      <c r="H3751" s="106"/>
      <c r="I3751" s="106"/>
    </row>
    <row r="3752" spans="8:9" x14ac:dyDescent="0.25">
      <c r="H3752" s="106"/>
      <c r="I3752" s="106"/>
    </row>
    <row r="3753" spans="8:9" x14ac:dyDescent="0.25">
      <c r="H3753" s="106"/>
      <c r="I3753" s="106"/>
    </row>
    <row r="3754" spans="8:9" x14ac:dyDescent="0.25">
      <c r="H3754" s="106"/>
      <c r="I3754" s="106"/>
    </row>
    <row r="3755" spans="8:9" x14ac:dyDescent="0.25">
      <c r="H3755" s="106"/>
      <c r="I3755" s="106"/>
    </row>
    <row r="3756" spans="8:9" x14ac:dyDescent="0.25">
      <c r="H3756" s="106"/>
      <c r="I3756" s="106"/>
    </row>
    <row r="3757" spans="8:9" x14ac:dyDescent="0.25">
      <c r="H3757" s="106"/>
      <c r="I3757" s="106"/>
    </row>
    <row r="3758" spans="8:9" x14ac:dyDescent="0.25">
      <c r="H3758" s="106"/>
      <c r="I3758" s="106"/>
    </row>
    <row r="3759" spans="8:9" x14ac:dyDescent="0.25">
      <c r="H3759" s="106"/>
      <c r="I3759" s="106"/>
    </row>
    <row r="3760" spans="8:9" x14ac:dyDescent="0.25">
      <c r="H3760" s="106"/>
      <c r="I3760" s="106"/>
    </row>
    <row r="3761" spans="8:9" x14ac:dyDescent="0.25">
      <c r="H3761" s="106"/>
      <c r="I3761" s="106"/>
    </row>
    <row r="3762" spans="8:9" x14ac:dyDescent="0.25">
      <c r="H3762" s="106"/>
      <c r="I3762" s="106"/>
    </row>
    <row r="3763" spans="8:9" x14ac:dyDescent="0.25">
      <c r="H3763" s="106"/>
      <c r="I3763" s="106"/>
    </row>
    <row r="3764" spans="8:9" x14ac:dyDescent="0.25">
      <c r="H3764" s="106"/>
      <c r="I3764" s="106"/>
    </row>
    <row r="3765" spans="8:9" x14ac:dyDescent="0.25">
      <c r="H3765" s="106"/>
      <c r="I3765" s="106"/>
    </row>
    <row r="3766" spans="8:9" x14ac:dyDescent="0.25">
      <c r="H3766" s="106"/>
      <c r="I3766" s="106"/>
    </row>
    <row r="3767" spans="8:9" x14ac:dyDescent="0.25">
      <c r="H3767" s="106"/>
      <c r="I3767" s="106"/>
    </row>
    <row r="3768" spans="8:9" x14ac:dyDescent="0.25">
      <c r="H3768" s="106"/>
      <c r="I3768" s="106"/>
    </row>
    <row r="3769" spans="8:9" x14ac:dyDescent="0.25">
      <c r="H3769" s="106"/>
      <c r="I3769" s="106"/>
    </row>
    <row r="3770" spans="8:9" x14ac:dyDescent="0.25">
      <c r="H3770" s="106"/>
      <c r="I3770" s="106"/>
    </row>
    <row r="3771" spans="8:9" x14ac:dyDescent="0.25">
      <c r="H3771" s="106"/>
      <c r="I3771" s="106"/>
    </row>
    <row r="3772" spans="8:9" x14ac:dyDescent="0.25">
      <c r="H3772" s="106"/>
      <c r="I3772" s="106"/>
    </row>
    <row r="3773" spans="8:9" x14ac:dyDescent="0.25">
      <c r="H3773" s="106"/>
      <c r="I3773" s="106"/>
    </row>
    <row r="3774" spans="8:9" x14ac:dyDescent="0.25">
      <c r="H3774" s="106"/>
      <c r="I3774" s="106"/>
    </row>
    <row r="3775" spans="8:9" x14ac:dyDescent="0.25">
      <c r="H3775" s="106"/>
      <c r="I3775" s="106"/>
    </row>
    <row r="3776" spans="8:9" x14ac:dyDescent="0.25">
      <c r="H3776" s="106"/>
      <c r="I3776" s="106"/>
    </row>
    <row r="3777" spans="8:9" x14ac:dyDescent="0.25">
      <c r="H3777" s="106"/>
      <c r="I3777" s="106"/>
    </row>
    <row r="3778" spans="8:9" x14ac:dyDescent="0.25">
      <c r="H3778" s="106"/>
      <c r="I3778" s="106"/>
    </row>
    <row r="3779" spans="8:9" x14ac:dyDescent="0.25">
      <c r="H3779" s="106"/>
      <c r="I3779" s="106"/>
    </row>
    <row r="3780" spans="8:9" x14ac:dyDescent="0.25">
      <c r="H3780" s="106"/>
      <c r="I3780" s="106"/>
    </row>
    <row r="3781" spans="8:9" x14ac:dyDescent="0.25">
      <c r="H3781" s="106"/>
      <c r="I3781" s="106"/>
    </row>
    <row r="3782" spans="8:9" x14ac:dyDescent="0.25">
      <c r="H3782" s="106"/>
      <c r="I3782" s="106"/>
    </row>
    <row r="3783" spans="8:9" x14ac:dyDescent="0.25">
      <c r="H3783" s="106"/>
      <c r="I3783" s="106"/>
    </row>
    <row r="3784" spans="8:9" x14ac:dyDescent="0.25">
      <c r="H3784" s="106"/>
      <c r="I3784" s="106"/>
    </row>
    <row r="3785" spans="8:9" x14ac:dyDescent="0.25">
      <c r="H3785" s="106"/>
      <c r="I3785" s="106"/>
    </row>
    <row r="3786" spans="8:9" x14ac:dyDescent="0.25">
      <c r="H3786" s="106"/>
      <c r="I3786" s="106"/>
    </row>
    <row r="3787" spans="8:9" x14ac:dyDescent="0.25">
      <c r="H3787" s="106"/>
      <c r="I3787" s="106"/>
    </row>
    <row r="3788" spans="8:9" x14ac:dyDescent="0.25">
      <c r="H3788" s="106"/>
      <c r="I3788" s="106"/>
    </row>
    <row r="3789" spans="8:9" x14ac:dyDescent="0.25">
      <c r="H3789" s="106"/>
      <c r="I3789" s="106"/>
    </row>
    <row r="3790" spans="8:9" x14ac:dyDescent="0.25">
      <c r="H3790" s="106"/>
      <c r="I3790" s="106"/>
    </row>
    <row r="3791" spans="8:9" x14ac:dyDescent="0.25">
      <c r="H3791" s="106"/>
      <c r="I3791" s="106"/>
    </row>
    <row r="3792" spans="8:9" x14ac:dyDescent="0.25">
      <c r="H3792" s="106"/>
      <c r="I3792" s="106"/>
    </row>
    <row r="3793" spans="8:9" x14ac:dyDescent="0.25">
      <c r="H3793" s="106"/>
      <c r="I3793" s="106"/>
    </row>
    <row r="3794" spans="8:9" x14ac:dyDescent="0.25">
      <c r="H3794" s="106"/>
      <c r="I3794" s="106"/>
    </row>
    <row r="3795" spans="8:9" x14ac:dyDescent="0.25">
      <c r="H3795" s="106"/>
      <c r="I3795" s="106"/>
    </row>
    <row r="3796" spans="8:9" x14ac:dyDescent="0.25">
      <c r="H3796" s="106"/>
      <c r="I3796" s="106"/>
    </row>
    <row r="3797" spans="8:9" x14ac:dyDescent="0.25">
      <c r="H3797" s="106"/>
      <c r="I3797" s="106"/>
    </row>
    <row r="3798" spans="8:9" x14ac:dyDescent="0.25">
      <c r="H3798" s="106"/>
      <c r="I3798" s="106"/>
    </row>
    <row r="3799" spans="8:9" x14ac:dyDescent="0.25">
      <c r="H3799" s="106"/>
      <c r="I3799" s="106"/>
    </row>
    <row r="3800" spans="8:9" x14ac:dyDescent="0.25">
      <c r="H3800" s="106"/>
      <c r="I3800" s="106"/>
    </row>
    <row r="3801" spans="8:9" x14ac:dyDescent="0.25">
      <c r="H3801" s="106"/>
      <c r="I3801" s="106"/>
    </row>
    <row r="3802" spans="8:9" x14ac:dyDescent="0.25">
      <c r="H3802" s="106"/>
      <c r="I3802" s="106"/>
    </row>
    <row r="3803" spans="8:9" x14ac:dyDescent="0.25">
      <c r="H3803" s="106"/>
      <c r="I3803" s="106"/>
    </row>
    <row r="3804" spans="8:9" x14ac:dyDescent="0.25">
      <c r="H3804" s="106"/>
      <c r="I3804" s="106"/>
    </row>
    <row r="3805" spans="8:9" x14ac:dyDescent="0.25">
      <c r="H3805" s="106"/>
      <c r="I3805" s="106"/>
    </row>
    <row r="3806" spans="8:9" x14ac:dyDescent="0.25">
      <c r="H3806" s="106"/>
      <c r="I3806" s="106"/>
    </row>
    <row r="3807" spans="8:9" x14ac:dyDescent="0.25">
      <c r="H3807" s="106"/>
      <c r="I3807" s="106"/>
    </row>
    <row r="3808" spans="8:9" x14ac:dyDescent="0.25">
      <c r="H3808" s="106"/>
      <c r="I3808" s="106"/>
    </row>
    <row r="3809" spans="8:9" x14ac:dyDescent="0.25">
      <c r="H3809" s="106"/>
      <c r="I3809" s="106"/>
    </row>
    <row r="3810" spans="8:9" x14ac:dyDescent="0.25">
      <c r="H3810" s="106"/>
      <c r="I3810" s="106"/>
    </row>
    <row r="3811" spans="8:9" x14ac:dyDescent="0.25">
      <c r="H3811" s="106"/>
      <c r="I3811" s="106"/>
    </row>
    <row r="3812" spans="8:9" x14ac:dyDescent="0.25">
      <c r="H3812" s="106"/>
      <c r="I3812" s="106"/>
    </row>
    <row r="3813" spans="8:9" x14ac:dyDescent="0.25">
      <c r="H3813" s="106"/>
      <c r="I3813" s="106"/>
    </row>
    <row r="3814" spans="8:9" x14ac:dyDescent="0.25">
      <c r="H3814" s="106"/>
      <c r="I3814" s="106"/>
    </row>
    <row r="3815" spans="8:9" x14ac:dyDescent="0.25">
      <c r="H3815" s="106"/>
      <c r="I3815" s="106"/>
    </row>
    <row r="3816" spans="8:9" x14ac:dyDescent="0.25">
      <c r="H3816" s="106"/>
      <c r="I3816" s="106"/>
    </row>
    <row r="3817" spans="8:9" x14ac:dyDescent="0.25">
      <c r="H3817" s="106"/>
      <c r="I3817" s="106"/>
    </row>
    <row r="3818" spans="8:9" x14ac:dyDescent="0.25">
      <c r="H3818" s="106"/>
      <c r="I3818" s="106"/>
    </row>
    <row r="3819" spans="8:9" x14ac:dyDescent="0.25">
      <c r="H3819" s="106"/>
      <c r="I3819" s="106"/>
    </row>
    <row r="3820" spans="8:9" x14ac:dyDescent="0.25">
      <c r="H3820" s="106"/>
      <c r="I3820" s="106"/>
    </row>
    <row r="3821" spans="8:9" x14ac:dyDescent="0.25">
      <c r="H3821" s="106"/>
      <c r="I3821" s="106"/>
    </row>
    <row r="3822" spans="8:9" x14ac:dyDescent="0.25">
      <c r="H3822" s="106"/>
      <c r="I3822" s="106"/>
    </row>
    <row r="3823" spans="8:9" x14ac:dyDescent="0.25">
      <c r="H3823" s="106"/>
      <c r="I3823" s="106"/>
    </row>
    <row r="3824" spans="8:9" x14ac:dyDescent="0.25">
      <c r="H3824" s="106"/>
      <c r="I3824" s="106"/>
    </row>
    <row r="3825" spans="8:9" x14ac:dyDescent="0.25">
      <c r="H3825" s="106"/>
      <c r="I3825" s="106"/>
    </row>
    <row r="3826" spans="8:9" x14ac:dyDescent="0.25">
      <c r="H3826" s="106"/>
      <c r="I3826" s="106"/>
    </row>
    <row r="3827" spans="8:9" x14ac:dyDescent="0.25">
      <c r="H3827" s="106"/>
      <c r="I3827" s="106"/>
    </row>
    <row r="3828" spans="8:9" x14ac:dyDescent="0.25">
      <c r="H3828" s="106"/>
      <c r="I3828" s="106"/>
    </row>
    <row r="3829" spans="8:9" x14ac:dyDescent="0.25">
      <c r="H3829" s="106"/>
      <c r="I3829" s="106"/>
    </row>
    <row r="3830" spans="8:9" x14ac:dyDescent="0.25">
      <c r="H3830" s="106"/>
      <c r="I3830" s="106"/>
    </row>
    <row r="3831" spans="8:9" x14ac:dyDescent="0.25">
      <c r="H3831" s="106"/>
      <c r="I3831" s="106"/>
    </row>
    <row r="3832" spans="8:9" x14ac:dyDescent="0.25">
      <c r="H3832" s="106"/>
      <c r="I3832" s="106"/>
    </row>
    <row r="3833" spans="8:9" x14ac:dyDescent="0.25">
      <c r="H3833" s="106"/>
      <c r="I3833" s="106"/>
    </row>
    <row r="3834" spans="8:9" x14ac:dyDescent="0.25">
      <c r="H3834" s="106"/>
      <c r="I3834" s="106"/>
    </row>
    <row r="3835" spans="8:9" x14ac:dyDescent="0.25">
      <c r="H3835" s="106"/>
      <c r="I3835" s="106"/>
    </row>
    <row r="3836" spans="8:9" x14ac:dyDescent="0.25">
      <c r="H3836" s="106"/>
      <c r="I3836" s="106"/>
    </row>
    <row r="3837" spans="8:9" x14ac:dyDescent="0.25">
      <c r="H3837" s="106"/>
      <c r="I3837" s="106"/>
    </row>
    <row r="3838" spans="8:9" x14ac:dyDescent="0.25">
      <c r="H3838" s="106"/>
      <c r="I3838" s="106"/>
    </row>
    <row r="3839" spans="8:9" x14ac:dyDescent="0.25">
      <c r="H3839" s="106"/>
      <c r="I3839" s="106"/>
    </row>
    <row r="3840" spans="8:9" x14ac:dyDescent="0.25">
      <c r="H3840" s="106"/>
      <c r="I3840" s="106"/>
    </row>
    <row r="3841" spans="8:9" x14ac:dyDescent="0.25">
      <c r="H3841" s="106"/>
      <c r="I3841" s="106"/>
    </row>
    <row r="3842" spans="8:9" x14ac:dyDescent="0.25">
      <c r="H3842" s="106"/>
      <c r="I3842" s="106"/>
    </row>
    <row r="3843" spans="8:9" x14ac:dyDescent="0.25">
      <c r="H3843" s="106"/>
      <c r="I3843" s="106"/>
    </row>
    <row r="3844" spans="8:9" x14ac:dyDescent="0.25">
      <c r="H3844" s="106"/>
      <c r="I3844" s="106"/>
    </row>
    <row r="3845" spans="8:9" x14ac:dyDescent="0.25">
      <c r="H3845" s="106"/>
      <c r="I3845" s="106"/>
    </row>
    <row r="3846" spans="8:9" x14ac:dyDescent="0.25">
      <c r="H3846" s="106"/>
      <c r="I3846" s="106"/>
    </row>
    <row r="3847" spans="8:9" x14ac:dyDescent="0.25">
      <c r="H3847" s="106"/>
      <c r="I3847" s="106"/>
    </row>
    <row r="3848" spans="8:9" x14ac:dyDescent="0.25">
      <c r="H3848" s="106"/>
      <c r="I3848" s="106"/>
    </row>
    <row r="3849" spans="8:9" x14ac:dyDescent="0.25">
      <c r="H3849" s="106"/>
      <c r="I3849" s="106"/>
    </row>
    <row r="3850" spans="8:9" x14ac:dyDescent="0.25">
      <c r="H3850" s="106"/>
      <c r="I3850" s="106"/>
    </row>
    <row r="3851" spans="8:9" x14ac:dyDescent="0.25">
      <c r="H3851" s="106"/>
      <c r="I3851" s="106"/>
    </row>
    <row r="3852" spans="8:9" x14ac:dyDescent="0.25">
      <c r="H3852" s="106"/>
      <c r="I3852" s="106"/>
    </row>
    <row r="3853" spans="8:9" x14ac:dyDescent="0.25">
      <c r="H3853" s="106"/>
      <c r="I3853" s="106"/>
    </row>
    <row r="3854" spans="8:9" x14ac:dyDescent="0.25">
      <c r="H3854" s="106"/>
      <c r="I3854" s="106"/>
    </row>
    <row r="3855" spans="8:9" x14ac:dyDescent="0.25">
      <c r="H3855" s="106"/>
      <c r="I3855" s="106"/>
    </row>
    <row r="3856" spans="8:9" x14ac:dyDescent="0.25">
      <c r="H3856" s="106"/>
      <c r="I3856" s="106"/>
    </row>
    <row r="3857" spans="8:9" x14ac:dyDescent="0.25">
      <c r="H3857" s="106"/>
      <c r="I3857" s="106"/>
    </row>
    <row r="3858" spans="8:9" x14ac:dyDescent="0.25">
      <c r="H3858" s="106"/>
      <c r="I3858" s="106"/>
    </row>
    <row r="3859" spans="8:9" x14ac:dyDescent="0.25">
      <c r="H3859" s="106"/>
      <c r="I3859" s="106"/>
    </row>
    <row r="3860" spans="8:9" x14ac:dyDescent="0.25">
      <c r="H3860" s="106"/>
      <c r="I3860" s="106"/>
    </row>
    <row r="3861" spans="8:9" x14ac:dyDescent="0.25">
      <c r="H3861" s="106"/>
      <c r="I3861" s="106"/>
    </row>
    <row r="3862" spans="8:9" x14ac:dyDescent="0.25">
      <c r="H3862" s="106"/>
      <c r="I3862" s="106"/>
    </row>
    <row r="3863" spans="8:9" x14ac:dyDescent="0.25">
      <c r="H3863" s="106"/>
      <c r="I3863" s="106"/>
    </row>
    <row r="3864" spans="8:9" x14ac:dyDescent="0.25">
      <c r="H3864" s="106"/>
      <c r="I3864" s="106"/>
    </row>
    <row r="3865" spans="8:9" x14ac:dyDescent="0.25">
      <c r="H3865" s="106"/>
      <c r="I3865" s="106"/>
    </row>
    <row r="3866" spans="8:9" x14ac:dyDescent="0.25">
      <c r="H3866" s="106"/>
      <c r="I3866" s="106"/>
    </row>
    <row r="3867" spans="8:9" x14ac:dyDescent="0.25">
      <c r="H3867" s="106"/>
      <c r="I3867" s="106"/>
    </row>
    <row r="3868" spans="8:9" x14ac:dyDescent="0.25">
      <c r="H3868" s="106"/>
      <c r="I3868" s="106"/>
    </row>
    <row r="3869" spans="8:9" x14ac:dyDescent="0.25">
      <c r="H3869" s="106"/>
      <c r="I3869" s="106"/>
    </row>
    <row r="3870" spans="8:9" x14ac:dyDescent="0.25">
      <c r="H3870" s="106"/>
      <c r="I3870" s="106"/>
    </row>
    <row r="3871" spans="8:9" x14ac:dyDescent="0.25">
      <c r="H3871" s="106"/>
      <c r="I3871" s="106"/>
    </row>
    <row r="3872" spans="8:9" x14ac:dyDescent="0.25">
      <c r="H3872" s="106"/>
      <c r="I3872" s="106"/>
    </row>
    <row r="3873" spans="8:9" x14ac:dyDescent="0.25">
      <c r="H3873" s="106"/>
      <c r="I3873" s="106"/>
    </row>
    <row r="3874" spans="8:9" x14ac:dyDescent="0.25">
      <c r="H3874" s="106"/>
      <c r="I3874" s="106"/>
    </row>
    <row r="3875" spans="8:9" x14ac:dyDescent="0.25">
      <c r="H3875" s="106"/>
      <c r="I3875" s="106"/>
    </row>
    <row r="3876" spans="8:9" x14ac:dyDescent="0.25">
      <c r="H3876" s="106"/>
      <c r="I3876" s="106"/>
    </row>
    <row r="3877" spans="8:9" x14ac:dyDescent="0.25">
      <c r="H3877" s="106"/>
      <c r="I3877" s="106"/>
    </row>
    <row r="3878" spans="8:9" x14ac:dyDescent="0.25">
      <c r="H3878" s="106"/>
      <c r="I3878" s="106"/>
    </row>
    <row r="3879" spans="8:9" x14ac:dyDescent="0.25">
      <c r="H3879" s="106"/>
      <c r="I3879" s="106"/>
    </row>
    <row r="3880" spans="8:9" x14ac:dyDescent="0.25">
      <c r="H3880" s="106"/>
      <c r="I3880" s="106"/>
    </row>
    <row r="3881" spans="8:9" x14ac:dyDescent="0.25">
      <c r="H3881" s="106"/>
      <c r="I3881" s="106"/>
    </row>
    <row r="3882" spans="8:9" x14ac:dyDescent="0.25">
      <c r="H3882" s="106"/>
      <c r="I3882" s="106"/>
    </row>
    <row r="3883" spans="8:9" x14ac:dyDescent="0.25">
      <c r="H3883" s="106"/>
      <c r="I3883" s="106"/>
    </row>
    <row r="3884" spans="8:9" x14ac:dyDescent="0.25">
      <c r="H3884" s="106"/>
      <c r="I3884" s="106"/>
    </row>
    <row r="3885" spans="8:9" x14ac:dyDescent="0.25">
      <c r="H3885" s="106"/>
      <c r="I3885" s="106"/>
    </row>
    <row r="3886" spans="8:9" x14ac:dyDescent="0.25">
      <c r="H3886" s="106"/>
      <c r="I3886" s="106"/>
    </row>
    <row r="3887" spans="8:9" x14ac:dyDescent="0.25">
      <c r="H3887" s="106"/>
      <c r="I3887" s="106"/>
    </row>
    <row r="3888" spans="8:9" x14ac:dyDescent="0.25">
      <c r="H3888" s="106"/>
      <c r="I3888" s="106"/>
    </row>
    <row r="3889" spans="8:9" x14ac:dyDescent="0.25">
      <c r="H3889" s="106"/>
      <c r="I3889" s="106"/>
    </row>
    <row r="3890" spans="8:9" x14ac:dyDescent="0.25">
      <c r="H3890" s="106"/>
      <c r="I3890" s="106"/>
    </row>
    <row r="3891" spans="8:9" x14ac:dyDescent="0.25">
      <c r="H3891" s="106"/>
      <c r="I3891" s="106"/>
    </row>
    <row r="3892" spans="8:9" x14ac:dyDescent="0.25">
      <c r="H3892" s="106"/>
      <c r="I3892" s="106"/>
    </row>
    <row r="3893" spans="8:9" x14ac:dyDescent="0.25">
      <c r="H3893" s="106"/>
      <c r="I3893" s="106"/>
    </row>
    <row r="3894" spans="8:9" x14ac:dyDescent="0.25">
      <c r="H3894" s="106"/>
      <c r="I3894" s="106"/>
    </row>
    <row r="3895" spans="8:9" x14ac:dyDescent="0.25">
      <c r="H3895" s="106"/>
      <c r="I3895" s="106"/>
    </row>
    <row r="3896" spans="8:9" x14ac:dyDescent="0.25">
      <c r="H3896" s="106"/>
      <c r="I3896" s="106"/>
    </row>
    <row r="3897" spans="8:9" x14ac:dyDescent="0.25">
      <c r="H3897" s="106"/>
      <c r="I3897" s="106"/>
    </row>
    <row r="3898" spans="8:9" x14ac:dyDescent="0.25">
      <c r="H3898" s="106"/>
      <c r="I3898" s="106"/>
    </row>
    <row r="3899" spans="8:9" x14ac:dyDescent="0.25">
      <c r="H3899" s="106"/>
      <c r="I3899" s="106"/>
    </row>
    <row r="3900" spans="8:9" x14ac:dyDescent="0.25">
      <c r="H3900" s="106"/>
      <c r="I3900" s="106"/>
    </row>
    <row r="3901" spans="8:9" x14ac:dyDescent="0.25">
      <c r="H3901" s="106"/>
      <c r="I3901" s="106"/>
    </row>
    <row r="3902" spans="8:9" x14ac:dyDescent="0.25">
      <c r="H3902" s="106"/>
      <c r="I3902" s="106"/>
    </row>
    <row r="3903" spans="8:9" x14ac:dyDescent="0.25">
      <c r="H3903" s="106"/>
      <c r="I3903" s="106"/>
    </row>
    <row r="3904" spans="8:9" x14ac:dyDescent="0.25">
      <c r="H3904" s="106"/>
      <c r="I3904" s="106"/>
    </row>
    <row r="3905" spans="8:9" x14ac:dyDescent="0.25">
      <c r="H3905" s="106"/>
      <c r="I3905" s="106"/>
    </row>
    <row r="3906" spans="8:9" x14ac:dyDescent="0.25">
      <c r="H3906" s="106"/>
      <c r="I3906" s="106"/>
    </row>
    <row r="3907" spans="8:9" x14ac:dyDescent="0.25">
      <c r="H3907" s="106"/>
      <c r="I3907" s="106"/>
    </row>
    <row r="3908" spans="8:9" x14ac:dyDescent="0.25">
      <c r="H3908" s="106"/>
      <c r="I3908" s="106"/>
    </row>
    <row r="3909" spans="8:9" x14ac:dyDescent="0.25">
      <c r="H3909" s="106"/>
      <c r="I3909" s="106"/>
    </row>
    <row r="3910" spans="8:9" x14ac:dyDescent="0.25">
      <c r="H3910" s="106"/>
      <c r="I3910" s="106"/>
    </row>
    <row r="3911" spans="8:9" x14ac:dyDescent="0.25">
      <c r="H3911" s="106"/>
      <c r="I3911" s="106"/>
    </row>
    <row r="3912" spans="8:9" x14ac:dyDescent="0.25">
      <c r="H3912" s="106"/>
      <c r="I3912" s="106"/>
    </row>
    <row r="3913" spans="8:9" x14ac:dyDescent="0.25">
      <c r="H3913" s="106"/>
      <c r="I3913" s="106"/>
    </row>
    <row r="3914" spans="8:9" x14ac:dyDescent="0.25">
      <c r="H3914" s="106"/>
      <c r="I3914" s="106"/>
    </row>
    <row r="3915" spans="8:9" x14ac:dyDescent="0.25">
      <c r="H3915" s="106"/>
      <c r="I3915" s="106"/>
    </row>
    <row r="3916" spans="8:9" x14ac:dyDescent="0.25">
      <c r="H3916" s="106"/>
      <c r="I3916" s="106"/>
    </row>
    <row r="3917" spans="8:9" x14ac:dyDescent="0.25">
      <c r="H3917" s="106"/>
      <c r="I3917" s="106"/>
    </row>
    <row r="3918" spans="8:9" x14ac:dyDescent="0.25">
      <c r="H3918" s="106"/>
      <c r="I3918" s="106"/>
    </row>
    <row r="3919" spans="8:9" x14ac:dyDescent="0.25">
      <c r="H3919" s="106"/>
      <c r="I3919" s="106"/>
    </row>
    <row r="3920" spans="8:9" x14ac:dyDescent="0.25">
      <c r="H3920" s="106"/>
      <c r="I3920" s="106"/>
    </row>
    <row r="3921" spans="8:9" x14ac:dyDescent="0.25">
      <c r="H3921" s="106"/>
      <c r="I3921" s="106"/>
    </row>
    <row r="3922" spans="8:9" x14ac:dyDescent="0.25">
      <c r="H3922" s="106"/>
      <c r="I3922" s="106"/>
    </row>
    <row r="3923" spans="8:9" x14ac:dyDescent="0.25">
      <c r="H3923" s="106"/>
      <c r="I3923" s="106"/>
    </row>
    <row r="3924" spans="8:9" x14ac:dyDescent="0.25">
      <c r="H3924" s="106"/>
      <c r="I3924" s="106"/>
    </row>
    <row r="3925" spans="8:9" x14ac:dyDescent="0.25">
      <c r="H3925" s="106"/>
      <c r="I3925" s="106"/>
    </row>
    <row r="3926" spans="8:9" x14ac:dyDescent="0.25">
      <c r="H3926" s="106"/>
      <c r="I3926" s="106"/>
    </row>
    <row r="3927" spans="8:9" x14ac:dyDescent="0.25">
      <c r="H3927" s="106"/>
      <c r="I3927" s="106"/>
    </row>
    <row r="3928" spans="8:9" x14ac:dyDescent="0.25">
      <c r="H3928" s="106"/>
      <c r="I3928" s="106"/>
    </row>
    <row r="3929" spans="8:9" x14ac:dyDescent="0.25">
      <c r="H3929" s="106"/>
      <c r="I3929" s="106"/>
    </row>
    <row r="3930" spans="8:9" x14ac:dyDescent="0.25">
      <c r="H3930" s="106"/>
      <c r="I3930" s="106"/>
    </row>
    <row r="3931" spans="8:9" x14ac:dyDescent="0.25">
      <c r="H3931" s="106"/>
      <c r="I3931" s="106"/>
    </row>
    <row r="3932" spans="8:9" x14ac:dyDescent="0.25">
      <c r="H3932" s="106"/>
      <c r="I3932" s="106"/>
    </row>
    <row r="3933" spans="8:9" x14ac:dyDescent="0.25">
      <c r="H3933" s="106"/>
      <c r="I3933" s="106"/>
    </row>
    <row r="3934" spans="8:9" x14ac:dyDescent="0.25">
      <c r="H3934" s="106"/>
      <c r="I3934" s="106"/>
    </row>
    <row r="3935" spans="8:9" x14ac:dyDescent="0.25">
      <c r="H3935" s="106"/>
      <c r="I3935" s="106"/>
    </row>
    <row r="3936" spans="8:9" x14ac:dyDescent="0.25">
      <c r="H3936" s="106"/>
      <c r="I3936" s="106"/>
    </row>
    <row r="3937" spans="8:9" x14ac:dyDescent="0.25">
      <c r="H3937" s="106"/>
      <c r="I3937" s="106"/>
    </row>
    <row r="3938" spans="8:9" x14ac:dyDescent="0.25">
      <c r="H3938" s="106"/>
      <c r="I3938" s="106"/>
    </row>
    <row r="3939" spans="8:9" x14ac:dyDescent="0.25">
      <c r="H3939" s="106"/>
      <c r="I3939" s="106"/>
    </row>
    <row r="3940" spans="8:9" x14ac:dyDescent="0.25">
      <c r="H3940" s="106"/>
      <c r="I3940" s="106"/>
    </row>
    <row r="3941" spans="8:9" x14ac:dyDescent="0.25">
      <c r="H3941" s="106"/>
      <c r="I3941" s="106"/>
    </row>
    <row r="3942" spans="8:9" x14ac:dyDescent="0.25">
      <c r="H3942" s="106"/>
      <c r="I3942" s="106"/>
    </row>
    <row r="3943" spans="8:9" x14ac:dyDescent="0.25">
      <c r="H3943" s="106"/>
      <c r="I3943" s="106"/>
    </row>
    <row r="3944" spans="8:9" x14ac:dyDescent="0.25">
      <c r="H3944" s="106"/>
      <c r="I3944" s="106"/>
    </row>
    <row r="3945" spans="8:9" x14ac:dyDescent="0.25">
      <c r="H3945" s="106"/>
      <c r="I3945" s="106"/>
    </row>
    <row r="3946" spans="8:9" x14ac:dyDescent="0.25">
      <c r="H3946" s="106"/>
      <c r="I3946" s="106"/>
    </row>
    <row r="3947" spans="8:9" x14ac:dyDescent="0.25">
      <c r="H3947" s="106"/>
      <c r="I3947" s="106"/>
    </row>
    <row r="3948" spans="8:9" x14ac:dyDescent="0.25">
      <c r="H3948" s="106"/>
      <c r="I3948" s="106"/>
    </row>
    <row r="3949" spans="8:9" x14ac:dyDescent="0.25">
      <c r="H3949" s="106"/>
      <c r="I3949" s="106"/>
    </row>
    <row r="3950" spans="8:9" x14ac:dyDescent="0.25">
      <c r="H3950" s="106"/>
      <c r="I3950" s="106"/>
    </row>
    <row r="3951" spans="8:9" x14ac:dyDescent="0.25">
      <c r="H3951" s="106"/>
      <c r="I3951" s="106"/>
    </row>
    <row r="3952" spans="8:9" x14ac:dyDescent="0.25">
      <c r="H3952" s="106"/>
      <c r="I3952" s="106"/>
    </row>
    <row r="3953" spans="8:9" x14ac:dyDescent="0.25">
      <c r="H3953" s="106"/>
      <c r="I3953" s="106"/>
    </row>
    <row r="3954" spans="8:9" x14ac:dyDescent="0.25">
      <c r="H3954" s="106"/>
      <c r="I3954" s="106"/>
    </row>
    <row r="3955" spans="8:9" x14ac:dyDescent="0.25">
      <c r="H3955" s="106"/>
      <c r="I3955" s="106"/>
    </row>
    <row r="3956" spans="8:9" x14ac:dyDescent="0.25">
      <c r="H3956" s="106"/>
      <c r="I3956" s="106"/>
    </row>
    <row r="3957" spans="8:9" x14ac:dyDescent="0.25">
      <c r="H3957" s="106"/>
      <c r="I3957" s="106"/>
    </row>
    <row r="3958" spans="8:9" x14ac:dyDescent="0.25">
      <c r="H3958" s="106"/>
      <c r="I3958" s="106"/>
    </row>
    <row r="3959" spans="8:9" x14ac:dyDescent="0.25">
      <c r="H3959" s="106"/>
      <c r="I3959" s="106"/>
    </row>
    <row r="3960" spans="8:9" x14ac:dyDescent="0.25">
      <c r="H3960" s="106"/>
      <c r="I3960" s="106"/>
    </row>
    <row r="3961" spans="8:9" x14ac:dyDescent="0.25">
      <c r="H3961" s="106"/>
      <c r="I3961" s="106"/>
    </row>
    <row r="3962" spans="8:9" x14ac:dyDescent="0.25">
      <c r="H3962" s="106"/>
      <c r="I3962" s="106"/>
    </row>
    <row r="3963" spans="8:9" x14ac:dyDescent="0.25">
      <c r="H3963" s="106"/>
      <c r="I3963" s="106"/>
    </row>
    <row r="3964" spans="8:9" x14ac:dyDescent="0.25">
      <c r="H3964" s="106"/>
      <c r="I3964" s="106"/>
    </row>
    <row r="3965" spans="8:9" x14ac:dyDescent="0.25">
      <c r="H3965" s="106"/>
      <c r="I3965" s="106"/>
    </row>
    <row r="3966" spans="8:9" x14ac:dyDescent="0.25">
      <c r="H3966" s="106"/>
      <c r="I3966" s="106"/>
    </row>
    <row r="3967" spans="8:9" x14ac:dyDescent="0.25">
      <c r="H3967" s="106"/>
      <c r="I3967" s="106"/>
    </row>
    <row r="3968" spans="8:9" x14ac:dyDescent="0.25">
      <c r="H3968" s="106"/>
      <c r="I3968" s="106"/>
    </row>
    <row r="3969" spans="8:9" x14ac:dyDescent="0.25">
      <c r="H3969" s="106"/>
      <c r="I3969" s="106"/>
    </row>
    <row r="3970" spans="8:9" x14ac:dyDescent="0.25">
      <c r="H3970" s="106"/>
      <c r="I3970" s="106"/>
    </row>
    <row r="3971" spans="8:9" x14ac:dyDescent="0.25">
      <c r="H3971" s="106"/>
      <c r="I3971" s="106"/>
    </row>
    <row r="3972" spans="8:9" x14ac:dyDescent="0.25">
      <c r="H3972" s="106"/>
      <c r="I3972" s="106"/>
    </row>
    <row r="3973" spans="8:9" x14ac:dyDescent="0.25">
      <c r="H3973" s="106"/>
      <c r="I3973" s="106"/>
    </row>
    <row r="3974" spans="8:9" x14ac:dyDescent="0.25">
      <c r="H3974" s="106"/>
      <c r="I3974" s="106"/>
    </row>
    <row r="3975" spans="8:9" x14ac:dyDescent="0.25">
      <c r="H3975" s="106"/>
      <c r="I3975" s="106"/>
    </row>
    <row r="3976" spans="8:9" x14ac:dyDescent="0.25">
      <c r="H3976" s="106"/>
      <c r="I3976" s="106"/>
    </row>
    <row r="3977" spans="8:9" x14ac:dyDescent="0.25">
      <c r="H3977" s="106"/>
      <c r="I3977" s="106"/>
    </row>
    <row r="3978" spans="8:9" x14ac:dyDescent="0.25">
      <c r="H3978" s="106"/>
      <c r="I3978" s="106"/>
    </row>
    <row r="3979" spans="8:9" x14ac:dyDescent="0.25">
      <c r="H3979" s="106"/>
      <c r="I3979" s="106"/>
    </row>
    <row r="3980" spans="8:9" x14ac:dyDescent="0.25">
      <c r="H3980" s="106"/>
      <c r="I3980" s="106"/>
    </row>
    <row r="3981" spans="8:9" x14ac:dyDescent="0.25">
      <c r="H3981" s="106"/>
      <c r="I3981" s="106"/>
    </row>
    <row r="3982" spans="8:9" x14ac:dyDescent="0.25">
      <c r="H3982" s="106"/>
      <c r="I3982" s="106"/>
    </row>
    <row r="3983" spans="8:9" x14ac:dyDescent="0.25">
      <c r="H3983" s="106"/>
      <c r="I3983" s="106"/>
    </row>
    <row r="3984" spans="8:9" x14ac:dyDescent="0.25">
      <c r="H3984" s="106"/>
      <c r="I3984" s="106"/>
    </row>
    <row r="3985" spans="8:9" x14ac:dyDescent="0.25">
      <c r="H3985" s="106"/>
      <c r="I3985" s="106"/>
    </row>
    <row r="3986" spans="8:9" x14ac:dyDescent="0.25">
      <c r="H3986" s="106"/>
      <c r="I3986" s="106"/>
    </row>
    <row r="3987" spans="8:9" x14ac:dyDescent="0.25">
      <c r="H3987" s="106"/>
      <c r="I3987" s="106"/>
    </row>
    <row r="3988" spans="8:9" x14ac:dyDescent="0.25">
      <c r="H3988" s="106"/>
      <c r="I3988" s="106"/>
    </row>
    <row r="3989" spans="8:9" x14ac:dyDescent="0.25">
      <c r="H3989" s="106"/>
      <c r="I3989" s="106"/>
    </row>
    <row r="3990" spans="8:9" x14ac:dyDescent="0.25">
      <c r="H3990" s="106"/>
      <c r="I3990" s="106"/>
    </row>
    <row r="3991" spans="8:9" x14ac:dyDescent="0.25">
      <c r="H3991" s="106"/>
      <c r="I3991" s="106"/>
    </row>
    <row r="3992" spans="8:9" x14ac:dyDescent="0.25">
      <c r="H3992" s="106"/>
      <c r="I3992" s="106"/>
    </row>
    <row r="3993" spans="8:9" x14ac:dyDescent="0.25">
      <c r="H3993" s="106"/>
      <c r="I3993" s="106"/>
    </row>
    <row r="3994" spans="8:9" x14ac:dyDescent="0.25">
      <c r="H3994" s="106"/>
      <c r="I3994" s="106"/>
    </row>
    <row r="3995" spans="8:9" x14ac:dyDescent="0.25">
      <c r="H3995" s="106"/>
      <c r="I3995" s="106"/>
    </row>
    <row r="3996" spans="8:9" x14ac:dyDescent="0.25">
      <c r="H3996" s="106"/>
      <c r="I3996" s="106"/>
    </row>
    <row r="3997" spans="8:9" x14ac:dyDescent="0.25">
      <c r="H3997" s="106"/>
      <c r="I3997" s="106"/>
    </row>
    <row r="3998" spans="8:9" x14ac:dyDescent="0.25">
      <c r="H3998" s="106"/>
      <c r="I3998" s="106"/>
    </row>
    <row r="3999" spans="8:9" x14ac:dyDescent="0.25">
      <c r="H3999" s="106"/>
      <c r="I3999" s="106"/>
    </row>
    <row r="4000" spans="8:9" x14ac:dyDescent="0.25">
      <c r="H4000" s="106"/>
      <c r="I4000" s="106"/>
    </row>
    <row r="4001" spans="8:9" x14ac:dyDescent="0.25">
      <c r="H4001" s="106"/>
      <c r="I4001" s="106"/>
    </row>
    <row r="4002" spans="8:9" x14ac:dyDescent="0.25">
      <c r="H4002" s="106"/>
      <c r="I4002" s="106"/>
    </row>
    <row r="4003" spans="8:9" x14ac:dyDescent="0.25">
      <c r="H4003" s="106"/>
      <c r="I4003" s="106"/>
    </row>
    <row r="4004" spans="8:9" x14ac:dyDescent="0.25">
      <c r="H4004" s="106"/>
      <c r="I4004" s="106"/>
    </row>
    <row r="4005" spans="8:9" x14ac:dyDescent="0.25">
      <c r="H4005" s="106"/>
      <c r="I4005" s="106"/>
    </row>
    <row r="4006" spans="8:9" x14ac:dyDescent="0.25">
      <c r="H4006" s="106"/>
      <c r="I4006" s="106"/>
    </row>
    <row r="4007" spans="8:9" x14ac:dyDescent="0.25">
      <c r="H4007" s="106"/>
      <c r="I4007" s="106"/>
    </row>
    <row r="4008" spans="8:9" x14ac:dyDescent="0.25">
      <c r="H4008" s="106"/>
      <c r="I4008" s="106"/>
    </row>
    <row r="4009" spans="8:9" x14ac:dyDescent="0.25">
      <c r="H4009" s="106"/>
      <c r="I4009" s="106"/>
    </row>
    <row r="4010" spans="8:9" x14ac:dyDescent="0.25">
      <c r="H4010" s="106"/>
      <c r="I4010" s="106"/>
    </row>
    <row r="4011" spans="8:9" x14ac:dyDescent="0.25">
      <c r="H4011" s="106"/>
      <c r="I4011" s="106"/>
    </row>
    <row r="4012" spans="8:9" x14ac:dyDescent="0.25">
      <c r="H4012" s="106"/>
      <c r="I4012" s="106"/>
    </row>
    <row r="4013" spans="8:9" x14ac:dyDescent="0.25">
      <c r="H4013" s="106"/>
      <c r="I4013" s="106"/>
    </row>
    <row r="4014" spans="8:9" x14ac:dyDescent="0.25">
      <c r="H4014" s="106"/>
      <c r="I4014" s="106"/>
    </row>
    <row r="4015" spans="8:9" x14ac:dyDescent="0.25">
      <c r="H4015" s="106"/>
      <c r="I4015" s="106"/>
    </row>
    <row r="4016" spans="8:9" x14ac:dyDescent="0.25">
      <c r="H4016" s="106"/>
      <c r="I4016" s="106"/>
    </row>
    <row r="4017" spans="8:9" x14ac:dyDescent="0.25">
      <c r="H4017" s="106"/>
      <c r="I4017" s="106"/>
    </row>
    <row r="4018" spans="8:9" x14ac:dyDescent="0.25">
      <c r="H4018" s="106"/>
      <c r="I4018" s="106"/>
    </row>
    <row r="4019" spans="8:9" x14ac:dyDescent="0.25">
      <c r="H4019" s="106"/>
      <c r="I4019" s="106"/>
    </row>
    <row r="4020" spans="8:9" x14ac:dyDescent="0.25">
      <c r="H4020" s="106"/>
      <c r="I4020" s="106"/>
    </row>
    <row r="4021" spans="8:9" x14ac:dyDescent="0.25">
      <c r="H4021" s="106"/>
      <c r="I4021" s="106"/>
    </row>
    <row r="4022" spans="8:9" x14ac:dyDescent="0.25">
      <c r="H4022" s="106"/>
      <c r="I4022" s="106"/>
    </row>
    <row r="4023" spans="8:9" x14ac:dyDescent="0.25">
      <c r="H4023" s="106"/>
      <c r="I4023" s="106"/>
    </row>
    <row r="4024" spans="8:9" x14ac:dyDescent="0.25">
      <c r="H4024" s="106"/>
      <c r="I4024" s="106"/>
    </row>
    <row r="4025" spans="8:9" x14ac:dyDescent="0.25">
      <c r="H4025" s="106"/>
      <c r="I4025" s="106"/>
    </row>
    <row r="4026" spans="8:9" x14ac:dyDescent="0.25">
      <c r="H4026" s="106"/>
      <c r="I4026" s="106"/>
    </row>
    <row r="4027" spans="8:9" x14ac:dyDescent="0.25">
      <c r="H4027" s="106"/>
      <c r="I4027" s="106"/>
    </row>
    <row r="4028" spans="8:9" x14ac:dyDescent="0.25">
      <c r="H4028" s="106"/>
      <c r="I4028" s="106"/>
    </row>
    <row r="4029" spans="8:9" x14ac:dyDescent="0.25">
      <c r="H4029" s="106"/>
      <c r="I4029" s="106"/>
    </row>
    <row r="4030" spans="8:9" x14ac:dyDescent="0.25">
      <c r="H4030" s="106"/>
      <c r="I4030" s="106"/>
    </row>
    <row r="4031" spans="8:9" x14ac:dyDescent="0.25">
      <c r="H4031" s="106"/>
      <c r="I4031" s="106"/>
    </row>
    <row r="4032" spans="8:9" x14ac:dyDescent="0.25">
      <c r="H4032" s="106"/>
      <c r="I4032" s="106"/>
    </row>
    <row r="4033" spans="8:9" x14ac:dyDescent="0.25">
      <c r="H4033" s="106"/>
      <c r="I4033" s="106"/>
    </row>
    <row r="4034" spans="8:9" x14ac:dyDescent="0.25">
      <c r="H4034" s="106"/>
      <c r="I4034" s="106"/>
    </row>
    <row r="4035" spans="8:9" x14ac:dyDescent="0.25">
      <c r="H4035" s="106"/>
      <c r="I4035" s="106"/>
    </row>
    <row r="4036" spans="8:9" x14ac:dyDescent="0.25">
      <c r="H4036" s="106"/>
      <c r="I4036" s="106"/>
    </row>
    <row r="4037" spans="8:9" x14ac:dyDescent="0.25">
      <c r="H4037" s="106"/>
      <c r="I4037" s="106"/>
    </row>
    <row r="4038" spans="8:9" x14ac:dyDescent="0.25">
      <c r="H4038" s="106"/>
      <c r="I4038" s="106"/>
    </row>
    <row r="4039" spans="8:9" x14ac:dyDescent="0.25">
      <c r="H4039" s="106"/>
      <c r="I4039" s="106"/>
    </row>
    <row r="4040" spans="8:9" x14ac:dyDescent="0.25">
      <c r="H4040" s="106"/>
      <c r="I4040" s="106"/>
    </row>
    <row r="4041" spans="8:9" x14ac:dyDescent="0.25">
      <c r="H4041" s="106"/>
      <c r="I4041" s="106"/>
    </row>
    <row r="4042" spans="8:9" x14ac:dyDescent="0.25">
      <c r="H4042" s="106"/>
      <c r="I4042" s="106"/>
    </row>
    <row r="4043" spans="8:9" x14ac:dyDescent="0.25">
      <c r="H4043" s="106"/>
      <c r="I4043" s="106"/>
    </row>
    <row r="4044" spans="8:9" x14ac:dyDescent="0.25">
      <c r="H4044" s="106"/>
      <c r="I4044" s="106"/>
    </row>
    <row r="4045" spans="8:9" x14ac:dyDescent="0.25">
      <c r="H4045" s="106"/>
      <c r="I4045" s="106"/>
    </row>
    <row r="4046" spans="8:9" x14ac:dyDescent="0.25">
      <c r="H4046" s="106"/>
      <c r="I4046" s="106"/>
    </row>
    <row r="4047" spans="8:9" x14ac:dyDescent="0.25">
      <c r="H4047" s="106"/>
      <c r="I4047" s="106"/>
    </row>
    <row r="4048" spans="8:9" x14ac:dyDescent="0.25">
      <c r="H4048" s="106"/>
      <c r="I4048" s="106"/>
    </row>
    <row r="4049" spans="8:9" x14ac:dyDescent="0.25">
      <c r="H4049" s="106"/>
      <c r="I4049" s="106"/>
    </row>
    <row r="4050" spans="8:9" x14ac:dyDescent="0.25">
      <c r="H4050" s="106"/>
      <c r="I4050" s="106"/>
    </row>
    <row r="4051" spans="8:9" x14ac:dyDescent="0.25">
      <c r="H4051" s="106"/>
      <c r="I4051" s="106"/>
    </row>
    <row r="4052" spans="8:9" x14ac:dyDescent="0.25">
      <c r="H4052" s="106"/>
      <c r="I4052" s="106"/>
    </row>
    <row r="4053" spans="8:9" x14ac:dyDescent="0.25">
      <c r="H4053" s="106"/>
      <c r="I4053" s="106"/>
    </row>
    <row r="4054" spans="8:9" x14ac:dyDescent="0.25">
      <c r="H4054" s="106"/>
      <c r="I4054" s="106"/>
    </row>
    <row r="4055" spans="8:9" x14ac:dyDescent="0.25">
      <c r="H4055" s="106"/>
      <c r="I4055" s="106"/>
    </row>
    <row r="4056" spans="8:9" x14ac:dyDescent="0.25">
      <c r="H4056" s="106"/>
      <c r="I4056" s="106"/>
    </row>
    <row r="4057" spans="8:9" x14ac:dyDescent="0.25">
      <c r="H4057" s="106"/>
      <c r="I4057" s="106"/>
    </row>
    <row r="4058" spans="8:9" x14ac:dyDescent="0.25">
      <c r="H4058" s="106"/>
      <c r="I4058" s="106"/>
    </row>
    <row r="4059" spans="8:9" x14ac:dyDescent="0.25">
      <c r="H4059" s="106"/>
      <c r="I4059" s="106"/>
    </row>
    <row r="4060" spans="8:9" x14ac:dyDescent="0.25">
      <c r="H4060" s="106"/>
      <c r="I4060" s="106"/>
    </row>
    <row r="4061" spans="8:9" x14ac:dyDescent="0.25">
      <c r="H4061" s="106"/>
      <c r="I4061" s="106"/>
    </row>
    <row r="4062" spans="8:9" x14ac:dyDescent="0.25">
      <c r="H4062" s="106"/>
      <c r="I4062" s="106"/>
    </row>
    <row r="4063" spans="8:9" x14ac:dyDescent="0.25">
      <c r="H4063" s="106"/>
      <c r="I4063" s="106"/>
    </row>
    <row r="4064" spans="8:9" x14ac:dyDescent="0.25">
      <c r="H4064" s="106"/>
      <c r="I4064" s="106"/>
    </row>
    <row r="4065" spans="8:9" x14ac:dyDescent="0.25">
      <c r="H4065" s="106"/>
      <c r="I4065" s="106"/>
    </row>
    <row r="4066" spans="8:9" x14ac:dyDescent="0.25">
      <c r="H4066" s="106"/>
      <c r="I4066" s="106"/>
    </row>
    <row r="4067" spans="8:9" x14ac:dyDescent="0.25">
      <c r="H4067" s="106"/>
      <c r="I4067" s="106"/>
    </row>
    <row r="4068" spans="8:9" x14ac:dyDescent="0.25">
      <c r="H4068" s="106"/>
      <c r="I4068" s="106"/>
    </row>
    <row r="4069" spans="8:9" x14ac:dyDescent="0.25">
      <c r="H4069" s="106"/>
      <c r="I4069" s="106"/>
    </row>
    <row r="4070" spans="8:9" x14ac:dyDescent="0.25">
      <c r="H4070" s="106"/>
      <c r="I4070" s="106"/>
    </row>
    <row r="4071" spans="8:9" x14ac:dyDescent="0.25">
      <c r="H4071" s="106"/>
      <c r="I4071" s="106"/>
    </row>
    <row r="4072" spans="8:9" x14ac:dyDescent="0.25">
      <c r="H4072" s="106"/>
      <c r="I4072" s="106"/>
    </row>
    <row r="4073" spans="8:9" x14ac:dyDescent="0.25">
      <c r="H4073" s="106"/>
      <c r="I4073" s="106"/>
    </row>
    <row r="4074" spans="8:9" x14ac:dyDescent="0.25">
      <c r="H4074" s="106"/>
      <c r="I4074" s="106"/>
    </row>
    <row r="4075" spans="8:9" x14ac:dyDescent="0.25">
      <c r="H4075" s="106"/>
      <c r="I4075" s="106"/>
    </row>
    <row r="4076" spans="8:9" x14ac:dyDescent="0.25">
      <c r="H4076" s="106"/>
      <c r="I4076" s="106"/>
    </row>
    <row r="4077" spans="8:9" x14ac:dyDescent="0.25">
      <c r="H4077" s="106"/>
      <c r="I4077" s="106"/>
    </row>
    <row r="4078" spans="8:9" x14ac:dyDescent="0.25">
      <c r="H4078" s="106"/>
      <c r="I4078" s="106"/>
    </row>
    <row r="4079" spans="8:9" x14ac:dyDescent="0.25">
      <c r="H4079" s="106"/>
      <c r="I4079" s="106"/>
    </row>
    <row r="4080" spans="8:9" x14ac:dyDescent="0.25">
      <c r="H4080" s="106"/>
      <c r="I4080" s="106"/>
    </row>
    <row r="4081" spans="8:9" x14ac:dyDescent="0.25">
      <c r="H4081" s="106"/>
      <c r="I4081" s="106"/>
    </row>
    <row r="4082" spans="8:9" x14ac:dyDescent="0.25">
      <c r="H4082" s="106"/>
      <c r="I4082" s="106"/>
    </row>
    <row r="4083" spans="8:9" x14ac:dyDescent="0.25">
      <c r="H4083" s="106"/>
      <c r="I4083" s="106"/>
    </row>
    <row r="4084" spans="8:9" x14ac:dyDescent="0.25">
      <c r="H4084" s="106"/>
      <c r="I4084" s="106"/>
    </row>
    <row r="4085" spans="8:9" x14ac:dyDescent="0.25">
      <c r="H4085" s="106"/>
      <c r="I4085" s="106"/>
    </row>
    <row r="4086" spans="8:9" x14ac:dyDescent="0.25">
      <c r="H4086" s="106"/>
      <c r="I4086" s="106"/>
    </row>
    <row r="4087" spans="8:9" x14ac:dyDescent="0.25">
      <c r="H4087" s="106"/>
      <c r="I4087" s="106"/>
    </row>
    <row r="4088" spans="8:9" x14ac:dyDescent="0.25">
      <c r="H4088" s="106"/>
      <c r="I4088" s="106"/>
    </row>
    <row r="4089" spans="8:9" x14ac:dyDescent="0.25">
      <c r="H4089" s="106"/>
      <c r="I4089" s="106"/>
    </row>
    <row r="4090" spans="8:9" x14ac:dyDescent="0.25">
      <c r="H4090" s="106"/>
      <c r="I4090" s="106"/>
    </row>
    <row r="4091" spans="8:9" x14ac:dyDescent="0.25">
      <c r="H4091" s="106"/>
      <c r="I4091" s="106"/>
    </row>
    <row r="4092" spans="8:9" x14ac:dyDescent="0.25">
      <c r="H4092" s="106"/>
      <c r="I4092" s="106"/>
    </row>
    <row r="4093" spans="8:9" x14ac:dyDescent="0.25">
      <c r="H4093" s="106"/>
      <c r="I4093" s="106"/>
    </row>
    <row r="4094" spans="8:9" x14ac:dyDescent="0.25">
      <c r="H4094" s="106"/>
      <c r="I4094" s="106"/>
    </row>
    <row r="4095" spans="8:9" x14ac:dyDescent="0.25">
      <c r="H4095" s="106"/>
      <c r="I4095" s="106"/>
    </row>
    <row r="4096" spans="8:9" x14ac:dyDescent="0.25">
      <c r="H4096" s="106"/>
      <c r="I4096" s="106"/>
    </row>
    <row r="4097" spans="8:9" x14ac:dyDescent="0.25">
      <c r="H4097" s="106"/>
      <c r="I4097" s="106"/>
    </row>
    <row r="4098" spans="8:9" x14ac:dyDescent="0.25">
      <c r="H4098" s="106"/>
      <c r="I4098" s="106"/>
    </row>
    <row r="4099" spans="8:9" x14ac:dyDescent="0.25">
      <c r="H4099" s="106"/>
      <c r="I4099" s="106"/>
    </row>
    <row r="4100" spans="8:9" x14ac:dyDescent="0.25">
      <c r="H4100" s="106"/>
      <c r="I4100" s="106"/>
    </row>
    <row r="4101" spans="8:9" x14ac:dyDescent="0.25">
      <c r="H4101" s="106"/>
      <c r="I4101" s="106"/>
    </row>
    <row r="4102" spans="8:9" x14ac:dyDescent="0.25">
      <c r="H4102" s="106"/>
      <c r="I4102" s="106"/>
    </row>
    <row r="4103" spans="8:9" x14ac:dyDescent="0.25">
      <c r="H4103" s="106"/>
      <c r="I4103" s="106"/>
    </row>
    <row r="4104" spans="8:9" x14ac:dyDescent="0.25">
      <c r="H4104" s="106"/>
      <c r="I4104" s="106"/>
    </row>
    <row r="4105" spans="8:9" x14ac:dyDescent="0.25">
      <c r="H4105" s="106"/>
      <c r="I4105" s="106"/>
    </row>
    <row r="4106" spans="8:9" x14ac:dyDescent="0.25">
      <c r="H4106" s="106"/>
      <c r="I4106" s="106"/>
    </row>
    <row r="4107" spans="8:9" x14ac:dyDescent="0.25">
      <c r="H4107" s="106"/>
      <c r="I4107" s="106"/>
    </row>
    <row r="4108" spans="8:9" x14ac:dyDescent="0.25">
      <c r="H4108" s="106"/>
      <c r="I4108" s="106"/>
    </row>
    <row r="4109" spans="8:9" x14ac:dyDescent="0.25">
      <c r="H4109" s="106"/>
      <c r="I4109" s="106"/>
    </row>
    <row r="4110" spans="8:9" x14ac:dyDescent="0.25">
      <c r="H4110" s="106"/>
      <c r="I4110" s="106"/>
    </row>
    <row r="4111" spans="8:9" x14ac:dyDescent="0.25">
      <c r="H4111" s="106"/>
      <c r="I4111" s="106"/>
    </row>
    <row r="4112" spans="8:9" x14ac:dyDescent="0.25">
      <c r="H4112" s="106"/>
      <c r="I4112" s="106"/>
    </row>
    <row r="4113" spans="8:9" x14ac:dyDescent="0.25">
      <c r="H4113" s="106"/>
      <c r="I4113" s="106"/>
    </row>
    <row r="4114" spans="8:9" x14ac:dyDescent="0.25">
      <c r="H4114" s="106"/>
      <c r="I4114" s="106"/>
    </row>
    <row r="4115" spans="8:9" x14ac:dyDescent="0.25">
      <c r="H4115" s="106"/>
      <c r="I4115" s="106"/>
    </row>
    <row r="4116" spans="8:9" x14ac:dyDescent="0.25">
      <c r="H4116" s="106"/>
      <c r="I4116" s="106"/>
    </row>
    <row r="4117" spans="8:9" x14ac:dyDescent="0.25">
      <c r="H4117" s="106"/>
      <c r="I4117" s="106"/>
    </row>
    <row r="4118" spans="8:9" x14ac:dyDescent="0.25">
      <c r="H4118" s="106"/>
      <c r="I4118" s="106"/>
    </row>
    <row r="4119" spans="8:9" x14ac:dyDescent="0.25">
      <c r="H4119" s="106"/>
      <c r="I4119" s="106"/>
    </row>
    <row r="4120" spans="8:9" x14ac:dyDescent="0.25">
      <c r="H4120" s="106"/>
      <c r="I4120" s="106"/>
    </row>
    <row r="4121" spans="8:9" x14ac:dyDescent="0.25">
      <c r="H4121" s="106"/>
      <c r="I4121" s="106"/>
    </row>
    <row r="4122" spans="8:9" x14ac:dyDescent="0.25">
      <c r="H4122" s="106"/>
      <c r="I4122" s="106"/>
    </row>
    <row r="4123" spans="8:9" x14ac:dyDescent="0.25">
      <c r="H4123" s="106"/>
      <c r="I4123" s="106"/>
    </row>
    <row r="4124" spans="8:9" x14ac:dyDescent="0.25">
      <c r="H4124" s="106"/>
      <c r="I4124" s="106"/>
    </row>
    <row r="4125" spans="8:9" x14ac:dyDescent="0.25">
      <c r="H4125" s="106"/>
      <c r="I4125" s="106"/>
    </row>
    <row r="4126" spans="8:9" x14ac:dyDescent="0.25">
      <c r="H4126" s="106"/>
      <c r="I4126" s="106"/>
    </row>
    <row r="4127" spans="8:9" x14ac:dyDescent="0.25">
      <c r="H4127" s="106"/>
      <c r="I4127" s="106"/>
    </row>
    <row r="4128" spans="8:9" x14ac:dyDescent="0.25">
      <c r="H4128" s="106"/>
      <c r="I4128" s="106"/>
    </row>
    <row r="4129" spans="8:9" x14ac:dyDescent="0.25">
      <c r="H4129" s="106"/>
      <c r="I4129" s="106"/>
    </row>
    <row r="4130" spans="8:9" x14ac:dyDescent="0.25">
      <c r="H4130" s="106"/>
      <c r="I4130" s="106"/>
    </row>
    <row r="4131" spans="8:9" x14ac:dyDescent="0.25">
      <c r="H4131" s="106"/>
      <c r="I4131" s="106"/>
    </row>
    <row r="4132" spans="8:9" x14ac:dyDescent="0.25">
      <c r="H4132" s="106"/>
      <c r="I4132" s="106"/>
    </row>
    <row r="4133" spans="8:9" x14ac:dyDescent="0.25">
      <c r="H4133" s="106"/>
      <c r="I4133" s="106"/>
    </row>
    <row r="4134" spans="8:9" x14ac:dyDescent="0.25">
      <c r="H4134" s="106"/>
      <c r="I4134" s="106"/>
    </row>
    <row r="4135" spans="8:9" x14ac:dyDescent="0.25">
      <c r="H4135" s="106"/>
      <c r="I4135" s="106"/>
    </row>
    <row r="4136" spans="8:9" x14ac:dyDescent="0.25">
      <c r="H4136" s="106"/>
      <c r="I4136" s="106"/>
    </row>
    <row r="4137" spans="8:9" x14ac:dyDescent="0.25">
      <c r="H4137" s="106"/>
      <c r="I4137" s="106"/>
    </row>
    <row r="4138" spans="8:9" x14ac:dyDescent="0.25">
      <c r="H4138" s="106"/>
      <c r="I4138" s="106"/>
    </row>
    <row r="4139" spans="8:9" x14ac:dyDescent="0.25">
      <c r="H4139" s="106"/>
      <c r="I4139" s="106"/>
    </row>
    <row r="4140" spans="8:9" x14ac:dyDescent="0.25">
      <c r="H4140" s="106"/>
      <c r="I4140" s="106"/>
    </row>
    <row r="4141" spans="8:9" x14ac:dyDescent="0.25">
      <c r="H4141" s="106"/>
      <c r="I4141" s="106"/>
    </row>
    <row r="4142" spans="8:9" x14ac:dyDescent="0.25">
      <c r="H4142" s="106"/>
      <c r="I4142" s="106"/>
    </row>
    <row r="4143" spans="8:9" x14ac:dyDescent="0.25">
      <c r="H4143" s="106"/>
      <c r="I4143" s="106"/>
    </row>
    <row r="4144" spans="8:9" x14ac:dyDescent="0.25">
      <c r="H4144" s="106"/>
      <c r="I4144" s="106"/>
    </row>
    <row r="4145" spans="8:9" x14ac:dyDescent="0.25">
      <c r="H4145" s="106"/>
      <c r="I4145" s="106"/>
    </row>
    <row r="4146" spans="8:9" x14ac:dyDescent="0.25">
      <c r="H4146" s="106"/>
      <c r="I4146" s="106"/>
    </row>
    <row r="4147" spans="8:9" x14ac:dyDescent="0.25">
      <c r="H4147" s="106"/>
      <c r="I4147" s="106"/>
    </row>
    <row r="4148" spans="8:9" x14ac:dyDescent="0.25">
      <c r="H4148" s="106"/>
      <c r="I4148" s="106"/>
    </row>
    <row r="4149" spans="8:9" x14ac:dyDescent="0.25">
      <c r="H4149" s="106"/>
      <c r="I4149" s="106"/>
    </row>
    <row r="4150" spans="8:9" x14ac:dyDescent="0.25">
      <c r="H4150" s="106"/>
      <c r="I4150" s="106"/>
    </row>
    <row r="4151" spans="8:9" x14ac:dyDescent="0.25">
      <c r="H4151" s="106"/>
      <c r="I4151" s="106"/>
    </row>
    <row r="4152" spans="8:9" x14ac:dyDescent="0.25">
      <c r="H4152" s="106"/>
      <c r="I4152" s="106"/>
    </row>
    <row r="4153" spans="8:9" x14ac:dyDescent="0.25">
      <c r="H4153" s="106"/>
      <c r="I4153" s="106"/>
    </row>
    <row r="4154" spans="8:9" x14ac:dyDescent="0.25">
      <c r="H4154" s="106"/>
      <c r="I4154" s="106"/>
    </row>
    <row r="4155" spans="8:9" x14ac:dyDescent="0.25">
      <c r="H4155" s="106"/>
      <c r="I4155" s="106"/>
    </row>
    <row r="4156" spans="8:9" x14ac:dyDescent="0.25">
      <c r="H4156" s="106"/>
      <c r="I4156" s="106"/>
    </row>
    <row r="4157" spans="8:9" x14ac:dyDescent="0.25">
      <c r="H4157" s="106"/>
      <c r="I4157" s="106"/>
    </row>
    <row r="4158" spans="8:9" x14ac:dyDescent="0.25">
      <c r="H4158" s="106"/>
      <c r="I4158" s="106"/>
    </row>
    <row r="4159" spans="8:9" x14ac:dyDescent="0.25">
      <c r="H4159" s="106"/>
      <c r="I4159" s="106"/>
    </row>
    <row r="4160" spans="8:9" x14ac:dyDescent="0.25">
      <c r="H4160" s="106"/>
      <c r="I4160" s="106"/>
    </row>
    <row r="4161" spans="8:9" x14ac:dyDescent="0.25">
      <c r="H4161" s="106"/>
      <c r="I4161" s="106"/>
    </row>
    <row r="4162" spans="8:9" x14ac:dyDescent="0.25">
      <c r="H4162" s="106"/>
      <c r="I4162" s="106"/>
    </row>
    <row r="4163" spans="8:9" x14ac:dyDescent="0.25">
      <c r="H4163" s="106"/>
      <c r="I4163" s="106"/>
    </row>
    <row r="4164" spans="8:9" x14ac:dyDescent="0.25">
      <c r="H4164" s="106"/>
      <c r="I4164" s="106"/>
    </row>
    <row r="4165" spans="8:9" x14ac:dyDescent="0.25">
      <c r="H4165" s="106"/>
      <c r="I4165" s="106"/>
    </row>
    <row r="4166" spans="8:9" x14ac:dyDescent="0.25">
      <c r="H4166" s="106"/>
      <c r="I4166" s="106"/>
    </row>
    <row r="4167" spans="8:9" x14ac:dyDescent="0.25">
      <c r="H4167" s="106"/>
      <c r="I4167" s="106"/>
    </row>
    <row r="4168" spans="8:9" x14ac:dyDescent="0.25">
      <c r="H4168" s="106"/>
      <c r="I4168" s="106"/>
    </row>
    <row r="4169" spans="8:9" x14ac:dyDescent="0.25">
      <c r="H4169" s="106"/>
      <c r="I4169" s="106"/>
    </row>
    <row r="4170" spans="8:9" x14ac:dyDescent="0.25">
      <c r="H4170" s="106"/>
      <c r="I4170" s="106"/>
    </row>
    <row r="4171" spans="8:9" x14ac:dyDescent="0.25">
      <c r="H4171" s="106"/>
      <c r="I4171" s="106"/>
    </row>
    <row r="4172" spans="8:9" x14ac:dyDescent="0.25">
      <c r="H4172" s="106"/>
      <c r="I4172" s="106"/>
    </row>
    <row r="4173" spans="8:9" x14ac:dyDescent="0.25">
      <c r="H4173" s="106"/>
      <c r="I4173" s="106"/>
    </row>
    <row r="4174" spans="8:9" x14ac:dyDescent="0.25">
      <c r="H4174" s="106"/>
      <c r="I4174" s="106"/>
    </row>
    <row r="4175" spans="8:9" x14ac:dyDescent="0.25">
      <c r="H4175" s="106"/>
      <c r="I4175" s="106"/>
    </row>
    <row r="4176" spans="8:9" x14ac:dyDescent="0.25">
      <c r="H4176" s="106"/>
      <c r="I4176" s="106"/>
    </row>
    <row r="4177" spans="8:9" x14ac:dyDescent="0.25">
      <c r="H4177" s="106"/>
      <c r="I4177" s="106"/>
    </row>
    <row r="4178" spans="8:9" x14ac:dyDescent="0.25">
      <c r="H4178" s="106"/>
      <c r="I4178" s="106"/>
    </row>
    <row r="4179" spans="8:9" x14ac:dyDescent="0.25">
      <c r="H4179" s="106"/>
      <c r="I4179" s="106"/>
    </row>
    <row r="4180" spans="8:9" x14ac:dyDescent="0.25">
      <c r="H4180" s="106"/>
      <c r="I4180" s="106"/>
    </row>
    <row r="4181" spans="8:9" x14ac:dyDescent="0.25">
      <c r="H4181" s="106"/>
      <c r="I4181" s="106"/>
    </row>
    <row r="4182" spans="8:9" x14ac:dyDescent="0.25">
      <c r="H4182" s="106"/>
      <c r="I4182" s="106"/>
    </row>
    <row r="4183" spans="8:9" x14ac:dyDescent="0.25">
      <c r="H4183" s="106"/>
      <c r="I4183" s="106"/>
    </row>
    <row r="4184" spans="8:9" x14ac:dyDescent="0.25">
      <c r="H4184" s="106"/>
      <c r="I4184" s="106"/>
    </row>
    <row r="4185" spans="8:9" x14ac:dyDescent="0.25">
      <c r="H4185" s="106"/>
      <c r="I4185" s="106"/>
    </row>
    <row r="4186" spans="8:9" x14ac:dyDescent="0.25">
      <c r="H4186" s="106"/>
      <c r="I4186" s="106"/>
    </row>
    <row r="4187" spans="8:9" x14ac:dyDescent="0.25">
      <c r="H4187" s="106"/>
      <c r="I4187" s="106"/>
    </row>
    <row r="4188" spans="8:9" x14ac:dyDescent="0.25">
      <c r="H4188" s="106"/>
      <c r="I4188" s="106"/>
    </row>
    <row r="4189" spans="8:9" x14ac:dyDescent="0.25">
      <c r="H4189" s="106"/>
      <c r="I4189" s="106"/>
    </row>
    <row r="4190" spans="8:9" x14ac:dyDescent="0.25">
      <c r="H4190" s="106"/>
      <c r="I4190" s="106"/>
    </row>
    <row r="4191" spans="8:9" x14ac:dyDescent="0.25">
      <c r="H4191" s="106"/>
      <c r="I4191" s="106"/>
    </row>
    <row r="4192" spans="8:9" x14ac:dyDescent="0.25">
      <c r="H4192" s="106"/>
      <c r="I4192" s="106"/>
    </row>
    <row r="4193" spans="8:9" x14ac:dyDescent="0.25">
      <c r="H4193" s="106"/>
      <c r="I4193" s="106"/>
    </row>
    <row r="4194" spans="8:9" x14ac:dyDescent="0.25">
      <c r="H4194" s="106"/>
      <c r="I4194" s="106"/>
    </row>
    <row r="4195" spans="8:9" x14ac:dyDescent="0.25">
      <c r="H4195" s="106"/>
      <c r="I4195" s="106"/>
    </row>
    <row r="4196" spans="8:9" x14ac:dyDescent="0.25">
      <c r="H4196" s="106"/>
      <c r="I4196" s="106"/>
    </row>
    <row r="4197" spans="8:9" x14ac:dyDescent="0.25">
      <c r="H4197" s="106"/>
      <c r="I4197" s="106"/>
    </row>
    <row r="4198" spans="8:9" x14ac:dyDescent="0.25">
      <c r="H4198" s="106"/>
      <c r="I4198" s="106"/>
    </row>
    <row r="4199" spans="8:9" x14ac:dyDescent="0.25">
      <c r="H4199" s="106"/>
      <c r="I4199" s="106"/>
    </row>
    <row r="4200" spans="8:9" x14ac:dyDescent="0.25">
      <c r="H4200" s="106"/>
      <c r="I4200" s="106"/>
    </row>
    <row r="4201" spans="8:9" x14ac:dyDescent="0.25">
      <c r="H4201" s="106"/>
      <c r="I4201" s="106"/>
    </row>
    <row r="4202" spans="8:9" x14ac:dyDescent="0.25">
      <c r="H4202" s="106"/>
      <c r="I4202" s="106"/>
    </row>
    <row r="4203" spans="8:9" x14ac:dyDescent="0.25">
      <c r="H4203" s="106"/>
      <c r="I4203" s="106"/>
    </row>
    <row r="4204" spans="8:9" x14ac:dyDescent="0.25">
      <c r="H4204" s="106"/>
      <c r="I4204" s="106"/>
    </row>
    <row r="4205" spans="8:9" x14ac:dyDescent="0.25">
      <c r="H4205" s="106"/>
      <c r="I4205" s="106"/>
    </row>
    <row r="4206" spans="8:9" x14ac:dyDescent="0.25">
      <c r="H4206" s="106"/>
      <c r="I4206" s="106"/>
    </row>
    <row r="4207" spans="8:9" x14ac:dyDescent="0.25">
      <c r="H4207" s="106"/>
      <c r="I4207" s="106"/>
    </row>
    <row r="4208" spans="8:9" x14ac:dyDescent="0.25">
      <c r="H4208" s="106"/>
      <c r="I4208" s="106"/>
    </row>
    <row r="4209" spans="8:9" x14ac:dyDescent="0.25">
      <c r="H4209" s="106"/>
      <c r="I4209" s="106"/>
    </row>
    <row r="4210" spans="8:9" x14ac:dyDescent="0.25">
      <c r="H4210" s="106"/>
      <c r="I4210" s="106"/>
    </row>
    <row r="4211" spans="8:9" x14ac:dyDescent="0.25">
      <c r="H4211" s="106"/>
      <c r="I4211" s="106"/>
    </row>
    <row r="4212" spans="8:9" x14ac:dyDescent="0.25">
      <c r="H4212" s="106"/>
      <c r="I4212" s="106"/>
    </row>
    <row r="4213" spans="8:9" x14ac:dyDescent="0.25">
      <c r="H4213" s="106"/>
      <c r="I4213" s="106"/>
    </row>
    <row r="4214" spans="8:9" x14ac:dyDescent="0.25">
      <c r="H4214" s="106"/>
      <c r="I4214" s="106"/>
    </row>
    <row r="4215" spans="8:9" x14ac:dyDescent="0.25">
      <c r="H4215" s="106"/>
      <c r="I4215" s="106"/>
    </row>
    <row r="4216" spans="8:9" x14ac:dyDescent="0.25">
      <c r="H4216" s="106"/>
      <c r="I4216" s="106"/>
    </row>
    <row r="4217" spans="8:9" x14ac:dyDescent="0.25">
      <c r="H4217" s="106"/>
      <c r="I4217" s="106"/>
    </row>
    <row r="4218" spans="8:9" x14ac:dyDescent="0.25">
      <c r="H4218" s="106"/>
      <c r="I4218" s="106"/>
    </row>
    <row r="4219" spans="8:9" x14ac:dyDescent="0.25">
      <c r="H4219" s="106"/>
      <c r="I4219" s="106"/>
    </row>
    <row r="4220" spans="8:9" x14ac:dyDescent="0.25">
      <c r="H4220" s="106"/>
      <c r="I4220" s="106"/>
    </row>
    <row r="4221" spans="8:9" x14ac:dyDescent="0.25">
      <c r="H4221" s="106"/>
      <c r="I4221" s="106"/>
    </row>
    <row r="4222" spans="8:9" x14ac:dyDescent="0.25">
      <c r="H4222" s="106"/>
      <c r="I4222" s="106"/>
    </row>
    <row r="4223" spans="8:9" x14ac:dyDescent="0.25">
      <c r="H4223" s="106"/>
      <c r="I4223" s="106"/>
    </row>
    <row r="4224" spans="8:9" x14ac:dyDescent="0.25">
      <c r="H4224" s="106"/>
      <c r="I4224" s="106"/>
    </row>
    <row r="4225" spans="8:9" x14ac:dyDescent="0.25">
      <c r="H4225" s="106"/>
      <c r="I4225" s="106"/>
    </row>
    <row r="4226" spans="8:9" x14ac:dyDescent="0.25">
      <c r="H4226" s="106"/>
      <c r="I4226" s="106"/>
    </row>
    <row r="4227" spans="8:9" x14ac:dyDescent="0.25">
      <c r="H4227" s="106"/>
      <c r="I4227" s="106"/>
    </row>
    <row r="4228" spans="8:9" x14ac:dyDescent="0.25">
      <c r="H4228" s="106"/>
      <c r="I4228" s="106"/>
    </row>
    <row r="4229" spans="8:9" x14ac:dyDescent="0.25">
      <c r="H4229" s="106"/>
      <c r="I4229" s="106"/>
    </row>
    <row r="4230" spans="8:9" x14ac:dyDescent="0.25">
      <c r="H4230" s="106"/>
      <c r="I4230" s="106"/>
    </row>
    <row r="4231" spans="8:9" x14ac:dyDescent="0.25">
      <c r="H4231" s="106"/>
      <c r="I4231" s="106"/>
    </row>
    <row r="4232" spans="8:9" x14ac:dyDescent="0.25">
      <c r="H4232" s="106"/>
      <c r="I4232" s="106"/>
    </row>
    <row r="4233" spans="8:9" x14ac:dyDescent="0.25">
      <c r="H4233" s="106"/>
      <c r="I4233" s="106"/>
    </row>
    <row r="4234" spans="8:9" x14ac:dyDescent="0.25">
      <c r="H4234" s="106"/>
      <c r="I4234" s="106"/>
    </row>
    <row r="4235" spans="8:9" x14ac:dyDescent="0.25">
      <c r="H4235" s="106"/>
      <c r="I4235" s="106"/>
    </row>
    <row r="4236" spans="8:9" x14ac:dyDescent="0.25">
      <c r="H4236" s="106"/>
      <c r="I4236" s="106"/>
    </row>
    <row r="4237" spans="8:9" x14ac:dyDescent="0.25">
      <c r="H4237" s="106"/>
      <c r="I4237" s="106"/>
    </row>
    <row r="4238" spans="8:9" x14ac:dyDescent="0.25">
      <c r="H4238" s="106"/>
      <c r="I4238" s="106"/>
    </row>
    <row r="4239" spans="8:9" x14ac:dyDescent="0.25">
      <c r="H4239" s="106"/>
      <c r="I4239" s="106"/>
    </row>
    <row r="4240" spans="8:9" x14ac:dyDescent="0.25">
      <c r="H4240" s="106"/>
      <c r="I4240" s="106"/>
    </row>
    <row r="4241" spans="8:9" x14ac:dyDescent="0.25">
      <c r="H4241" s="106"/>
      <c r="I4241" s="106"/>
    </row>
    <row r="4242" spans="8:9" x14ac:dyDescent="0.25">
      <c r="H4242" s="106"/>
      <c r="I4242" s="106"/>
    </row>
    <row r="4243" spans="8:9" x14ac:dyDescent="0.25">
      <c r="H4243" s="106"/>
      <c r="I4243" s="106"/>
    </row>
    <row r="4244" spans="8:9" x14ac:dyDescent="0.25">
      <c r="H4244" s="106"/>
      <c r="I4244" s="106"/>
    </row>
    <row r="4245" spans="8:9" x14ac:dyDescent="0.25">
      <c r="H4245" s="106"/>
      <c r="I4245" s="106"/>
    </row>
    <row r="4246" spans="8:9" x14ac:dyDescent="0.25">
      <c r="H4246" s="106"/>
      <c r="I4246" s="106"/>
    </row>
    <row r="4247" spans="8:9" x14ac:dyDescent="0.25">
      <c r="H4247" s="106"/>
      <c r="I4247" s="106"/>
    </row>
    <row r="4248" spans="8:9" x14ac:dyDescent="0.25">
      <c r="H4248" s="106"/>
      <c r="I4248" s="106"/>
    </row>
    <row r="4249" spans="8:9" x14ac:dyDescent="0.25">
      <c r="H4249" s="106"/>
      <c r="I4249" s="106"/>
    </row>
    <row r="4250" spans="8:9" x14ac:dyDescent="0.25">
      <c r="H4250" s="106"/>
      <c r="I4250" s="106"/>
    </row>
    <row r="4251" spans="8:9" x14ac:dyDescent="0.25">
      <c r="H4251" s="106"/>
      <c r="I4251" s="106"/>
    </row>
    <row r="4252" spans="8:9" x14ac:dyDescent="0.25">
      <c r="H4252" s="106"/>
      <c r="I4252" s="106"/>
    </row>
    <row r="4253" spans="8:9" x14ac:dyDescent="0.25">
      <c r="H4253" s="106"/>
      <c r="I4253" s="106"/>
    </row>
    <row r="4254" spans="8:9" x14ac:dyDescent="0.25">
      <c r="H4254" s="106"/>
      <c r="I4254" s="106"/>
    </row>
    <row r="4255" spans="8:9" x14ac:dyDescent="0.25">
      <c r="H4255" s="106"/>
      <c r="I4255" s="106"/>
    </row>
    <row r="4256" spans="8:9" x14ac:dyDescent="0.25">
      <c r="H4256" s="106"/>
      <c r="I4256" s="106"/>
    </row>
    <row r="4257" spans="8:9" x14ac:dyDescent="0.25">
      <c r="H4257" s="106"/>
      <c r="I4257" s="106"/>
    </row>
    <row r="4258" spans="8:9" x14ac:dyDescent="0.25">
      <c r="H4258" s="106"/>
      <c r="I4258" s="106"/>
    </row>
    <row r="4259" spans="8:9" x14ac:dyDescent="0.25">
      <c r="H4259" s="106"/>
      <c r="I4259" s="106"/>
    </row>
    <row r="4260" spans="8:9" x14ac:dyDescent="0.25">
      <c r="H4260" s="106"/>
      <c r="I4260" s="106"/>
    </row>
    <row r="4261" spans="8:9" x14ac:dyDescent="0.25">
      <c r="H4261" s="106"/>
      <c r="I4261" s="106"/>
    </row>
    <row r="4262" spans="8:9" x14ac:dyDescent="0.25">
      <c r="H4262" s="106"/>
      <c r="I4262" s="106"/>
    </row>
    <row r="4263" spans="8:9" x14ac:dyDescent="0.25">
      <c r="H4263" s="106"/>
      <c r="I4263" s="106"/>
    </row>
    <row r="4264" spans="8:9" x14ac:dyDescent="0.25">
      <c r="H4264" s="106"/>
      <c r="I4264" s="106"/>
    </row>
    <row r="4265" spans="8:9" x14ac:dyDescent="0.25">
      <c r="H4265" s="106"/>
      <c r="I4265" s="106"/>
    </row>
    <row r="4266" spans="8:9" x14ac:dyDescent="0.25">
      <c r="H4266" s="106"/>
      <c r="I4266" s="106"/>
    </row>
    <row r="4267" spans="8:9" x14ac:dyDescent="0.25">
      <c r="H4267" s="106"/>
      <c r="I4267" s="106"/>
    </row>
    <row r="4268" spans="8:9" x14ac:dyDescent="0.25">
      <c r="H4268" s="106"/>
      <c r="I4268" s="106"/>
    </row>
    <row r="4269" spans="8:9" x14ac:dyDescent="0.25">
      <c r="H4269" s="106"/>
      <c r="I4269" s="106"/>
    </row>
    <row r="4270" spans="8:9" x14ac:dyDescent="0.25">
      <c r="H4270" s="106"/>
      <c r="I4270" s="106"/>
    </row>
    <row r="4271" spans="8:9" x14ac:dyDescent="0.25">
      <c r="H4271" s="106"/>
      <c r="I4271" s="106"/>
    </row>
    <row r="4272" spans="8:9" x14ac:dyDescent="0.25">
      <c r="H4272" s="106"/>
      <c r="I4272" s="106"/>
    </row>
    <row r="4273" spans="8:9" x14ac:dyDescent="0.25">
      <c r="H4273" s="106"/>
      <c r="I4273" s="106"/>
    </row>
    <row r="4274" spans="8:9" x14ac:dyDescent="0.25">
      <c r="H4274" s="106"/>
      <c r="I4274" s="106"/>
    </row>
    <row r="4275" spans="8:9" x14ac:dyDescent="0.25">
      <c r="H4275" s="106"/>
      <c r="I4275" s="106"/>
    </row>
    <row r="4276" spans="8:9" x14ac:dyDescent="0.25">
      <c r="H4276" s="106"/>
      <c r="I4276" s="106"/>
    </row>
    <row r="4277" spans="8:9" x14ac:dyDescent="0.25">
      <c r="H4277" s="106"/>
      <c r="I4277" s="106"/>
    </row>
    <row r="4278" spans="8:9" x14ac:dyDescent="0.25">
      <c r="H4278" s="106"/>
      <c r="I4278" s="106"/>
    </row>
    <row r="4279" spans="8:9" x14ac:dyDescent="0.25">
      <c r="H4279" s="106"/>
      <c r="I4279" s="106"/>
    </row>
    <row r="4280" spans="8:9" x14ac:dyDescent="0.25">
      <c r="H4280" s="106"/>
      <c r="I4280" s="106"/>
    </row>
    <row r="4281" spans="8:9" x14ac:dyDescent="0.25">
      <c r="H4281" s="106"/>
      <c r="I4281" s="106"/>
    </row>
    <row r="4282" spans="8:9" x14ac:dyDescent="0.25">
      <c r="H4282" s="106"/>
      <c r="I4282" s="106"/>
    </row>
    <row r="4283" spans="8:9" x14ac:dyDescent="0.25">
      <c r="H4283" s="106"/>
      <c r="I4283" s="106"/>
    </row>
    <row r="4284" spans="8:9" x14ac:dyDescent="0.25">
      <c r="H4284" s="106"/>
      <c r="I4284" s="106"/>
    </row>
    <row r="4285" spans="8:9" x14ac:dyDescent="0.25">
      <c r="H4285" s="106"/>
      <c r="I4285" s="106"/>
    </row>
    <row r="4286" spans="8:9" x14ac:dyDescent="0.25">
      <c r="H4286" s="106"/>
      <c r="I4286" s="106"/>
    </row>
    <row r="4287" spans="8:9" x14ac:dyDescent="0.25">
      <c r="H4287" s="106"/>
      <c r="I4287" s="106"/>
    </row>
    <row r="4288" spans="8:9" x14ac:dyDescent="0.25">
      <c r="H4288" s="106"/>
      <c r="I4288" s="106"/>
    </row>
    <row r="4289" spans="8:9" x14ac:dyDescent="0.25">
      <c r="H4289" s="106"/>
      <c r="I4289" s="106"/>
    </row>
    <row r="4290" spans="8:9" x14ac:dyDescent="0.25">
      <c r="H4290" s="106"/>
      <c r="I4290" s="106"/>
    </row>
    <row r="4291" spans="8:9" x14ac:dyDescent="0.25">
      <c r="H4291" s="106"/>
      <c r="I4291" s="106"/>
    </row>
    <row r="4292" spans="8:9" x14ac:dyDescent="0.25">
      <c r="H4292" s="106"/>
      <c r="I4292" s="106"/>
    </row>
    <row r="4293" spans="8:9" x14ac:dyDescent="0.25">
      <c r="H4293" s="106"/>
      <c r="I4293" s="106"/>
    </row>
    <row r="4294" spans="8:9" x14ac:dyDescent="0.25">
      <c r="H4294" s="106"/>
      <c r="I4294" s="106"/>
    </row>
    <row r="4295" spans="8:9" x14ac:dyDescent="0.25">
      <c r="H4295" s="106"/>
      <c r="I4295" s="106"/>
    </row>
    <row r="4296" spans="8:9" x14ac:dyDescent="0.25">
      <c r="H4296" s="106"/>
      <c r="I4296" s="106"/>
    </row>
    <row r="4297" spans="8:9" x14ac:dyDescent="0.25">
      <c r="H4297" s="106"/>
      <c r="I4297" s="106"/>
    </row>
    <row r="4298" spans="8:9" x14ac:dyDescent="0.25">
      <c r="H4298" s="106"/>
      <c r="I4298" s="106"/>
    </row>
    <row r="4299" spans="8:9" x14ac:dyDescent="0.25">
      <c r="H4299" s="106"/>
      <c r="I4299" s="106"/>
    </row>
    <row r="4300" spans="8:9" x14ac:dyDescent="0.25">
      <c r="H4300" s="106"/>
      <c r="I4300" s="106"/>
    </row>
    <row r="4301" spans="8:9" x14ac:dyDescent="0.25">
      <c r="H4301" s="106"/>
      <c r="I4301" s="106"/>
    </row>
    <row r="4302" spans="8:9" x14ac:dyDescent="0.25">
      <c r="H4302" s="106"/>
      <c r="I4302" s="106"/>
    </row>
    <row r="4303" spans="8:9" x14ac:dyDescent="0.25">
      <c r="H4303" s="106"/>
      <c r="I4303" s="106"/>
    </row>
    <row r="4304" spans="8:9" x14ac:dyDescent="0.25">
      <c r="H4304" s="106"/>
      <c r="I4304" s="106"/>
    </row>
    <row r="4305" spans="8:9" x14ac:dyDescent="0.25">
      <c r="H4305" s="106"/>
      <c r="I4305" s="106"/>
    </row>
    <row r="4306" spans="8:9" x14ac:dyDescent="0.25">
      <c r="H4306" s="106"/>
      <c r="I4306" s="106"/>
    </row>
    <row r="4307" spans="8:9" x14ac:dyDescent="0.25">
      <c r="H4307" s="106"/>
      <c r="I4307" s="106"/>
    </row>
    <row r="4308" spans="8:9" x14ac:dyDescent="0.25">
      <c r="H4308" s="106"/>
      <c r="I4308" s="106"/>
    </row>
    <row r="4309" spans="8:9" x14ac:dyDescent="0.25">
      <c r="H4309" s="106"/>
      <c r="I4309" s="106"/>
    </row>
    <row r="4310" spans="8:9" x14ac:dyDescent="0.25">
      <c r="H4310" s="106"/>
      <c r="I4310" s="106"/>
    </row>
    <row r="4311" spans="8:9" x14ac:dyDescent="0.25">
      <c r="H4311" s="106"/>
      <c r="I4311" s="106"/>
    </row>
    <row r="4312" spans="8:9" x14ac:dyDescent="0.25">
      <c r="H4312" s="106"/>
      <c r="I4312" s="106"/>
    </row>
    <row r="4313" spans="8:9" x14ac:dyDescent="0.25">
      <c r="H4313" s="106"/>
      <c r="I4313" s="106"/>
    </row>
    <row r="4314" spans="8:9" x14ac:dyDescent="0.25">
      <c r="H4314" s="106"/>
      <c r="I4314" s="106"/>
    </row>
    <row r="4315" spans="8:9" x14ac:dyDescent="0.25">
      <c r="H4315" s="106"/>
      <c r="I4315" s="106"/>
    </row>
    <row r="4316" spans="8:9" x14ac:dyDescent="0.25">
      <c r="H4316" s="106"/>
      <c r="I4316" s="106"/>
    </row>
    <row r="4317" spans="8:9" x14ac:dyDescent="0.25">
      <c r="H4317" s="106"/>
      <c r="I4317" s="106"/>
    </row>
    <row r="4318" spans="8:9" x14ac:dyDescent="0.25">
      <c r="H4318" s="106"/>
      <c r="I4318" s="106"/>
    </row>
    <row r="4319" spans="8:9" x14ac:dyDescent="0.25">
      <c r="H4319" s="106"/>
      <c r="I4319" s="106"/>
    </row>
    <row r="4320" spans="8:9" x14ac:dyDescent="0.25">
      <c r="H4320" s="106"/>
      <c r="I4320" s="106"/>
    </row>
    <row r="4321" spans="8:9" x14ac:dyDescent="0.25">
      <c r="H4321" s="106"/>
      <c r="I4321" s="106"/>
    </row>
    <row r="4322" spans="8:9" x14ac:dyDescent="0.25">
      <c r="H4322" s="106"/>
      <c r="I4322" s="106"/>
    </row>
    <row r="4323" spans="8:9" x14ac:dyDescent="0.25">
      <c r="H4323" s="106"/>
      <c r="I4323" s="106"/>
    </row>
    <row r="4324" spans="8:9" x14ac:dyDescent="0.25">
      <c r="H4324" s="106"/>
      <c r="I4324" s="106"/>
    </row>
    <row r="4325" spans="8:9" x14ac:dyDescent="0.25">
      <c r="H4325" s="106"/>
      <c r="I4325" s="106"/>
    </row>
    <row r="4326" spans="8:9" x14ac:dyDescent="0.25">
      <c r="H4326" s="106"/>
      <c r="I4326" s="106"/>
    </row>
    <row r="4327" spans="8:9" x14ac:dyDescent="0.25">
      <c r="H4327" s="106"/>
      <c r="I4327" s="106"/>
    </row>
    <row r="4328" spans="8:9" x14ac:dyDescent="0.25">
      <c r="H4328" s="106"/>
      <c r="I4328" s="106"/>
    </row>
    <row r="4329" spans="8:9" x14ac:dyDescent="0.25">
      <c r="H4329" s="106"/>
      <c r="I4329" s="106"/>
    </row>
    <row r="4330" spans="8:9" x14ac:dyDescent="0.25">
      <c r="H4330" s="106"/>
      <c r="I4330" s="106"/>
    </row>
    <row r="4331" spans="8:9" x14ac:dyDescent="0.25">
      <c r="H4331" s="106"/>
      <c r="I4331" s="106"/>
    </row>
    <row r="4332" spans="8:9" x14ac:dyDescent="0.25">
      <c r="H4332" s="106"/>
      <c r="I4332" s="106"/>
    </row>
    <row r="4333" spans="8:9" x14ac:dyDescent="0.25">
      <c r="H4333" s="106"/>
      <c r="I4333" s="106"/>
    </row>
    <row r="4334" spans="8:9" x14ac:dyDescent="0.25">
      <c r="H4334" s="106"/>
      <c r="I4334" s="106"/>
    </row>
    <row r="4335" spans="8:9" x14ac:dyDescent="0.25">
      <c r="H4335" s="106"/>
      <c r="I4335" s="106"/>
    </row>
    <row r="4336" spans="8:9" x14ac:dyDescent="0.25">
      <c r="H4336" s="106"/>
      <c r="I4336" s="106"/>
    </row>
    <row r="4337" spans="8:9" x14ac:dyDescent="0.25">
      <c r="H4337" s="106"/>
      <c r="I4337" s="106"/>
    </row>
    <row r="4338" spans="8:9" x14ac:dyDescent="0.25">
      <c r="H4338" s="106"/>
      <c r="I4338" s="106"/>
    </row>
    <row r="4339" spans="8:9" x14ac:dyDescent="0.25">
      <c r="H4339" s="106"/>
      <c r="I4339" s="106"/>
    </row>
    <row r="4340" spans="8:9" x14ac:dyDescent="0.25">
      <c r="H4340" s="106"/>
      <c r="I4340" s="106"/>
    </row>
    <row r="4341" spans="8:9" x14ac:dyDescent="0.25">
      <c r="H4341" s="106"/>
      <c r="I4341" s="106"/>
    </row>
    <row r="4342" spans="8:9" x14ac:dyDescent="0.25">
      <c r="H4342" s="106"/>
      <c r="I4342" s="106"/>
    </row>
    <row r="4343" spans="8:9" x14ac:dyDescent="0.25">
      <c r="H4343" s="106"/>
      <c r="I4343" s="106"/>
    </row>
    <row r="4344" spans="8:9" x14ac:dyDescent="0.25">
      <c r="H4344" s="106"/>
      <c r="I4344" s="106"/>
    </row>
    <row r="4345" spans="8:9" x14ac:dyDescent="0.25">
      <c r="H4345" s="106"/>
      <c r="I4345" s="106"/>
    </row>
    <row r="4346" spans="8:9" x14ac:dyDescent="0.25">
      <c r="H4346" s="106"/>
      <c r="I4346" s="106"/>
    </row>
    <row r="4347" spans="8:9" x14ac:dyDescent="0.25">
      <c r="H4347" s="106"/>
      <c r="I4347" s="106"/>
    </row>
    <row r="4348" spans="8:9" x14ac:dyDescent="0.25">
      <c r="H4348" s="106"/>
      <c r="I4348" s="106"/>
    </row>
    <row r="4349" spans="8:9" x14ac:dyDescent="0.25">
      <c r="H4349" s="106"/>
      <c r="I4349" s="106"/>
    </row>
    <row r="4350" spans="8:9" x14ac:dyDescent="0.25">
      <c r="H4350" s="106"/>
      <c r="I4350" s="106"/>
    </row>
    <row r="4351" spans="8:9" x14ac:dyDescent="0.25">
      <c r="H4351" s="106"/>
      <c r="I4351" s="106"/>
    </row>
    <row r="4352" spans="8:9" x14ac:dyDescent="0.25">
      <c r="H4352" s="106"/>
      <c r="I4352" s="106"/>
    </row>
    <row r="4353" spans="8:9" x14ac:dyDescent="0.25">
      <c r="H4353" s="106"/>
      <c r="I4353" s="106"/>
    </row>
    <row r="4354" spans="8:9" x14ac:dyDescent="0.25">
      <c r="H4354" s="106"/>
      <c r="I4354" s="106"/>
    </row>
    <row r="4355" spans="8:9" x14ac:dyDescent="0.25">
      <c r="H4355" s="106"/>
      <c r="I4355" s="106"/>
    </row>
    <row r="4356" spans="8:9" x14ac:dyDescent="0.25">
      <c r="H4356" s="106"/>
      <c r="I4356" s="106"/>
    </row>
    <row r="4357" spans="8:9" x14ac:dyDescent="0.25">
      <c r="H4357" s="106"/>
      <c r="I4357" s="106"/>
    </row>
    <row r="4358" spans="8:9" x14ac:dyDescent="0.25">
      <c r="H4358" s="106"/>
      <c r="I4358" s="106"/>
    </row>
    <row r="4359" spans="8:9" x14ac:dyDescent="0.25">
      <c r="H4359" s="106"/>
      <c r="I4359" s="106"/>
    </row>
    <row r="4360" spans="8:9" x14ac:dyDescent="0.25">
      <c r="H4360" s="106"/>
      <c r="I4360" s="106"/>
    </row>
    <row r="4361" spans="8:9" x14ac:dyDescent="0.25">
      <c r="H4361" s="106"/>
      <c r="I4361" s="106"/>
    </row>
    <row r="4362" spans="8:9" x14ac:dyDescent="0.25">
      <c r="H4362" s="106"/>
      <c r="I4362" s="106"/>
    </row>
    <row r="4363" spans="8:9" x14ac:dyDescent="0.25">
      <c r="H4363" s="106"/>
      <c r="I4363" s="106"/>
    </row>
    <row r="4364" spans="8:9" x14ac:dyDescent="0.25">
      <c r="H4364" s="106"/>
      <c r="I4364" s="106"/>
    </row>
    <row r="4365" spans="8:9" x14ac:dyDescent="0.25">
      <c r="H4365" s="106"/>
      <c r="I4365" s="106"/>
    </row>
    <row r="4366" spans="8:9" x14ac:dyDescent="0.25">
      <c r="H4366" s="106"/>
      <c r="I4366" s="106"/>
    </row>
    <row r="4367" spans="8:9" x14ac:dyDescent="0.25">
      <c r="H4367" s="106"/>
      <c r="I4367" s="106"/>
    </row>
    <row r="4368" spans="8:9" x14ac:dyDescent="0.25">
      <c r="H4368" s="106"/>
      <c r="I4368" s="106"/>
    </row>
    <row r="4369" spans="8:9" x14ac:dyDescent="0.25">
      <c r="H4369" s="106"/>
      <c r="I4369" s="106"/>
    </row>
    <row r="4370" spans="8:9" x14ac:dyDescent="0.25">
      <c r="H4370" s="106"/>
      <c r="I4370" s="106"/>
    </row>
    <row r="4371" spans="8:9" x14ac:dyDescent="0.25">
      <c r="H4371" s="106"/>
      <c r="I4371" s="106"/>
    </row>
    <row r="4372" spans="8:9" x14ac:dyDescent="0.25">
      <c r="H4372" s="106"/>
      <c r="I4372" s="106"/>
    </row>
    <row r="4373" spans="8:9" x14ac:dyDescent="0.25">
      <c r="H4373" s="106"/>
      <c r="I4373" s="106"/>
    </row>
    <row r="4374" spans="8:9" x14ac:dyDescent="0.25">
      <c r="H4374" s="106"/>
      <c r="I4374" s="106"/>
    </row>
    <row r="4375" spans="8:9" x14ac:dyDescent="0.25">
      <c r="H4375" s="106"/>
      <c r="I4375" s="106"/>
    </row>
    <row r="4376" spans="8:9" x14ac:dyDescent="0.25">
      <c r="H4376" s="106"/>
      <c r="I4376" s="106"/>
    </row>
    <row r="4377" spans="8:9" x14ac:dyDescent="0.25">
      <c r="H4377" s="106"/>
      <c r="I4377" s="106"/>
    </row>
    <row r="4378" spans="8:9" x14ac:dyDescent="0.25">
      <c r="H4378" s="106"/>
      <c r="I4378" s="106"/>
    </row>
    <row r="4379" spans="8:9" x14ac:dyDescent="0.25">
      <c r="H4379" s="106"/>
      <c r="I4379" s="106"/>
    </row>
    <row r="4380" spans="8:9" x14ac:dyDescent="0.25">
      <c r="H4380" s="106"/>
      <c r="I4380" s="106"/>
    </row>
    <row r="4381" spans="8:9" x14ac:dyDescent="0.25">
      <c r="H4381" s="106"/>
      <c r="I4381" s="106"/>
    </row>
    <row r="4382" spans="8:9" x14ac:dyDescent="0.25">
      <c r="H4382" s="106"/>
      <c r="I4382" s="106"/>
    </row>
    <row r="4383" spans="8:9" x14ac:dyDescent="0.25">
      <c r="H4383" s="106"/>
      <c r="I4383" s="106"/>
    </row>
    <row r="4384" spans="8:9" x14ac:dyDescent="0.25">
      <c r="H4384" s="106"/>
      <c r="I4384" s="106"/>
    </row>
    <row r="4385" spans="8:9" x14ac:dyDescent="0.25">
      <c r="H4385" s="106"/>
      <c r="I4385" s="106"/>
    </row>
    <row r="4386" spans="8:9" x14ac:dyDescent="0.25">
      <c r="H4386" s="106"/>
      <c r="I4386" s="106"/>
    </row>
    <row r="4387" spans="8:9" x14ac:dyDescent="0.25">
      <c r="H4387" s="106"/>
      <c r="I4387" s="106"/>
    </row>
    <row r="4388" spans="8:9" x14ac:dyDescent="0.25">
      <c r="H4388" s="106"/>
      <c r="I4388" s="106"/>
    </row>
    <row r="4389" spans="8:9" x14ac:dyDescent="0.25">
      <c r="H4389" s="106"/>
      <c r="I4389" s="106"/>
    </row>
    <row r="4390" spans="8:9" x14ac:dyDescent="0.25">
      <c r="H4390" s="106"/>
      <c r="I4390" s="106"/>
    </row>
    <row r="4391" spans="8:9" x14ac:dyDescent="0.25">
      <c r="H4391" s="106"/>
      <c r="I4391" s="106"/>
    </row>
    <row r="4392" spans="8:9" x14ac:dyDescent="0.25">
      <c r="H4392" s="106"/>
      <c r="I4392" s="106"/>
    </row>
    <row r="4393" spans="8:9" x14ac:dyDescent="0.25">
      <c r="H4393" s="106"/>
      <c r="I4393" s="106"/>
    </row>
    <row r="4394" spans="8:9" x14ac:dyDescent="0.25">
      <c r="H4394" s="106"/>
      <c r="I4394" s="106"/>
    </row>
    <row r="4395" spans="8:9" x14ac:dyDescent="0.25">
      <c r="H4395" s="106"/>
      <c r="I4395" s="106"/>
    </row>
    <row r="4396" spans="8:9" x14ac:dyDescent="0.25">
      <c r="H4396" s="106"/>
      <c r="I4396" s="106"/>
    </row>
    <row r="4397" spans="8:9" x14ac:dyDescent="0.25">
      <c r="H4397" s="106"/>
      <c r="I4397" s="106"/>
    </row>
    <row r="4398" spans="8:9" x14ac:dyDescent="0.25">
      <c r="H4398" s="106"/>
      <c r="I4398" s="106"/>
    </row>
    <row r="4399" spans="8:9" x14ac:dyDescent="0.25">
      <c r="H4399" s="106"/>
      <c r="I4399" s="106"/>
    </row>
    <row r="4400" spans="8:9" x14ac:dyDescent="0.25">
      <c r="H4400" s="106"/>
      <c r="I4400" s="106"/>
    </row>
    <row r="4401" spans="8:9" x14ac:dyDescent="0.25">
      <c r="H4401" s="106"/>
      <c r="I4401" s="106"/>
    </row>
    <row r="4402" spans="8:9" x14ac:dyDescent="0.25">
      <c r="H4402" s="106"/>
      <c r="I4402" s="106"/>
    </row>
    <row r="4403" spans="8:9" x14ac:dyDescent="0.25">
      <c r="H4403" s="106"/>
      <c r="I4403" s="106"/>
    </row>
    <row r="4404" spans="8:9" x14ac:dyDescent="0.25">
      <c r="H4404" s="106"/>
      <c r="I4404" s="106"/>
    </row>
    <row r="4405" spans="8:9" x14ac:dyDescent="0.25">
      <c r="H4405" s="106"/>
      <c r="I4405" s="106"/>
    </row>
    <row r="4406" spans="8:9" x14ac:dyDescent="0.25">
      <c r="H4406" s="106"/>
      <c r="I4406" s="106"/>
    </row>
    <row r="4407" spans="8:9" x14ac:dyDescent="0.25">
      <c r="H4407" s="106"/>
      <c r="I4407" s="106"/>
    </row>
    <row r="4408" spans="8:9" x14ac:dyDescent="0.25">
      <c r="H4408" s="106"/>
      <c r="I4408" s="106"/>
    </row>
    <row r="4409" spans="8:9" x14ac:dyDescent="0.25">
      <c r="H4409" s="106"/>
      <c r="I4409" s="106"/>
    </row>
    <row r="4410" spans="8:9" x14ac:dyDescent="0.25">
      <c r="H4410" s="106"/>
      <c r="I4410" s="106"/>
    </row>
    <row r="4411" spans="8:9" x14ac:dyDescent="0.25">
      <c r="H4411" s="106"/>
      <c r="I4411" s="106"/>
    </row>
    <row r="4412" spans="8:9" x14ac:dyDescent="0.25">
      <c r="H4412" s="106"/>
      <c r="I4412" s="106"/>
    </row>
    <row r="4413" spans="8:9" x14ac:dyDescent="0.25">
      <c r="H4413" s="106"/>
      <c r="I4413" s="106"/>
    </row>
    <row r="4414" spans="8:9" x14ac:dyDescent="0.25">
      <c r="H4414" s="106"/>
      <c r="I4414" s="106"/>
    </row>
    <row r="4415" spans="8:9" x14ac:dyDescent="0.25">
      <c r="H4415" s="106"/>
      <c r="I4415" s="106"/>
    </row>
    <row r="4416" spans="8:9" x14ac:dyDescent="0.25">
      <c r="H4416" s="106"/>
      <c r="I4416" s="106"/>
    </row>
    <row r="4417" spans="8:9" x14ac:dyDescent="0.25">
      <c r="H4417" s="106"/>
      <c r="I4417" s="106"/>
    </row>
    <row r="4418" spans="8:9" x14ac:dyDescent="0.25">
      <c r="H4418" s="106"/>
      <c r="I4418" s="106"/>
    </row>
    <row r="4419" spans="8:9" x14ac:dyDescent="0.25">
      <c r="H4419" s="106"/>
      <c r="I4419" s="106"/>
    </row>
    <row r="4420" spans="8:9" x14ac:dyDescent="0.25">
      <c r="H4420" s="106"/>
      <c r="I4420" s="106"/>
    </row>
    <row r="4421" spans="8:9" x14ac:dyDescent="0.25">
      <c r="H4421" s="106"/>
      <c r="I4421" s="106"/>
    </row>
    <row r="4422" spans="8:9" x14ac:dyDescent="0.25">
      <c r="H4422" s="106"/>
      <c r="I4422" s="106"/>
    </row>
    <row r="4423" spans="8:9" x14ac:dyDescent="0.25">
      <c r="H4423" s="106"/>
      <c r="I4423" s="106"/>
    </row>
    <row r="4424" spans="8:9" x14ac:dyDescent="0.25">
      <c r="H4424" s="106"/>
      <c r="I4424" s="106"/>
    </row>
    <row r="4425" spans="8:9" x14ac:dyDescent="0.25">
      <c r="H4425" s="106"/>
      <c r="I4425" s="106"/>
    </row>
    <row r="4426" spans="8:9" x14ac:dyDescent="0.25">
      <c r="H4426" s="106"/>
      <c r="I4426" s="106"/>
    </row>
    <row r="4427" spans="8:9" x14ac:dyDescent="0.25">
      <c r="H4427" s="106"/>
      <c r="I4427" s="106"/>
    </row>
    <row r="4428" spans="8:9" x14ac:dyDescent="0.25">
      <c r="H4428" s="106"/>
      <c r="I4428" s="106"/>
    </row>
    <row r="4429" spans="8:9" x14ac:dyDescent="0.25">
      <c r="H4429" s="106"/>
      <c r="I4429" s="106"/>
    </row>
    <row r="4430" spans="8:9" x14ac:dyDescent="0.25">
      <c r="H4430" s="106"/>
      <c r="I4430" s="106"/>
    </row>
    <row r="4431" spans="8:9" x14ac:dyDescent="0.25">
      <c r="H4431" s="106"/>
      <c r="I4431" s="106"/>
    </row>
    <row r="4432" spans="8:9" x14ac:dyDescent="0.25">
      <c r="H4432" s="106"/>
      <c r="I4432" s="106"/>
    </row>
    <row r="4433" spans="8:9" x14ac:dyDescent="0.25">
      <c r="H4433" s="106"/>
      <c r="I4433" s="106"/>
    </row>
    <row r="4434" spans="8:9" x14ac:dyDescent="0.25">
      <c r="H4434" s="106"/>
      <c r="I4434" s="106"/>
    </row>
    <row r="4435" spans="8:9" x14ac:dyDescent="0.25">
      <c r="H4435" s="106"/>
      <c r="I4435" s="106"/>
    </row>
    <row r="4436" spans="8:9" x14ac:dyDescent="0.25">
      <c r="H4436" s="106"/>
      <c r="I4436" s="106"/>
    </row>
    <row r="4437" spans="8:9" x14ac:dyDescent="0.25">
      <c r="H4437" s="106"/>
      <c r="I4437" s="106"/>
    </row>
    <row r="4438" spans="8:9" x14ac:dyDescent="0.25">
      <c r="H4438" s="106"/>
      <c r="I4438" s="106"/>
    </row>
    <row r="4439" spans="8:9" x14ac:dyDescent="0.25">
      <c r="H4439" s="106"/>
      <c r="I4439" s="106"/>
    </row>
    <row r="4440" spans="8:9" x14ac:dyDescent="0.25">
      <c r="H4440" s="106"/>
      <c r="I4440" s="106"/>
    </row>
    <row r="4441" spans="8:9" x14ac:dyDescent="0.25">
      <c r="H4441" s="106"/>
      <c r="I4441" s="106"/>
    </row>
    <row r="4442" spans="8:9" x14ac:dyDescent="0.25">
      <c r="H4442" s="106"/>
      <c r="I4442" s="106"/>
    </row>
    <row r="4443" spans="8:9" x14ac:dyDescent="0.25">
      <c r="H4443" s="106"/>
      <c r="I4443" s="106"/>
    </row>
    <row r="4444" spans="8:9" x14ac:dyDescent="0.25">
      <c r="H4444" s="106"/>
      <c r="I4444" s="106"/>
    </row>
    <row r="4445" spans="8:9" x14ac:dyDescent="0.25">
      <c r="H4445" s="106"/>
      <c r="I4445" s="106"/>
    </row>
    <row r="4446" spans="8:9" x14ac:dyDescent="0.25">
      <c r="H4446" s="106"/>
      <c r="I4446" s="106"/>
    </row>
    <row r="4447" spans="8:9" x14ac:dyDescent="0.25">
      <c r="H4447" s="106"/>
      <c r="I4447" s="106"/>
    </row>
    <row r="4448" spans="8:9" x14ac:dyDescent="0.25">
      <c r="H4448" s="106"/>
      <c r="I4448" s="106"/>
    </row>
    <row r="4449" spans="8:9" x14ac:dyDescent="0.25">
      <c r="H4449" s="106"/>
      <c r="I4449" s="106"/>
    </row>
    <row r="4450" spans="8:9" x14ac:dyDescent="0.25">
      <c r="H4450" s="106"/>
      <c r="I4450" s="106"/>
    </row>
    <row r="4451" spans="8:9" x14ac:dyDescent="0.25">
      <c r="H4451" s="106"/>
      <c r="I4451" s="106"/>
    </row>
    <row r="4452" spans="8:9" x14ac:dyDescent="0.25">
      <c r="H4452" s="106"/>
      <c r="I4452" s="106"/>
    </row>
    <row r="4453" spans="8:9" x14ac:dyDescent="0.25">
      <c r="H4453" s="106"/>
      <c r="I4453" s="106"/>
    </row>
    <row r="4454" spans="8:9" x14ac:dyDescent="0.25">
      <c r="H4454" s="106"/>
      <c r="I4454" s="106"/>
    </row>
    <row r="4455" spans="8:9" x14ac:dyDescent="0.25">
      <c r="H4455" s="106"/>
      <c r="I4455" s="106"/>
    </row>
    <row r="4456" spans="8:9" x14ac:dyDescent="0.25">
      <c r="H4456" s="106"/>
      <c r="I4456" s="106"/>
    </row>
    <row r="4457" spans="8:9" x14ac:dyDescent="0.25">
      <c r="H4457" s="106"/>
      <c r="I4457" s="106"/>
    </row>
    <row r="4458" spans="8:9" x14ac:dyDescent="0.25">
      <c r="H4458" s="106"/>
      <c r="I4458" s="106"/>
    </row>
    <row r="4459" spans="8:9" x14ac:dyDescent="0.25">
      <c r="H4459" s="106"/>
      <c r="I4459" s="106"/>
    </row>
    <row r="4460" spans="8:9" x14ac:dyDescent="0.25">
      <c r="H4460" s="106"/>
      <c r="I4460" s="106"/>
    </row>
    <row r="4461" spans="8:9" x14ac:dyDescent="0.25">
      <c r="H4461" s="106"/>
      <c r="I4461" s="106"/>
    </row>
    <row r="4462" spans="8:9" x14ac:dyDescent="0.25">
      <c r="H4462" s="106"/>
      <c r="I4462" s="106"/>
    </row>
    <row r="4463" spans="8:9" x14ac:dyDescent="0.25">
      <c r="H4463" s="106"/>
      <c r="I4463" s="106"/>
    </row>
    <row r="4464" spans="8:9" x14ac:dyDescent="0.25">
      <c r="H4464" s="106"/>
      <c r="I4464" s="106"/>
    </row>
    <row r="4465" spans="8:9" x14ac:dyDescent="0.25">
      <c r="H4465" s="106"/>
      <c r="I4465" s="106"/>
    </row>
    <row r="4466" spans="8:9" x14ac:dyDescent="0.25">
      <c r="H4466" s="106"/>
      <c r="I4466" s="106"/>
    </row>
    <row r="4467" spans="8:9" x14ac:dyDescent="0.25">
      <c r="H4467" s="106"/>
      <c r="I4467" s="106"/>
    </row>
    <row r="4468" spans="8:9" x14ac:dyDescent="0.25">
      <c r="H4468" s="106"/>
      <c r="I4468" s="106"/>
    </row>
    <row r="4469" spans="8:9" x14ac:dyDescent="0.25">
      <c r="H4469" s="106"/>
      <c r="I4469" s="106"/>
    </row>
    <row r="4470" spans="8:9" x14ac:dyDescent="0.25">
      <c r="H4470" s="106"/>
      <c r="I4470" s="106"/>
    </row>
    <row r="4471" spans="8:9" x14ac:dyDescent="0.25">
      <c r="H4471" s="106"/>
      <c r="I4471" s="106"/>
    </row>
    <row r="4472" spans="8:9" x14ac:dyDescent="0.25">
      <c r="H4472" s="106"/>
      <c r="I4472" s="106"/>
    </row>
    <row r="4473" spans="8:9" x14ac:dyDescent="0.25">
      <c r="H4473" s="106"/>
      <c r="I4473" s="106"/>
    </row>
    <row r="4474" spans="8:9" x14ac:dyDescent="0.25">
      <c r="H4474" s="106"/>
      <c r="I4474" s="106"/>
    </row>
    <row r="4475" spans="8:9" x14ac:dyDescent="0.25">
      <c r="H4475" s="106"/>
      <c r="I4475" s="106"/>
    </row>
    <row r="4476" spans="8:9" x14ac:dyDescent="0.25">
      <c r="H4476" s="106"/>
      <c r="I4476" s="106"/>
    </row>
    <row r="4477" spans="8:9" x14ac:dyDescent="0.25">
      <c r="H4477" s="106"/>
      <c r="I4477" s="106"/>
    </row>
    <row r="4478" spans="8:9" x14ac:dyDescent="0.25">
      <c r="H4478" s="106"/>
      <c r="I4478" s="106"/>
    </row>
    <row r="4479" spans="8:9" x14ac:dyDescent="0.25">
      <c r="H4479" s="106"/>
      <c r="I4479" s="106"/>
    </row>
    <row r="4480" spans="8:9" x14ac:dyDescent="0.25">
      <c r="H4480" s="106"/>
      <c r="I4480" s="106"/>
    </row>
    <row r="4481" spans="8:9" x14ac:dyDescent="0.25">
      <c r="H4481" s="106"/>
      <c r="I4481" s="106"/>
    </row>
    <row r="4482" spans="8:9" x14ac:dyDescent="0.25">
      <c r="H4482" s="106"/>
      <c r="I4482" s="106"/>
    </row>
    <row r="4483" spans="8:9" x14ac:dyDescent="0.25">
      <c r="H4483" s="106"/>
      <c r="I4483" s="106"/>
    </row>
    <row r="4484" spans="8:9" x14ac:dyDescent="0.25">
      <c r="H4484" s="106"/>
      <c r="I4484" s="106"/>
    </row>
    <row r="4485" spans="8:9" x14ac:dyDescent="0.25">
      <c r="H4485" s="106"/>
      <c r="I4485" s="106"/>
    </row>
    <row r="4486" spans="8:9" x14ac:dyDescent="0.25">
      <c r="H4486" s="106"/>
      <c r="I4486" s="106"/>
    </row>
    <row r="4487" spans="8:9" x14ac:dyDescent="0.25">
      <c r="H4487" s="106"/>
      <c r="I4487" s="106"/>
    </row>
    <row r="4488" spans="8:9" x14ac:dyDescent="0.25">
      <c r="H4488" s="106"/>
      <c r="I4488" s="106"/>
    </row>
    <row r="4489" spans="8:9" x14ac:dyDescent="0.25">
      <c r="H4489" s="106"/>
      <c r="I4489" s="106"/>
    </row>
    <row r="4490" spans="8:9" x14ac:dyDescent="0.25">
      <c r="H4490" s="106"/>
      <c r="I4490" s="106"/>
    </row>
    <row r="4491" spans="8:9" x14ac:dyDescent="0.25">
      <c r="H4491" s="106"/>
      <c r="I4491" s="106"/>
    </row>
    <row r="4492" spans="8:9" x14ac:dyDescent="0.25">
      <c r="H4492" s="106"/>
      <c r="I4492" s="106"/>
    </row>
    <row r="4493" spans="8:9" x14ac:dyDescent="0.25">
      <c r="H4493" s="106"/>
      <c r="I4493" s="106"/>
    </row>
    <row r="4494" spans="8:9" x14ac:dyDescent="0.25">
      <c r="H4494" s="106"/>
      <c r="I4494" s="106"/>
    </row>
    <row r="4495" spans="8:9" x14ac:dyDescent="0.25">
      <c r="H4495" s="106"/>
      <c r="I4495" s="106"/>
    </row>
    <row r="4496" spans="8:9" x14ac:dyDescent="0.25">
      <c r="H4496" s="106"/>
      <c r="I4496" s="106"/>
    </row>
    <row r="4497" spans="8:9" x14ac:dyDescent="0.25">
      <c r="H4497" s="106"/>
      <c r="I4497" s="106"/>
    </row>
    <row r="4498" spans="8:9" x14ac:dyDescent="0.25">
      <c r="H4498" s="106"/>
      <c r="I4498" s="106"/>
    </row>
    <row r="4499" spans="8:9" x14ac:dyDescent="0.25">
      <c r="H4499" s="106"/>
      <c r="I4499" s="106"/>
    </row>
    <row r="4500" spans="8:9" x14ac:dyDescent="0.25">
      <c r="H4500" s="106"/>
      <c r="I4500" s="106"/>
    </row>
    <row r="4501" spans="8:9" x14ac:dyDescent="0.25">
      <c r="H4501" s="106"/>
      <c r="I4501" s="106"/>
    </row>
    <row r="4502" spans="8:9" x14ac:dyDescent="0.25">
      <c r="H4502" s="106"/>
      <c r="I4502" s="106"/>
    </row>
    <row r="4503" spans="8:9" x14ac:dyDescent="0.25">
      <c r="H4503" s="106"/>
      <c r="I4503" s="106"/>
    </row>
    <row r="4504" spans="8:9" x14ac:dyDescent="0.25">
      <c r="H4504" s="106"/>
      <c r="I4504" s="106"/>
    </row>
    <row r="4505" spans="8:9" x14ac:dyDescent="0.25">
      <c r="H4505" s="106"/>
      <c r="I4505" s="106"/>
    </row>
    <row r="4506" spans="8:9" x14ac:dyDescent="0.25">
      <c r="H4506" s="106"/>
      <c r="I4506" s="106"/>
    </row>
    <row r="4507" spans="8:9" x14ac:dyDescent="0.25">
      <c r="H4507" s="106"/>
      <c r="I4507" s="106"/>
    </row>
    <row r="4508" spans="8:9" x14ac:dyDescent="0.25">
      <c r="H4508" s="106"/>
      <c r="I4508" s="106"/>
    </row>
    <row r="4509" spans="8:9" x14ac:dyDescent="0.25">
      <c r="H4509" s="106"/>
      <c r="I4509" s="106"/>
    </row>
    <row r="4510" spans="8:9" x14ac:dyDescent="0.25">
      <c r="H4510" s="106"/>
      <c r="I4510" s="106"/>
    </row>
    <row r="4511" spans="8:9" x14ac:dyDescent="0.25">
      <c r="H4511" s="106"/>
      <c r="I4511" s="106"/>
    </row>
    <row r="4512" spans="8:9" x14ac:dyDescent="0.25">
      <c r="H4512" s="106"/>
      <c r="I4512" s="106"/>
    </row>
    <row r="4513" spans="8:9" x14ac:dyDescent="0.25">
      <c r="H4513" s="106"/>
      <c r="I4513" s="106"/>
    </row>
    <row r="4514" spans="8:9" x14ac:dyDescent="0.25">
      <c r="H4514" s="106"/>
      <c r="I4514" s="106"/>
    </row>
    <row r="4515" spans="8:9" x14ac:dyDescent="0.25">
      <c r="H4515" s="106"/>
      <c r="I4515" s="106"/>
    </row>
    <row r="4516" spans="8:9" x14ac:dyDescent="0.25">
      <c r="H4516" s="106"/>
      <c r="I4516" s="106"/>
    </row>
    <row r="4517" spans="8:9" x14ac:dyDescent="0.25">
      <c r="H4517" s="106"/>
      <c r="I4517" s="106"/>
    </row>
    <row r="4518" spans="8:9" x14ac:dyDescent="0.25">
      <c r="H4518" s="106"/>
      <c r="I4518" s="106"/>
    </row>
    <row r="4519" spans="8:9" x14ac:dyDescent="0.25">
      <c r="H4519" s="106"/>
      <c r="I4519" s="106"/>
    </row>
    <row r="4520" spans="8:9" x14ac:dyDescent="0.25">
      <c r="H4520" s="106"/>
      <c r="I4520" s="106"/>
    </row>
    <row r="4521" spans="8:9" x14ac:dyDescent="0.25">
      <c r="H4521" s="106"/>
      <c r="I4521" s="106"/>
    </row>
    <row r="4522" spans="8:9" x14ac:dyDescent="0.25">
      <c r="H4522" s="106"/>
      <c r="I4522" s="106"/>
    </row>
    <row r="4523" spans="8:9" x14ac:dyDescent="0.25">
      <c r="H4523" s="106"/>
      <c r="I4523" s="106"/>
    </row>
    <row r="4524" spans="8:9" x14ac:dyDescent="0.25">
      <c r="H4524" s="106"/>
      <c r="I4524" s="106"/>
    </row>
    <row r="4525" spans="8:9" x14ac:dyDescent="0.25">
      <c r="H4525" s="106"/>
      <c r="I4525" s="106"/>
    </row>
    <row r="4526" spans="8:9" x14ac:dyDescent="0.25">
      <c r="H4526" s="106"/>
      <c r="I4526" s="106"/>
    </row>
    <row r="4527" spans="8:9" x14ac:dyDescent="0.25">
      <c r="H4527" s="106"/>
      <c r="I4527" s="106"/>
    </row>
    <row r="4528" spans="8:9" x14ac:dyDescent="0.25">
      <c r="H4528" s="106"/>
      <c r="I4528" s="106"/>
    </row>
    <row r="4529" spans="8:9" x14ac:dyDescent="0.25">
      <c r="H4529" s="106"/>
      <c r="I4529" s="106"/>
    </row>
    <row r="4530" spans="8:9" x14ac:dyDescent="0.25">
      <c r="H4530" s="106"/>
      <c r="I4530" s="106"/>
    </row>
    <row r="4531" spans="8:9" x14ac:dyDescent="0.25">
      <c r="H4531" s="106"/>
      <c r="I4531" s="106"/>
    </row>
    <row r="4532" spans="8:9" x14ac:dyDescent="0.25">
      <c r="H4532" s="106"/>
      <c r="I4532" s="106"/>
    </row>
    <row r="4533" spans="8:9" x14ac:dyDescent="0.25">
      <c r="H4533" s="106"/>
      <c r="I4533" s="106"/>
    </row>
    <row r="4534" spans="8:9" x14ac:dyDescent="0.25">
      <c r="H4534" s="106"/>
      <c r="I4534" s="106"/>
    </row>
    <row r="4535" spans="8:9" x14ac:dyDescent="0.25">
      <c r="H4535" s="106"/>
      <c r="I4535" s="106"/>
    </row>
    <row r="4536" spans="8:9" x14ac:dyDescent="0.25">
      <c r="H4536" s="106"/>
      <c r="I4536" s="106"/>
    </row>
    <row r="4537" spans="8:9" x14ac:dyDescent="0.25">
      <c r="H4537" s="106"/>
      <c r="I4537" s="106"/>
    </row>
    <row r="4538" spans="8:9" x14ac:dyDescent="0.25">
      <c r="H4538" s="106"/>
      <c r="I4538" s="106"/>
    </row>
    <row r="4539" spans="8:9" x14ac:dyDescent="0.25">
      <c r="H4539" s="106"/>
      <c r="I4539" s="106"/>
    </row>
    <row r="4540" spans="8:9" x14ac:dyDescent="0.25">
      <c r="H4540" s="106"/>
      <c r="I4540" s="106"/>
    </row>
    <row r="4541" spans="8:9" x14ac:dyDescent="0.25">
      <c r="H4541" s="106"/>
      <c r="I4541" s="106"/>
    </row>
    <row r="4542" spans="8:9" x14ac:dyDescent="0.25">
      <c r="H4542" s="106"/>
      <c r="I4542" s="106"/>
    </row>
    <row r="4543" spans="8:9" x14ac:dyDescent="0.25">
      <c r="H4543" s="106"/>
      <c r="I4543" s="106"/>
    </row>
    <row r="4544" spans="8:9" x14ac:dyDescent="0.25">
      <c r="H4544" s="106"/>
      <c r="I4544" s="106"/>
    </row>
    <row r="4545" spans="8:9" x14ac:dyDescent="0.25">
      <c r="H4545" s="106"/>
      <c r="I4545" s="106"/>
    </row>
    <row r="4546" spans="8:9" x14ac:dyDescent="0.25">
      <c r="H4546" s="106"/>
      <c r="I4546" s="106"/>
    </row>
    <row r="4547" spans="8:9" x14ac:dyDescent="0.25">
      <c r="H4547" s="106"/>
      <c r="I4547" s="106"/>
    </row>
    <row r="4548" spans="8:9" x14ac:dyDescent="0.25">
      <c r="H4548" s="106"/>
      <c r="I4548" s="106"/>
    </row>
    <row r="4549" spans="8:9" x14ac:dyDescent="0.25">
      <c r="H4549" s="106"/>
      <c r="I4549" s="106"/>
    </row>
    <row r="4550" spans="8:9" x14ac:dyDescent="0.25">
      <c r="H4550" s="106"/>
      <c r="I4550" s="106"/>
    </row>
    <row r="4551" spans="8:9" x14ac:dyDescent="0.25">
      <c r="H4551" s="106"/>
      <c r="I4551" s="106"/>
    </row>
    <row r="4552" spans="8:9" x14ac:dyDescent="0.25">
      <c r="H4552" s="106"/>
      <c r="I4552" s="106"/>
    </row>
    <row r="4553" spans="8:9" x14ac:dyDescent="0.25">
      <c r="H4553" s="106"/>
      <c r="I4553" s="106"/>
    </row>
    <row r="4554" spans="8:9" x14ac:dyDescent="0.25">
      <c r="H4554" s="106"/>
      <c r="I4554" s="106"/>
    </row>
    <row r="4555" spans="8:9" x14ac:dyDescent="0.25">
      <c r="H4555" s="106"/>
      <c r="I4555" s="106"/>
    </row>
    <row r="4556" spans="8:9" x14ac:dyDescent="0.25">
      <c r="H4556" s="106"/>
      <c r="I4556" s="106"/>
    </row>
    <row r="4557" spans="8:9" x14ac:dyDescent="0.25">
      <c r="H4557" s="106"/>
      <c r="I4557" s="106"/>
    </row>
    <row r="4558" spans="8:9" x14ac:dyDescent="0.25">
      <c r="H4558" s="106"/>
      <c r="I4558" s="106"/>
    </row>
    <row r="4559" spans="8:9" x14ac:dyDescent="0.25">
      <c r="H4559" s="106"/>
      <c r="I4559" s="106"/>
    </row>
    <row r="4560" spans="8:9" x14ac:dyDescent="0.25">
      <c r="H4560" s="106"/>
      <c r="I4560" s="106"/>
    </row>
    <row r="4561" spans="8:9" x14ac:dyDescent="0.25">
      <c r="H4561" s="106"/>
      <c r="I4561" s="106"/>
    </row>
    <row r="4562" spans="8:9" x14ac:dyDescent="0.25">
      <c r="H4562" s="106"/>
      <c r="I4562" s="106"/>
    </row>
    <row r="4563" spans="8:9" x14ac:dyDescent="0.25">
      <c r="H4563" s="106"/>
      <c r="I4563" s="106"/>
    </row>
    <row r="4564" spans="8:9" x14ac:dyDescent="0.25">
      <c r="H4564" s="106"/>
      <c r="I4564" s="106"/>
    </row>
    <row r="4565" spans="8:9" x14ac:dyDescent="0.25">
      <c r="H4565" s="106"/>
      <c r="I4565" s="106"/>
    </row>
    <row r="4566" spans="8:9" x14ac:dyDescent="0.25">
      <c r="H4566" s="106"/>
      <c r="I4566" s="106"/>
    </row>
    <row r="4567" spans="8:9" x14ac:dyDescent="0.25">
      <c r="H4567" s="106"/>
      <c r="I4567" s="106"/>
    </row>
    <row r="4568" spans="8:9" x14ac:dyDescent="0.25">
      <c r="H4568" s="106"/>
      <c r="I4568" s="106"/>
    </row>
    <row r="4569" spans="8:9" x14ac:dyDescent="0.25">
      <c r="H4569" s="106"/>
      <c r="I4569" s="106"/>
    </row>
    <row r="4570" spans="8:9" x14ac:dyDescent="0.25">
      <c r="H4570" s="106"/>
      <c r="I4570" s="106"/>
    </row>
    <row r="4571" spans="8:9" x14ac:dyDescent="0.25">
      <c r="H4571" s="106"/>
      <c r="I4571" s="106"/>
    </row>
    <row r="4572" spans="8:9" x14ac:dyDescent="0.25">
      <c r="H4572" s="106"/>
      <c r="I4572" s="106"/>
    </row>
    <row r="4573" spans="8:9" x14ac:dyDescent="0.25">
      <c r="H4573" s="106"/>
      <c r="I4573" s="106"/>
    </row>
    <row r="4574" spans="8:9" x14ac:dyDescent="0.25">
      <c r="H4574" s="106"/>
      <c r="I4574" s="106"/>
    </row>
    <row r="4575" spans="8:9" x14ac:dyDescent="0.25">
      <c r="H4575" s="106"/>
      <c r="I4575" s="106"/>
    </row>
    <row r="4576" spans="8:9" x14ac:dyDescent="0.25">
      <c r="H4576" s="106"/>
      <c r="I4576" s="106"/>
    </row>
    <row r="4577" spans="8:9" x14ac:dyDescent="0.25">
      <c r="H4577" s="106"/>
      <c r="I4577" s="106"/>
    </row>
    <row r="4578" spans="8:9" x14ac:dyDescent="0.25">
      <c r="H4578" s="106"/>
      <c r="I4578" s="106"/>
    </row>
    <row r="4579" spans="8:9" x14ac:dyDescent="0.25">
      <c r="H4579" s="106"/>
      <c r="I4579" s="106"/>
    </row>
    <row r="4580" spans="8:9" x14ac:dyDescent="0.25">
      <c r="H4580" s="106"/>
      <c r="I4580" s="106"/>
    </row>
    <row r="4581" spans="8:9" x14ac:dyDescent="0.25">
      <c r="H4581" s="106"/>
      <c r="I4581" s="106"/>
    </row>
    <row r="4582" spans="8:9" x14ac:dyDescent="0.25">
      <c r="H4582" s="106"/>
      <c r="I4582" s="106"/>
    </row>
    <row r="4583" spans="8:9" x14ac:dyDescent="0.25">
      <c r="H4583" s="106"/>
      <c r="I4583" s="106"/>
    </row>
    <row r="4584" spans="8:9" x14ac:dyDescent="0.25">
      <c r="H4584" s="106"/>
      <c r="I4584" s="106"/>
    </row>
    <row r="4585" spans="8:9" x14ac:dyDescent="0.25">
      <c r="H4585" s="106"/>
      <c r="I4585" s="106"/>
    </row>
    <row r="4586" spans="8:9" x14ac:dyDescent="0.25">
      <c r="H4586" s="106"/>
      <c r="I4586" s="106"/>
    </row>
    <row r="4587" spans="8:9" x14ac:dyDescent="0.25">
      <c r="H4587" s="106"/>
      <c r="I4587" s="106"/>
    </row>
    <row r="4588" spans="8:9" x14ac:dyDescent="0.25">
      <c r="H4588" s="106"/>
      <c r="I4588" s="106"/>
    </row>
    <row r="4589" spans="8:9" x14ac:dyDescent="0.25">
      <c r="H4589" s="106"/>
      <c r="I4589" s="106"/>
    </row>
    <row r="4590" spans="8:9" x14ac:dyDescent="0.25">
      <c r="H4590" s="106"/>
      <c r="I4590" s="106"/>
    </row>
    <row r="4591" spans="8:9" x14ac:dyDescent="0.25">
      <c r="H4591" s="106"/>
      <c r="I4591" s="106"/>
    </row>
    <row r="4592" spans="8:9" x14ac:dyDescent="0.25">
      <c r="H4592" s="106"/>
      <c r="I4592" s="106"/>
    </row>
    <row r="4593" spans="8:9" x14ac:dyDescent="0.25">
      <c r="H4593" s="106"/>
      <c r="I4593" s="106"/>
    </row>
    <row r="4594" spans="8:9" x14ac:dyDescent="0.25">
      <c r="H4594" s="106"/>
      <c r="I4594" s="106"/>
    </row>
    <row r="4595" spans="8:9" x14ac:dyDescent="0.25">
      <c r="H4595" s="106"/>
      <c r="I4595" s="106"/>
    </row>
    <row r="4596" spans="8:9" x14ac:dyDescent="0.25">
      <c r="H4596" s="106"/>
      <c r="I4596" s="106"/>
    </row>
    <row r="4597" spans="8:9" x14ac:dyDescent="0.25">
      <c r="H4597" s="106"/>
      <c r="I4597" s="106"/>
    </row>
    <row r="4598" spans="8:9" x14ac:dyDescent="0.25">
      <c r="H4598" s="106"/>
      <c r="I4598" s="106"/>
    </row>
    <row r="4599" spans="8:9" x14ac:dyDescent="0.25">
      <c r="H4599" s="106"/>
      <c r="I4599" s="106"/>
    </row>
    <row r="4600" spans="8:9" x14ac:dyDescent="0.25">
      <c r="H4600" s="106"/>
      <c r="I4600" s="106"/>
    </row>
    <row r="4601" spans="8:9" x14ac:dyDescent="0.25">
      <c r="H4601" s="106"/>
      <c r="I4601" s="106"/>
    </row>
    <row r="4602" spans="8:9" x14ac:dyDescent="0.25">
      <c r="H4602" s="106"/>
      <c r="I4602" s="106"/>
    </row>
    <row r="4603" spans="8:9" x14ac:dyDescent="0.25">
      <c r="H4603" s="106"/>
      <c r="I4603" s="106"/>
    </row>
    <row r="4604" spans="8:9" x14ac:dyDescent="0.25">
      <c r="H4604" s="106"/>
      <c r="I4604" s="106"/>
    </row>
    <row r="4605" spans="8:9" x14ac:dyDescent="0.25">
      <c r="H4605" s="106"/>
      <c r="I4605" s="106"/>
    </row>
    <row r="4606" spans="8:9" x14ac:dyDescent="0.25">
      <c r="H4606" s="106"/>
      <c r="I4606" s="106"/>
    </row>
    <row r="4607" spans="8:9" x14ac:dyDescent="0.25">
      <c r="H4607" s="106"/>
      <c r="I4607" s="106"/>
    </row>
    <row r="4608" spans="8:9" x14ac:dyDescent="0.25">
      <c r="H4608" s="106"/>
      <c r="I4608" s="106"/>
    </row>
    <row r="4609" spans="8:9" x14ac:dyDescent="0.25">
      <c r="H4609" s="106"/>
      <c r="I4609" s="106"/>
    </row>
    <row r="4610" spans="8:9" x14ac:dyDescent="0.25">
      <c r="H4610" s="106"/>
      <c r="I4610" s="106"/>
    </row>
    <row r="4611" spans="8:9" x14ac:dyDescent="0.25">
      <c r="H4611" s="106"/>
      <c r="I4611" s="106"/>
    </row>
    <row r="4612" spans="8:9" x14ac:dyDescent="0.25">
      <c r="H4612" s="106"/>
      <c r="I4612" s="106"/>
    </row>
    <row r="4613" spans="8:9" x14ac:dyDescent="0.25">
      <c r="H4613" s="106"/>
      <c r="I4613" s="106"/>
    </row>
    <row r="4614" spans="8:9" x14ac:dyDescent="0.25">
      <c r="H4614" s="106"/>
      <c r="I4614" s="106"/>
    </row>
    <row r="4615" spans="8:9" x14ac:dyDescent="0.25">
      <c r="H4615" s="106"/>
      <c r="I4615" s="106"/>
    </row>
    <row r="4616" spans="8:9" x14ac:dyDescent="0.25">
      <c r="H4616" s="106"/>
      <c r="I4616" s="106"/>
    </row>
    <row r="4617" spans="8:9" x14ac:dyDescent="0.25">
      <c r="H4617" s="106"/>
      <c r="I4617" s="106"/>
    </row>
    <row r="4618" spans="8:9" x14ac:dyDescent="0.25">
      <c r="H4618" s="106"/>
      <c r="I4618" s="106"/>
    </row>
    <row r="4619" spans="8:9" x14ac:dyDescent="0.25">
      <c r="H4619" s="106"/>
      <c r="I4619" s="106"/>
    </row>
    <row r="4620" spans="8:9" x14ac:dyDescent="0.25">
      <c r="H4620" s="106"/>
      <c r="I4620" s="106"/>
    </row>
    <row r="4621" spans="8:9" x14ac:dyDescent="0.25">
      <c r="H4621" s="106"/>
      <c r="I4621" s="106"/>
    </row>
    <row r="4622" spans="8:9" x14ac:dyDescent="0.25">
      <c r="H4622" s="106"/>
      <c r="I4622" s="106"/>
    </row>
    <row r="4623" spans="8:9" x14ac:dyDescent="0.25">
      <c r="H4623" s="106"/>
      <c r="I4623" s="106"/>
    </row>
    <row r="4624" spans="8:9" x14ac:dyDescent="0.25">
      <c r="H4624" s="106"/>
      <c r="I4624" s="106"/>
    </row>
    <row r="4625" spans="8:9" x14ac:dyDescent="0.25">
      <c r="H4625" s="106"/>
      <c r="I4625" s="106"/>
    </row>
    <row r="4626" spans="8:9" x14ac:dyDescent="0.25">
      <c r="H4626" s="106"/>
      <c r="I4626" s="106"/>
    </row>
    <row r="4627" spans="8:9" x14ac:dyDescent="0.25">
      <c r="H4627" s="106"/>
      <c r="I4627" s="106"/>
    </row>
    <row r="4628" spans="8:9" x14ac:dyDescent="0.25">
      <c r="H4628" s="106"/>
      <c r="I4628" s="106"/>
    </row>
    <row r="4629" spans="8:9" x14ac:dyDescent="0.25">
      <c r="H4629" s="106"/>
      <c r="I4629" s="106"/>
    </row>
    <row r="4630" spans="8:9" x14ac:dyDescent="0.25">
      <c r="H4630" s="106"/>
      <c r="I4630" s="106"/>
    </row>
    <row r="4631" spans="8:9" x14ac:dyDescent="0.25">
      <c r="H4631" s="106"/>
      <c r="I4631" s="106"/>
    </row>
    <row r="4632" spans="8:9" x14ac:dyDescent="0.25">
      <c r="H4632" s="106"/>
      <c r="I4632" s="106"/>
    </row>
    <row r="4633" spans="8:9" x14ac:dyDescent="0.25">
      <c r="H4633" s="106"/>
      <c r="I4633" s="106"/>
    </row>
    <row r="4634" spans="8:9" x14ac:dyDescent="0.25">
      <c r="H4634" s="106"/>
      <c r="I4634" s="106"/>
    </row>
    <row r="4635" spans="8:9" x14ac:dyDescent="0.25">
      <c r="H4635" s="106"/>
      <c r="I4635" s="106"/>
    </row>
    <row r="4636" spans="8:9" x14ac:dyDescent="0.25">
      <c r="H4636" s="106"/>
      <c r="I4636" s="106"/>
    </row>
    <row r="4637" spans="8:9" x14ac:dyDescent="0.25">
      <c r="H4637" s="106"/>
      <c r="I4637" s="106"/>
    </row>
    <row r="4638" spans="8:9" x14ac:dyDescent="0.25">
      <c r="H4638" s="106"/>
      <c r="I4638" s="106"/>
    </row>
    <row r="4639" spans="8:9" x14ac:dyDescent="0.25">
      <c r="H4639" s="106"/>
      <c r="I4639" s="106"/>
    </row>
    <row r="4640" spans="8:9" x14ac:dyDescent="0.25">
      <c r="H4640" s="106"/>
      <c r="I4640" s="106"/>
    </row>
    <row r="4641" spans="8:9" x14ac:dyDescent="0.25">
      <c r="H4641" s="106"/>
      <c r="I4641" s="106"/>
    </row>
    <row r="4642" spans="8:9" x14ac:dyDescent="0.25">
      <c r="H4642" s="106"/>
      <c r="I4642" s="106"/>
    </row>
    <row r="4643" spans="8:9" x14ac:dyDescent="0.25">
      <c r="H4643" s="106"/>
      <c r="I4643" s="106"/>
    </row>
    <row r="4644" spans="8:9" x14ac:dyDescent="0.25">
      <c r="H4644" s="106"/>
      <c r="I4644" s="106"/>
    </row>
    <row r="4645" spans="8:9" x14ac:dyDescent="0.25">
      <c r="H4645" s="106"/>
      <c r="I4645" s="106"/>
    </row>
    <row r="4646" spans="8:9" x14ac:dyDescent="0.25">
      <c r="H4646" s="106"/>
      <c r="I4646" s="106"/>
    </row>
    <row r="4647" spans="8:9" x14ac:dyDescent="0.25">
      <c r="H4647" s="106"/>
      <c r="I4647" s="106"/>
    </row>
    <row r="4648" spans="8:9" x14ac:dyDescent="0.25">
      <c r="H4648" s="106"/>
      <c r="I4648" s="106"/>
    </row>
    <row r="4649" spans="8:9" x14ac:dyDescent="0.25">
      <c r="H4649" s="106"/>
      <c r="I4649" s="106"/>
    </row>
    <row r="4650" spans="8:9" x14ac:dyDescent="0.25">
      <c r="H4650" s="106"/>
      <c r="I4650" s="106"/>
    </row>
    <row r="4651" spans="8:9" x14ac:dyDescent="0.25">
      <c r="H4651" s="106"/>
      <c r="I4651" s="106"/>
    </row>
    <row r="4652" spans="8:9" x14ac:dyDescent="0.25">
      <c r="H4652" s="106"/>
      <c r="I4652" s="106"/>
    </row>
    <row r="4653" spans="8:9" x14ac:dyDescent="0.25">
      <c r="H4653" s="106"/>
      <c r="I4653" s="106"/>
    </row>
    <row r="4654" spans="8:9" x14ac:dyDescent="0.25">
      <c r="H4654" s="106"/>
      <c r="I4654" s="106"/>
    </row>
    <row r="4655" spans="8:9" x14ac:dyDescent="0.25">
      <c r="H4655" s="106"/>
      <c r="I4655" s="106"/>
    </row>
    <row r="4656" spans="8:9" x14ac:dyDescent="0.25">
      <c r="H4656" s="106"/>
      <c r="I4656" s="106"/>
    </row>
    <row r="4657" spans="8:9" x14ac:dyDescent="0.25">
      <c r="H4657" s="106"/>
      <c r="I4657" s="106"/>
    </row>
    <row r="4658" spans="8:9" x14ac:dyDescent="0.25">
      <c r="H4658" s="106"/>
      <c r="I4658" s="106"/>
    </row>
    <row r="4659" spans="8:9" x14ac:dyDescent="0.25">
      <c r="H4659" s="106"/>
      <c r="I4659" s="106"/>
    </row>
    <row r="4660" spans="8:9" x14ac:dyDescent="0.25">
      <c r="H4660" s="106"/>
      <c r="I4660" s="106"/>
    </row>
    <row r="4661" spans="8:9" x14ac:dyDescent="0.25">
      <c r="H4661" s="106"/>
      <c r="I4661" s="106"/>
    </row>
    <row r="4662" spans="8:9" x14ac:dyDescent="0.25">
      <c r="H4662" s="106"/>
      <c r="I4662" s="106"/>
    </row>
    <row r="4663" spans="8:9" x14ac:dyDescent="0.25">
      <c r="H4663" s="106"/>
      <c r="I4663" s="106"/>
    </row>
    <row r="4664" spans="8:9" x14ac:dyDescent="0.25">
      <c r="H4664" s="106"/>
      <c r="I4664" s="106"/>
    </row>
    <row r="4665" spans="8:9" x14ac:dyDescent="0.25">
      <c r="H4665" s="106"/>
      <c r="I4665" s="106"/>
    </row>
    <row r="4666" spans="8:9" x14ac:dyDescent="0.25">
      <c r="H4666" s="106"/>
      <c r="I4666" s="106"/>
    </row>
    <row r="4667" spans="8:9" x14ac:dyDescent="0.25">
      <c r="H4667" s="106"/>
      <c r="I4667" s="106"/>
    </row>
    <row r="4668" spans="8:9" x14ac:dyDescent="0.25">
      <c r="H4668" s="106"/>
      <c r="I4668" s="106"/>
    </row>
    <row r="4669" spans="8:9" x14ac:dyDescent="0.25">
      <c r="H4669" s="106"/>
      <c r="I4669" s="106"/>
    </row>
    <row r="4670" spans="8:9" x14ac:dyDescent="0.25">
      <c r="H4670" s="106"/>
      <c r="I4670" s="106"/>
    </row>
    <row r="4671" spans="8:9" x14ac:dyDescent="0.25">
      <c r="H4671" s="106"/>
      <c r="I4671" s="106"/>
    </row>
    <row r="4672" spans="8:9" x14ac:dyDescent="0.25">
      <c r="H4672" s="106"/>
      <c r="I4672" s="106"/>
    </row>
    <row r="4673" spans="8:9" x14ac:dyDescent="0.25">
      <c r="H4673" s="106"/>
      <c r="I4673" s="106"/>
    </row>
    <row r="4674" spans="8:9" x14ac:dyDescent="0.25">
      <c r="H4674" s="106"/>
      <c r="I4674" s="106"/>
    </row>
    <row r="4675" spans="8:9" x14ac:dyDescent="0.25">
      <c r="H4675" s="106"/>
      <c r="I4675" s="106"/>
    </row>
    <row r="4676" spans="8:9" x14ac:dyDescent="0.25">
      <c r="H4676" s="106"/>
      <c r="I4676" s="106"/>
    </row>
    <row r="4677" spans="8:9" x14ac:dyDescent="0.25">
      <c r="H4677" s="106"/>
      <c r="I4677" s="106"/>
    </row>
    <row r="4678" spans="8:9" x14ac:dyDescent="0.25">
      <c r="H4678" s="106"/>
      <c r="I4678" s="106"/>
    </row>
    <row r="4679" spans="8:9" x14ac:dyDescent="0.25">
      <c r="H4679" s="106"/>
      <c r="I4679" s="106"/>
    </row>
    <row r="4680" spans="8:9" x14ac:dyDescent="0.25">
      <c r="H4680" s="106"/>
      <c r="I4680" s="106"/>
    </row>
    <row r="4681" spans="8:9" x14ac:dyDescent="0.25">
      <c r="H4681" s="106"/>
      <c r="I4681" s="106"/>
    </row>
    <row r="4682" spans="8:9" x14ac:dyDescent="0.25">
      <c r="H4682" s="106"/>
      <c r="I4682" s="106"/>
    </row>
    <row r="4683" spans="8:9" x14ac:dyDescent="0.25">
      <c r="H4683" s="106"/>
      <c r="I4683" s="106"/>
    </row>
    <row r="4684" spans="8:9" x14ac:dyDescent="0.25">
      <c r="H4684" s="106"/>
      <c r="I4684" s="106"/>
    </row>
    <row r="4685" spans="8:9" x14ac:dyDescent="0.25">
      <c r="H4685" s="106"/>
      <c r="I4685" s="106"/>
    </row>
    <row r="4686" spans="8:9" x14ac:dyDescent="0.25">
      <c r="H4686" s="106"/>
      <c r="I4686" s="106"/>
    </row>
    <row r="4687" spans="8:9" x14ac:dyDescent="0.25">
      <c r="H4687" s="106"/>
      <c r="I4687" s="106"/>
    </row>
    <row r="4688" spans="8:9" x14ac:dyDescent="0.25">
      <c r="H4688" s="106"/>
      <c r="I4688" s="106"/>
    </row>
    <row r="4689" spans="8:9" x14ac:dyDescent="0.25">
      <c r="H4689" s="106"/>
      <c r="I4689" s="106"/>
    </row>
    <row r="4690" spans="8:9" x14ac:dyDescent="0.25">
      <c r="H4690" s="106"/>
      <c r="I4690" s="106"/>
    </row>
    <row r="4691" spans="8:9" x14ac:dyDescent="0.25">
      <c r="H4691" s="106"/>
      <c r="I4691" s="106"/>
    </row>
    <row r="4692" spans="8:9" x14ac:dyDescent="0.25">
      <c r="H4692" s="106"/>
      <c r="I4692" s="106"/>
    </row>
    <row r="4693" spans="8:9" x14ac:dyDescent="0.25">
      <c r="H4693" s="106"/>
      <c r="I4693" s="106"/>
    </row>
    <row r="4694" spans="8:9" x14ac:dyDescent="0.25">
      <c r="H4694" s="106"/>
      <c r="I4694" s="106"/>
    </row>
    <row r="4695" spans="8:9" x14ac:dyDescent="0.25">
      <c r="H4695" s="106"/>
      <c r="I4695" s="106"/>
    </row>
    <row r="4696" spans="8:9" x14ac:dyDescent="0.25">
      <c r="H4696" s="106"/>
      <c r="I4696" s="106"/>
    </row>
    <row r="4697" spans="8:9" x14ac:dyDescent="0.25">
      <c r="H4697" s="106"/>
      <c r="I4697" s="106"/>
    </row>
    <row r="4698" spans="8:9" x14ac:dyDescent="0.25">
      <c r="H4698" s="106"/>
      <c r="I4698" s="106"/>
    </row>
    <row r="4699" spans="8:9" x14ac:dyDescent="0.25">
      <c r="H4699" s="106"/>
      <c r="I4699" s="106"/>
    </row>
    <row r="4700" spans="8:9" x14ac:dyDescent="0.25">
      <c r="H4700" s="106"/>
      <c r="I4700" s="106"/>
    </row>
    <row r="4701" spans="8:9" x14ac:dyDescent="0.25">
      <c r="H4701" s="106"/>
      <c r="I4701" s="106"/>
    </row>
    <row r="4702" spans="8:9" x14ac:dyDescent="0.25">
      <c r="H4702" s="106"/>
      <c r="I4702" s="106"/>
    </row>
    <row r="4703" spans="8:9" x14ac:dyDescent="0.25">
      <c r="H4703" s="106"/>
      <c r="I4703" s="106"/>
    </row>
    <row r="4704" spans="8:9" x14ac:dyDescent="0.25">
      <c r="H4704" s="106"/>
      <c r="I4704" s="106"/>
    </row>
    <row r="4705" spans="8:9" x14ac:dyDescent="0.25">
      <c r="H4705" s="106"/>
      <c r="I4705" s="106"/>
    </row>
    <row r="4706" spans="8:9" x14ac:dyDescent="0.25">
      <c r="H4706" s="106"/>
      <c r="I4706" s="106"/>
    </row>
    <row r="4707" spans="8:9" x14ac:dyDescent="0.25">
      <c r="H4707" s="106"/>
      <c r="I4707" s="106"/>
    </row>
    <row r="4708" spans="8:9" x14ac:dyDescent="0.25">
      <c r="H4708" s="106"/>
      <c r="I4708" s="106"/>
    </row>
    <row r="4709" spans="8:9" x14ac:dyDescent="0.25">
      <c r="H4709" s="106"/>
      <c r="I4709" s="106"/>
    </row>
    <row r="4710" spans="8:9" x14ac:dyDescent="0.25">
      <c r="H4710" s="106"/>
      <c r="I4710" s="106"/>
    </row>
    <row r="4711" spans="8:9" x14ac:dyDescent="0.25">
      <c r="H4711" s="106"/>
      <c r="I4711" s="106"/>
    </row>
    <row r="4712" spans="8:9" x14ac:dyDescent="0.25">
      <c r="H4712" s="106"/>
      <c r="I4712" s="106"/>
    </row>
    <row r="4713" spans="8:9" x14ac:dyDescent="0.25">
      <c r="H4713" s="106"/>
      <c r="I4713" s="106"/>
    </row>
    <row r="4714" spans="8:9" x14ac:dyDescent="0.25">
      <c r="H4714" s="106"/>
      <c r="I4714" s="106"/>
    </row>
    <row r="4715" spans="8:9" x14ac:dyDescent="0.25">
      <c r="H4715" s="106"/>
      <c r="I4715" s="106"/>
    </row>
    <row r="4716" spans="8:9" x14ac:dyDescent="0.25">
      <c r="H4716" s="106"/>
      <c r="I4716" s="106"/>
    </row>
    <row r="4717" spans="8:9" x14ac:dyDescent="0.25">
      <c r="H4717" s="106"/>
      <c r="I4717" s="106"/>
    </row>
    <row r="4718" spans="8:9" x14ac:dyDescent="0.25">
      <c r="H4718" s="106"/>
      <c r="I4718" s="106"/>
    </row>
    <row r="4719" spans="8:9" x14ac:dyDescent="0.25">
      <c r="H4719" s="106"/>
      <c r="I4719" s="106"/>
    </row>
    <row r="4720" spans="8:9" x14ac:dyDescent="0.25">
      <c r="H4720" s="106"/>
      <c r="I4720" s="106"/>
    </row>
    <row r="4721" spans="8:9" x14ac:dyDescent="0.25">
      <c r="H4721" s="106"/>
      <c r="I4721" s="106"/>
    </row>
    <row r="4722" spans="8:9" x14ac:dyDescent="0.25">
      <c r="H4722" s="106"/>
      <c r="I4722" s="106"/>
    </row>
    <row r="4723" spans="8:9" x14ac:dyDescent="0.25">
      <c r="H4723" s="106"/>
      <c r="I4723" s="106"/>
    </row>
    <row r="4724" spans="8:9" x14ac:dyDescent="0.25">
      <c r="H4724" s="106"/>
      <c r="I4724" s="106"/>
    </row>
    <row r="4725" spans="8:9" x14ac:dyDescent="0.25">
      <c r="H4725" s="106"/>
      <c r="I4725" s="106"/>
    </row>
    <row r="4726" spans="8:9" x14ac:dyDescent="0.25">
      <c r="H4726" s="106"/>
      <c r="I4726" s="106"/>
    </row>
    <row r="4727" spans="8:9" x14ac:dyDescent="0.25">
      <c r="H4727" s="106"/>
      <c r="I4727" s="106"/>
    </row>
    <row r="4728" spans="8:9" x14ac:dyDescent="0.25">
      <c r="H4728" s="106"/>
      <c r="I4728" s="106"/>
    </row>
    <row r="4729" spans="8:9" x14ac:dyDescent="0.25">
      <c r="H4729" s="106"/>
      <c r="I4729" s="106"/>
    </row>
    <row r="4730" spans="8:9" x14ac:dyDescent="0.25">
      <c r="H4730" s="106"/>
      <c r="I4730" s="106"/>
    </row>
    <row r="4731" spans="8:9" x14ac:dyDescent="0.25">
      <c r="H4731" s="106"/>
      <c r="I4731" s="106"/>
    </row>
    <row r="4732" spans="8:9" x14ac:dyDescent="0.25">
      <c r="H4732" s="106"/>
      <c r="I4732" s="106"/>
    </row>
    <row r="4733" spans="8:9" x14ac:dyDescent="0.25">
      <c r="H4733" s="106"/>
      <c r="I4733" s="106"/>
    </row>
    <row r="4734" spans="8:9" x14ac:dyDescent="0.25">
      <c r="H4734" s="106"/>
      <c r="I4734" s="106"/>
    </row>
    <row r="4735" spans="8:9" x14ac:dyDescent="0.25">
      <c r="H4735" s="106"/>
      <c r="I4735" s="106"/>
    </row>
    <row r="4736" spans="8:9" x14ac:dyDescent="0.25">
      <c r="H4736" s="106"/>
      <c r="I4736" s="106"/>
    </row>
    <row r="4737" spans="8:9" x14ac:dyDescent="0.25">
      <c r="H4737" s="106"/>
      <c r="I4737" s="106"/>
    </row>
    <row r="4738" spans="8:9" x14ac:dyDescent="0.25">
      <c r="H4738" s="106"/>
      <c r="I4738" s="106"/>
    </row>
    <row r="4739" spans="8:9" x14ac:dyDescent="0.25">
      <c r="H4739" s="106"/>
      <c r="I4739" s="106"/>
    </row>
    <row r="4740" spans="8:9" x14ac:dyDescent="0.25">
      <c r="H4740" s="106"/>
      <c r="I4740" s="106"/>
    </row>
    <row r="4741" spans="8:9" x14ac:dyDescent="0.25">
      <c r="H4741" s="106"/>
      <c r="I4741" s="106"/>
    </row>
    <row r="4742" spans="8:9" x14ac:dyDescent="0.25">
      <c r="H4742" s="106"/>
      <c r="I4742" s="106"/>
    </row>
    <row r="4743" spans="8:9" x14ac:dyDescent="0.25">
      <c r="H4743" s="106"/>
      <c r="I4743" s="106"/>
    </row>
    <row r="4744" spans="8:9" x14ac:dyDescent="0.25">
      <c r="H4744" s="106"/>
      <c r="I4744" s="106"/>
    </row>
    <row r="4745" spans="8:9" x14ac:dyDescent="0.25">
      <c r="H4745" s="106"/>
      <c r="I4745" s="106"/>
    </row>
    <row r="4746" spans="8:9" x14ac:dyDescent="0.25">
      <c r="H4746" s="106"/>
      <c r="I4746" s="106"/>
    </row>
    <row r="4747" spans="8:9" x14ac:dyDescent="0.25">
      <c r="H4747" s="106"/>
      <c r="I4747" s="106"/>
    </row>
    <row r="4748" spans="8:9" x14ac:dyDescent="0.25">
      <c r="H4748" s="106"/>
      <c r="I4748" s="106"/>
    </row>
    <row r="4749" spans="8:9" x14ac:dyDescent="0.25">
      <c r="H4749" s="106"/>
      <c r="I4749" s="106"/>
    </row>
    <row r="4750" spans="8:9" x14ac:dyDescent="0.25">
      <c r="H4750" s="106"/>
      <c r="I4750" s="106"/>
    </row>
    <row r="4751" spans="8:9" x14ac:dyDescent="0.25">
      <c r="H4751" s="106"/>
      <c r="I4751" s="106"/>
    </row>
    <row r="4752" spans="8:9" x14ac:dyDescent="0.25">
      <c r="H4752" s="106"/>
      <c r="I4752" s="106"/>
    </row>
    <row r="4753" spans="8:9" x14ac:dyDescent="0.25">
      <c r="H4753" s="106"/>
      <c r="I4753" s="106"/>
    </row>
    <row r="4754" spans="8:9" x14ac:dyDescent="0.25">
      <c r="H4754" s="106"/>
      <c r="I4754" s="106"/>
    </row>
    <row r="4755" spans="8:9" x14ac:dyDescent="0.25">
      <c r="H4755" s="106"/>
      <c r="I4755" s="106"/>
    </row>
    <row r="4756" spans="8:9" x14ac:dyDescent="0.25">
      <c r="H4756" s="106"/>
      <c r="I4756" s="106"/>
    </row>
    <row r="4757" spans="8:9" x14ac:dyDescent="0.25">
      <c r="H4757" s="106"/>
      <c r="I4757" s="106"/>
    </row>
    <row r="4758" spans="8:9" x14ac:dyDescent="0.25">
      <c r="H4758" s="106"/>
      <c r="I4758" s="106"/>
    </row>
    <row r="4759" spans="8:9" x14ac:dyDescent="0.25">
      <c r="H4759" s="106"/>
      <c r="I4759" s="106"/>
    </row>
    <row r="4760" spans="8:9" x14ac:dyDescent="0.25">
      <c r="H4760" s="106"/>
      <c r="I4760" s="106"/>
    </row>
    <row r="4761" spans="8:9" x14ac:dyDescent="0.25">
      <c r="H4761" s="106"/>
      <c r="I4761" s="106"/>
    </row>
    <row r="4762" spans="8:9" x14ac:dyDescent="0.25">
      <c r="H4762" s="106"/>
      <c r="I4762" s="106"/>
    </row>
    <row r="4763" spans="8:9" x14ac:dyDescent="0.25">
      <c r="H4763" s="106"/>
      <c r="I4763" s="106"/>
    </row>
    <row r="4764" spans="8:9" x14ac:dyDescent="0.25">
      <c r="H4764" s="106"/>
      <c r="I4764" s="106"/>
    </row>
    <row r="4765" spans="8:9" x14ac:dyDescent="0.25">
      <c r="H4765" s="106"/>
      <c r="I4765" s="106"/>
    </row>
    <row r="4766" spans="8:9" x14ac:dyDescent="0.25">
      <c r="H4766" s="106"/>
      <c r="I4766" s="106"/>
    </row>
    <row r="4767" spans="8:9" x14ac:dyDescent="0.25">
      <c r="H4767" s="106"/>
      <c r="I4767" s="106"/>
    </row>
    <row r="4768" spans="8:9" x14ac:dyDescent="0.25">
      <c r="H4768" s="106"/>
      <c r="I4768" s="106"/>
    </row>
    <row r="4769" spans="8:9" x14ac:dyDescent="0.25">
      <c r="H4769" s="106"/>
      <c r="I4769" s="106"/>
    </row>
    <row r="4770" spans="8:9" x14ac:dyDescent="0.25">
      <c r="H4770" s="106"/>
      <c r="I4770" s="106"/>
    </row>
    <row r="4771" spans="8:9" x14ac:dyDescent="0.25">
      <c r="H4771" s="106"/>
      <c r="I4771" s="106"/>
    </row>
    <row r="4772" spans="8:9" x14ac:dyDescent="0.25">
      <c r="H4772" s="106"/>
      <c r="I4772" s="106"/>
    </row>
    <row r="4773" spans="8:9" x14ac:dyDescent="0.25">
      <c r="H4773" s="106"/>
      <c r="I4773" s="106"/>
    </row>
    <row r="4774" spans="8:9" x14ac:dyDescent="0.25">
      <c r="H4774" s="106"/>
      <c r="I4774" s="106"/>
    </row>
    <row r="4775" spans="8:9" x14ac:dyDescent="0.25">
      <c r="H4775" s="106"/>
      <c r="I4775" s="106"/>
    </row>
    <row r="4776" spans="8:9" x14ac:dyDescent="0.25">
      <c r="H4776" s="106"/>
      <c r="I4776" s="106"/>
    </row>
    <row r="4777" spans="8:9" x14ac:dyDescent="0.25">
      <c r="H4777" s="106"/>
      <c r="I4777" s="106"/>
    </row>
    <row r="4778" spans="8:9" x14ac:dyDescent="0.25">
      <c r="H4778" s="106"/>
      <c r="I4778" s="106"/>
    </row>
    <row r="4779" spans="8:9" x14ac:dyDescent="0.25">
      <c r="H4779" s="106"/>
      <c r="I4779" s="106"/>
    </row>
    <row r="4780" spans="8:9" x14ac:dyDescent="0.25">
      <c r="H4780" s="106"/>
      <c r="I4780" s="106"/>
    </row>
    <row r="4781" spans="8:9" x14ac:dyDescent="0.25">
      <c r="H4781" s="106"/>
      <c r="I4781" s="106"/>
    </row>
    <row r="4782" spans="8:9" x14ac:dyDescent="0.25">
      <c r="H4782" s="106"/>
      <c r="I4782" s="106"/>
    </row>
    <row r="4783" spans="8:9" x14ac:dyDescent="0.25">
      <c r="H4783" s="106"/>
      <c r="I4783" s="106"/>
    </row>
    <row r="4784" spans="8:9" x14ac:dyDescent="0.25">
      <c r="H4784" s="106"/>
      <c r="I4784" s="106"/>
    </row>
    <row r="4785" spans="8:9" x14ac:dyDescent="0.25">
      <c r="H4785" s="106"/>
      <c r="I4785" s="106"/>
    </row>
    <row r="4786" spans="8:9" x14ac:dyDescent="0.25">
      <c r="H4786" s="106"/>
      <c r="I4786" s="106"/>
    </row>
    <row r="4787" spans="8:9" x14ac:dyDescent="0.25">
      <c r="H4787" s="106"/>
      <c r="I4787" s="106"/>
    </row>
    <row r="4788" spans="8:9" x14ac:dyDescent="0.25">
      <c r="H4788" s="106"/>
      <c r="I4788" s="106"/>
    </row>
    <row r="4789" spans="8:9" x14ac:dyDescent="0.25">
      <c r="H4789" s="106"/>
      <c r="I4789" s="106"/>
    </row>
    <row r="4790" spans="8:9" x14ac:dyDescent="0.25">
      <c r="H4790" s="106"/>
      <c r="I4790" s="106"/>
    </row>
    <row r="4791" spans="8:9" x14ac:dyDescent="0.25">
      <c r="H4791" s="106"/>
      <c r="I4791" s="106"/>
    </row>
    <row r="4792" spans="8:9" x14ac:dyDescent="0.25">
      <c r="H4792" s="106"/>
      <c r="I4792" s="106"/>
    </row>
    <row r="4793" spans="8:9" x14ac:dyDescent="0.25">
      <c r="H4793" s="106"/>
      <c r="I4793" s="106"/>
    </row>
    <row r="4794" spans="8:9" x14ac:dyDescent="0.25">
      <c r="H4794" s="106"/>
      <c r="I4794" s="106"/>
    </row>
    <row r="4795" spans="8:9" x14ac:dyDescent="0.25">
      <c r="H4795" s="106"/>
      <c r="I4795" s="106"/>
    </row>
    <row r="4796" spans="8:9" x14ac:dyDescent="0.25">
      <c r="H4796" s="106"/>
      <c r="I4796" s="106"/>
    </row>
    <row r="4797" spans="8:9" x14ac:dyDescent="0.25">
      <c r="H4797" s="106"/>
      <c r="I4797" s="106"/>
    </row>
    <row r="4798" spans="8:9" x14ac:dyDescent="0.25">
      <c r="H4798" s="106"/>
      <c r="I4798" s="106"/>
    </row>
    <row r="4799" spans="8:9" x14ac:dyDescent="0.25">
      <c r="H4799" s="106"/>
      <c r="I4799" s="106"/>
    </row>
    <row r="4800" spans="8:9" x14ac:dyDescent="0.25">
      <c r="H4800" s="106"/>
      <c r="I4800" s="106"/>
    </row>
    <row r="4801" spans="8:9" x14ac:dyDescent="0.25">
      <c r="H4801" s="106"/>
      <c r="I4801" s="106"/>
    </row>
    <row r="4802" spans="8:9" x14ac:dyDescent="0.25">
      <c r="H4802" s="106"/>
      <c r="I4802" s="106"/>
    </row>
    <row r="4803" spans="8:9" x14ac:dyDescent="0.25">
      <c r="H4803" s="106"/>
      <c r="I4803" s="106"/>
    </row>
    <row r="4804" spans="8:9" x14ac:dyDescent="0.25">
      <c r="H4804" s="106"/>
      <c r="I4804" s="106"/>
    </row>
    <row r="4805" spans="8:9" x14ac:dyDescent="0.25">
      <c r="H4805" s="106"/>
      <c r="I4805" s="106"/>
    </row>
    <row r="4806" spans="8:9" x14ac:dyDescent="0.25">
      <c r="H4806" s="106"/>
      <c r="I4806" s="106"/>
    </row>
    <row r="4807" spans="8:9" x14ac:dyDescent="0.25">
      <c r="H4807" s="106"/>
      <c r="I4807" s="106"/>
    </row>
    <row r="4808" spans="8:9" x14ac:dyDescent="0.25">
      <c r="H4808" s="106"/>
      <c r="I4808" s="106"/>
    </row>
    <row r="4809" spans="8:9" x14ac:dyDescent="0.25">
      <c r="H4809" s="106"/>
      <c r="I4809" s="106"/>
    </row>
    <row r="4810" spans="8:9" x14ac:dyDescent="0.25">
      <c r="H4810" s="106"/>
      <c r="I4810" s="106"/>
    </row>
    <row r="4811" spans="8:9" x14ac:dyDescent="0.25">
      <c r="H4811" s="106"/>
      <c r="I4811" s="106"/>
    </row>
    <row r="4812" spans="8:9" x14ac:dyDescent="0.25">
      <c r="H4812" s="106"/>
      <c r="I4812" s="106"/>
    </row>
    <row r="4813" spans="8:9" x14ac:dyDescent="0.25">
      <c r="H4813" s="106"/>
      <c r="I4813" s="106"/>
    </row>
    <row r="4814" spans="8:9" x14ac:dyDescent="0.25">
      <c r="H4814" s="106"/>
      <c r="I4814" s="106"/>
    </row>
    <row r="4815" spans="8:9" x14ac:dyDescent="0.25">
      <c r="H4815" s="106"/>
      <c r="I4815" s="106"/>
    </row>
    <row r="4816" spans="8:9" x14ac:dyDescent="0.25">
      <c r="H4816" s="106"/>
      <c r="I4816" s="106"/>
    </row>
    <row r="4817" spans="8:9" x14ac:dyDescent="0.25">
      <c r="H4817" s="106"/>
      <c r="I4817" s="106"/>
    </row>
    <row r="4818" spans="8:9" x14ac:dyDescent="0.25">
      <c r="H4818" s="106"/>
      <c r="I4818" s="106"/>
    </row>
    <row r="4819" spans="8:9" x14ac:dyDescent="0.25">
      <c r="H4819" s="106"/>
      <c r="I4819" s="106"/>
    </row>
    <row r="4820" spans="8:9" x14ac:dyDescent="0.25">
      <c r="H4820" s="106"/>
      <c r="I4820" s="106"/>
    </row>
    <row r="4821" spans="8:9" x14ac:dyDescent="0.25">
      <c r="H4821" s="106"/>
      <c r="I4821" s="106"/>
    </row>
    <row r="4822" spans="8:9" x14ac:dyDescent="0.25">
      <c r="H4822" s="106"/>
      <c r="I4822" s="106"/>
    </row>
    <row r="4823" spans="8:9" x14ac:dyDescent="0.25">
      <c r="H4823" s="106"/>
      <c r="I4823" s="106"/>
    </row>
    <row r="4824" spans="8:9" x14ac:dyDescent="0.25">
      <c r="H4824" s="106"/>
      <c r="I4824" s="106"/>
    </row>
    <row r="4825" spans="8:9" x14ac:dyDescent="0.25">
      <c r="H4825" s="106"/>
      <c r="I4825" s="106"/>
    </row>
    <row r="4826" spans="8:9" x14ac:dyDescent="0.25">
      <c r="H4826" s="106"/>
      <c r="I4826" s="106"/>
    </row>
    <row r="4827" spans="8:9" x14ac:dyDescent="0.25">
      <c r="H4827" s="106"/>
      <c r="I4827" s="106"/>
    </row>
    <row r="4828" spans="8:9" x14ac:dyDescent="0.25">
      <c r="H4828" s="106"/>
      <c r="I4828" s="106"/>
    </row>
    <row r="4829" spans="8:9" x14ac:dyDescent="0.25">
      <c r="H4829" s="106"/>
      <c r="I4829" s="106"/>
    </row>
    <row r="4830" spans="8:9" x14ac:dyDescent="0.25">
      <c r="H4830" s="106"/>
      <c r="I4830" s="106"/>
    </row>
    <row r="4831" spans="8:9" x14ac:dyDescent="0.25">
      <c r="H4831" s="106"/>
      <c r="I4831" s="106"/>
    </row>
    <row r="4832" spans="8:9" x14ac:dyDescent="0.25">
      <c r="H4832" s="106"/>
      <c r="I4832" s="106"/>
    </row>
    <row r="4833" spans="8:9" x14ac:dyDescent="0.25">
      <c r="H4833" s="106"/>
      <c r="I4833" s="106"/>
    </row>
    <row r="4834" spans="8:9" x14ac:dyDescent="0.25">
      <c r="H4834" s="106"/>
      <c r="I4834" s="106"/>
    </row>
    <row r="4835" spans="8:9" x14ac:dyDescent="0.25">
      <c r="H4835" s="106"/>
      <c r="I4835" s="106"/>
    </row>
    <row r="4836" spans="8:9" x14ac:dyDescent="0.25">
      <c r="H4836" s="106"/>
      <c r="I4836" s="106"/>
    </row>
    <row r="4837" spans="8:9" x14ac:dyDescent="0.25">
      <c r="H4837" s="106"/>
      <c r="I4837" s="106"/>
    </row>
    <row r="4838" spans="8:9" x14ac:dyDescent="0.25">
      <c r="H4838" s="106"/>
      <c r="I4838" s="106"/>
    </row>
    <row r="4839" spans="8:9" x14ac:dyDescent="0.25">
      <c r="H4839" s="106"/>
      <c r="I4839" s="106"/>
    </row>
    <row r="4840" spans="8:9" x14ac:dyDescent="0.25">
      <c r="H4840" s="106"/>
      <c r="I4840" s="106"/>
    </row>
    <row r="4841" spans="8:9" x14ac:dyDescent="0.25">
      <c r="H4841" s="106"/>
      <c r="I4841" s="106"/>
    </row>
    <row r="4842" spans="8:9" x14ac:dyDescent="0.25">
      <c r="H4842" s="106"/>
      <c r="I4842" s="106"/>
    </row>
    <row r="4843" spans="8:9" x14ac:dyDescent="0.25">
      <c r="H4843" s="106"/>
      <c r="I4843" s="106"/>
    </row>
    <row r="4844" spans="8:9" x14ac:dyDescent="0.25">
      <c r="H4844" s="106"/>
      <c r="I4844" s="106"/>
    </row>
    <row r="4845" spans="8:9" x14ac:dyDescent="0.25">
      <c r="H4845" s="106"/>
      <c r="I4845" s="106"/>
    </row>
    <row r="4846" spans="8:9" x14ac:dyDescent="0.25">
      <c r="H4846" s="106"/>
      <c r="I4846" s="106"/>
    </row>
    <row r="4847" spans="8:9" x14ac:dyDescent="0.25">
      <c r="H4847" s="106"/>
      <c r="I4847" s="106"/>
    </row>
    <row r="4848" spans="8:9" x14ac:dyDescent="0.25">
      <c r="H4848" s="106"/>
      <c r="I4848" s="106"/>
    </row>
    <row r="4849" spans="8:9" x14ac:dyDescent="0.25">
      <c r="H4849" s="106"/>
      <c r="I4849" s="106"/>
    </row>
    <row r="4850" spans="8:9" x14ac:dyDescent="0.25">
      <c r="H4850" s="106"/>
      <c r="I4850" s="106"/>
    </row>
    <row r="4851" spans="8:9" x14ac:dyDescent="0.25">
      <c r="H4851" s="106"/>
      <c r="I4851" s="106"/>
    </row>
    <row r="4852" spans="8:9" x14ac:dyDescent="0.25">
      <c r="H4852" s="106"/>
      <c r="I4852" s="106"/>
    </row>
    <row r="4853" spans="8:9" x14ac:dyDescent="0.25">
      <c r="H4853" s="106"/>
      <c r="I4853" s="106"/>
    </row>
    <row r="4854" spans="8:9" x14ac:dyDescent="0.25">
      <c r="H4854" s="106"/>
      <c r="I4854" s="106"/>
    </row>
    <row r="4855" spans="8:9" x14ac:dyDescent="0.25">
      <c r="H4855" s="106"/>
      <c r="I4855" s="106"/>
    </row>
    <row r="4856" spans="8:9" x14ac:dyDescent="0.25">
      <c r="H4856" s="106"/>
      <c r="I4856" s="106"/>
    </row>
    <row r="4857" spans="8:9" x14ac:dyDescent="0.25">
      <c r="H4857" s="106"/>
      <c r="I4857" s="106"/>
    </row>
    <row r="4858" spans="8:9" x14ac:dyDescent="0.25">
      <c r="H4858" s="106"/>
      <c r="I4858" s="106"/>
    </row>
    <row r="4859" spans="8:9" x14ac:dyDescent="0.25">
      <c r="H4859" s="106"/>
      <c r="I4859" s="106"/>
    </row>
    <row r="4860" spans="8:9" x14ac:dyDescent="0.25">
      <c r="H4860" s="106"/>
      <c r="I4860" s="106"/>
    </row>
    <row r="4861" spans="8:9" x14ac:dyDescent="0.25">
      <c r="H4861" s="106"/>
      <c r="I4861" s="106"/>
    </row>
    <row r="4862" spans="8:9" x14ac:dyDescent="0.25">
      <c r="H4862" s="106"/>
      <c r="I4862" s="106"/>
    </row>
    <row r="4863" spans="8:9" x14ac:dyDescent="0.25">
      <c r="H4863" s="106"/>
      <c r="I4863" s="106"/>
    </row>
    <row r="4864" spans="8:9" x14ac:dyDescent="0.25">
      <c r="H4864" s="106"/>
      <c r="I4864" s="106"/>
    </row>
    <row r="4865" spans="8:9" x14ac:dyDescent="0.25">
      <c r="H4865" s="106"/>
      <c r="I4865" s="106"/>
    </row>
    <row r="4866" spans="8:9" x14ac:dyDescent="0.25">
      <c r="H4866" s="106"/>
      <c r="I4866" s="106"/>
    </row>
    <row r="4867" spans="8:9" x14ac:dyDescent="0.25">
      <c r="H4867" s="106"/>
      <c r="I4867" s="106"/>
    </row>
    <row r="4868" spans="8:9" x14ac:dyDescent="0.25">
      <c r="H4868" s="106"/>
      <c r="I4868" s="106"/>
    </row>
    <row r="4869" spans="8:9" x14ac:dyDescent="0.25">
      <c r="H4869" s="106"/>
      <c r="I4869" s="106"/>
    </row>
    <row r="4870" spans="8:9" x14ac:dyDescent="0.25">
      <c r="H4870" s="106"/>
      <c r="I4870" s="106"/>
    </row>
    <row r="4871" spans="8:9" x14ac:dyDescent="0.25">
      <c r="H4871" s="106"/>
      <c r="I4871" s="106"/>
    </row>
    <row r="4872" spans="8:9" x14ac:dyDescent="0.25">
      <c r="H4872" s="106"/>
      <c r="I4872" s="106"/>
    </row>
    <row r="4873" spans="8:9" x14ac:dyDescent="0.25">
      <c r="H4873" s="106"/>
      <c r="I4873" s="106"/>
    </row>
    <row r="4874" spans="8:9" x14ac:dyDescent="0.25">
      <c r="H4874" s="106"/>
      <c r="I4874" s="106"/>
    </row>
    <row r="4875" spans="8:9" x14ac:dyDescent="0.25">
      <c r="H4875" s="106"/>
      <c r="I4875" s="106"/>
    </row>
    <row r="4876" spans="8:9" x14ac:dyDescent="0.25">
      <c r="H4876" s="106"/>
      <c r="I4876" s="106"/>
    </row>
    <row r="4877" spans="8:9" x14ac:dyDescent="0.25">
      <c r="H4877" s="106"/>
      <c r="I4877" s="106"/>
    </row>
    <row r="4878" spans="8:9" x14ac:dyDescent="0.25">
      <c r="H4878" s="106"/>
      <c r="I4878" s="106"/>
    </row>
    <row r="4879" spans="8:9" x14ac:dyDescent="0.25">
      <c r="H4879" s="106"/>
      <c r="I4879" s="106"/>
    </row>
    <row r="4880" spans="8:9" x14ac:dyDescent="0.25">
      <c r="H4880" s="106"/>
      <c r="I4880" s="106"/>
    </row>
    <row r="4881" spans="8:9" x14ac:dyDescent="0.25">
      <c r="H4881" s="106"/>
      <c r="I4881" s="106"/>
    </row>
    <row r="4882" spans="8:9" x14ac:dyDescent="0.25">
      <c r="H4882" s="106"/>
      <c r="I4882" s="106"/>
    </row>
    <row r="4883" spans="8:9" x14ac:dyDescent="0.25">
      <c r="H4883" s="106"/>
      <c r="I4883" s="106"/>
    </row>
    <row r="4884" spans="8:9" x14ac:dyDescent="0.25">
      <c r="H4884" s="106"/>
      <c r="I4884" s="106"/>
    </row>
    <row r="4885" spans="8:9" x14ac:dyDescent="0.25">
      <c r="H4885" s="106"/>
      <c r="I4885" s="106"/>
    </row>
    <row r="4886" spans="8:9" x14ac:dyDescent="0.25">
      <c r="H4886" s="106"/>
      <c r="I4886" s="106"/>
    </row>
    <row r="4887" spans="8:9" x14ac:dyDescent="0.25">
      <c r="H4887" s="106"/>
      <c r="I4887" s="106"/>
    </row>
    <row r="4888" spans="8:9" x14ac:dyDescent="0.25">
      <c r="H4888" s="106"/>
      <c r="I4888" s="106"/>
    </row>
    <row r="4889" spans="8:9" x14ac:dyDescent="0.25">
      <c r="H4889" s="106"/>
      <c r="I4889" s="106"/>
    </row>
    <row r="4890" spans="8:9" x14ac:dyDescent="0.25">
      <c r="H4890" s="106"/>
      <c r="I4890" s="106"/>
    </row>
    <row r="4891" spans="8:9" x14ac:dyDescent="0.25">
      <c r="H4891" s="106"/>
      <c r="I4891" s="106"/>
    </row>
    <row r="4892" spans="8:9" x14ac:dyDescent="0.25">
      <c r="H4892" s="106"/>
      <c r="I4892" s="106"/>
    </row>
    <row r="4893" spans="8:9" x14ac:dyDescent="0.25">
      <c r="H4893" s="106"/>
      <c r="I4893" s="106"/>
    </row>
    <row r="4894" spans="8:9" x14ac:dyDescent="0.25">
      <c r="H4894" s="106"/>
      <c r="I4894" s="106"/>
    </row>
    <row r="4895" spans="8:9" x14ac:dyDescent="0.25">
      <c r="H4895" s="106"/>
      <c r="I4895" s="106"/>
    </row>
    <row r="4896" spans="8:9" x14ac:dyDescent="0.25">
      <c r="H4896" s="106"/>
      <c r="I4896" s="106"/>
    </row>
    <row r="4897" spans="8:9" x14ac:dyDescent="0.25">
      <c r="H4897" s="106"/>
      <c r="I4897" s="106"/>
    </row>
    <row r="4898" spans="8:9" x14ac:dyDescent="0.25">
      <c r="H4898" s="106"/>
      <c r="I4898" s="106"/>
    </row>
    <row r="4899" spans="8:9" x14ac:dyDescent="0.25">
      <c r="H4899" s="106"/>
      <c r="I4899" s="106"/>
    </row>
    <row r="4900" spans="8:9" x14ac:dyDescent="0.25">
      <c r="H4900" s="106"/>
      <c r="I4900" s="106"/>
    </row>
    <row r="4901" spans="8:9" x14ac:dyDescent="0.25">
      <c r="H4901" s="106"/>
      <c r="I4901" s="106"/>
    </row>
    <row r="4902" spans="8:9" x14ac:dyDescent="0.25">
      <c r="H4902" s="106"/>
      <c r="I4902" s="106"/>
    </row>
    <row r="4903" spans="8:9" x14ac:dyDescent="0.25">
      <c r="H4903" s="106"/>
      <c r="I4903" s="106"/>
    </row>
    <row r="4904" spans="8:9" x14ac:dyDescent="0.25">
      <c r="H4904" s="106"/>
      <c r="I4904" s="106"/>
    </row>
    <row r="4905" spans="8:9" x14ac:dyDescent="0.25">
      <c r="H4905" s="106"/>
      <c r="I4905" s="106"/>
    </row>
    <row r="4906" spans="8:9" x14ac:dyDescent="0.25">
      <c r="H4906" s="106"/>
      <c r="I4906" s="106"/>
    </row>
    <row r="4907" spans="8:9" x14ac:dyDescent="0.25">
      <c r="H4907" s="106"/>
      <c r="I4907" s="106"/>
    </row>
    <row r="4908" spans="8:9" x14ac:dyDescent="0.25">
      <c r="H4908" s="106"/>
      <c r="I4908" s="106"/>
    </row>
    <row r="4909" spans="8:9" x14ac:dyDescent="0.25">
      <c r="H4909" s="106"/>
      <c r="I4909" s="106"/>
    </row>
    <row r="4910" spans="8:9" x14ac:dyDescent="0.25">
      <c r="H4910" s="106"/>
      <c r="I4910" s="106"/>
    </row>
    <row r="4911" spans="8:9" x14ac:dyDescent="0.25">
      <c r="H4911" s="106"/>
      <c r="I4911" s="106"/>
    </row>
    <row r="4912" spans="8:9" x14ac:dyDescent="0.25">
      <c r="H4912" s="106"/>
      <c r="I4912" s="106"/>
    </row>
    <row r="4913" spans="8:9" x14ac:dyDescent="0.25">
      <c r="H4913" s="106"/>
      <c r="I4913" s="106"/>
    </row>
    <row r="4914" spans="8:9" x14ac:dyDescent="0.25">
      <c r="H4914" s="106"/>
      <c r="I4914" s="106"/>
    </row>
    <row r="4915" spans="8:9" x14ac:dyDescent="0.25">
      <c r="H4915" s="106"/>
      <c r="I4915" s="106"/>
    </row>
    <row r="4916" spans="8:9" x14ac:dyDescent="0.25">
      <c r="H4916" s="106"/>
      <c r="I4916" s="106"/>
    </row>
    <row r="4917" spans="8:9" x14ac:dyDescent="0.25">
      <c r="H4917" s="106"/>
      <c r="I4917" s="106"/>
    </row>
    <row r="4918" spans="8:9" x14ac:dyDescent="0.25">
      <c r="H4918" s="106"/>
      <c r="I4918" s="106"/>
    </row>
    <row r="4919" spans="8:9" x14ac:dyDescent="0.25">
      <c r="H4919" s="106"/>
      <c r="I4919" s="106"/>
    </row>
    <row r="4920" spans="8:9" x14ac:dyDescent="0.25">
      <c r="H4920" s="106"/>
      <c r="I4920" s="106"/>
    </row>
    <row r="4921" spans="8:9" x14ac:dyDescent="0.25">
      <c r="H4921" s="106"/>
      <c r="I4921" s="106"/>
    </row>
    <row r="4922" spans="8:9" x14ac:dyDescent="0.25">
      <c r="H4922" s="106"/>
      <c r="I4922" s="106"/>
    </row>
    <row r="4923" spans="8:9" x14ac:dyDescent="0.25">
      <c r="H4923" s="106"/>
      <c r="I4923" s="106"/>
    </row>
    <row r="4924" spans="8:9" x14ac:dyDescent="0.25">
      <c r="H4924" s="106"/>
      <c r="I4924" s="106"/>
    </row>
    <row r="4925" spans="8:9" x14ac:dyDescent="0.25">
      <c r="H4925" s="106"/>
      <c r="I4925" s="106"/>
    </row>
    <row r="4926" spans="8:9" x14ac:dyDescent="0.25">
      <c r="H4926" s="106"/>
      <c r="I4926" s="106"/>
    </row>
    <row r="4927" spans="8:9" x14ac:dyDescent="0.25">
      <c r="H4927" s="106"/>
      <c r="I4927" s="106"/>
    </row>
    <row r="4928" spans="8:9" x14ac:dyDescent="0.25">
      <c r="H4928" s="106"/>
      <c r="I4928" s="106"/>
    </row>
    <row r="4929" spans="8:9" x14ac:dyDescent="0.25">
      <c r="H4929" s="106"/>
      <c r="I4929" s="106"/>
    </row>
    <row r="4930" spans="8:9" x14ac:dyDescent="0.25">
      <c r="H4930" s="106"/>
      <c r="I4930" s="106"/>
    </row>
    <row r="4931" spans="8:9" x14ac:dyDescent="0.25">
      <c r="H4931" s="106"/>
      <c r="I4931" s="106"/>
    </row>
    <row r="4932" spans="8:9" x14ac:dyDescent="0.25">
      <c r="H4932" s="106"/>
      <c r="I4932" s="106"/>
    </row>
    <row r="4933" spans="8:9" x14ac:dyDescent="0.25">
      <c r="H4933" s="106"/>
      <c r="I4933" s="106"/>
    </row>
    <row r="4934" spans="8:9" x14ac:dyDescent="0.25">
      <c r="H4934" s="106"/>
      <c r="I4934" s="106"/>
    </row>
    <row r="4935" spans="8:9" x14ac:dyDescent="0.25">
      <c r="H4935" s="106"/>
      <c r="I4935" s="106"/>
    </row>
    <row r="4936" spans="8:9" x14ac:dyDescent="0.25">
      <c r="H4936" s="106"/>
      <c r="I4936" s="106"/>
    </row>
    <row r="4937" spans="8:9" x14ac:dyDescent="0.25">
      <c r="H4937" s="106"/>
      <c r="I4937" s="106"/>
    </row>
    <row r="4938" spans="8:9" x14ac:dyDescent="0.25">
      <c r="H4938" s="106"/>
      <c r="I4938" s="106"/>
    </row>
    <row r="4939" spans="8:9" x14ac:dyDescent="0.25">
      <c r="H4939" s="106"/>
      <c r="I4939" s="106"/>
    </row>
    <row r="4940" spans="8:9" x14ac:dyDescent="0.25">
      <c r="H4940" s="106"/>
      <c r="I4940" s="106"/>
    </row>
    <row r="4941" spans="8:9" x14ac:dyDescent="0.25">
      <c r="H4941" s="106"/>
      <c r="I4941" s="106"/>
    </row>
    <row r="4942" spans="8:9" x14ac:dyDescent="0.25">
      <c r="H4942" s="106"/>
      <c r="I4942" s="106"/>
    </row>
    <row r="4943" spans="8:9" x14ac:dyDescent="0.25">
      <c r="H4943" s="106"/>
      <c r="I4943" s="106"/>
    </row>
    <row r="4944" spans="8:9" x14ac:dyDescent="0.25">
      <c r="H4944" s="106"/>
      <c r="I4944" s="106"/>
    </row>
    <row r="4945" spans="8:9" x14ac:dyDescent="0.25">
      <c r="H4945" s="106"/>
      <c r="I4945" s="106"/>
    </row>
    <row r="4946" spans="8:9" x14ac:dyDescent="0.25">
      <c r="H4946" s="106"/>
      <c r="I4946" s="106"/>
    </row>
    <row r="4947" spans="8:9" x14ac:dyDescent="0.25">
      <c r="H4947" s="106"/>
      <c r="I4947" s="106"/>
    </row>
    <row r="4948" spans="8:9" x14ac:dyDescent="0.25">
      <c r="H4948" s="106"/>
      <c r="I4948" s="106"/>
    </row>
    <row r="4949" spans="8:9" x14ac:dyDescent="0.25">
      <c r="H4949" s="106"/>
      <c r="I4949" s="106"/>
    </row>
    <row r="4950" spans="8:9" x14ac:dyDescent="0.25">
      <c r="H4950" s="106"/>
      <c r="I4950" s="106"/>
    </row>
    <row r="4951" spans="8:9" x14ac:dyDescent="0.25">
      <c r="H4951" s="106"/>
      <c r="I4951" s="106"/>
    </row>
    <row r="4952" spans="8:9" x14ac:dyDescent="0.25">
      <c r="H4952" s="106"/>
      <c r="I4952" s="106"/>
    </row>
    <row r="4953" spans="8:9" x14ac:dyDescent="0.25">
      <c r="H4953" s="106"/>
      <c r="I4953" s="106"/>
    </row>
    <row r="4954" spans="8:9" x14ac:dyDescent="0.25">
      <c r="H4954" s="106"/>
      <c r="I4954" s="106"/>
    </row>
    <row r="4955" spans="8:9" x14ac:dyDescent="0.25">
      <c r="H4955" s="106"/>
      <c r="I4955" s="106"/>
    </row>
    <row r="4956" spans="8:9" x14ac:dyDescent="0.25">
      <c r="H4956" s="106"/>
      <c r="I4956" s="106"/>
    </row>
    <row r="4957" spans="8:9" x14ac:dyDescent="0.25">
      <c r="H4957" s="106"/>
      <c r="I4957" s="106"/>
    </row>
    <row r="4958" spans="8:9" x14ac:dyDescent="0.25">
      <c r="H4958" s="106"/>
      <c r="I4958" s="106"/>
    </row>
    <row r="4959" spans="8:9" x14ac:dyDescent="0.25">
      <c r="H4959" s="106"/>
      <c r="I4959" s="106"/>
    </row>
    <row r="4960" spans="8:9" x14ac:dyDescent="0.25">
      <c r="H4960" s="106"/>
      <c r="I4960" s="106"/>
    </row>
    <row r="4961" spans="8:9" x14ac:dyDescent="0.25">
      <c r="H4961" s="106"/>
      <c r="I4961" s="106"/>
    </row>
    <row r="4962" spans="8:9" x14ac:dyDescent="0.25">
      <c r="H4962" s="106"/>
      <c r="I4962" s="106"/>
    </row>
    <row r="4963" spans="8:9" x14ac:dyDescent="0.25">
      <c r="H4963" s="106"/>
      <c r="I4963" s="106"/>
    </row>
    <row r="4964" spans="8:9" x14ac:dyDescent="0.25">
      <c r="H4964" s="106"/>
      <c r="I4964" s="106"/>
    </row>
    <row r="4965" spans="8:9" x14ac:dyDescent="0.25">
      <c r="H4965" s="106"/>
      <c r="I4965" s="106"/>
    </row>
    <row r="4966" spans="8:9" x14ac:dyDescent="0.25">
      <c r="H4966" s="106"/>
      <c r="I4966" s="106"/>
    </row>
    <row r="4967" spans="8:9" x14ac:dyDescent="0.25">
      <c r="H4967" s="106"/>
      <c r="I4967" s="106"/>
    </row>
    <row r="4968" spans="8:9" x14ac:dyDescent="0.25">
      <c r="H4968" s="106"/>
      <c r="I4968" s="106"/>
    </row>
    <row r="4969" spans="8:9" x14ac:dyDescent="0.25">
      <c r="H4969" s="106"/>
      <c r="I4969" s="106"/>
    </row>
    <row r="4970" spans="8:9" x14ac:dyDescent="0.25">
      <c r="H4970" s="106"/>
      <c r="I4970" s="106"/>
    </row>
    <row r="4971" spans="8:9" x14ac:dyDescent="0.25">
      <c r="H4971" s="106"/>
      <c r="I4971" s="106"/>
    </row>
    <row r="4972" spans="8:9" x14ac:dyDescent="0.25">
      <c r="H4972" s="106"/>
      <c r="I4972" s="106"/>
    </row>
    <row r="4973" spans="8:9" x14ac:dyDescent="0.25">
      <c r="H4973" s="106"/>
      <c r="I4973" s="106"/>
    </row>
    <row r="4974" spans="8:9" x14ac:dyDescent="0.25">
      <c r="H4974" s="106"/>
      <c r="I4974" s="106"/>
    </row>
    <row r="4975" spans="8:9" x14ac:dyDescent="0.25">
      <c r="H4975" s="106"/>
      <c r="I4975" s="106"/>
    </row>
    <row r="4976" spans="8:9" x14ac:dyDescent="0.25">
      <c r="H4976" s="106"/>
      <c r="I4976" s="106"/>
    </row>
    <row r="4977" spans="8:9" x14ac:dyDescent="0.25">
      <c r="H4977" s="106"/>
      <c r="I4977" s="106"/>
    </row>
    <row r="4978" spans="8:9" x14ac:dyDescent="0.25">
      <c r="H4978" s="106"/>
      <c r="I4978" s="106"/>
    </row>
    <row r="4979" spans="8:9" x14ac:dyDescent="0.25">
      <c r="H4979" s="106"/>
      <c r="I4979" s="106"/>
    </row>
    <row r="4980" spans="8:9" x14ac:dyDescent="0.25">
      <c r="H4980" s="106"/>
      <c r="I4980" s="106"/>
    </row>
    <row r="4981" spans="8:9" x14ac:dyDescent="0.25">
      <c r="H4981" s="106"/>
      <c r="I4981" s="106"/>
    </row>
    <row r="4982" spans="8:9" x14ac:dyDescent="0.25">
      <c r="H4982" s="106"/>
      <c r="I4982" s="106"/>
    </row>
    <row r="4983" spans="8:9" x14ac:dyDescent="0.25">
      <c r="H4983" s="106"/>
      <c r="I4983" s="106"/>
    </row>
    <row r="4984" spans="8:9" x14ac:dyDescent="0.25">
      <c r="H4984" s="106"/>
      <c r="I4984" s="106"/>
    </row>
    <row r="4985" spans="8:9" x14ac:dyDescent="0.25">
      <c r="H4985" s="106"/>
      <c r="I4985" s="106"/>
    </row>
    <row r="4986" spans="8:9" x14ac:dyDescent="0.25">
      <c r="H4986" s="106"/>
      <c r="I4986" s="106"/>
    </row>
    <row r="4987" spans="8:9" x14ac:dyDescent="0.25">
      <c r="H4987" s="106"/>
      <c r="I4987" s="106"/>
    </row>
    <row r="4988" spans="8:9" x14ac:dyDescent="0.25">
      <c r="H4988" s="106"/>
      <c r="I4988" s="106"/>
    </row>
    <row r="4989" spans="8:9" x14ac:dyDescent="0.25">
      <c r="H4989" s="106"/>
      <c r="I4989" s="106"/>
    </row>
    <row r="4990" spans="8:9" x14ac:dyDescent="0.25">
      <c r="H4990" s="106"/>
      <c r="I4990" s="106"/>
    </row>
    <row r="4991" spans="8:9" x14ac:dyDescent="0.25">
      <c r="H4991" s="106"/>
      <c r="I4991" s="106"/>
    </row>
    <row r="4992" spans="8:9" x14ac:dyDescent="0.25">
      <c r="H4992" s="106"/>
      <c r="I4992" s="106"/>
    </row>
    <row r="4993" spans="8:9" x14ac:dyDescent="0.25">
      <c r="H4993" s="106"/>
      <c r="I4993" s="106"/>
    </row>
    <row r="4994" spans="8:9" x14ac:dyDescent="0.25">
      <c r="H4994" s="106"/>
      <c r="I4994" s="106"/>
    </row>
    <row r="4995" spans="8:9" x14ac:dyDescent="0.25">
      <c r="H4995" s="106"/>
      <c r="I4995" s="106"/>
    </row>
    <row r="4996" spans="8:9" x14ac:dyDescent="0.25">
      <c r="H4996" s="106"/>
      <c r="I4996" s="106"/>
    </row>
    <row r="4997" spans="8:9" x14ac:dyDescent="0.25">
      <c r="H4997" s="106"/>
      <c r="I4997" s="106"/>
    </row>
    <row r="4998" spans="8:9" x14ac:dyDescent="0.25">
      <c r="H4998" s="106"/>
      <c r="I4998" s="106"/>
    </row>
    <row r="4999" spans="8:9" x14ac:dyDescent="0.25">
      <c r="H4999" s="106"/>
      <c r="I4999" s="106"/>
    </row>
    <row r="5000" spans="8:9" x14ac:dyDescent="0.25">
      <c r="H5000" s="106"/>
      <c r="I5000" s="106"/>
    </row>
    <row r="5001" spans="8:9" x14ac:dyDescent="0.25">
      <c r="H5001" s="106"/>
      <c r="I5001" s="106"/>
    </row>
    <row r="5002" spans="8:9" x14ac:dyDescent="0.25">
      <c r="H5002" s="106"/>
      <c r="I5002" s="106"/>
    </row>
    <row r="5003" spans="8:9" x14ac:dyDescent="0.25">
      <c r="H5003" s="106"/>
      <c r="I5003" s="106"/>
    </row>
    <row r="5004" spans="8:9" x14ac:dyDescent="0.25">
      <c r="H5004" s="106"/>
      <c r="I5004" s="106"/>
    </row>
    <row r="5005" spans="8:9" x14ac:dyDescent="0.25">
      <c r="H5005" s="106"/>
      <c r="I5005" s="106"/>
    </row>
    <row r="5006" spans="8:9" x14ac:dyDescent="0.25">
      <c r="H5006" s="106"/>
      <c r="I5006" s="106"/>
    </row>
    <row r="5007" spans="8:9" x14ac:dyDescent="0.25">
      <c r="H5007" s="106"/>
      <c r="I5007" s="106"/>
    </row>
    <row r="5008" spans="8:9" x14ac:dyDescent="0.25">
      <c r="H5008" s="106"/>
      <c r="I5008" s="106"/>
    </row>
    <row r="5009" spans="8:9" x14ac:dyDescent="0.25">
      <c r="H5009" s="106"/>
      <c r="I5009" s="106"/>
    </row>
    <row r="5010" spans="8:9" x14ac:dyDescent="0.25">
      <c r="H5010" s="106"/>
      <c r="I5010" s="106"/>
    </row>
    <row r="5011" spans="8:9" x14ac:dyDescent="0.25">
      <c r="H5011" s="106"/>
      <c r="I5011" s="106"/>
    </row>
    <row r="5012" spans="8:9" x14ac:dyDescent="0.25">
      <c r="H5012" s="106"/>
      <c r="I5012" s="106"/>
    </row>
    <row r="5013" spans="8:9" x14ac:dyDescent="0.25">
      <c r="H5013" s="106"/>
      <c r="I5013" s="106"/>
    </row>
    <row r="5014" spans="8:9" x14ac:dyDescent="0.25">
      <c r="H5014" s="106"/>
      <c r="I5014" s="106"/>
    </row>
    <row r="5015" spans="8:9" x14ac:dyDescent="0.25">
      <c r="H5015" s="106"/>
      <c r="I5015" s="106"/>
    </row>
    <row r="5016" spans="8:9" x14ac:dyDescent="0.25">
      <c r="H5016" s="106"/>
      <c r="I5016" s="106"/>
    </row>
    <row r="5017" spans="8:9" x14ac:dyDescent="0.25">
      <c r="H5017" s="106"/>
      <c r="I5017" s="106"/>
    </row>
    <row r="5018" spans="8:9" x14ac:dyDescent="0.25">
      <c r="H5018" s="106"/>
      <c r="I5018" s="106"/>
    </row>
    <row r="5019" spans="8:9" x14ac:dyDescent="0.25">
      <c r="H5019" s="106"/>
      <c r="I5019" s="106"/>
    </row>
    <row r="5020" spans="8:9" x14ac:dyDescent="0.25">
      <c r="H5020" s="106"/>
      <c r="I5020" s="106"/>
    </row>
    <row r="5021" spans="8:9" x14ac:dyDescent="0.25">
      <c r="H5021" s="106"/>
      <c r="I5021" s="106"/>
    </row>
    <row r="5022" spans="8:9" x14ac:dyDescent="0.25">
      <c r="H5022" s="106"/>
      <c r="I5022" s="106"/>
    </row>
    <row r="5023" spans="8:9" x14ac:dyDescent="0.25">
      <c r="H5023" s="106"/>
      <c r="I5023" s="106"/>
    </row>
    <row r="5024" spans="8:9" x14ac:dyDescent="0.25">
      <c r="H5024" s="106"/>
      <c r="I5024" s="106"/>
    </row>
    <row r="5025" spans="8:9" x14ac:dyDescent="0.25">
      <c r="H5025" s="106"/>
      <c r="I5025" s="106"/>
    </row>
    <row r="5026" spans="8:9" x14ac:dyDescent="0.25">
      <c r="H5026" s="106"/>
      <c r="I5026" s="106"/>
    </row>
    <row r="5027" spans="8:9" x14ac:dyDescent="0.25">
      <c r="H5027" s="106"/>
      <c r="I5027" s="106"/>
    </row>
    <row r="5028" spans="8:9" x14ac:dyDescent="0.25">
      <c r="H5028" s="106"/>
      <c r="I5028" s="106"/>
    </row>
    <row r="5029" spans="8:9" x14ac:dyDescent="0.25">
      <c r="H5029" s="106"/>
      <c r="I5029" s="106"/>
    </row>
    <row r="5030" spans="8:9" x14ac:dyDescent="0.25">
      <c r="H5030" s="106"/>
      <c r="I5030" s="106"/>
    </row>
    <row r="5031" spans="8:9" x14ac:dyDescent="0.25">
      <c r="H5031" s="106"/>
      <c r="I5031" s="106"/>
    </row>
    <row r="5032" spans="8:9" x14ac:dyDescent="0.25">
      <c r="H5032" s="106"/>
      <c r="I5032" s="106"/>
    </row>
    <row r="5033" spans="8:9" x14ac:dyDescent="0.25">
      <c r="H5033" s="106"/>
      <c r="I5033" s="106"/>
    </row>
    <row r="5034" spans="8:9" x14ac:dyDescent="0.25">
      <c r="H5034" s="106"/>
      <c r="I5034" s="106"/>
    </row>
    <row r="5035" spans="8:9" x14ac:dyDescent="0.25">
      <c r="H5035" s="106"/>
      <c r="I5035" s="106"/>
    </row>
    <row r="5036" spans="8:9" x14ac:dyDescent="0.25">
      <c r="H5036" s="106"/>
      <c r="I5036" s="106"/>
    </row>
    <row r="5037" spans="8:9" x14ac:dyDescent="0.25">
      <c r="H5037" s="106"/>
      <c r="I5037" s="106"/>
    </row>
    <row r="5038" spans="8:9" x14ac:dyDescent="0.25">
      <c r="H5038" s="106"/>
      <c r="I5038" s="106"/>
    </row>
    <row r="5039" spans="8:9" x14ac:dyDescent="0.25">
      <c r="H5039" s="106"/>
      <c r="I5039" s="106"/>
    </row>
    <row r="5040" spans="8:9" x14ac:dyDescent="0.25">
      <c r="H5040" s="106"/>
      <c r="I5040" s="106"/>
    </row>
    <row r="5041" spans="8:9" x14ac:dyDescent="0.25">
      <c r="H5041" s="106"/>
      <c r="I5041" s="106"/>
    </row>
    <row r="5042" spans="8:9" x14ac:dyDescent="0.25">
      <c r="H5042" s="106"/>
      <c r="I5042" s="106"/>
    </row>
    <row r="5043" spans="8:9" x14ac:dyDescent="0.25">
      <c r="H5043" s="106"/>
      <c r="I5043" s="106"/>
    </row>
    <row r="5044" spans="8:9" x14ac:dyDescent="0.25">
      <c r="H5044" s="106"/>
      <c r="I5044" s="106"/>
    </row>
    <row r="5045" spans="8:9" x14ac:dyDescent="0.25">
      <c r="H5045" s="106"/>
      <c r="I5045" s="106"/>
    </row>
    <row r="5046" spans="8:9" x14ac:dyDescent="0.25">
      <c r="H5046" s="106"/>
      <c r="I5046" s="106"/>
    </row>
    <row r="5047" spans="8:9" x14ac:dyDescent="0.25">
      <c r="H5047" s="106"/>
      <c r="I5047" s="106"/>
    </row>
    <row r="5048" spans="8:9" x14ac:dyDescent="0.25">
      <c r="H5048" s="106"/>
      <c r="I5048" s="106"/>
    </row>
    <row r="5049" spans="8:9" x14ac:dyDescent="0.25">
      <c r="H5049" s="106"/>
      <c r="I5049" s="106"/>
    </row>
    <row r="5050" spans="8:9" x14ac:dyDescent="0.25">
      <c r="H5050" s="106"/>
      <c r="I5050" s="106"/>
    </row>
    <row r="5051" spans="8:9" x14ac:dyDescent="0.25">
      <c r="H5051" s="106"/>
      <c r="I5051" s="106"/>
    </row>
    <row r="5052" spans="8:9" x14ac:dyDescent="0.25">
      <c r="H5052" s="106"/>
      <c r="I5052" s="106"/>
    </row>
    <row r="5053" spans="8:9" x14ac:dyDescent="0.25">
      <c r="H5053" s="106"/>
      <c r="I5053" s="106"/>
    </row>
    <row r="5054" spans="8:9" x14ac:dyDescent="0.25">
      <c r="H5054" s="106"/>
      <c r="I5054" s="106"/>
    </row>
    <row r="5055" spans="8:9" x14ac:dyDescent="0.25">
      <c r="H5055" s="106"/>
      <c r="I5055" s="106"/>
    </row>
    <row r="5056" spans="8:9" x14ac:dyDescent="0.25">
      <c r="H5056" s="106"/>
      <c r="I5056" s="106"/>
    </row>
    <row r="5057" spans="8:9" x14ac:dyDescent="0.25">
      <c r="H5057" s="106"/>
      <c r="I5057" s="106"/>
    </row>
    <row r="5058" spans="8:9" x14ac:dyDescent="0.25">
      <c r="H5058" s="106"/>
      <c r="I5058" s="106"/>
    </row>
    <row r="5059" spans="8:9" x14ac:dyDescent="0.25">
      <c r="H5059" s="106"/>
      <c r="I5059" s="106"/>
    </row>
    <row r="5060" spans="8:9" x14ac:dyDescent="0.25">
      <c r="H5060" s="106"/>
      <c r="I5060" s="106"/>
    </row>
    <row r="5061" spans="8:9" x14ac:dyDescent="0.25">
      <c r="H5061" s="106"/>
      <c r="I5061" s="106"/>
    </row>
    <row r="5062" spans="8:9" x14ac:dyDescent="0.25">
      <c r="H5062" s="106"/>
      <c r="I5062" s="106"/>
    </row>
    <row r="5063" spans="8:9" x14ac:dyDescent="0.25">
      <c r="H5063" s="106"/>
      <c r="I5063" s="106"/>
    </row>
    <row r="5064" spans="8:9" x14ac:dyDescent="0.25">
      <c r="H5064" s="106"/>
      <c r="I5064" s="106"/>
    </row>
    <row r="5065" spans="8:9" x14ac:dyDescent="0.25">
      <c r="H5065" s="106"/>
      <c r="I5065" s="106"/>
    </row>
    <row r="5066" spans="8:9" x14ac:dyDescent="0.25">
      <c r="H5066" s="106"/>
      <c r="I5066" s="106"/>
    </row>
    <row r="5067" spans="8:9" x14ac:dyDescent="0.25">
      <c r="H5067" s="106"/>
      <c r="I5067" s="106"/>
    </row>
    <row r="5068" spans="8:9" x14ac:dyDescent="0.25">
      <c r="H5068" s="106"/>
      <c r="I5068" s="106"/>
    </row>
    <row r="5069" spans="8:9" x14ac:dyDescent="0.25">
      <c r="H5069" s="106"/>
      <c r="I5069" s="106"/>
    </row>
    <row r="5070" spans="8:9" x14ac:dyDescent="0.25">
      <c r="H5070" s="106"/>
      <c r="I5070" s="106"/>
    </row>
    <row r="5071" spans="8:9" x14ac:dyDescent="0.25">
      <c r="H5071" s="106"/>
      <c r="I5071" s="106"/>
    </row>
    <row r="5072" spans="8:9" x14ac:dyDescent="0.25">
      <c r="H5072" s="106"/>
      <c r="I5072" s="106"/>
    </row>
    <row r="5073" spans="8:9" x14ac:dyDescent="0.25">
      <c r="H5073" s="106"/>
      <c r="I5073" s="106"/>
    </row>
    <row r="5074" spans="8:9" x14ac:dyDescent="0.25">
      <c r="H5074" s="106"/>
      <c r="I5074" s="106"/>
    </row>
    <row r="5075" spans="8:9" x14ac:dyDescent="0.25">
      <c r="H5075" s="106"/>
      <c r="I5075" s="106"/>
    </row>
    <row r="5076" spans="8:9" x14ac:dyDescent="0.25">
      <c r="H5076" s="106"/>
      <c r="I5076" s="106"/>
    </row>
    <row r="5077" spans="8:9" x14ac:dyDescent="0.25">
      <c r="H5077" s="106"/>
      <c r="I5077" s="106"/>
    </row>
    <row r="5078" spans="8:9" x14ac:dyDescent="0.25">
      <c r="H5078" s="106"/>
      <c r="I5078" s="106"/>
    </row>
    <row r="5079" spans="8:9" x14ac:dyDescent="0.25">
      <c r="H5079" s="106"/>
      <c r="I5079" s="106"/>
    </row>
    <row r="5080" spans="8:9" x14ac:dyDescent="0.25">
      <c r="H5080" s="106"/>
      <c r="I5080" s="106"/>
    </row>
    <row r="5081" spans="8:9" x14ac:dyDescent="0.25">
      <c r="H5081" s="106"/>
      <c r="I5081" s="106"/>
    </row>
    <row r="5082" spans="8:9" x14ac:dyDescent="0.25">
      <c r="H5082" s="106"/>
      <c r="I5082" s="106"/>
    </row>
    <row r="5083" spans="8:9" x14ac:dyDescent="0.25">
      <c r="H5083" s="106"/>
      <c r="I5083" s="106"/>
    </row>
    <row r="5084" spans="8:9" x14ac:dyDescent="0.25">
      <c r="H5084" s="106"/>
      <c r="I5084" s="106"/>
    </row>
    <row r="5085" spans="8:9" x14ac:dyDescent="0.25">
      <c r="H5085" s="106"/>
      <c r="I5085" s="106"/>
    </row>
    <row r="5086" spans="8:9" x14ac:dyDescent="0.25">
      <c r="H5086" s="106"/>
      <c r="I5086" s="106"/>
    </row>
    <row r="5087" spans="8:9" x14ac:dyDescent="0.25">
      <c r="H5087" s="106"/>
      <c r="I5087" s="106"/>
    </row>
    <row r="5088" spans="8:9" x14ac:dyDescent="0.25">
      <c r="H5088" s="106"/>
      <c r="I5088" s="106"/>
    </row>
    <row r="5089" spans="8:9" x14ac:dyDescent="0.25">
      <c r="H5089" s="106"/>
      <c r="I5089" s="106"/>
    </row>
    <row r="5090" spans="8:9" x14ac:dyDescent="0.25">
      <c r="H5090" s="106"/>
      <c r="I5090" s="106"/>
    </row>
    <row r="5091" spans="8:9" x14ac:dyDescent="0.25">
      <c r="H5091" s="106"/>
      <c r="I5091" s="106"/>
    </row>
    <row r="5092" spans="8:9" x14ac:dyDescent="0.25">
      <c r="H5092" s="106"/>
      <c r="I5092" s="106"/>
    </row>
    <row r="5093" spans="8:9" x14ac:dyDescent="0.25">
      <c r="H5093" s="106"/>
      <c r="I5093" s="106"/>
    </row>
    <row r="5094" spans="8:9" x14ac:dyDescent="0.25">
      <c r="H5094" s="106"/>
      <c r="I5094" s="106"/>
    </row>
    <row r="5095" spans="8:9" x14ac:dyDescent="0.25">
      <c r="H5095" s="106"/>
      <c r="I5095" s="106"/>
    </row>
    <row r="5096" spans="8:9" x14ac:dyDescent="0.25">
      <c r="H5096" s="106"/>
      <c r="I5096" s="106"/>
    </row>
    <row r="5097" spans="8:9" x14ac:dyDescent="0.25">
      <c r="H5097" s="106"/>
      <c r="I5097" s="106"/>
    </row>
    <row r="5098" spans="8:9" x14ac:dyDescent="0.25">
      <c r="H5098" s="106"/>
      <c r="I5098" s="106"/>
    </row>
    <row r="5099" spans="8:9" x14ac:dyDescent="0.25">
      <c r="H5099" s="106"/>
      <c r="I5099" s="106"/>
    </row>
    <row r="5100" spans="8:9" x14ac:dyDescent="0.25">
      <c r="H5100" s="106"/>
      <c r="I5100" s="106"/>
    </row>
    <row r="5101" spans="8:9" x14ac:dyDescent="0.25">
      <c r="H5101" s="106"/>
      <c r="I5101" s="106"/>
    </row>
    <row r="5102" spans="8:9" x14ac:dyDescent="0.25">
      <c r="H5102" s="106"/>
      <c r="I5102" s="106"/>
    </row>
    <row r="5103" spans="8:9" x14ac:dyDescent="0.25">
      <c r="H5103" s="106"/>
      <c r="I5103" s="106"/>
    </row>
    <row r="5104" spans="8:9" x14ac:dyDescent="0.25">
      <c r="H5104" s="106"/>
      <c r="I5104" s="106"/>
    </row>
    <row r="5105" spans="8:9" x14ac:dyDescent="0.25">
      <c r="H5105" s="106"/>
      <c r="I5105" s="106"/>
    </row>
    <row r="5106" spans="8:9" x14ac:dyDescent="0.25">
      <c r="H5106" s="106"/>
      <c r="I5106" s="106"/>
    </row>
    <row r="5107" spans="8:9" x14ac:dyDescent="0.25">
      <c r="H5107" s="106"/>
      <c r="I5107" s="106"/>
    </row>
    <row r="5108" spans="8:9" x14ac:dyDescent="0.25">
      <c r="H5108" s="106"/>
      <c r="I5108" s="106"/>
    </row>
    <row r="5109" spans="8:9" x14ac:dyDescent="0.25">
      <c r="H5109" s="106"/>
      <c r="I5109" s="106"/>
    </row>
    <row r="5110" spans="8:9" x14ac:dyDescent="0.25">
      <c r="H5110" s="106"/>
      <c r="I5110" s="106"/>
    </row>
    <row r="5111" spans="8:9" x14ac:dyDescent="0.25">
      <c r="H5111" s="106"/>
      <c r="I5111" s="106"/>
    </row>
    <row r="5112" spans="8:9" x14ac:dyDescent="0.25">
      <c r="H5112" s="106"/>
      <c r="I5112" s="106"/>
    </row>
    <row r="5113" spans="8:9" x14ac:dyDescent="0.25">
      <c r="H5113" s="106"/>
      <c r="I5113" s="106"/>
    </row>
    <row r="5114" spans="8:9" x14ac:dyDescent="0.25">
      <c r="H5114" s="106"/>
      <c r="I5114" s="106"/>
    </row>
    <row r="5115" spans="8:9" x14ac:dyDescent="0.25">
      <c r="H5115" s="106"/>
      <c r="I5115" s="106"/>
    </row>
    <row r="5116" spans="8:9" x14ac:dyDescent="0.25">
      <c r="H5116" s="106"/>
      <c r="I5116" s="106"/>
    </row>
    <row r="5117" spans="8:9" x14ac:dyDescent="0.25">
      <c r="H5117" s="106"/>
      <c r="I5117" s="106"/>
    </row>
    <row r="5118" spans="8:9" x14ac:dyDescent="0.25">
      <c r="H5118" s="106"/>
      <c r="I5118" s="106"/>
    </row>
    <row r="5119" spans="8:9" x14ac:dyDescent="0.25">
      <c r="H5119" s="106"/>
      <c r="I5119" s="106"/>
    </row>
    <row r="5120" spans="8:9" x14ac:dyDescent="0.25">
      <c r="H5120" s="106"/>
      <c r="I5120" s="106"/>
    </row>
    <row r="5121" spans="8:9" x14ac:dyDescent="0.25">
      <c r="H5121" s="106"/>
      <c r="I5121" s="106"/>
    </row>
    <row r="5122" spans="8:9" x14ac:dyDescent="0.25">
      <c r="H5122" s="106"/>
      <c r="I5122" s="106"/>
    </row>
    <row r="5123" spans="8:9" x14ac:dyDescent="0.25">
      <c r="H5123" s="106"/>
      <c r="I5123" s="106"/>
    </row>
    <row r="5124" spans="8:9" x14ac:dyDescent="0.25">
      <c r="H5124" s="106"/>
      <c r="I5124" s="106"/>
    </row>
    <row r="5125" spans="8:9" x14ac:dyDescent="0.25">
      <c r="H5125" s="106"/>
      <c r="I5125" s="106"/>
    </row>
    <row r="5126" spans="8:9" x14ac:dyDescent="0.25">
      <c r="H5126" s="106"/>
      <c r="I5126" s="106"/>
    </row>
    <row r="5127" spans="8:9" x14ac:dyDescent="0.25">
      <c r="H5127" s="106"/>
      <c r="I5127" s="106"/>
    </row>
    <row r="5128" spans="8:9" x14ac:dyDescent="0.25">
      <c r="H5128" s="106"/>
      <c r="I5128" s="106"/>
    </row>
    <row r="5129" spans="8:9" x14ac:dyDescent="0.25">
      <c r="H5129" s="106"/>
      <c r="I5129" s="106"/>
    </row>
    <row r="5130" spans="8:9" x14ac:dyDescent="0.25">
      <c r="H5130" s="106"/>
      <c r="I5130" s="106"/>
    </row>
    <row r="5131" spans="8:9" x14ac:dyDescent="0.25">
      <c r="H5131" s="106"/>
      <c r="I5131" s="106"/>
    </row>
    <row r="5132" spans="8:9" x14ac:dyDescent="0.25">
      <c r="H5132" s="106"/>
      <c r="I5132" s="106"/>
    </row>
    <row r="5133" spans="8:9" x14ac:dyDescent="0.25">
      <c r="H5133" s="106"/>
      <c r="I5133" s="106"/>
    </row>
    <row r="5134" spans="8:9" x14ac:dyDescent="0.25">
      <c r="H5134" s="106"/>
      <c r="I5134" s="106"/>
    </row>
    <row r="5135" spans="8:9" x14ac:dyDescent="0.25">
      <c r="H5135" s="106"/>
      <c r="I5135" s="106"/>
    </row>
    <row r="5136" spans="8:9" x14ac:dyDescent="0.25">
      <c r="H5136" s="106"/>
      <c r="I5136" s="106"/>
    </row>
    <row r="5137" spans="8:9" x14ac:dyDescent="0.25">
      <c r="H5137" s="106"/>
      <c r="I5137" s="106"/>
    </row>
    <row r="5138" spans="8:9" x14ac:dyDescent="0.25">
      <c r="H5138" s="106"/>
      <c r="I5138" s="106"/>
    </row>
    <row r="5139" spans="8:9" x14ac:dyDescent="0.25">
      <c r="H5139" s="106"/>
      <c r="I5139" s="106"/>
    </row>
    <row r="5140" spans="8:9" x14ac:dyDescent="0.25">
      <c r="H5140" s="106"/>
      <c r="I5140" s="106"/>
    </row>
    <row r="5141" spans="8:9" x14ac:dyDescent="0.25">
      <c r="H5141" s="106"/>
      <c r="I5141" s="106"/>
    </row>
    <row r="5142" spans="8:9" x14ac:dyDescent="0.25">
      <c r="H5142" s="106"/>
      <c r="I5142" s="106"/>
    </row>
    <row r="5143" spans="8:9" x14ac:dyDescent="0.25">
      <c r="H5143" s="106"/>
      <c r="I5143" s="106"/>
    </row>
    <row r="5144" spans="8:9" x14ac:dyDescent="0.25">
      <c r="H5144" s="106"/>
      <c r="I5144" s="106"/>
    </row>
    <row r="5145" spans="8:9" x14ac:dyDescent="0.25">
      <c r="H5145" s="106"/>
      <c r="I5145" s="106"/>
    </row>
    <row r="5146" spans="8:9" x14ac:dyDescent="0.25">
      <c r="H5146" s="106"/>
      <c r="I5146" s="106"/>
    </row>
    <row r="5147" spans="8:9" x14ac:dyDescent="0.25">
      <c r="H5147" s="106"/>
      <c r="I5147" s="106"/>
    </row>
    <row r="5148" spans="8:9" x14ac:dyDescent="0.25">
      <c r="H5148" s="106"/>
      <c r="I5148" s="106"/>
    </row>
    <row r="5149" spans="8:9" x14ac:dyDescent="0.25">
      <c r="H5149" s="106"/>
      <c r="I5149" s="106"/>
    </row>
    <row r="5150" spans="8:9" x14ac:dyDescent="0.25">
      <c r="H5150" s="106"/>
      <c r="I5150" s="106"/>
    </row>
    <row r="5151" spans="8:9" x14ac:dyDescent="0.25">
      <c r="H5151" s="106"/>
      <c r="I5151" s="106"/>
    </row>
    <row r="5152" spans="8:9" x14ac:dyDescent="0.25">
      <c r="H5152" s="106"/>
      <c r="I5152" s="106"/>
    </row>
    <row r="5153" spans="8:9" x14ac:dyDescent="0.25">
      <c r="H5153" s="106"/>
      <c r="I5153" s="106"/>
    </row>
    <row r="5154" spans="8:9" x14ac:dyDescent="0.25">
      <c r="H5154" s="106"/>
      <c r="I5154" s="106"/>
    </row>
    <row r="5155" spans="8:9" x14ac:dyDescent="0.25">
      <c r="H5155" s="106"/>
      <c r="I5155" s="106"/>
    </row>
    <row r="5156" spans="8:9" x14ac:dyDescent="0.25">
      <c r="H5156" s="106"/>
      <c r="I5156" s="106"/>
    </row>
    <row r="5157" spans="8:9" x14ac:dyDescent="0.25">
      <c r="H5157" s="106"/>
      <c r="I5157" s="106"/>
    </row>
    <row r="5158" spans="8:9" x14ac:dyDescent="0.25">
      <c r="H5158" s="106"/>
      <c r="I5158" s="106"/>
    </row>
    <row r="5159" spans="8:9" x14ac:dyDescent="0.25">
      <c r="H5159" s="106"/>
      <c r="I5159" s="106"/>
    </row>
    <row r="5160" spans="8:9" x14ac:dyDescent="0.25">
      <c r="H5160" s="106"/>
      <c r="I5160" s="106"/>
    </row>
    <row r="5161" spans="8:9" x14ac:dyDescent="0.25">
      <c r="H5161" s="106"/>
      <c r="I5161" s="106"/>
    </row>
    <row r="5162" spans="8:9" x14ac:dyDescent="0.25">
      <c r="H5162" s="106"/>
      <c r="I5162" s="106"/>
    </row>
    <row r="5163" spans="8:9" x14ac:dyDescent="0.25">
      <c r="H5163" s="106"/>
      <c r="I5163" s="106"/>
    </row>
    <row r="5164" spans="8:9" x14ac:dyDescent="0.25">
      <c r="H5164" s="106"/>
      <c r="I5164" s="106"/>
    </row>
    <row r="5165" spans="8:9" x14ac:dyDescent="0.25">
      <c r="H5165" s="106"/>
      <c r="I5165" s="106"/>
    </row>
    <row r="5166" spans="8:9" x14ac:dyDescent="0.25">
      <c r="H5166" s="106"/>
      <c r="I5166" s="106"/>
    </row>
    <row r="5167" spans="8:9" x14ac:dyDescent="0.25">
      <c r="H5167" s="106"/>
      <c r="I5167" s="106"/>
    </row>
    <row r="5168" spans="8:9" x14ac:dyDescent="0.25">
      <c r="H5168" s="106"/>
      <c r="I5168" s="106"/>
    </row>
    <row r="5169" spans="8:9" x14ac:dyDescent="0.25">
      <c r="H5169" s="106"/>
      <c r="I5169" s="106"/>
    </row>
    <row r="5170" spans="8:9" x14ac:dyDescent="0.25">
      <c r="H5170" s="106"/>
      <c r="I5170" s="106"/>
    </row>
    <row r="5171" spans="8:9" x14ac:dyDescent="0.25">
      <c r="H5171" s="106"/>
      <c r="I5171" s="106"/>
    </row>
    <row r="5172" spans="8:9" x14ac:dyDescent="0.25">
      <c r="H5172" s="106"/>
      <c r="I5172" s="106"/>
    </row>
    <row r="5173" spans="8:9" x14ac:dyDescent="0.25">
      <c r="H5173" s="106"/>
      <c r="I5173" s="106"/>
    </row>
    <row r="5174" spans="8:9" x14ac:dyDescent="0.25">
      <c r="H5174" s="106"/>
      <c r="I5174" s="106"/>
    </row>
    <row r="5175" spans="8:9" x14ac:dyDescent="0.25">
      <c r="H5175" s="106"/>
      <c r="I5175" s="106"/>
    </row>
    <row r="5176" spans="8:9" x14ac:dyDescent="0.25">
      <c r="H5176" s="106"/>
      <c r="I5176" s="106"/>
    </row>
    <row r="5177" spans="8:9" x14ac:dyDescent="0.25">
      <c r="H5177" s="106"/>
      <c r="I5177" s="106"/>
    </row>
    <row r="5178" spans="8:9" x14ac:dyDescent="0.25">
      <c r="H5178" s="106"/>
      <c r="I5178" s="106"/>
    </row>
    <row r="5179" spans="8:9" x14ac:dyDescent="0.25">
      <c r="H5179" s="106"/>
      <c r="I5179" s="106"/>
    </row>
    <row r="5180" spans="8:9" x14ac:dyDescent="0.25">
      <c r="H5180" s="106"/>
      <c r="I5180" s="106"/>
    </row>
    <row r="5181" spans="8:9" x14ac:dyDescent="0.25">
      <c r="H5181" s="106"/>
      <c r="I5181" s="106"/>
    </row>
    <row r="5182" spans="8:9" x14ac:dyDescent="0.25">
      <c r="H5182" s="106"/>
      <c r="I5182" s="106"/>
    </row>
    <row r="5183" spans="8:9" x14ac:dyDescent="0.25">
      <c r="H5183" s="106"/>
      <c r="I5183" s="106"/>
    </row>
    <row r="5184" spans="8:9" x14ac:dyDescent="0.25">
      <c r="H5184" s="106"/>
      <c r="I5184" s="106"/>
    </row>
    <row r="5185" spans="8:9" x14ac:dyDescent="0.25">
      <c r="H5185" s="106"/>
      <c r="I5185" s="106"/>
    </row>
    <row r="5186" spans="8:9" x14ac:dyDescent="0.25">
      <c r="H5186" s="106"/>
      <c r="I5186" s="106"/>
    </row>
    <row r="5187" spans="8:9" x14ac:dyDescent="0.25">
      <c r="H5187" s="106"/>
      <c r="I5187" s="106"/>
    </row>
    <row r="5188" spans="8:9" x14ac:dyDescent="0.25">
      <c r="H5188" s="106"/>
      <c r="I5188" s="106"/>
    </row>
    <row r="5189" spans="8:9" x14ac:dyDescent="0.25">
      <c r="H5189" s="106"/>
      <c r="I5189" s="106"/>
    </row>
    <row r="5190" spans="8:9" x14ac:dyDescent="0.25">
      <c r="H5190" s="106"/>
      <c r="I5190" s="106"/>
    </row>
    <row r="5191" spans="8:9" x14ac:dyDescent="0.25">
      <c r="H5191" s="106"/>
      <c r="I5191" s="106"/>
    </row>
    <row r="5192" spans="8:9" x14ac:dyDescent="0.25">
      <c r="H5192" s="106"/>
      <c r="I5192" s="106"/>
    </row>
    <row r="5193" spans="8:9" x14ac:dyDescent="0.25">
      <c r="H5193" s="106"/>
      <c r="I5193" s="106"/>
    </row>
    <row r="5194" spans="8:9" x14ac:dyDescent="0.25">
      <c r="H5194" s="106"/>
      <c r="I5194" s="106"/>
    </row>
    <row r="5195" spans="8:9" x14ac:dyDescent="0.25">
      <c r="H5195" s="106"/>
      <c r="I5195" s="106"/>
    </row>
    <row r="5196" spans="8:9" x14ac:dyDescent="0.25">
      <c r="H5196" s="106"/>
      <c r="I5196" s="106"/>
    </row>
    <row r="5197" spans="8:9" x14ac:dyDescent="0.25">
      <c r="H5197" s="106"/>
      <c r="I5197" s="106"/>
    </row>
    <row r="5198" spans="8:9" x14ac:dyDescent="0.25">
      <c r="H5198" s="106"/>
      <c r="I5198" s="106"/>
    </row>
    <row r="5199" spans="8:9" x14ac:dyDescent="0.25">
      <c r="H5199" s="106"/>
      <c r="I5199" s="106"/>
    </row>
    <row r="5200" spans="8:9" x14ac:dyDescent="0.25">
      <c r="H5200" s="106"/>
      <c r="I5200" s="106"/>
    </row>
    <row r="5201" spans="8:9" x14ac:dyDescent="0.25">
      <c r="H5201" s="106"/>
      <c r="I5201" s="106"/>
    </row>
    <row r="5202" spans="8:9" x14ac:dyDescent="0.25">
      <c r="H5202" s="106"/>
      <c r="I5202" s="106"/>
    </row>
    <row r="5203" spans="8:9" x14ac:dyDescent="0.25">
      <c r="H5203" s="106"/>
      <c r="I5203" s="106"/>
    </row>
    <row r="5204" spans="8:9" x14ac:dyDescent="0.25">
      <c r="H5204" s="106"/>
      <c r="I5204" s="106"/>
    </row>
    <row r="5205" spans="8:9" x14ac:dyDescent="0.25">
      <c r="H5205" s="106"/>
      <c r="I5205" s="106"/>
    </row>
    <row r="5206" spans="8:9" x14ac:dyDescent="0.25">
      <c r="H5206" s="106"/>
      <c r="I5206" s="106"/>
    </row>
    <row r="5207" spans="8:9" x14ac:dyDescent="0.25">
      <c r="H5207" s="106"/>
      <c r="I5207" s="106"/>
    </row>
    <row r="5208" spans="8:9" x14ac:dyDescent="0.25">
      <c r="H5208" s="106"/>
      <c r="I5208" s="106"/>
    </row>
    <row r="5209" spans="8:9" x14ac:dyDescent="0.25">
      <c r="H5209" s="106"/>
      <c r="I5209" s="106"/>
    </row>
    <row r="5210" spans="8:9" x14ac:dyDescent="0.25">
      <c r="H5210" s="106"/>
      <c r="I5210" s="106"/>
    </row>
    <row r="5211" spans="8:9" x14ac:dyDescent="0.25">
      <c r="H5211" s="106"/>
      <c r="I5211" s="106"/>
    </row>
    <row r="5212" spans="8:9" x14ac:dyDescent="0.25">
      <c r="H5212" s="106"/>
      <c r="I5212" s="106"/>
    </row>
    <row r="5213" spans="8:9" x14ac:dyDescent="0.25">
      <c r="H5213" s="106"/>
      <c r="I5213" s="106"/>
    </row>
    <row r="5214" spans="8:9" x14ac:dyDescent="0.25">
      <c r="H5214" s="106"/>
      <c r="I5214" s="106"/>
    </row>
    <row r="5215" spans="8:9" x14ac:dyDescent="0.25">
      <c r="H5215" s="106"/>
      <c r="I5215" s="106"/>
    </row>
    <row r="5216" spans="8:9" x14ac:dyDescent="0.25">
      <c r="H5216" s="106"/>
      <c r="I5216" s="106"/>
    </row>
    <row r="5217" spans="8:9" x14ac:dyDescent="0.25">
      <c r="H5217" s="106"/>
      <c r="I5217" s="106"/>
    </row>
    <row r="5218" spans="8:9" x14ac:dyDescent="0.25">
      <c r="H5218" s="106"/>
      <c r="I5218" s="106"/>
    </row>
    <row r="5219" spans="8:9" x14ac:dyDescent="0.25">
      <c r="H5219" s="106"/>
      <c r="I5219" s="106"/>
    </row>
    <row r="5220" spans="8:9" x14ac:dyDescent="0.25">
      <c r="H5220" s="106"/>
      <c r="I5220" s="106"/>
    </row>
    <row r="5221" spans="8:9" x14ac:dyDescent="0.25">
      <c r="H5221" s="106"/>
      <c r="I5221" s="106"/>
    </row>
    <row r="5222" spans="8:9" x14ac:dyDescent="0.25">
      <c r="H5222" s="106"/>
      <c r="I5222" s="106"/>
    </row>
    <row r="5223" spans="8:9" x14ac:dyDescent="0.25">
      <c r="H5223" s="106"/>
      <c r="I5223" s="106"/>
    </row>
    <row r="5224" spans="8:9" x14ac:dyDescent="0.25">
      <c r="H5224" s="106"/>
      <c r="I5224" s="106"/>
    </row>
    <row r="5225" spans="8:9" x14ac:dyDescent="0.25">
      <c r="H5225" s="106"/>
      <c r="I5225" s="106"/>
    </row>
    <row r="5226" spans="8:9" x14ac:dyDescent="0.25">
      <c r="H5226" s="106"/>
      <c r="I5226" s="106"/>
    </row>
    <row r="5227" spans="8:9" x14ac:dyDescent="0.25">
      <c r="H5227" s="106"/>
      <c r="I5227" s="106"/>
    </row>
    <row r="5228" spans="8:9" x14ac:dyDescent="0.25">
      <c r="H5228" s="106"/>
      <c r="I5228" s="106"/>
    </row>
    <row r="5229" spans="8:9" x14ac:dyDescent="0.25">
      <c r="H5229" s="106"/>
      <c r="I5229" s="106"/>
    </row>
    <row r="5230" spans="8:9" x14ac:dyDescent="0.25">
      <c r="H5230" s="106"/>
      <c r="I5230" s="106"/>
    </row>
    <row r="5231" spans="8:9" x14ac:dyDescent="0.25">
      <c r="H5231" s="106"/>
      <c r="I5231" s="106"/>
    </row>
    <row r="5232" spans="8:9" x14ac:dyDescent="0.25">
      <c r="H5232" s="106"/>
      <c r="I5232" s="106"/>
    </row>
    <row r="5233" spans="8:9" x14ac:dyDescent="0.25">
      <c r="H5233" s="106"/>
      <c r="I5233" s="106"/>
    </row>
    <row r="5234" spans="8:9" x14ac:dyDescent="0.25">
      <c r="H5234" s="106"/>
      <c r="I5234" s="106"/>
    </row>
    <row r="5235" spans="8:9" x14ac:dyDescent="0.25">
      <c r="H5235" s="106"/>
      <c r="I5235" s="106"/>
    </row>
    <row r="5236" spans="8:9" x14ac:dyDescent="0.25">
      <c r="H5236" s="106"/>
      <c r="I5236" s="106"/>
    </row>
    <row r="5237" spans="8:9" x14ac:dyDescent="0.25">
      <c r="H5237" s="106"/>
      <c r="I5237" s="106"/>
    </row>
    <row r="5238" spans="8:9" x14ac:dyDescent="0.25">
      <c r="H5238" s="106"/>
      <c r="I5238" s="106"/>
    </row>
    <row r="5239" spans="8:9" x14ac:dyDescent="0.25">
      <c r="H5239" s="106"/>
      <c r="I5239" s="106"/>
    </row>
    <row r="5240" spans="8:9" x14ac:dyDescent="0.25">
      <c r="H5240" s="106"/>
      <c r="I5240" s="106"/>
    </row>
    <row r="5241" spans="8:9" x14ac:dyDescent="0.25">
      <c r="H5241" s="106"/>
      <c r="I5241" s="106"/>
    </row>
    <row r="5242" spans="8:9" x14ac:dyDescent="0.25">
      <c r="H5242" s="106"/>
      <c r="I5242" s="106"/>
    </row>
    <row r="5243" spans="8:9" x14ac:dyDescent="0.25">
      <c r="H5243" s="106"/>
      <c r="I5243" s="106"/>
    </row>
    <row r="5244" spans="8:9" x14ac:dyDescent="0.25">
      <c r="H5244" s="106"/>
      <c r="I5244" s="106"/>
    </row>
    <row r="5245" spans="8:9" x14ac:dyDescent="0.25">
      <c r="H5245" s="106"/>
      <c r="I5245" s="106"/>
    </row>
    <row r="5246" spans="8:9" x14ac:dyDescent="0.25">
      <c r="H5246" s="106"/>
      <c r="I5246" s="106"/>
    </row>
    <row r="5247" spans="8:9" x14ac:dyDescent="0.25">
      <c r="H5247" s="106"/>
      <c r="I5247" s="106"/>
    </row>
    <row r="5248" spans="8:9" x14ac:dyDescent="0.25">
      <c r="H5248" s="106"/>
      <c r="I5248" s="106"/>
    </row>
    <row r="5249" spans="8:9" x14ac:dyDescent="0.25">
      <c r="H5249" s="106"/>
      <c r="I5249" s="106"/>
    </row>
    <row r="5250" spans="8:9" x14ac:dyDescent="0.25">
      <c r="H5250" s="106"/>
      <c r="I5250" s="106"/>
    </row>
    <row r="5251" spans="8:9" x14ac:dyDescent="0.25">
      <c r="H5251" s="106"/>
      <c r="I5251" s="106"/>
    </row>
    <row r="5252" spans="8:9" x14ac:dyDescent="0.25">
      <c r="H5252" s="106"/>
      <c r="I5252" s="106"/>
    </row>
    <row r="5253" spans="8:9" x14ac:dyDescent="0.25">
      <c r="H5253" s="106"/>
      <c r="I5253" s="106"/>
    </row>
    <row r="5254" spans="8:9" x14ac:dyDescent="0.25">
      <c r="H5254" s="106"/>
      <c r="I5254" s="106"/>
    </row>
    <row r="5255" spans="8:9" x14ac:dyDescent="0.25">
      <c r="H5255" s="106"/>
      <c r="I5255" s="106"/>
    </row>
    <row r="5256" spans="8:9" x14ac:dyDescent="0.25">
      <c r="H5256" s="106"/>
      <c r="I5256" s="106"/>
    </row>
    <row r="5257" spans="8:9" x14ac:dyDescent="0.25">
      <c r="H5257" s="106"/>
      <c r="I5257" s="106"/>
    </row>
    <row r="5258" spans="8:9" x14ac:dyDescent="0.25">
      <c r="H5258" s="106"/>
      <c r="I5258" s="106"/>
    </row>
    <row r="5259" spans="8:9" x14ac:dyDescent="0.25">
      <c r="H5259" s="106"/>
      <c r="I5259" s="106"/>
    </row>
    <row r="5260" spans="8:9" x14ac:dyDescent="0.25">
      <c r="H5260" s="106"/>
      <c r="I5260" s="106"/>
    </row>
    <row r="5261" spans="8:9" x14ac:dyDescent="0.25">
      <c r="H5261" s="106"/>
      <c r="I5261" s="106"/>
    </row>
    <row r="5262" spans="8:9" x14ac:dyDescent="0.25">
      <c r="H5262" s="106"/>
      <c r="I5262" s="106"/>
    </row>
    <row r="5263" spans="8:9" x14ac:dyDescent="0.25">
      <c r="H5263" s="106"/>
      <c r="I5263" s="106"/>
    </row>
    <row r="5264" spans="8:9" x14ac:dyDescent="0.25">
      <c r="H5264" s="106"/>
      <c r="I5264" s="106"/>
    </row>
    <row r="5265" spans="8:9" x14ac:dyDescent="0.25">
      <c r="H5265" s="106"/>
      <c r="I5265" s="106"/>
    </row>
    <row r="5266" spans="8:9" x14ac:dyDescent="0.25">
      <c r="H5266" s="106"/>
      <c r="I5266" s="106"/>
    </row>
    <row r="5267" spans="8:9" x14ac:dyDescent="0.25">
      <c r="H5267" s="106"/>
      <c r="I5267" s="106"/>
    </row>
    <row r="5268" spans="8:9" x14ac:dyDescent="0.25">
      <c r="H5268" s="106"/>
      <c r="I5268" s="106"/>
    </row>
    <row r="5269" spans="8:9" x14ac:dyDescent="0.25">
      <c r="H5269" s="106"/>
      <c r="I5269" s="106"/>
    </row>
    <row r="5270" spans="8:9" x14ac:dyDescent="0.25">
      <c r="H5270" s="106"/>
      <c r="I5270" s="106"/>
    </row>
    <row r="5271" spans="8:9" x14ac:dyDescent="0.25">
      <c r="H5271" s="106"/>
      <c r="I5271" s="106"/>
    </row>
    <row r="5272" spans="8:9" x14ac:dyDescent="0.25">
      <c r="H5272" s="106"/>
      <c r="I5272" s="106"/>
    </row>
    <row r="5273" spans="8:9" x14ac:dyDescent="0.25">
      <c r="H5273" s="106"/>
      <c r="I5273" s="106"/>
    </row>
    <row r="5274" spans="8:9" x14ac:dyDescent="0.25">
      <c r="H5274" s="106"/>
      <c r="I5274" s="106"/>
    </row>
    <row r="5275" spans="8:9" x14ac:dyDescent="0.25">
      <c r="H5275" s="106"/>
      <c r="I5275" s="106"/>
    </row>
    <row r="5276" spans="8:9" x14ac:dyDescent="0.25">
      <c r="H5276" s="106"/>
      <c r="I5276" s="106"/>
    </row>
    <row r="5277" spans="8:9" x14ac:dyDescent="0.25">
      <c r="H5277" s="106"/>
      <c r="I5277" s="106"/>
    </row>
    <row r="5278" spans="8:9" x14ac:dyDescent="0.25">
      <c r="H5278" s="106"/>
      <c r="I5278" s="106"/>
    </row>
    <row r="5279" spans="8:9" x14ac:dyDescent="0.25">
      <c r="H5279" s="106"/>
      <c r="I5279" s="106"/>
    </row>
    <row r="5280" spans="8:9" x14ac:dyDescent="0.25">
      <c r="H5280" s="106"/>
      <c r="I5280" s="106"/>
    </row>
    <row r="5281" spans="8:9" x14ac:dyDescent="0.25">
      <c r="H5281" s="106"/>
      <c r="I5281" s="106"/>
    </row>
    <row r="5282" spans="8:9" x14ac:dyDescent="0.25">
      <c r="H5282" s="106"/>
      <c r="I5282" s="106"/>
    </row>
    <row r="5283" spans="8:9" x14ac:dyDescent="0.25">
      <c r="H5283" s="106"/>
      <c r="I5283" s="106"/>
    </row>
    <row r="5284" spans="8:9" x14ac:dyDescent="0.25">
      <c r="H5284" s="106"/>
      <c r="I5284" s="106"/>
    </row>
    <row r="5285" spans="8:9" x14ac:dyDescent="0.25">
      <c r="H5285" s="106"/>
      <c r="I5285" s="106"/>
    </row>
    <row r="5286" spans="8:9" x14ac:dyDescent="0.25">
      <c r="H5286" s="106"/>
      <c r="I5286" s="106"/>
    </row>
    <row r="5287" spans="8:9" x14ac:dyDescent="0.25">
      <c r="H5287" s="106"/>
      <c r="I5287" s="106"/>
    </row>
    <row r="5288" spans="8:9" x14ac:dyDescent="0.25">
      <c r="H5288" s="106"/>
      <c r="I5288" s="106"/>
    </row>
    <row r="5289" spans="8:9" x14ac:dyDescent="0.25">
      <c r="H5289" s="106"/>
      <c r="I5289" s="106"/>
    </row>
    <row r="5290" spans="8:9" x14ac:dyDescent="0.25">
      <c r="H5290" s="106"/>
      <c r="I5290" s="106"/>
    </row>
    <row r="5291" spans="8:9" x14ac:dyDescent="0.25">
      <c r="H5291" s="106"/>
      <c r="I5291" s="106"/>
    </row>
    <row r="5292" spans="8:9" x14ac:dyDescent="0.25">
      <c r="H5292" s="106"/>
      <c r="I5292" s="106"/>
    </row>
    <row r="5293" spans="8:9" x14ac:dyDescent="0.25">
      <c r="H5293" s="106"/>
      <c r="I5293" s="106"/>
    </row>
    <row r="5294" spans="8:9" x14ac:dyDescent="0.25">
      <c r="H5294" s="106"/>
      <c r="I5294" s="106"/>
    </row>
    <row r="5295" spans="8:9" x14ac:dyDescent="0.25">
      <c r="H5295" s="106"/>
      <c r="I5295" s="106"/>
    </row>
    <row r="5296" spans="8:9" x14ac:dyDescent="0.25">
      <c r="H5296" s="106"/>
      <c r="I5296" s="106"/>
    </row>
    <row r="5297" spans="8:9" x14ac:dyDescent="0.25">
      <c r="H5297" s="106"/>
      <c r="I5297" s="106"/>
    </row>
    <row r="5298" spans="8:9" x14ac:dyDescent="0.25">
      <c r="H5298" s="106"/>
      <c r="I5298" s="106"/>
    </row>
    <row r="5299" spans="8:9" x14ac:dyDescent="0.25">
      <c r="H5299" s="106"/>
      <c r="I5299" s="106"/>
    </row>
    <row r="5300" spans="8:9" x14ac:dyDescent="0.25">
      <c r="H5300" s="106"/>
      <c r="I5300" s="106"/>
    </row>
    <row r="5301" spans="8:9" x14ac:dyDescent="0.25">
      <c r="H5301" s="106"/>
      <c r="I5301" s="106"/>
    </row>
    <row r="5302" spans="8:9" x14ac:dyDescent="0.25">
      <c r="H5302" s="106"/>
      <c r="I5302" s="106"/>
    </row>
    <row r="5303" spans="8:9" x14ac:dyDescent="0.25">
      <c r="H5303" s="106"/>
      <c r="I5303" s="106"/>
    </row>
    <row r="5304" spans="8:9" x14ac:dyDescent="0.25">
      <c r="H5304" s="106"/>
      <c r="I5304" s="106"/>
    </row>
    <row r="5305" spans="8:9" x14ac:dyDescent="0.25">
      <c r="H5305" s="106"/>
      <c r="I5305" s="106"/>
    </row>
    <row r="5306" spans="8:9" x14ac:dyDescent="0.25">
      <c r="H5306" s="106"/>
      <c r="I5306" s="106"/>
    </row>
    <row r="5307" spans="8:9" x14ac:dyDescent="0.25">
      <c r="H5307" s="106"/>
      <c r="I5307" s="106"/>
    </row>
    <row r="5308" spans="8:9" x14ac:dyDescent="0.25">
      <c r="H5308" s="106"/>
      <c r="I5308" s="106"/>
    </row>
    <row r="5309" spans="8:9" x14ac:dyDescent="0.25">
      <c r="H5309" s="106"/>
      <c r="I5309" s="106"/>
    </row>
    <row r="5310" spans="8:9" x14ac:dyDescent="0.25">
      <c r="H5310" s="106"/>
      <c r="I5310" s="106"/>
    </row>
    <row r="5311" spans="8:9" x14ac:dyDescent="0.25">
      <c r="H5311" s="106"/>
      <c r="I5311" s="106"/>
    </row>
    <row r="5312" spans="8:9" x14ac:dyDescent="0.25">
      <c r="H5312" s="106"/>
      <c r="I5312" s="106"/>
    </row>
    <row r="5313" spans="8:9" x14ac:dyDescent="0.25">
      <c r="H5313" s="106"/>
      <c r="I5313" s="106"/>
    </row>
    <row r="5314" spans="8:9" x14ac:dyDescent="0.25">
      <c r="H5314" s="106"/>
      <c r="I5314" s="106"/>
    </row>
    <row r="5315" spans="8:9" x14ac:dyDescent="0.25">
      <c r="H5315" s="106"/>
      <c r="I5315" s="106"/>
    </row>
    <row r="5316" spans="8:9" x14ac:dyDescent="0.25">
      <c r="H5316" s="106"/>
      <c r="I5316" s="106"/>
    </row>
    <row r="5317" spans="8:9" x14ac:dyDescent="0.25">
      <c r="H5317" s="106"/>
      <c r="I5317" s="106"/>
    </row>
    <row r="5318" spans="8:9" x14ac:dyDescent="0.25">
      <c r="H5318" s="106"/>
      <c r="I5318" s="106"/>
    </row>
    <row r="5319" spans="8:9" x14ac:dyDescent="0.25">
      <c r="H5319" s="106"/>
      <c r="I5319" s="106"/>
    </row>
    <row r="5320" spans="8:9" x14ac:dyDescent="0.25">
      <c r="H5320" s="106"/>
      <c r="I5320" s="106"/>
    </row>
    <row r="5321" spans="8:9" x14ac:dyDescent="0.25">
      <c r="H5321" s="106"/>
      <c r="I5321" s="106"/>
    </row>
    <row r="5322" spans="8:9" x14ac:dyDescent="0.25">
      <c r="H5322" s="106"/>
      <c r="I5322" s="106"/>
    </row>
    <row r="5323" spans="8:9" x14ac:dyDescent="0.25">
      <c r="H5323" s="106"/>
      <c r="I5323" s="106"/>
    </row>
    <row r="5324" spans="8:9" x14ac:dyDescent="0.25">
      <c r="H5324" s="106"/>
      <c r="I5324" s="106"/>
    </row>
    <row r="5325" spans="8:9" x14ac:dyDescent="0.25">
      <c r="H5325" s="106"/>
      <c r="I5325" s="106"/>
    </row>
    <row r="5326" spans="8:9" x14ac:dyDescent="0.25">
      <c r="H5326" s="106"/>
      <c r="I5326" s="106"/>
    </row>
    <row r="5327" spans="8:9" x14ac:dyDescent="0.25">
      <c r="H5327" s="106"/>
      <c r="I5327" s="106"/>
    </row>
    <row r="5328" spans="8:9" x14ac:dyDescent="0.25">
      <c r="H5328" s="106"/>
      <c r="I5328" s="106"/>
    </row>
    <row r="5329" spans="8:9" x14ac:dyDescent="0.25">
      <c r="H5329" s="106"/>
      <c r="I5329" s="106"/>
    </row>
    <row r="5330" spans="8:9" x14ac:dyDescent="0.25">
      <c r="H5330" s="106"/>
      <c r="I5330" s="106"/>
    </row>
    <row r="5331" spans="8:9" x14ac:dyDescent="0.25">
      <c r="H5331" s="106"/>
      <c r="I5331" s="106"/>
    </row>
    <row r="5332" spans="8:9" x14ac:dyDescent="0.25">
      <c r="H5332" s="106"/>
      <c r="I5332" s="106"/>
    </row>
    <row r="5333" spans="8:9" x14ac:dyDescent="0.25">
      <c r="H5333" s="106"/>
      <c r="I5333" s="106"/>
    </row>
    <row r="5334" spans="8:9" x14ac:dyDescent="0.25">
      <c r="H5334" s="106"/>
      <c r="I5334" s="106"/>
    </row>
    <row r="5335" spans="8:9" x14ac:dyDescent="0.25">
      <c r="H5335" s="106"/>
      <c r="I5335" s="106"/>
    </row>
    <row r="5336" spans="8:9" x14ac:dyDescent="0.25">
      <c r="H5336" s="106"/>
      <c r="I5336" s="106"/>
    </row>
    <row r="5337" spans="8:9" x14ac:dyDescent="0.25">
      <c r="H5337" s="106"/>
      <c r="I5337" s="106"/>
    </row>
    <row r="5338" spans="8:9" x14ac:dyDescent="0.25">
      <c r="H5338" s="106"/>
      <c r="I5338" s="106"/>
    </row>
    <row r="5339" spans="8:9" x14ac:dyDescent="0.25">
      <c r="H5339" s="106"/>
      <c r="I5339" s="106"/>
    </row>
    <row r="5340" spans="8:9" x14ac:dyDescent="0.25">
      <c r="H5340" s="106"/>
      <c r="I5340" s="106"/>
    </row>
    <row r="5341" spans="8:9" x14ac:dyDescent="0.25">
      <c r="H5341" s="106"/>
      <c r="I5341" s="106"/>
    </row>
    <row r="5342" spans="8:9" x14ac:dyDescent="0.25">
      <c r="H5342" s="106"/>
      <c r="I5342" s="106"/>
    </row>
    <row r="5343" spans="8:9" x14ac:dyDescent="0.25">
      <c r="H5343" s="106"/>
      <c r="I5343" s="106"/>
    </row>
    <row r="5344" spans="8:9" x14ac:dyDescent="0.25">
      <c r="H5344" s="106"/>
      <c r="I5344" s="106"/>
    </row>
    <row r="5345" spans="8:9" x14ac:dyDescent="0.25">
      <c r="H5345" s="106"/>
      <c r="I5345" s="106"/>
    </row>
    <row r="5346" spans="8:9" x14ac:dyDescent="0.25">
      <c r="H5346" s="106"/>
      <c r="I5346" s="106"/>
    </row>
    <row r="5347" spans="8:9" x14ac:dyDescent="0.25">
      <c r="H5347" s="106"/>
      <c r="I5347" s="106"/>
    </row>
    <row r="5348" spans="8:9" x14ac:dyDescent="0.25">
      <c r="H5348" s="106"/>
      <c r="I5348" s="106"/>
    </row>
    <row r="5349" spans="8:9" x14ac:dyDescent="0.25">
      <c r="H5349" s="106"/>
      <c r="I5349" s="106"/>
    </row>
    <row r="5350" spans="8:9" x14ac:dyDescent="0.25">
      <c r="H5350" s="106"/>
      <c r="I5350" s="106"/>
    </row>
    <row r="5351" spans="8:9" x14ac:dyDescent="0.25">
      <c r="H5351" s="106"/>
      <c r="I5351" s="106"/>
    </row>
    <row r="5352" spans="8:9" x14ac:dyDescent="0.25">
      <c r="H5352" s="106"/>
      <c r="I5352" s="106"/>
    </row>
    <row r="5353" spans="8:9" x14ac:dyDescent="0.25">
      <c r="H5353" s="106"/>
      <c r="I5353" s="106"/>
    </row>
    <row r="5354" spans="8:9" x14ac:dyDescent="0.25">
      <c r="H5354" s="106"/>
      <c r="I5354" s="106"/>
    </row>
    <row r="5355" spans="8:9" x14ac:dyDescent="0.25">
      <c r="H5355" s="106"/>
      <c r="I5355" s="106"/>
    </row>
    <row r="5356" spans="8:9" x14ac:dyDescent="0.25">
      <c r="H5356" s="106"/>
      <c r="I5356" s="106"/>
    </row>
    <row r="5357" spans="8:9" x14ac:dyDescent="0.25">
      <c r="H5357" s="106"/>
      <c r="I5357" s="106"/>
    </row>
    <row r="5358" spans="8:9" x14ac:dyDescent="0.25">
      <c r="H5358" s="106"/>
      <c r="I5358" s="106"/>
    </row>
    <row r="5359" spans="8:9" x14ac:dyDescent="0.25">
      <c r="H5359" s="106"/>
      <c r="I5359" s="106"/>
    </row>
    <row r="5360" spans="8:9" x14ac:dyDescent="0.25">
      <c r="H5360" s="106"/>
      <c r="I5360" s="106"/>
    </row>
    <row r="5361" spans="8:9" x14ac:dyDescent="0.25">
      <c r="H5361" s="106"/>
      <c r="I5361" s="106"/>
    </row>
    <row r="5362" spans="8:9" x14ac:dyDescent="0.25">
      <c r="H5362" s="106"/>
      <c r="I5362" s="106"/>
    </row>
    <row r="5363" spans="8:9" x14ac:dyDescent="0.25">
      <c r="H5363" s="106"/>
      <c r="I5363" s="106"/>
    </row>
    <row r="5364" spans="8:9" x14ac:dyDescent="0.25">
      <c r="H5364" s="106"/>
      <c r="I5364" s="106"/>
    </row>
    <row r="5365" spans="8:9" x14ac:dyDescent="0.25">
      <c r="H5365" s="106"/>
      <c r="I5365" s="106"/>
    </row>
    <row r="5366" spans="8:9" x14ac:dyDescent="0.25">
      <c r="H5366" s="106"/>
      <c r="I5366" s="106"/>
    </row>
    <row r="5367" spans="8:9" x14ac:dyDescent="0.25">
      <c r="H5367" s="106"/>
      <c r="I5367" s="106"/>
    </row>
    <row r="5368" spans="8:9" x14ac:dyDescent="0.25">
      <c r="H5368" s="106"/>
      <c r="I5368" s="106"/>
    </row>
    <row r="5369" spans="8:9" x14ac:dyDescent="0.25">
      <c r="H5369" s="106"/>
      <c r="I5369" s="106"/>
    </row>
    <row r="5370" spans="8:9" x14ac:dyDescent="0.25">
      <c r="H5370" s="106"/>
      <c r="I5370" s="106"/>
    </row>
    <row r="5371" spans="8:9" x14ac:dyDescent="0.25">
      <c r="H5371" s="106"/>
      <c r="I5371" s="106"/>
    </row>
    <row r="5372" spans="8:9" x14ac:dyDescent="0.25">
      <c r="H5372" s="106"/>
      <c r="I5372" s="106"/>
    </row>
    <row r="5373" spans="8:9" x14ac:dyDescent="0.25">
      <c r="H5373" s="106"/>
      <c r="I5373" s="106"/>
    </row>
    <row r="5374" spans="8:9" x14ac:dyDescent="0.25">
      <c r="H5374" s="106"/>
      <c r="I5374" s="106"/>
    </row>
    <row r="5375" spans="8:9" x14ac:dyDescent="0.25">
      <c r="H5375" s="106"/>
      <c r="I5375" s="106"/>
    </row>
    <row r="5376" spans="8:9" x14ac:dyDescent="0.25">
      <c r="H5376" s="106"/>
      <c r="I5376" s="106"/>
    </row>
    <row r="5377" spans="8:9" x14ac:dyDescent="0.25">
      <c r="H5377" s="106"/>
      <c r="I5377" s="106"/>
    </row>
    <row r="5378" spans="8:9" x14ac:dyDescent="0.25">
      <c r="H5378" s="106"/>
      <c r="I5378" s="106"/>
    </row>
    <row r="5379" spans="8:9" x14ac:dyDescent="0.25">
      <c r="H5379" s="106"/>
      <c r="I5379" s="106"/>
    </row>
    <row r="5380" spans="8:9" x14ac:dyDescent="0.25">
      <c r="H5380" s="106"/>
      <c r="I5380" s="106"/>
    </row>
    <row r="5381" spans="8:9" x14ac:dyDescent="0.25">
      <c r="H5381" s="106"/>
      <c r="I5381" s="106"/>
    </row>
    <row r="5382" spans="8:9" x14ac:dyDescent="0.25">
      <c r="H5382" s="106"/>
      <c r="I5382" s="106"/>
    </row>
    <row r="5383" spans="8:9" x14ac:dyDescent="0.25">
      <c r="H5383" s="106"/>
      <c r="I5383" s="106"/>
    </row>
    <row r="5384" spans="8:9" x14ac:dyDescent="0.25">
      <c r="H5384" s="106"/>
      <c r="I5384" s="106"/>
    </row>
    <row r="5385" spans="8:9" x14ac:dyDescent="0.25">
      <c r="H5385" s="106"/>
      <c r="I5385" s="106"/>
    </row>
    <row r="5386" spans="8:9" x14ac:dyDescent="0.25">
      <c r="H5386" s="106"/>
      <c r="I5386" s="106"/>
    </row>
    <row r="5387" spans="8:9" x14ac:dyDescent="0.25">
      <c r="H5387" s="106"/>
      <c r="I5387" s="106"/>
    </row>
    <row r="5388" spans="8:9" x14ac:dyDescent="0.25">
      <c r="H5388" s="106"/>
      <c r="I5388" s="106"/>
    </row>
    <row r="5389" spans="8:9" x14ac:dyDescent="0.25">
      <c r="H5389" s="106"/>
      <c r="I5389" s="106"/>
    </row>
    <row r="5390" spans="8:9" x14ac:dyDescent="0.25">
      <c r="H5390" s="106"/>
      <c r="I5390" s="106"/>
    </row>
    <row r="5391" spans="8:9" x14ac:dyDescent="0.25">
      <c r="H5391" s="106"/>
      <c r="I5391" s="106"/>
    </row>
    <row r="5392" spans="8:9" x14ac:dyDescent="0.25">
      <c r="H5392" s="106"/>
      <c r="I5392" s="106"/>
    </row>
    <row r="5393" spans="8:9" x14ac:dyDescent="0.25">
      <c r="H5393" s="106"/>
      <c r="I5393" s="106"/>
    </row>
    <row r="5394" spans="8:9" x14ac:dyDescent="0.25">
      <c r="H5394" s="106"/>
      <c r="I5394" s="106"/>
    </row>
    <row r="5395" spans="8:9" x14ac:dyDescent="0.25">
      <c r="H5395" s="106"/>
      <c r="I5395" s="106"/>
    </row>
    <row r="5396" spans="8:9" x14ac:dyDescent="0.25">
      <c r="H5396" s="106"/>
      <c r="I5396" s="106"/>
    </row>
    <row r="5397" spans="8:9" x14ac:dyDescent="0.25">
      <c r="H5397" s="106"/>
      <c r="I5397" s="106"/>
    </row>
    <row r="5398" spans="8:9" x14ac:dyDescent="0.25">
      <c r="H5398" s="106"/>
      <c r="I5398" s="106"/>
    </row>
    <row r="5399" spans="8:9" x14ac:dyDescent="0.25">
      <c r="H5399" s="106"/>
      <c r="I5399" s="106"/>
    </row>
    <row r="5400" spans="8:9" x14ac:dyDescent="0.25">
      <c r="H5400" s="106"/>
      <c r="I5400" s="106"/>
    </row>
    <row r="5401" spans="8:9" x14ac:dyDescent="0.25">
      <c r="H5401" s="106"/>
      <c r="I5401" s="106"/>
    </row>
    <row r="5402" spans="8:9" x14ac:dyDescent="0.25">
      <c r="H5402" s="106"/>
      <c r="I5402" s="106"/>
    </row>
    <row r="5403" spans="8:9" x14ac:dyDescent="0.25">
      <c r="H5403" s="106"/>
      <c r="I5403" s="106"/>
    </row>
    <row r="5404" spans="8:9" x14ac:dyDescent="0.25">
      <c r="H5404" s="106"/>
      <c r="I5404" s="106"/>
    </row>
    <row r="5405" spans="8:9" x14ac:dyDescent="0.25">
      <c r="H5405" s="106"/>
      <c r="I5405" s="106"/>
    </row>
    <row r="5406" spans="8:9" x14ac:dyDescent="0.25">
      <c r="H5406" s="106"/>
      <c r="I5406" s="106"/>
    </row>
    <row r="5407" spans="8:9" x14ac:dyDescent="0.25">
      <c r="H5407" s="106"/>
      <c r="I5407" s="106"/>
    </row>
    <row r="5408" spans="8:9" x14ac:dyDescent="0.25">
      <c r="H5408" s="106"/>
      <c r="I5408" s="106"/>
    </row>
    <row r="5409" spans="8:9" x14ac:dyDescent="0.25">
      <c r="H5409" s="106"/>
      <c r="I5409" s="106"/>
    </row>
    <row r="5410" spans="8:9" x14ac:dyDescent="0.25">
      <c r="H5410" s="106"/>
      <c r="I5410" s="106"/>
    </row>
    <row r="5411" spans="8:9" x14ac:dyDescent="0.25">
      <c r="H5411" s="106"/>
      <c r="I5411" s="106"/>
    </row>
    <row r="5412" spans="8:9" x14ac:dyDescent="0.25">
      <c r="H5412" s="106"/>
      <c r="I5412" s="106"/>
    </row>
    <row r="5413" spans="8:9" x14ac:dyDescent="0.25">
      <c r="H5413" s="106"/>
      <c r="I5413" s="106"/>
    </row>
    <row r="5414" spans="8:9" x14ac:dyDescent="0.25">
      <c r="H5414" s="106"/>
      <c r="I5414" s="106"/>
    </row>
    <row r="5415" spans="8:9" x14ac:dyDescent="0.25">
      <c r="H5415" s="106"/>
      <c r="I5415" s="106"/>
    </row>
    <row r="5416" spans="8:9" x14ac:dyDescent="0.25">
      <c r="H5416" s="106"/>
      <c r="I5416" s="106"/>
    </row>
    <row r="5417" spans="8:9" x14ac:dyDescent="0.25">
      <c r="H5417" s="106"/>
      <c r="I5417" s="106"/>
    </row>
    <row r="5418" spans="8:9" x14ac:dyDescent="0.25">
      <c r="H5418" s="106"/>
      <c r="I5418" s="106"/>
    </row>
    <row r="5419" spans="8:9" x14ac:dyDescent="0.25">
      <c r="H5419" s="106"/>
      <c r="I5419" s="106"/>
    </row>
    <row r="5420" spans="8:9" x14ac:dyDescent="0.25">
      <c r="H5420" s="106"/>
      <c r="I5420" s="106"/>
    </row>
    <row r="5421" spans="8:9" x14ac:dyDescent="0.25">
      <c r="H5421" s="106"/>
      <c r="I5421" s="106"/>
    </row>
    <row r="5422" spans="8:9" x14ac:dyDescent="0.25">
      <c r="H5422" s="106"/>
      <c r="I5422" s="106"/>
    </row>
    <row r="5423" spans="8:9" x14ac:dyDescent="0.25">
      <c r="H5423" s="106"/>
      <c r="I5423" s="106"/>
    </row>
    <row r="5424" spans="8:9" x14ac:dyDescent="0.25">
      <c r="H5424" s="106"/>
      <c r="I5424" s="106"/>
    </row>
    <row r="5425" spans="8:9" x14ac:dyDescent="0.25">
      <c r="H5425" s="106"/>
      <c r="I5425" s="106"/>
    </row>
    <row r="5426" spans="8:9" x14ac:dyDescent="0.25">
      <c r="H5426" s="106"/>
      <c r="I5426" s="106"/>
    </row>
    <row r="5427" spans="8:9" x14ac:dyDescent="0.25">
      <c r="H5427" s="106"/>
      <c r="I5427" s="106"/>
    </row>
    <row r="5428" spans="8:9" x14ac:dyDescent="0.25">
      <c r="H5428" s="106"/>
      <c r="I5428" s="106"/>
    </row>
    <row r="5429" spans="8:9" x14ac:dyDescent="0.25">
      <c r="H5429" s="106"/>
      <c r="I5429" s="106"/>
    </row>
    <row r="5430" spans="8:9" x14ac:dyDescent="0.25">
      <c r="H5430" s="106"/>
      <c r="I5430" s="106"/>
    </row>
    <row r="5431" spans="8:9" x14ac:dyDescent="0.25">
      <c r="H5431" s="106"/>
      <c r="I5431" s="106"/>
    </row>
    <row r="5432" spans="8:9" x14ac:dyDescent="0.25">
      <c r="H5432" s="106"/>
      <c r="I5432" s="106"/>
    </row>
    <row r="5433" spans="8:9" x14ac:dyDescent="0.25">
      <c r="H5433" s="106"/>
      <c r="I5433" s="106"/>
    </row>
    <row r="5434" spans="8:9" x14ac:dyDescent="0.25">
      <c r="H5434" s="106"/>
      <c r="I5434" s="106"/>
    </row>
    <row r="5435" spans="8:9" x14ac:dyDescent="0.25">
      <c r="H5435" s="106"/>
      <c r="I5435" s="106"/>
    </row>
    <row r="5436" spans="8:9" x14ac:dyDescent="0.25">
      <c r="H5436" s="106"/>
      <c r="I5436" s="106"/>
    </row>
    <row r="5437" spans="8:9" x14ac:dyDescent="0.25">
      <c r="H5437" s="106"/>
      <c r="I5437" s="106"/>
    </row>
    <row r="5438" spans="8:9" x14ac:dyDescent="0.25">
      <c r="H5438" s="106"/>
      <c r="I5438" s="106"/>
    </row>
    <row r="5439" spans="8:9" x14ac:dyDescent="0.25">
      <c r="H5439" s="106"/>
      <c r="I5439" s="106"/>
    </row>
    <row r="5440" spans="8:9" x14ac:dyDescent="0.25">
      <c r="H5440" s="106"/>
      <c r="I5440" s="106"/>
    </row>
    <row r="5441" spans="8:9" x14ac:dyDescent="0.25">
      <c r="H5441" s="106"/>
      <c r="I5441" s="106"/>
    </row>
    <row r="5442" spans="8:9" x14ac:dyDescent="0.25">
      <c r="H5442" s="106"/>
      <c r="I5442" s="106"/>
    </row>
    <row r="5443" spans="8:9" x14ac:dyDescent="0.25">
      <c r="H5443" s="106"/>
      <c r="I5443" s="106"/>
    </row>
    <row r="5444" spans="8:9" x14ac:dyDescent="0.25">
      <c r="H5444" s="106"/>
      <c r="I5444" s="106"/>
    </row>
    <row r="5445" spans="8:9" x14ac:dyDescent="0.25">
      <c r="H5445" s="106"/>
      <c r="I5445" s="106"/>
    </row>
    <row r="5446" spans="8:9" x14ac:dyDescent="0.25">
      <c r="H5446" s="106"/>
      <c r="I5446" s="106"/>
    </row>
    <row r="5447" spans="8:9" x14ac:dyDescent="0.25">
      <c r="H5447" s="106"/>
      <c r="I5447" s="106"/>
    </row>
    <row r="5448" spans="8:9" x14ac:dyDescent="0.25">
      <c r="H5448" s="106"/>
      <c r="I5448" s="106"/>
    </row>
    <row r="5449" spans="8:9" x14ac:dyDescent="0.25">
      <c r="H5449" s="106"/>
      <c r="I5449" s="106"/>
    </row>
    <row r="5450" spans="8:9" x14ac:dyDescent="0.25">
      <c r="H5450" s="106"/>
      <c r="I5450" s="106"/>
    </row>
    <row r="5451" spans="8:9" x14ac:dyDescent="0.25">
      <c r="H5451" s="106"/>
      <c r="I5451" s="106"/>
    </row>
    <row r="5452" spans="8:9" x14ac:dyDescent="0.25">
      <c r="H5452" s="106"/>
      <c r="I5452" s="106"/>
    </row>
    <row r="5453" spans="8:9" x14ac:dyDescent="0.25">
      <c r="H5453" s="106"/>
      <c r="I5453" s="106"/>
    </row>
    <row r="5454" spans="8:9" x14ac:dyDescent="0.25">
      <c r="H5454" s="106"/>
      <c r="I5454" s="106"/>
    </row>
    <row r="5455" spans="8:9" x14ac:dyDescent="0.25">
      <c r="H5455" s="106"/>
      <c r="I5455" s="106"/>
    </row>
    <row r="5456" spans="8:9" x14ac:dyDescent="0.25">
      <c r="H5456" s="106"/>
      <c r="I5456" s="106"/>
    </row>
    <row r="5457" spans="8:9" x14ac:dyDescent="0.25">
      <c r="H5457" s="106"/>
      <c r="I5457" s="106"/>
    </row>
    <row r="5458" spans="8:9" x14ac:dyDescent="0.25">
      <c r="H5458" s="106"/>
      <c r="I5458" s="106"/>
    </row>
    <row r="5459" spans="8:9" x14ac:dyDescent="0.25">
      <c r="H5459" s="106"/>
      <c r="I5459" s="106"/>
    </row>
    <row r="5460" spans="8:9" x14ac:dyDescent="0.25">
      <c r="H5460" s="106"/>
      <c r="I5460" s="106"/>
    </row>
    <row r="5461" spans="8:9" x14ac:dyDescent="0.25">
      <c r="H5461" s="106"/>
      <c r="I5461" s="106"/>
    </row>
    <row r="5462" spans="8:9" x14ac:dyDescent="0.25">
      <c r="H5462" s="106"/>
      <c r="I5462" s="106"/>
    </row>
    <row r="5463" spans="8:9" x14ac:dyDescent="0.25">
      <c r="H5463" s="106"/>
      <c r="I5463" s="106"/>
    </row>
    <row r="5464" spans="8:9" x14ac:dyDescent="0.25">
      <c r="H5464" s="106"/>
      <c r="I5464" s="106"/>
    </row>
    <row r="5465" spans="8:9" x14ac:dyDescent="0.25">
      <c r="H5465" s="106"/>
      <c r="I5465" s="106"/>
    </row>
    <row r="5466" spans="8:9" x14ac:dyDescent="0.25">
      <c r="H5466" s="106"/>
      <c r="I5466" s="106"/>
    </row>
    <row r="5467" spans="8:9" x14ac:dyDescent="0.25">
      <c r="H5467" s="106"/>
      <c r="I5467" s="106"/>
    </row>
    <row r="5468" spans="8:9" x14ac:dyDescent="0.25">
      <c r="H5468" s="106"/>
      <c r="I5468" s="106"/>
    </row>
    <row r="5469" spans="8:9" x14ac:dyDescent="0.25">
      <c r="H5469" s="106"/>
      <c r="I5469" s="106"/>
    </row>
    <row r="5470" spans="8:9" x14ac:dyDescent="0.25">
      <c r="H5470" s="106"/>
      <c r="I5470" s="106"/>
    </row>
    <row r="5471" spans="8:9" x14ac:dyDescent="0.25">
      <c r="H5471" s="106"/>
      <c r="I5471" s="106"/>
    </row>
    <row r="5472" spans="8:9" x14ac:dyDescent="0.25">
      <c r="H5472" s="106"/>
      <c r="I5472" s="106"/>
    </row>
    <row r="5473" spans="8:9" x14ac:dyDescent="0.25">
      <c r="H5473" s="106"/>
      <c r="I5473" s="106"/>
    </row>
    <row r="5474" spans="8:9" x14ac:dyDescent="0.25">
      <c r="H5474" s="106"/>
      <c r="I5474" s="106"/>
    </row>
    <row r="5475" spans="8:9" x14ac:dyDescent="0.25">
      <c r="H5475" s="106"/>
      <c r="I5475" s="106"/>
    </row>
    <row r="5476" spans="8:9" x14ac:dyDescent="0.25">
      <c r="H5476" s="106"/>
      <c r="I5476" s="106"/>
    </row>
    <row r="5477" spans="8:9" x14ac:dyDescent="0.25">
      <c r="H5477" s="106"/>
      <c r="I5477" s="106"/>
    </row>
    <row r="5478" spans="8:9" x14ac:dyDescent="0.25">
      <c r="H5478" s="106"/>
      <c r="I5478" s="106"/>
    </row>
    <row r="5479" spans="8:9" x14ac:dyDescent="0.25">
      <c r="H5479" s="106"/>
      <c r="I5479" s="106"/>
    </row>
    <row r="5480" spans="8:9" x14ac:dyDescent="0.25">
      <c r="H5480" s="106"/>
      <c r="I5480" s="106"/>
    </row>
    <row r="5481" spans="8:9" x14ac:dyDescent="0.25">
      <c r="H5481" s="106"/>
      <c r="I5481" s="106"/>
    </row>
    <row r="5482" spans="8:9" x14ac:dyDescent="0.25">
      <c r="H5482" s="106"/>
      <c r="I5482" s="106"/>
    </row>
    <row r="5483" spans="8:9" x14ac:dyDescent="0.25">
      <c r="H5483" s="106"/>
      <c r="I5483" s="106"/>
    </row>
    <row r="5484" spans="8:9" x14ac:dyDescent="0.25">
      <c r="H5484" s="106"/>
      <c r="I5484" s="106"/>
    </row>
    <row r="5485" spans="8:9" x14ac:dyDescent="0.25">
      <c r="H5485" s="106"/>
      <c r="I5485" s="106"/>
    </row>
    <row r="5486" spans="8:9" x14ac:dyDescent="0.25">
      <c r="H5486" s="106"/>
      <c r="I5486" s="106"/>
    </row>
    <row r="5487" spans="8:9" x14ac:dyDescent="0.25">
      <c r="H5487" s="106"/>
      <c r="I5487" s="106"/>
    </row>
    <row r="5488" spans="8:9" x14ac:dyDescent="0.25">
      <c r="H5488" s="106"/>
      <c r="I5488" s="106"/>
    </row>
    <row r="5489" spans="8:9" x14ac:dyDescent="0.25">
      <c r="H5489" s="106"/>
      <c r="I5489" s="106"/>
    </row>
    <row r="5490" spans="8:9" x14ac:dyDescent="0.25">
      <c r="H5490" s="106"/>
      <c r="I5490" s="106"/>
    </row>
    <row r="5491" spans="8:9" x14ac:dyDescent="0.25">
      <c r="H5491" s="106"/>
      <c r="I5491" s="106"/>
    </row>
    <row r="5492" spans="8:9" x14ac:dyDescent="0.25">
      <c r="H5492" s="106"/>
      <c r="I5492" s="106"/>
    </row>
    <row r="5493" spans="8:9" x14ac:dyDescent="0.25">
      <c r="H5493" s="106"/>
      <c r="I5493" s="106"/>
    </row>
    <row r="5494" spans="8:9" x14ac:dyDescent="0.25">
      <c r="H5494" s="106"/>
      <c r="I5494" s="106"/>
    </row>
    <row r="5495" spans="8:9" x14ac:dyDescent="0.25">
      <c r="H5495" s="106"/>
      <c r="I5495" s="106"/>
    </row>
    <row r="5496" spans="8:9" x14ac:dyDescent="0.25">
      <c r="H5496" s="106"/>
      <c r="I5496" s="106"/>
    </row>
    <row r="5497" spans="8:9" x14ac:dyDescent="0.25">
      <c r="H5497" s="106"/>
      <c r="I5497" s="106"/>
    </row>
    <row r="5498" spans="8:9" x14ac:dyDescent="0.25">
      <c r="H5498" s="106"/>
      <c r="I5498" s="106"/>
    </row>
    <row r="5499" spans="8:9" x14ac:dyDescent="0.25">
      <c r="H5499" s="106"/>
      <c r="I5499" s="106"/>
    </row>
    <row r="5500" spans="8:9" x14ac:dyDescent="0.25">
      <c r="H5500" s="106"/>
      <c r="I5500" s="106"/>
    </row>
    <row r="5501" spans="8:9" x14ac:dyDescent="0.25">
      <c r="H5501" s="106"/>
      <c r="I5501" s="106"/>
    </row>
    <row r="5502" spans="8:9" x14ac:dyDescent="0.25">
      <c r="H5502" s="106"/>
      <c r="I5502" s="106"/>
    </row>
    <row r="5503" spans="8:9" x14ac:dyDescent="0.25">
      <c r="H5503" s="106"/>
      <c r="I5503" s="106"/>
    </row>
    <row r="5504" spans="8:9" x14ac:dyDescent="0.25">
      <c r="H5504" s="106"/>
      <c r="I5504" s="106"/>
    </row>
    <row r="5505" spans="8:9" x14ac:dyDescent="0.25">
      <c r="H5505" s="106"/>
      <c r="I5505" s="106"/>
    </row>
    <row r="5506" spans="8:9" x14ac:dyDescent="0.25">
      <c r="H5506" s="106"/>
      <c r="I5506" s="106"/>
    </row>
    <row r="5507" spans="8:9" x14ac:dyDescent="0.25">
      <c r="H5507" s="106"/>
      <c r="I5507" s="106"/>
    </row>
    <row r="5508" spans="8:9" x14ac:dyDescent="0.25">
      <c r="H5508" s="106"/>
      <c r="I5508" s="106"/>
    </row>
    <row r="5509" spans="8:9" x14ac:dyDescent="0.25">
      <c r="H5509" s="106"/>
      <c r="I5509" s="106"/>
    </row>
    <row r="5510" spans="8:9" x14ac:dyDescent="0.25">
      <c r="H5510" s="106"/>
      <c r="I5510" s="106"/>
    </row>
    <row r="5511" spans="8:9" x14ac:dyDescent="0.25">
      <c r="H5511" s="106"/>
      <c r="I5511" s="106"/>
    </row>
    <row r="5512" spans="8:9" x14ac:dyDescent="0.25">
      <c r="H5512" s="106"/>
      <c r="I5512" s="106"/>
    </row>
    <row r="5513" spans="8:9" x14ac:dyDescent="0.25">
      <c r="H5513" s="106"/>
      <c r="I5513" s="106"/>
    </row>
    <row r="5514" spans="8:9" x14ac:dyDescent="0.25">
      <c r="H5514" s="106"/>
      <c r="I5514" s="106"/>
    </row>
    <row r="5515" spans="8:9" x14ac:dyDescent="0.25">
      <c r="H5515" s="106"/>
      <c r="I5515" s="106"/>
    </row>
    <row r="5516" spans="8:9" x14ac:dyDescent="0.25">
      <c r="H5516" s="106"/>
      <c r="I5516" s="106"/>
    </row>
    <row r="5517" spans="8:9" x14ac:dyDescent="0.25">
      <c r="H5517" s="106"/>
      <c r="I5517" s="106"/>
    </row>
    <row r="5518" spans="8:9" x14ac:dyDescent="0.25">
      <c r="H5518" s="106"/>
      <c r="I5518" s="106"/>
    </row>
    <row r="5519" spans="8:9" x14ac:dyDescent="0.25">
      <c r="H5519" s="106"/>
      <c r="I5519" s="106"/>
    </row>
    <row r="5520" spans="8:9" x14ac:dyDescent="0.25">
      <c r="H5520" s="106"/>
      <c r="I5520" s="106"/>
    </row>
    <row r="5521" spans="8:9" x14ac:dyDescent="0.25">
      <c r="H5521" s="106"/>
      <c r="I5521" s="106"/>
    </row>
    <row r="5522" spans="8:9" x14ac:dyDescent="0.25">
      <c r="H5522" s="106"/>
      <c r="I5522" s="106"/>
    </row>
    <row r="5523" spans="8:9" x14ac:dyDescent="0.25">
      <c r="H5523" s="106"/>
      <c r="I5523" s="106"/>
    </row>
    <row r="5524" spans="8:9" x14ac:dyDescent="0.25">
      <c r="H5524" s="106"/>
      <c r="I5524" s="106"/>
    </row>
    <row r="5525" spans="8:9" x14ac:dyDescent="0.25">
      <c r="H5525" s="106"/>
      <c r="I5525" s="106"/>
    </row>
    <row r="5526" spans="8:9" x14ac:dyDescent="0.25">
      <c r="H5526" s="106"/>
      <c r="I5526" s="106"/>
    </row>
    <row r="5527" spans="8:9" x14ac:dyDescent="0.25">
      <c r="H5527" s="106"/>
      <c r="I5527" s="106"/>
    </row>
    <row r="5528" spans="8:9" x14ac:dyDescent="0.25">
      <c r="H5528" s="106"/>
      <c r="I5528" s="106"/>
    </row>
    <row r="5529" spans="8:9" x14ac:dyDescent="0.25">
      <c r="H5529" s="106"/>
      <c r="I5529" s="106"/>
    </row>
    <row r="5530" spans="8:9" x14ac:dyDescent="0.25">
      <c r="H5530" s="106"/>
      <c r="I5530" s="106"/>
    </row>
    <row r="5531" spans="8:9" x14ac:dyDescent="0.25">
      <c r="H5531" s="106"/>
      <c r="I5531" s="106"/>
    </row>
    <row r="5532" spans="8:9" x14ac:dyDescent="0.25">
      <c r="H5532" s="106"/>
      <c r="I5532" s="106"/>
    </row>
    <row r="5533" spans="8:9" x14ac:dyDescent="0.25">
      <c r="H5533" s="106"/>
      <c r="I5533" s="106"/>
    </row>
    <row r="5534" spans="8:9" x14ac:dyDescent="0.25">
      <c r="H5534" s="106"/>
      <c r="I5534" s="106"/>
    </row>
    <row r="5535" spans="8:9" x14ac:dyDescent="0.25">
      <c r="H5535" s="106"/>
      <c r="I5535" s="106"/>
    </row>
    <row r="5536" spans="8:9" x14ac:dyDescent="0.25">
      <c r="H5536" s="106"/>
      <c r="I5536" s="106"/>
    </row>
    <row r="5537" spans="8:9" x14ac:dyDescent="0.25">
      <c r="H5537" s="106"/>
      <c r="I5537" s="106"/>
    </row>
    <row r="5538" spans="8:9" x14ac:dyDescent="0.25">
      <c r="H5538" s="106"/>
      <c r="I5538" s="106"/>
    </row>
    <row r="5539" spans="8:9" x14ac:dyDescent="0.25">
      <c r="H5539" s="106"/>
      <c r="I5539" s="106"/>
    </row>
    <row r="5540" spans="8:9" x14ac:dyDescent="0.25">
      <c r="H5540" s="106"/>
      <c r="I5540" s="106"/>
    </row>
    <row r="5541" spans="8:9" x14ac:dyDescent="0.25">
      <c r="H5541" s="106"/>
      <c r="I5541" s="106"/>
    </row>
    <row r="5542" spans="8:9" x14ac:dyDescent="0.25">
      <c r="H5542" s="106"/>
      <c r="I5542" s="106"/>
    </row>
    <row r="5543" spans="8:9" x14ac:dyDescent="0.25">
      <c r="H5543" s="106"/>
      <c r="I5543" s="106"/>
    </row>
    <row r="5544" spans="8:9" x14ac:dyDescent="0.25">
      <c r="H5544" s="106"/>
      <c r="I5544" s="106"/>
    </row>
    <row r="5545" spans="8:9" x14ac:dyDescent="0.25">
      <c r="H5545" s="106"/>
      <c r="I5545" s="106"/>
    </row>
    <row r="5546" spans="8:9" x14ac:dyDescent="0.25">
      <c r="H5546" s="106"/>
      <c r="I5546" s="106"/>
    </row>
    <row r="5547" spans="8:9" x14ac:dyDescent="0.25">
      <c r="H5547" s="106"/>
      <c r="I5547" s="106"/>
    </row>
    <row r="5548" spans="8:9" x14ac:dyDescent="0.25">
      <c r="H5548" s="106"/>
      <c r="I5548" s="106"/>
    </row>
    <row r="5549" spans="8:9" x14ac:dyDescent="0.25">
      <c r="H5549" s="106"/>
      <c r="I5549" s="106"/>
    </row>
    <row r="5550" spans="8:9" x14ac:dyDescent="0.25">
      <c r="H5550" s="106"/>
      <c r="I5550" s="106"/>
    </row>
    <row r="5551" spans="8:9" x14ac:dyDescent="0.25">
      <c r="H5551" s="106"/>
      <c r="I5551" s="106"/>
    </row>
    <row r="5552" spans="8:9" x14ac:dyDescent="0.25">
      <c r="H5552" s="106"/>
      <c r="I5552" s="106"/>
    </row>
    <row r="5553" spans="8:9" x14ac:dyDescent="0.25">
      <c r="H5553" s="106"/>
      <c r="I5553" s="106"/>
    </row>
    <row r="5554" spans="8:9" x14ac:dyDescent="0.25">
      <c r="H5554" s="106"/>
      <c r="I5554" s="106"/>
    </row>
    <row r="5555" spans="8:9" x14ac:dyDescent="0.25">
      <c r="H5555" s="106"/>
      <c r="I5555" s="106"/>
    </row>
    <row r="5556" spans="8:9" x14ac:dyDescent="0.25">
      <c r="H5556" s="106"/>
      <c r="I5556" s="106"/>
    </row>
    <row r="5557" spans="8:9" x14ac:dyDescent="0.25">
      <c r="H5557" s="106"/>
      <c r="I5557" s="106"/>
    </row>
    <row r="5558" spans="8:9" x14ac:dyDescent="0.25">
      <c r="H5558" s="106"/>
      <c r="I5558" s="106"/>
    </row>
    <row r="5559" spans="8:9" x14ac:dyDescent="0.25">
      <c r="H5559" s="106"/>
      <c r="I5559" s="106"/>
    </row>
    <row r="5560" spans="8:9" x14ac:dyDescent="0.25">
      <c r="H5560" s="106"/>
      <c r="I5560" s="106"/>
    </row>
    <row r="5561" spans="8:9" x14ac:dyDescent="0.25">
      <c r="H5561" s="106"/>
      <c r="I5561" s="106"/>
    </row>
    <row r="5562" spans="8:9" x14ac:dyDescent="0.25">
      <c r="H5562" s="106"/>
      <c r="I5562" s="106"/>
    </row>
    <row r="5563" spans="8:9" x14ac:dyDescent="0.25">
      <c r="H5563" s="106"/>
      <c r="I5563" s="106"/>
    </row>
    <row r="5564" spans="8:9" x14ac:dyDescent="0.25">
      <c r="H5564" s="106"/>
      <c r="I5564" s="106"/>
    </row>
    <row r="5565" spans="8:9" x14ac:dyDescent="0.25">
      <c r="H5565" s="106"/>
      <c r="I5565" s="106"/>
    </row>
    <row r="5566" spans="8:9" x14ac:dyDescent="0.25">
      <c r="H5566" s="106"/>
      <c r="I5566" s="106"/>
    </row>
    <row r="5567" spans="8:9" x14ac:dyDescent="0.25">
      <c r="H5567" s="106"/>
      <c r="I5567" s="106"/>
    </row>
    <row r="5568" spans="8:9" x14ac:dyDescent="0.25">
      <c r="H5568" s="106"/>
      <c r="I5568" s="106"/>
    </row>
    <row r="5569" spans="8:9" x14ac:dyDescent="0.25">
      <c r="H5569" s="106"/>
      <c r="I5569" s="106"/>
    </row>
    <row r="5570" spans="8:9" x14ac:dyDescent="0.25">
      <c r="H5570" s="106"/>
      <c r="I5570" s="106"/>
    </row>
    <row r="5571" spans="8:9" x14ac:dyDescent="0.25">
      <c r="H5571" s="106"/>
      <c r="I5571" s="106"/>
    </row>
    <row r="5572" spans="8:9" x14ac:dyDescent="0.25">
      <c r="H5572" s="106"/>
      <c r="I5572" s="106"/>
    </row>
    <row r="5573" spans="8:9" x14ac:dyDescent="0.25">
      <c r="H5573" s="106"/>
      <c r="I5573" s="106"/>
    </row>
    <row r="5574" spans="8:9" x14ac:dyDescent="0.25">
      <c r="H5574" s="106"/>
      <c r="I5574" s="106"/>
    </row>
    <row r="5575" spans="8:9" x14ac:dyDescent="0.25">
      <c r="H5575" s="106"/>
      <c r="I5575" s="106"/>
    </row>
    <row r="5576" spans="8:9" x14ac:dyDescent="0.25">
      <c r="H5576" s="106"/>
      <c r="I5576" s="106"/>
    </row>
    <row r="5577" spans="8:9" x14ac:dyDescent="0.25">
      <c r="H5577" s="106"/>
      <c r="I5577" s="106"/>
    </row>
    <row r="5578" spans="8:9" x14ac:dyDescent="0.25">
      <c r="H5578" s="106"/>
      <c r="I5578" s="106"/>
    </row>
    <row r="5579" spans="8:9" x14ac:dyDescent="0.25">
      <c r="H5579" s="106"/>
      <c r="I5579" s="106"/>
    </row>
    <row r="5580" spans="8:9" x14ac:dyDescent="0.25">
      <c r="H5580" s="106"/>
      <c r="I5580" s="106"/>
    </row>
    <row r="5581" spans="8:9" x14ac:dyDescent="0.25">
      <c r="H5581" s="106"/>
      <c r="I5581" s="106"/>
    </row>
    <row r="5582" spans="8:9" x14ac:dyDescent="0.25">
      <c r="H5582" s="106"/>
      <c r="I5582" s="106"/>
    </row>
    <row r="5583" spans="8:9" x14ac:dyDescent="0.25">
      <c r="H5583" s="106"/>
      <c r="I5583" s="106"/>
    </row>
    <row r="5584" spans="8:9" x14ac:dyDescent="0.25">
      <c r="H5584" s="106"/>
      <c r="I5584" s="106"/>
    </row>
    <row r="5585" spans="8:9" x14ac:dyDescent="0.25">
      <c r="H5585" s="106"/>
      <c r="I5585" s="106"/>
    </row>
    <row r="5586" spans="8:9" x14ac:dyDescent="0.25">
      <c r="H5586" s="106"/>
      <c r="I5586" s="106"/>
    </row>
    <row r="5587" spans="8:9" x14ac:dyDescent="0.25">
      <c r="H5587" s="106"/>
      <c r="I5587" s="106"/>
    </row>
    <row r="5588" spans="8:9" x14ac:dyDescent="0.25">
      <c r="H5588" s="106"/>
      <c r="I5588" s="106"/>
    </row>
    <row r="5589" spans="8:9" x14ac:dyDescent="0.25">
      <c r="H5589" s="106"/>
      <c r="I5589" s="106"/>
    </row>
    <row r="5590" spans="8:9" x14ac:dyDescent="0.25">
      <c r="H5590" s="106"/>
      <c r="I5590" s="106"/>
    </row>
    <row r="5591" spans="8:9" x14ac:dyDescent="0.25">
      <c r="H5591" s="106"/>
      <c r="I5591" s="106"/>
    </row>
    <row r="5592" spans="8:9" x14ac:dyDescent="0.25">
      <c r="H5592" s="106"/>
      <c r="I5592" s="106"/>
    </row>
    <row r="5593" spans="8:9" x14ac:dyDescent="0.25">
      <c r="H5593" s="106"/>
      <c r="I5593" s="106"/>
    </row>
    <row r="5594" spans="8:9" x14ac:dyDescent="0.25">
      <c r="H5594" s="106"/>
      <c r="I5594" s="106"/>
    </row>
    <row r="5595" spans="8:9" x14ac:dyDescent="0.25">
      <c r="H5595" s="106"/>
      <c r="I5595" s="106"/>
    </row>
    <row r="5596" spans="8:9" x14ac:dyDescent="0.25">
      <c r="H5596" s="106"/>
      <c r="I5596" s="106"/>
    </row>
    <row r="5597" spans="8:9" x14ac:dyDescent="0.25">
      <c r="H5597" s="106"/>
      <c r="I5597" s="106"/>
    </row>
    <row r="5598" spans="8:9" x14ac:dyDescent="0.25">
      <c r="H5598" s="106"/>
      <c r="I5598" s="106"/>
    </row>
    <row r="5599" spans="8:9" x14ac:dyDescent="0.25">
      <c r="H5599" s="106"/>
      <c r="I5599" s="106"/>
    </row>
    <row r="5600" spans="8:9" x14ac:dyDescent="0.25">
      <c r="H5600" s="106"/>
      <c r="I5600" s="106"/>
    </row>
    <row r="5601" spans="8:9" x14ac:dyDescent="0.25">
      <c r="H5601" s="106"/>
      <c r="I5601" s="106"/>
    </row>
    <row r="5602" spans="8:9" x14ac:dyDescent="0.25">
      <c r="H5602" s="106"/>
      <c r="I5602" s="106"/>
    </row>
    <row r="5603" spans="8:9" x14ac:dyDescent="0.25">
      <c r="H5603" s="106"/>
      <c r="I5603" s="106"/>
    </row>
    <row r="5604" spans="8:9" x14ac:dyDescent="0.25">
      <c r="H5604" s="106"/>
      <c r="I5604" s="106"/>
    </row>
    <row r="5605" spans="8:9" x14ac:dyDescent="0.25">
      <c r="H5605" s="106"/>
      <c r="I5605" s="106"/>
    </row>
    <row r="5606" spans="8:9" x14ac:dyDescent="0.25">
      <c r="H5606" s="106"/>
      <c r="I5606" s="106"/>
    </row>
    <row r="5607" spans="8:9" x14ac:dyDescent="0.25">
      <c r="H5607" s="106"/>
      <c r="I5607" s="106"/>
    </row>
    <row r="5608" spans="8:9" x14ac:dyDescent="0.25">
      <c r="H5608" s="106"/>
      <c r="I5608" s="106"/>
    </row>
    <row r="5609" spans="8:9" x14ac:dyDescent="0.25">
      <c r="H5609" s="106"/>
      <c r="I5609" s="106"/>
    </row>
    <row r="5610" spans="8:9" x14ac:dyDescent="0.25">
      <c r="H5610" s="106"/>
      <c r="I5610" s="106"/>
    </row>
    <row r="5611" spans="8:9" x14ac:dyDescent="0.25">
      <c r="H5611" s="106"/>
      <c r="I5611" s="106"/>
    </row>
    <row r="5612" spans="8:9" x14ac:dyDescent="0.25">
      <c r="H5612" s="106"/>
      <c r="I5612" s="106"/>
    </row>
    <row r="5613" spans="8:9" x14ac:dyDescent="0.25">
      <c r="H5613" s="106"/>
      <c r="I5613" s="106"/>
    </row>
    <row r="5614" spans="8:9" x14ac:dyDescent="0.25">
      <c r="H5614" s="106"/>
      <c r="I5614" s="106"/>
    </row>
    <row r="5615" spans="8:9" x14ac:dyDescent="0.25">
      <c r="H5615" s="106"/>
      <c r="I5615" s="106"/>
    </row>
    <row r="5616" spans="8:9" x14ac:dyDescent="0.25">
      <c r="H5616" s="106"/>
      <c r="I5616" s="106"/>
    </row>
    <row r="5617" spans="8:9" x14ac:dyDescent="0.25">
      <c r="H5617" s="106"/>
      <c r="I5617" s="106"/>
    </row>
    <row r="5618" spans="8:9" x14ac:dyDescent="0.25">
      <c r="H5618" s="106"/>
      <c r="I5618" s="106"/>
    </row>
    <row r="5619" spans="8:9" x14ac:dyDescent="0.25">
      <c r="H5619" s="106"/>
      <c r="I5619" s="106"/>
    </row>
    <row r="5620" spans="8:9" x14ac:dyDescent="0.25">
      <c r="H5620" s="106"/>
      <c r="I5620" s="106"/>
    </row>
    <row r="5621" spans="8:9" x14ac:dyDescent="0.25">
      <c r="H5621" s="106"/>
      <c r="I5621" s="106"/>
    </row>
    <row r="5622" spans="8:9" x14ac:dyDescent="0.25">
      <c r="H5622" s="106"/>
      <c r="I5622" s="106"/>
    </row>
    <row r="5623" spans="8:9" x14ac:dyDescent="0.25">
      <c r="H5623" s="106"/>
      <c r="I5623" s="106"/>
    </row>
    <row r="5624" spans="8:9" x14ac:dyDescent="0.25">
      <c r="H5624" s="106"/>
      <c r="I5624" s="106"/>
    </row>
    <row r="5625" spans="8:9" x14ac:dyDescent="0.25">
      <c r="H5625" s="106"/>
      <c r="I5625" s="106"/>
    </row>
    <row r="5626" spans="8:9" x14ac:dyDescent="0.25">
      <c r="H5626" s="106"/>
      <c r="I5626" s="106"/>
    </row>
    <row r="5627" spans="8:9" x14ac:dyDescent="0.25">
      <c r="H5627" s="106"/>
      <c r="I5627" s="106"/>
    </row>
    <row r="5628" spans="8:9" x14ac:dyDescent="0.25">
      <c r="H5628" s="106"/>
      <c r="I5628" s="106"/>
    </row>
    <row r="5629" spans="8:9" x14ac:dyDescent="0.25">
      <c r="H5629" s="106"/>
      <c r="I5629" s="106"/>
    </row>
    <row r="5630" spans="8:9" x14ac:dyDescent="0.25">
      <c r="H5630" s="106"/>
      <c r="I5630" s="106"/>
    </row>
    <row r="5631" spans="8:9" x14ac:dyDescent="0.25">
      <c r="H5631" s="106"/>
      <c r="I5631" s="106"/>
    </row>
    <row r="5632" spans="8:9" x14ac:dyDescent="0.25">
      <c r="H5632" s="106"/>
      <c r="I5632" s="106"/>
    </row>
    <row r="5633" spans="8:9" x14ac:dyDescent="0.25">
      <c r="H5633" s="106"/>
      <c r="I5633" s="106"/>
    </row>
    <row r="5634" spans="8:9" x14ac:dyDescent="0.25">
      <c r="H5634" s="106"/>
      <c r="I5634" s="106"/>
    </row>
    <row r="5635" spans="8:9" x14ac:dyDescent="0.25">
      <c r="H5635" s="106"/>
      <c r="I5635" s="106"/>
    </row>
    <row r="5636" spans="8:9" x14ac:dyDescent="0.25">
      <c r="H5636" s="106"/>
      <c r="I5636" s="106"/>
    </row>
    <row r="5637" spans="8:9" x14ac:dyDescent="0.25">
      <c r="H5637" s="106"/>
      <c r="I5637" s="106"/>
    </row>
    <row r="5638" spans="8:9" x14ac:dyDescent="0.25">
      <c r="H5638" s="106"/>
      <c r="I5638" s="106"/>
    </row>
    <row r="5639" spans="8:9" x14ac:dyDescent="0.25">
      <c r="H5639" s="106"/>
      <c r="I5639" s="106"/>
    </row>
    <row r="5640" spans="8:9" x14ac:dyDescent="0.25">
      <c r="H5640" s="106"/>
      <c r="I5640" s="106"/>
    </row>
    <row r="5641" spans="8:9" x14ac:dyDescent="0.25">
      <c r="H5641" s="106"/>
      <c r="I5641" s="106"/>
    </row>
    <row r="5642" spans="8:9" x14ac:dyDescent="0.25">
      <c r="H5642" s="106"/>
      <c r="I5642" s="106"/>
    </row>
    <row r="5643" spans="8:9" x14ac:dyDescent="0.25">
      <c r="H5643" s="106"/>
      <c r="I5643" s="106"/>
    </row>
    <row r="5644" spans="8:9" x14ac:dyDescent="0.25">
      <c r="H5644" s="106"/>
      <c r="I5644" s="106"/>
    </row>
    <row r="5645" spans="8:9" x14ac:dyDescent="0.25">
      <c r="H5645" s="106"/>
      <c r="I5645" s="106"/>
    </row>
    <row r="5646" spans="8:9" x14ac:dyDescent="0.25">
      <c r="H5646" s="106"/>
      <c r="I5646" s="106"/>
    </row>
    <row r="5647" spans="8:9" x14ac:dyDescent="0.25">
      <c r="H5647" s="106"/>
      <c r="I5647" s="106"/>
    </row>
    <row r="5648" spans="8:9" x14ac:dyDescent="0.25">
      <c r="H5648" s="106"/>
      <c r="I5648" s="106"/>
    </row>
    <row r="5649" spans="8:9" x14ac:dyDescent="0.25">
      <c r="H5649" s="106"/>
      <c r="I5649" s="106"/>
    </row>
    <row r="5650" spans="8:9" x14ac:dyDescent="0.25">
      <c r="H5650" s="106"/>
      <c r="I5650" s="106"/>
    </row>
    <row r="5651" spans="8:9" x14ac:dyDescent="0.25">
      <c r="H5651" s="106"/>
      <c r="I5651" s="106"/>
    </row>
    <row r="5652" spans="8:9" x14ac:dyDescent="0.25">
      <c r="H5652" s="106"/>
      <c r="I5652" s="106"/>
    </row>
    <row r="5653" spans="8:9" x14ac:dyDescent="0.25">
      <c r="H5653" s="106"/>
      <c r="I5653" s="106"/>
    </row>
    <row r="5654" spans="8:9" x14ac:dyDescent="0.25">
      <c r="H5654" s="106"/>
      <c r="I5654" s="106"/>
    </row>
    <row r="5655" spans="8:9" x14ac:dyDescent="0.25">
      <c r="H5655" s="106"/>
      <c r="I5655" s="106"/>
    </row>
    <row r="5656" spans="8:9" x14ac:dyDescent="0.25">
      <c r="H5656" s="106"/>
      <c r="I5656" s="106"/>
    </row>
    <row r="5657" spans="8:9" x14ac:dyDescent="0.25">
      <c r="H5657" s="106"/>
      <c r="I5657" s="106"/>
    </row>
    <row r="5658" spans="8:9" x14ac:dyDescent="0.25">
      <c r="H5658" s="106"/>
      <c r="I5658" s="106"/>
    </row>
    <row r="5659" spans="8:9" x14ac:dyDescent="0.25">
      <c r="H5659" s="106"/>
      <c r="I5659" s="106"/>
    </row>
    <row r="5660" spans="8:9" x14ac:dyDescent="0.25">
      <c r="H5660" s="106"/>
      <c r="I5660" s="106"/>
    </row>
    <row r="5661" spans="8:9" x14ac:dyDescent="0.25">
      <c r="H5661" s="106"/>
      <c r="I5661" s="106"/>
    </row>
    <row r="5662" spans="8:9" x14ac:dyDescent="0.25">
      <c r="H5662" s="106"/>
      <c r="I5662" s="106"/>
    </row>
    <row r="5663" spans="8:9" x14ac:dyDescent="0.25">
      <c r="H5663" s="106"/>
      <c r="I5663" s="106"/>
    </row>
    <row r="5664" spans="8:9" x14ac:dyDescent="0.25">
      <c r="H5664" s="106"/>
      <c r="I5664" s="106"/>
    </row>
    <row r="5665" spans="8:9" x14ac:dyDescent="0.25">
      <c r="H5665" s="106"/>
      <c r="I5665" s="106"/>
    </row>
    <row r="5666" spans="8:9" x14ac:dyDescent="0.25">
      <c r="H5666" s="106"/>
      <c r="I5666" s="106"/>
    </row>
    <row r="5667" spans="8:9" x14ac:dyDescent="0.25">
      <c r="H5667" s="106"/>
      <c r="I5667" s="106"/>
    </row>
    <row r="5668" spans="8:9" x14ac:dyDescent="0.25">
      <c r="H5668" s="106"/>
      <c r="I5668" s="106"/>
    </row>
    <row r="5669" spans="8:9" x14ac:dyDescent="0.25">
      <c r="H5669" s="106"/>
      <c r="I5669" s="106"/>
    </row>
    <row r="5670" spans="8:9" x14ac:dyDescent="0.25">
      <c r="H5670" s="106"/>
      <c r="I5670" s="106"/>
    </row>
    <row r="5671" spans="8:9" x14ac:dyDescent="0.25">
      <c r="H5671" s="106"/>
      <c r="I5671" s="106"/>
    </row>
    <row r="5672" spans="8:9" x14ac:dyDescent="0.25">
      <c r="H5672" s="106"/>
      <c r="I5672" s="106"/>
    </row>
    <row r="5673" spans="8:9" x14ac:dyDescent="0.25">
      <c r="H5673" s="106"/>
      <c r="I5673" s="106"/>
    </row>
    <row r="5674" spans="8:9" x14ac:dyDescent="0.25">
      <c r="H5674" s="106"/>
      <c r="I5674" s="106"/>
    </row>
    <row r="5675" spans="8:9" x14ac:dyDescent="0.25">
      <c r="H5675" s="106"/>
      <c r="I5675" s="106"/>
    </row>
    <row r="5676" spans="8:9" x14ac:dyDescent="0.25">
      <c r="H5676" s="106"/>
      <c r="I5676" s="106"/>
    </row>
    <row r="5677" spans="8:9" x14ac:dyDescent="0.25">
      <c r="H5677" s="106"/>
      <c r="I5677" s="106"/>
    </row>
    <row r="5678" spans="8:9" x14ac:dyDescent="0.25">
      <c r="H5678" s="106"/>
      <c r="I5678" s="106"/>
    </row>
    <row r="5679" spans="8:9" x14ac:dyDescent="0.25">
      <c r="H5679" s="106"/>
      <c r="I5679" s="106"/>
    </row>
    <row r="5680" spans="8:9" x14ac:dyDescent="0.25">
      <c r="H5680" s="106"/>
      <c r="I5680" s="106"/>
    </row>
    <row r="5681" spans="8:9" x14ac:dyDescent="0.25">
      <c r="H5681" s="106"/>
      <c r="I5681" s="106"/>
    </row>
    <row r="5682" spans="8:9" x14ac:dyDescent="0.25">
      <c r="H5682" s="106"/>
      <c r="I5682" s="106"/>
    </row>
    <row r="5683" spans="8:9" x14ac:dyDescent="0.25">
      <c r="H5683" s="106"/>
      <c r="I5683" s="106"/>
    </row>
    <row r="5684" spans="8:9" x14ac:dyDescent="0.25">
      <c r="H5684" s="106"/>
      <c r="I5684" s="106"/>
    </row>
    <row r="5685" spans="8:9" x14ac:dyDescent="0.25">
      <c r="H5685" s="106"/>
      <c r="I5685" s="106"/>
    </row>
    <row r="5686" spans="8:9" x14ac:dyDescent="0.25">
      <c r="H5686" s="106"/>
      <c r="I5686" s="106"/>
    </row>
    <row r="5687" spans="8:9" x14ac:dyDescent="0.25">
      <c r="H5687" s="106"/>
      <c r="I5687" s="106"/>
    </row>
    <row r="5688" spans="8:9" x14ac:dyDescent="0.25">
      <c r="H5688" s="106"/>
      <c r="I5688" s="106"/>
    </row>
    <row r="5689" spans="8:9" x14ac:dyDescent="0.25">
      <c r="H5689" s="106"/>
      <c r="I5689" s="106"/>
    </row>
    <row r="5690" spans="8:9" x14ac:dyDescent="0.25">
      <c r="H5690" s="106"/>
      <c r="I5690" s="106"/>
    </row>
    <row r="5691" spans="8:9" x14ac:dyDescent="0.25">
      <c r="H5691" s="106"/>
      <c r="I5691" s="106"/>
    </row>
    <row r="5692" spans="8:9" x14ac:dyDescent="0.25">
      <c r="H5692" s="106"/>
      <c r="I5692" s="106"/>
    </row>
    <row r="5693" spans="8:9" x14ac:dyDescent="0.25">
      <c r="H5693" s="106"/>
      <c r="I5693" s="106"/>
    </row>
    <row r="5694" spans="8:9" x14ac:dyDescent="0.25">
      <c r="H5694" s="106"/>
      <c r="I5694" s="106"/>
    </row>
    <row r="5695" spans="8:9" x14ac:dyDescent="0.25">
      <c r="H5695" s="106"/>
      <c r="I5695" s="106"/>
    </row>
    <row r="5696" spans="8:9" x14ac:dyDescent="0.25">
      <c r="H5696" s="106"/>
      <c r="I5696" s="106"/>
    </row>
    <row r="5697" spans="8:9" x14ac:dyDescent="0.25">
      <c r="H5697" s="106"/>
      <c r="I5697" s="106"/>
    </row>
    <row r="5698" spans="8:9" x14ac:dyDescent="0.25">
      <c r="H5698" s="106"/>
      <c r="I5698" s="106"/>
    </row>
    <row r="5699" spans="8:9" x14ac:dyDescent="0.25">
      <c r="H5699" s="106"/>
      <c r="I5699" s="106"/>
    </row>
    <row r="5700" spans="8:9" x14ac:dyDescent="0.25">
      <c r="H5700" s="106"/>
      <c r="I5700" s="106"/>
    </row>
    <row r="5701" spans="8:9" x14ac:dyDescent="0.25">
      <c r="H5701" s="106"/>
      <c r="I5701" s="106"/>
    </row>
    <row r="5702" spans="8:9" x14ac:dyDescent="0.25">
      <c r="H5702" s="106"/>
      <c r="I5702" s="106"/>
    </row>
    <row r="5703" spans="8:9" x14ac:dyDescent="0.25">
      <c r="H5703" s="106"/>
      <c r="I5703" s="106"/>
    </row>
    <row r="5704" spans="8:9" x14ac:dyDescent="0.25">
      <c r="H5704" s="106"/>
      <c r="I5704" s="106"/>
    </row>
    <row r="5705" spans="8:9" x14ac:dyDescent="0.25">
      <c r="H5705" s="106"/>
      <c r="I5705" s="106"/>
    </row>
    <row r="5706" spans="8:9" x14ac:dyDescent="0.25">
      <c r="H5706" s="106"/>
      <c r="I5706" s="106"/>
    </row>
    <row r="5707" spans="8:9" x14ac:dyDescent="0.25">
      <c r="H5707" s="106"/>
      <c r="I5707" s="106"/>
    </row>
    <row r="5708" spans="8:9" x14ac:dyDescent="0.25">
      <c r="H5708" s="106"/>
      <c r="I5708" s="106"/>
    </row>
    <row r="5709" spans="8:9" x14ac:dyDescent="0.25">
      <c r="H5709" s="106"/>
      <c r="I5709" s="106"/>
    </row>
    <row r="5710" spans="8:9" x14ac:dyDescent="0.25">
      <c r="H5710" s="106"/>
      <c r="I5710" s="106"/>
    </row>
    <row r="5711" spans="8:9" x14ac:dyDescent="0.25">
      <c r="H5711" s="106"/>
      <c r="I5711" s="106"/>
    </row>
    <row r="5712" spans="8:9" x14ac:dyDescent="0.25">
      <c r="H5712" s="106"/>
      <c r="I5712" s="106"/>
    </row>
    <row r="5713" spans="8:9" x14ac:dyDescent="0.25">
      <c r="H5713" s="106"/>
      <c r="I5713" s="106"/>
    </row>
    <row r="5714" spans="8:9" x14ac:dyDescent="0.25">
      <c r="H5714" s="106"/>
      <c r="I5714" s="106"/>
    </row>
    <row r="5715" spans="8:9" x14ac:dyDescent="0.25">
      <c r="H5715" s="106"/>
      <c r="I5715" s="106"/>
    </row>
    <row r="5716" spans="8:9" x14ac:dyDescent="0.25">
      <c r="H5716" s="106"/>
      <c r="I5716" s="106"/>
    </row>
    <row r="5717" spans="8:9" x14ac:dyDescent="0.25">
      <c r="H5717" s="106"/>
      <c r="I5717" s="106"/>
    </row>
    <row r="5718" spans="8:9" x14ac:dyDescent="0.25">
      <c r="H5718" s="106"/>
      <c r="I5718" s="106"/>
    </row>
    <row r="5719" spans="8:9" x14ac:dyDescent="0.25">
      <c r="H5719" s="106"/>
      <c r="I5719" s="106"/>
    </row>
    <row r="5720" spans="8:9" x14ac:dyDescent="0.25">
      <c r="H5720" s="106"/>
      <c r="I5720" s="106"/>
    </row>
    <row r="5721" spans="8:9" x14ac:dyDescent="0.25">
      <c r="H5721" s="106"/>
      <c r="I5721" s="106"/>
    </row>
    <row r="5722" spans="8:9" x14ac:dyDescent="0.25">
      <c r="H5722" s="106"/>
      <c r="I5722" s="106"/>
    </row>
    <row r="5723" spans="8:9" x14ac:dyDescent="0.25">
      <c r="H5723" s="106"/>
      <c r="I5723" s="106"/>
    </row>
    <row r="5724" spans="8:9" x14ac:dyDescent="0.25">
      <c r="H5724" s="106"/>
      <c r="I5724" s="106"/>
    </row>
    <row r="5725" spans="8:9" x14ac:dyDescent="0.25">
      <c r="H5725" s="106"/>
      <c r="I5725" s="106"/>
    </row>
    <row r="5726" spans="8:9" x14ac:dyDescent="0.25">
      <c r="H5726" s="106"/>
      <c r="I5726" s="106"/>
    </row>
    <row r="5727" spans="8:9" x14ac:dyDescent="0.25">
      <c r="H5727" s="106"/>
      <c r="I5727" s="106"/>
    </row>
    <row r="5728" spans="8:9" x14ac:dyDescent="0.25">
      <c r="H5728" s="106"/>
      <c r="I5728" s="106"/>
    </row>
    <row r="5729" spans="8:9" x14ac:dyDescent="0.25">
      <c r="H5729" s="106"/>
      <c r="I5729" s="106"/>
    </row>
    <row r="5730" spans="8:9" x14ac:dyDescent="0.25">
      <c r="H5730" s="106"/>
      <c r="I5730" s="106"/>
    </row>
    <row r="5731" spans="8:9" x14ac:dyDescent="0.25">
      <c r="H5731" s="106"/>
      <c r="I5731" s="106"/>
    </row>
    <row r="5732" spans="8:9" x14ac:dyDescent="0.25">
      <c r="H5732" s="106"/>
      <c r="I5732" s="106"/>
    </row>
    <row r="5733" spans="8:9" x14ac:dyDescent="0.25">
      <c r="H5733" s="106"/>
      <c r="I5733" s="106"/>
    </row>
    <row r="5734" spans="8:9" x14ac:dyDescent="0.25">
      <c r="H5734" s="106"/>
      <c r="I5734" s="106"/>
    </row>
    <row r="5735" spans="8:9" x14ac:dyDescent="0.25">
      <c r="H5735" s="106"/>
      <c r="I5735" s="106"/>
    </row>
    <row r="5736" spans="8:9" x14ac:dyDescent="0.25">
      <c r="H5736" s="106"/>
      <c r="I5736" s="106"/>
    </row>
    <row r="5737" spans="8:9" x14ac:dyDescent="0.25">
      <c r="H5737" s="106"/>
      <c r="I5737" s="106"/>
    </row>
    <row r="5738" spans="8:9" x14ac:dyDescent="0.25">
      <c r="H5738" s="106"/>
      <c r="I5738" s="106"/>
    </row>
    <row r="5739" spans="8:9" x14ac:dyDescent="0.25">
      <c r="H5739" s="106"/>
      <c r="I5739" s="106"/>
    </row>
    <row r="5740" spans="8:9" x14ac:dyDescent="0.25">
      <c r="H5740" s="106"/>
      <c r="I5740" s="106"/>
    </row>
    <row r="5741" spans="8:9" x14ac:dyDescent="0.25">
      <c r="H5741" s="106"/>
      <c r="I5741" s="106"/>
    </row>
    <row r="5742" spans="8:9" x14ac:dyDescent="0.25">
      <c r="H5742" s="106"/>
      <c r="I5742" s="106"/>
    </row>
    <row r="5743" spans="8:9" x14ac:dyDescent="0.25">
      <c r="H5743" s="106"/>
      <c r="I5743" s="106"/>
    </row>
    <row r="5744" spans="8:9" x14ac:dyDescent="0.25">
      <c r="H5744" s="106"/>
      <c r="I5744" s="106"/>
    </row>
    <row r="5745" spans="8:9" x14ac:dyDescent="0.25">
      <c r="H5745" s="106"/>
      <c r="I5745" s="106"/>
    </row>
    <row r="5746" spans="8:9" x14ac:dyDescent="0.25">
      <c r="H5746" s="106"/>
      <c r="I5746" s="106"/>
    </row>
    <row r="5747" spans="8:9" x14ac:dyDescent="0.25">
      <c r="H5747" s="106"/>
      <c r="I5747" s="106"/>
    </row>
    <row r="5748" spans="8:9" x14ac:dyDescent="0.25">
      <c r="H5748" s="106"/>
      <c r="I5748" s="106"/>
    </row>
    <row r="5749" spans="8:9" x14ac:dyDescent="0.25">
      <c r="H5749" s="106"/>
      <c r="I5749" s="106"/>
    </row>
    <row r="5750" spans="8:9" x14ac:dyDescent="0.25">
      <c r="H5750" s="106"/>
      <c r="I5750" s="106"/>
    </row>
    <row r="5751" spans="8:9" x14ac:dyDescent="0.25">
      <c r="H5751" s="106"/>
      <c r="I5751" s="106"/>
    </row>
    <row r="5752" spans="8:9" x14ac:dyDescent="0.25">
      <c r="H5752" s="106"/>
      <c r="I5752" s="106"/>
    </row>
    <row r="5753" spans="8:9" x14ac:dyDescent="0.25">
      <c r="H5753" s="106"/>
      <c r="I5753" s="106"/>
    </row>
    <row r="5754" spans="8:9" x14ac:dyDescent="0.25">
      <c r="H5754" s="106"/>
      <c r="I5754" s="106"/>
    </row>
    <row r="5755" spans="8:9" x14ac:dyDescent="0.25">
      <c r="H5755" s="106"/>
      <c r="I5755" s="106"/>
    </row>
    <row r="5756" spans="8:9" x14ac:dyDescent="0.25">
      <c r="H5756" s="106"/>
      <c r="I5756" s="106"/>
    </row>
    <row r="5757" spans="8:9" x14ac:dyDescent="0.25">
      <c r="H5757" s="106"/>
      <c r="I5757" s="106"/>
    </row>
    <row r="5758" spans="8:9" x14ac:dyDescent="0.25">
      <c r="H5758" s="106"/>
      <c r="I5758" s="106"/>
    </row>
    <row r="5759" spans="8:9" x14ac:dyDescent="0.25">
      <c r="H5759" s="106"/>
      <c r="I5759" s="106"/>
    </row>
    <row r="5760" spans="8:9" x14ac:dyDescent="0.25">
      <c r="H5760" s="106"/>
      <c r="I5760" s="106"/>
    </row>
    <row r="5761" spans="8:9" x14ac:dyDescent="0.25">
      <c r="H5761" s="106"/>
      <c r="I5761" s="106"/>
    </row>
    <row r="5762" spans="8:9" x14ac:dyDescent="0.25">
      <c r="H5762" s="106"/>
      <c r="I5762" s="106"/>
    </row>
    <row r="5763" spans="8:9" x14ac:dyDescent="0.25">
      <c r="H5763" s="106"/>
      <c r="I5763" s="106"/>
    </row>
    <row r="5764" spans="8:9" x14ac:dyDescent="0.25">
      <c r="H5764" s="106"/>
      <c r="I5764" s="106"/>
    </row>
    <row r="5765" spans="8:9" x14ac:dyDescent="0.25">
      <c r="H5765" s="106"/>
      <c r="I5765" s="106"/>
    </row>
    <row r="5766" spans="8:9" x14ac:dyDescent="0.25">
      <c r="H5766" s="106"/>
      <c r="I5766" s="106"/>
    </row>
    <row r="5767" spans="8:9" x14ac:dyDescent="0.25">
      <c r="H5767" s="106"/>
      <c r="I5767" s="106"/>
    </row>
    <row r="5768" spans="8:9" x14ac:dyDescent="0.25">
      <c r="H5768" s="106"/>
      <c r="I5768" s="106"/>
    </row>
    <row r="5769" spans="8:9" x14ac:dyDescent="0.25">
      <c r="H5769" s="106"/>
      <c r="I5769" s="106"/>
    </row>
    <row r="5770" spans="8:9" x14ac:dyDescent="0.25">
      <c r="H5770" s="106"/>
      <c r="I5770" s="106"/>
    </row>
    <row r="5771" spans="8:9" x14ac:dyDescent="0.25">
      <c r="H5771" s="106"/>
      <c r="I5771" s="106"/>
    </row>
    <row r="5772" spans="8:9" x14ac:dyDescent="0.25">
      <c r="H5772" s="106"/>
      <c r="I5772" s="106"/>
    </row>
    <row r="5773" spans="8:9" x14ac:dyDescent="0.25">
      <c r="H5773" s="106"/>
      <c r="I5773" s="106"/>
    </row>
    <row r="5774" spans="8:9" x14ac:dyDescent="0.25">
      <c r="H5774" s="106"/>
      <c r="I5774" s="106"/>
    </row>
    <row r="5775" spans="8:9" x14ac:dyDescent="0.25">
      <c r="H5775" s="106"/>
      <c r="I5775" s="106"/>
    </row>
    <row r="5776" spans="8:9" x14ac:dyDescent="0.25">
      <c r="H5776" s="106"/>
      <c r="I5776" s="106"/>
    </row>
    <row r="5777" spans="8:9" x14ac:dyDescent="0.25">
      <c r="H5777" s="106"/>
      <c r="I5777" s="106"/>
    </row>
    <row r="5778" spans="8:9" x14ac:dyDescent="0.25">
      <c r="H5778" s="106"/>
      <c r="I5778" s="106"/>
    </row>
    <row r="5779" spans="8:9" x14ac:dyDescent="0.25">
      <c r="H5779" s="106"/>
      <c r="I5779" s="106"/>
    </row>
    <row r="5780" spans="8:9" x14ac:dyDescent="0.25">
      <c r="H5780" s="106"/>
      <c r="I5780" s="106"/>
    </row>
    <row r="5781" spans="8:9" x14ac:dyDescent="0.25">
      <c r="H5781" s="106"/>
      <c r="I5781" s="106"/>
    </row>
    <row r="5782" spans="8:9" x14ac:dyDescent="0.25">
      <c r="H5782" s="106"/>
      <c r="I5782" s="106"/>
    </row>
    <row r="5783" spans="8:9" x14ac:dyDescent="0.25">
      <c r="H5783" s="106"/>
      <c r="I5783" s="106"/>
    </row>
    <row r="5784" spans="8:9" x14ac:dyDescent="0.25">
      <c r="H5784" s="106"/>
      <c r="I5784" s="106"/>
    </row>
    <row r="5785" spans="8:9" x14ac:dyDescent="0.25">
      <c r="H5785" s="106"/>
      <c r="I5785" s="106"/>
    </row>
    <row r="5786" spans="8:9" x14ac:dyDescent="0.25">
      <c r="H5786" s="106"/>
      <c r="I5786" s="106"/>
    </row>
    <row r="5787" spans="8:9" x14ac:dyDescent="0.25">
      <c r="H5787" s="106"/>
      <c r="I5787" s="106"/>
    </row>
    <row r="5788" spans="8:9" x14ac:dyDescent="0.25">
      <c r="H5788" s="106"/>
      <c r="I5788" s="106"/>
    </row>
    <row r="5789" spans="8:9" x14ac:dyDescent="0.25">
      <c r="H5789" s="106"/>
      <c r="I5789" s="106"/>
    </row>
    <row r="5790" spans="8:9" x14ac:dyDescent="0.25">
      <c r="H5790" s="106"/>
      <c r="I5790" s="106"/>
    </row>
    <row r="5791" spans="8:9" x14ac:dyDescent="0.25">
      <c r="H5791" s="106"/>
      <c r="I5791" s="106"/>
    </row>
    <row r="5792" spans="8:9" x14ac:dyDescent="0.25">
      <c r="H5792" s="106"/>
      <c r="I5792" s="106"/>
    </row>
    <row r="5793" spans="8:9" x14ac:dyDescent="0.25">
      <c r="H5793" s="106"/>
      <c r="I5793" s="106"/>
    </row>
    <row r="5794" spans="8:9" x14ac:dyDescent="0.25">
      <c r="H5794" s="106"/>
      <c r="I5794" s="106"/>
    </row>
    <row r="5795" spans="8:9" x14ac:dyDescent="0.25">
      <c r="H5795" s="106"/>
      <c r="I5795" s="106"/>
    </row>
    <row r="5796" spans="8:9" x14ac:dyDescent="0.25">
      <c r="H5796" s="106"/>
      <c r="I5796" s="106"/>
    </row>
    <row r="5797" spans="8:9" x14ac:dyDescent="0.25">
      <c r="H5797" s="106"/>
      <c r="I5797" s="106"/>
    </row>
    <row r="5798" spans="8:9" x14ac:dyDescent="0.25">
      <c r="H5798" s="106"/>
      <c r="I5798" s="106"/>
    </row>
    <row r="5799" spans="8:9" x14ac:dyDescent="0.25">
      <c r="H5799" s="106"/>
      <c r="I5799" s="106"/>
    </row>
    <row r="5800" spans="8:9" x14ac:dyDescent="0.25">
      <c r="H5800" s="106"/>
      <c r="I5800" s="106"/>
    </row>
    <row r="5801" spans="8:9" x14ac:dyDescent="0.25">
      <c r="H5801" s="106"/>
      <c r="I5801" s="106"/>
    </row>
    <row r="5802" spans="8:9" x14ac:dyDescent="0.25">
      <c r="H5802" s="106"/>
      <c r="I5802" s="106"/>
    </row>
    <row r="5803" spans="8:9" x14ac:dyDescent="0.25">
      <c r="H5803" s="106"/>
      <c r="I5803" s="106"/>
    </row>
    <row r="5804" spans="8:9" x14ac:dyDescent="0.25">
      <c r="H5804" s="106"/>
      <c r="I5804" s="106"/>
    </row>
    <row r="5805" spans="8:9" x14ac:dyDescent="0.25">
      <c r="H5805" s="106"/>
      <c r="I5805" s="106"/>
    </row>
    <row r="5806" spans="8:9" x14ac:dyDescent="0.25">
      <c r="H5806" s="106"/>
      <c r="I5806" s="106"/>
    </row>
    <row r="5807" spans="8:9" x14ac:dyDescent="0.25">
      <c r="H5807" s="106"/>
      <c r="I5807" s="106"/>
    </row>
    <row r="5808" spans="8:9" x14ac:dyDescent="0.25">
      <c r="H5808" s="106"/>
      <c r="I5808" s="106"/>
    </row>
    <row r="5809" spans="8:9" x14ac:dyDescent="0.25">
      <c r="H5809" s="106"/>
      <c r="I5809" s="106"/>
    </row>
    <row r="5810" spans="8:9" x14ac:dyDescent="0.25">
      <c r="H5810" s="106"/>
      <c r="I5810" s="106"/>
    </row>
    <row r="5811" spans="8:9" x14ac:dyDescent="0.25">
      <c r="H5811" s="106"/>
      <c r="I5811" s="106"/>
    </row>
    <row r="5812" spans="8:9" x14ac:dyDescent="0.25">
      <c r="H5812" s="106"/>
      <c r="I5812" s="106"/>
    </row>
    <row r="5813" spans="8:9" x14ac:dyDescent="0.25">
      <c r="H5813" s="106"/>
      <c r="I5813" s="106"/>
    </row>
    <row r="5814" spans="8:9" x14ac:dyDescent="0.25">
      <c r="H5814" s="106"/>
      <c r="I5814" s="106"/>
    </row>
    <row r="5815" spans="8:9" x14ac:dyDescent="0.25">
      <c r="H5815" s="106"/>
      <c r="I5815" s="106"/>
    </row>
    <row r="5816" spans="8:9" x14ac:dyDescent="0.25">
      <c r="H5816" s="106"/>
      <c r="I5816" s="106"/>
    </row>
    <row r="5817" spans="8:9" x14ac:dyDescent="0.25">
      <c r="H5817" s="106"/>
      <c r="I5817" s="106"/>
    </row>
    <row r="5818" spans="8:9" x14ac:dyDescent="0.25">
      <c r="H5818" s="106"/>
      <c r="I5818" s="106"/>
    </row>
    <row r="5819" spans="8:9" x14ac:dyDescent="0.25">
      <c r="H5819" s="106"/>
      <c r="I5819" s="106"/>
    </row>
    <row r="5820" spans="8:9" x14ac:dyDescent="0.25">
      <c r="H5820" s="106"/>
      <c r="I5820" s="106"/>
    </row>
    <row r="5821" spans="8:9" x14ac:dyDescent="0.25">
      <c r="H5821" s="106"/>
      <c r="I5821" s="106"/>
    </row>
    <row r="5822" spans="8:9" x14ac:dyDescent="0.25">
      <c r="H5822" s="106"/>
      <c r="I5822" s="106"/>
    </row>
    <row r="5823" spans="8:9" x14ac:dyDescent="0.25">
      <c r="H5823" s="106"/>
      <c r="I5823" s="106"/>
    </row>
    <row r="5824" spans="8:9" x14ac:dyDescent="0.25">
      <c r="H5824" s="106"/>
      <c r="I5824" s="106"/>
    </row>
    <row r="5825" spans="8:9" x14ac:dyDescent="0.25">
      <c r="H5825" s="106"/>
      <c r="I5825" s="106"/>
    </row>
    <row r="5826" spans="8:9" x14ac:dyDescent="0.25">
      <c r="H5826" s="106"/>
      <c r="I5826" s="106"/>
    </row>
    <row r="5827" spans="8:9" x14ac:dyDescent="0.25">
      <c r="H5827" s="106"/>
      <c r="I5827" s="106"/>
    </row>
    <row r="5828" spans="8:9" x14ac:dyDescent="0.25">
      <c r="H5828" s="106"/>
      <c r="I5828" s="106"/>
    </row>
    <row r="5829" spans="8:9" x14ac:dyDescent="0.25">
      <c r="H5829" s="106"/>
      <c r="I5829" s="106"/>
    </row>
    <row r="5830" spans="8:9" x14ac:dyDescent="0.25">
      <c r="H5830" s="106"/>
      <c r="I5830" s="106"/>
    </row>
    <row r="5831" spans="8:9" x14ac:dyDescent="0.25">
      <c r="H5831" s="106"/>
      <c r="I5831" s="106"/>
    </row>
    <row r="5832" spans="8:9" x14ac:dyDescent="0.25">
      <c r="H5832" s="106"/>
      <c r="I5832" s="106"/>
    </row>
    <row r="5833" spans="8:9" x14ac:dyDescent="0.25">
      <c r="H5833" s="106"/>
      <c r="I5833" s="106"/>
    </row>
    <row r="5834" spans="8:9" x14ac:dyDescent="0.25">
      <c r="H5834" s="106"/>
      <c r="I5834" s="106"/>
    </row>
    <row r="5835" spans="8:9" x14ac:dyDescent="0.25">
      <c r="H5835" s="106"/>
      <c r="I5835" s="106"/>
    </row>
    <row r="5836" spans="8:9" x14ac:dyDescent="0.25">
      <c r="H5836" s="106"/>
      <c r="I5836" s="106"/>
    </row>
    <row r="5837" spans="8:9" x14ac:dyDescent="0.25">
      <c r="H5837" s="106"/>
      <c r="I5837" s="106"/>
    </row>
    <row r="5838" spans="8:9" x14ac:dyDescent="0.25">
      <c r="H5838" s="106"/>
      <c r="I5838" s="106"/>
    </row>
    <row r="5839" spans="8:9" x14ac:dyDescent="0.25">
      <c r="H5839" s="106"/>
      <c r="I5839" s="106"/>
    </row>
    <row r="5840" spans="8:9" x14ac:dyDescent="0.25">
      <c r="H5840" s="106"/>
      <c r="I5840" s="106"/>
    </row>
    <row r="5841" spans="8:9" x14ac:dyDescent="0.25">
      <c r="H5841" s="106"/>
      <c r="I5841" s="106"/>
    </row>
    <row r="5842" spans="8:9" x14ac:dyDescent="0.25">
      <c r="H5842" s="106"/>
      <c r="I5842" s="106"/>
    </row>
    <row r="5843" spans="8:9" x14ac:dyDescent="0.25">
      <c r="H5843" s="106"/>
      <c r="I5843" s="106"/>
    </row>
    <row r="5844" spans="8:9" x14ac:dyDescent="0.25">
      <c r="H5844" s="106"/>
      <c r="I5844" s="106"/>
    </row>
    <row r="5845" spans="8:9" x14ac:dyDescent="0.25">
      <c r="H5845" s="106"/>
      <c r="I5845" s="106"/>
    </row>
    <row r="5846" spans="8:9" x14ac:dyDescent="0.25">
      <c r="H5846" s="106"/>
      <c r="I5846" s="106"/>
    </row>
    <row r="5847" spans="8:9" x14ac:dyDescent="0.25">
      <c r="H5847" s="106"/>
      <c r="I5847" s="106"/>
    </row>
    <row r="5848" spans="8:9" x14ac:dyDescent="0.25">
      <c r="H5848" s="106"/>
      <c r="I5848" s="106"/>
    </row>
    <row r="5849" spans="8:9" x14ac:dyDescent="0.25">
      <c r="H5849" s="106"/>
      <c r="I5849" s="106"/>
    </row>
    <row r="5850" spans="8:9" x14ac:dyDescent="0.25">
      <c r="H5850" s="106"/>
      <c r="I5850" s="106"/>
    </row>
    <row r="5851" spans="8:9" x14ac:dyDescent="0.25">
      <c r="H5851" s="106"/>
      <c r="I5851" s="106"/>
    </row>
    <row r="5852" spans="8:9" x14ac:dyDescent="0.25">
      <c r="H5852" s="106"/>
      <c r="I5852" s="106"/>
    </row>
    <row r="5853" spans="8:9" x14ac:dyDescent="0.25">
      <c r="H5853" s="106"/>
      <c r="I5853" s="106"/>
    </row>
    <row r="5854" spans="8:9" x14ac:dyDescent="0.25">
      <c r="H5854" s="106"/>
      <c r="I5854" s="106"/>
    </row>
    <row r="5855" spans="8:9" x14ac:dyDescent="0.25">
      <c r="H5855" s="106"/>
      <c r="I5855" s="106"/>
    </row>
    <row r="5856" spans="8:9" x14ac:dyDescent="0.25">
      <c r="H5856" s="106"/>
      <c r="I5856" s="106"/>
    </row>
    <row r="5857" spans="8:9" x14ac:dyDescent="0.25">
      <c r="H5857" s="106"/>
      <c r="I5857" s="106"/>
    </row>
    <row r="5858" spans="8:9" x14ac:dyDescent="0.25">
      <c r="H5858" s="106"/>
      <c r="I5858" s="106"/>
    </row>
    <row r="5859" spans="8:9" x14ac:dyDescent="0.25">
      <c r="H5859" s="106"/>
      <c r="I5859" s="106"/>
    </row>
    <row r="5860" spans="8:9" x14ac:dyDescent="0.25">
      <c r="H5860" s="106"/>
      <c r="I5860" s="106"/>
    </row>
    <row r="5861" spans="8:9" x14ac:dyDescent="0.25">
      <c r="H5861" s="106"/>
      <c r="I5861" s="106"/>
    </row>
    <row r="5862" spans="8:9" x14ac:dyDescent="0.25">
      <c r="H5862" s="106"/>
      <c r="I5862" s="106"/>
    </row>
    <row r="5863" spans="8:9" x14ac:dyDescent="0.25">
      <c r="H5863" s="106"/>
      <c r="I5863" s="106"/>
    </row>
    <row r="5864" spans="8:9" x14ac:dyDescent="0.25">
      <c r="H5864" s="106"/>
      <c r="I5864" s="106"/>
    </row>
    <row r="5865" spans="8:9" x14ac:dyDescent="0.25">
      <c r="H5865" s="106"/>
      <c r="I5865" s="106"/>
    </row>
    <row r="5866" spans="8:9" x14ac:dyDescent="0.25">
      <c r="H5866" s="106"/>
      <c r="I5866" s="106"/>
    </row>
    <row r="5867" spans="8:9" x14ac:dyDescent="0.25">
      <c r="H5867" s="106"/>
      <c r="I5867" s="106"/>
    </row>
    <row r="5868" spans="8:9" x14ac:dyDescent="0.25">
      <c r="H5868" s="106"/>
      <c r="I5868" s="106"/>
    </row>
    <row r="5869" spans="8:9" x14ac:dyDescent="0.25">
      <c r="H5869" s="106"/>
      <c r="I5869" s="106"/>
    </row>
    <row r="5870" spans="8:9" x14ac:dyDescent="0.25">
      <c r="H5870" s="106"/>
      <c r="I5870" s="106"/>
    </row>
    <row r="5871" spans="8:9" x14ac:dyDescent="0.25">
      <c r="H5871" s="106"/>
      <c r="I5871" s="106"/>
    </row>
    <row r="5872" spans="8:9" x14ac:dyDescent="0.25">
      <c r="H5872" s="106"/>
      <c r="I5872" s="106"/>
    </row>
    <row r="5873" spans="8:9" x14ac:dyDescent="0.25">
      <c r="H5873" s="106"/>
      <c r="I5873" s="106"/>
    </row>
    <row r="5874" spans="8:9" x14ac:dyDescent="0.25">
      <c r="H5874" s="106"/>
      <c r="I5874" s="106"/>
    </row>
    <row r="5875" spans="8:9" x14ac:dyDescent="0.25">
      <c r="H5875" s="106"/>
      <c r="I5875" s="106"/>
    </row>
    <row r="5876" spans="8:9" x14ac:dyDescent="0.25">
      <c r="H5876" s="106"/>
      <c r="I5876" s="106"/>
    </row>
    <row r="5877" spans="8:9" x14ac:dyDescent="0.25">
      <c r="H5877" s="106"/>
      <c r="I5877" s="106"/>
    </row>
    <row r="5878" spans="8:9" x14ac:dyDescent="0.25">
      <c r="H5878" s="106"/>
      <c r="I5878" s="106"/>
    </row>
    <row r="5879" spans="8:9" x14ac:dyDescent="0.25">
      <c r="H5879" s="106"/>
      <c r="I5879" s="106"/>
    </row>
    <row r="5880" spans="8:9" x14ac:dyDescent="0.25">
      <c r="H5880" s="106"/>
      <c r="I5880" s="106"/>
    </row>
    <row r="5881" spans="8:9" x14ac:dyDescent="0.25">
      <c r="H5881" s="106"/>
      <c r="I5881" s="106"/>
    </row>
    <row r="5882" spans="8:9" x14ac:dyDescent="0.25">
      <c r="H5882" s="106"/>
      <c r="I5882" s="106"/>
    </row>
    <row r="5883" spans="8:9" x14ac:dyDescent="0.25">
      <c r="H5883" s="106"/>
      <c r="I5883" s="106"/>
    </row>
    <row r="5884" spans="8:9" x14ac:dyDescent="0.25">
      <c r="H5884" s="106"/>
      <c r="I5884" s="106"/>
    </row>
    <row r="5885" spans="8:9" x14ac:dyDescent="0.25">
      <c r="H5885" s="106"/>
      <c r="I5885" s="106"/>
    </row>
    <row r="5886" spans="8:9" x14ac:dyDescent="0.25">
      <c r="H5886" s="106"/>
      <c r="I5886" s="106"/>
    </row>
    <row r="5887" spans="8:9" x14ac:dyDescent="0.25">
      <c r="H5887" s="106"/>
      <c r="I5887" s="106"/>
    </row>
    <row r="5888" spans="8:9" x14ac:dyDescent="0.25">
      <c r="H5888" s="106"/>
      <c r="I5888" s="106"/>
    </row>
    <row r="5889" spans="8:9" x14ac:dyDescent="0.25">
      <c r="H5889" s="106"/>
      <c r="I5889" s="106"/>
    </row>
    <row r="5890" spans="8:9" x14ac:dyDescent="0.25">
      <c r="H5890" s="106"/>
      <c r="I5890" s="106"/>
    </row>
    <row r="5891" spans="8:9" x14ac:dyDescent="0.25">
      <c r="H5891" s="106"/>
      <c r="I5891" s="106"/>
    </row>
    <row r="5892" spans="8:9" x14ac:dyDescent="0.25">
      <c r="H5892" s="106"/>
      <c r="I5892" s="106"/>
    </row>
    <row r="5893" spans="8:9" x14ac:dyDescent="0.25">
      <c r="H5893" s="106"/>
      <c r="I5893" s="106"/>
    </row>
    <row r="5894" spans="8:9" x14ac:dyDescent="0.25">
      <c r="H5894" s="106"/>
      <c r="I5894" s="106"/>
    </row>
    <row r="5895" spans="8:9" x14ac:dyDescent="0.25">
      <c r="H5895" s="106"/>
      <c r="I5895" s="106"/>
    </row>
    <row r="5896" spans="8:9" x14ac:dyDescent="0.25">
      <c r="H5896" s="106"/>
      <c r="I5896" s="106"/>
    </row>
    <row r="5897" spans="8:9" x14ac:dyDescent="0.25">
      <c r="H5897" s="106"/>
      <c r="I5897" s="106"/>
    </row>
    <row r="5898" spans="8:9" x14ac:dyDescent="0.25">
      <c r="H5898" s="106"/>
      <c r="I5898" s="106"/>
    </row>
    <row r="5899" spans="8:9" x14ac:dyDescent="0.25">
      <c r="H5899" s="106"/>
      <c r="I5899" s="106"/>
    </row>
    <row r="5900" spans="8:9" x14ac:dyDescent="0.25">
      <c r="H5900" s="106"/>
      <c r="I5900" s="106"/>
    </row>
    <row r="5901" spans="8:9" x14ac:dyDescent="0.25">
      <c r="H5901" s="106"/>
      <c r="I5901" s="106"/>
    </row>
    <row r="5902" spans="8:9" x14ac:dyDescent="0.25">
      <c r="H5902" s="106"/>
      <c r="I5902" s="106"/>
    </row>
    <row r="5903" spans="8:9" x14ac:dyDescent="0.25">
      <c r="H5903" s="106"/>
      <c r="I5903" s="106"/>
    </row>
    <row r="5904" spans="8:9" x14ac:dyDescent="0.25">
      <c r="H5904" s="106"/>
      <c r="I5904" s="106"/>
    </row>
    <row r="5905" spans="8:9" x14ac:dyDescent="0.25">
      <c r="H5905" s="106"/>
      <c r="I5905" s="106"/>
    </row>
    <row r="5906" spans="8:9" x14ac:dyDescent="0.25">
      <c r="H5906" s="106"/>
      <c r="I5906" s="106"/>
    </row>
    <row r="5907" spans="8:9" x14ac:dyDescent="0.25">
      <c r="H5907" s="106"/>
      <c r="I5907" s="106"/>
    </row>
    <row r="5908" spans="8:9" x14ac:dyDescent="0.25">
      <c r="H5908" s="106"/>
      <c r="I5908" s="106"/>
    </row>
    <row r="5909" spans="8:9" x14ac:dyDescent="0.25">
      <c r="H5909" s="106"/>
      <c r="I5909" s="106"/>
    </row>
    <row r="5910" spans="8:9" x14ac:dyDescent="0.25">
      <c r="H5910" s="106"/>
      <c r="I5910" s="106"/>
    </row>
    <row r="5911" spans="8:9" x14ac:dyDescent="0.25">
      <c r="H5911" s="106"/>
      <c r="I5911" s="106"/>
    </row>
    <row r="5912" spans="8:9" x14ac:dyDescent="0.25">
      <c r="H5912" s="106"/>
      <c r="I5912" s="106"/>
    </row>
    <row r="5913" spans="8:9" x14ac:dyDescent="0.25">
      <c r="H5913" s="106"/>
      <c r="I5913" s="106"/>
    </row>
    <row r="5914" spans="8:9" x14ac:dyDescent="0.25">
      <c r="H5914" s="106"/>
      <c r="I5914" s="106"/>
    </row>
    <row r="5915" spans="8:9" x14ac:dyDescent="0.25">
      <c r="H5915" s="106"/>
      <c r="I5915" s="106"/>
    </row>
    <row r="5916" spans="8:9" x14ac:dyDescent="0.25">
      <c r="H5916" s="106"/>
      <c r="I5916" s="106"/>
    </row>
    <row r="5917" spans="8:9" x14ac:dyDescent="0.25">
      <c r="H5917" s="106"/>
      <c r="I5917" s="106"/>
    </row>
    <row r="5918" spans="8:9" x14ac:dyDescent="0.25">
      <c r="H5918" s="106"/>
      <c r="I5918" s="106"/>
    </row>
    <row r="5919" spans="8:9" x14ac:dyDescent="0.25">
      <c r="H5919" s="106"/>
      <c r="I5919" s="106"/>
    </row>
    <row r="5920" spans="8:9" x14ac:dyDescent="0.25">
      <c r="H5920" s="106"/>
      <c r="I5920" s="106"/>
    </row>
    <row r="5921" spans="8:9" x14ac:dyDescent="0.25">
      <c r="H5921" s="106"/>
      <c r="I5921" s="106"/>
    </row>
    <row r="5922" spans="8:9" x14ac:dyDescent="0.25">
      <c r="H5922" s="106"/>
      <c r="I5922" s="106"/>
    </row>
    <row r="5923" spans="8:9" x14ac:dyDescent="0.25">
      <c r="H5923" s="106"/>
      <c r="I5923" s="106"/>
    </row>
    <row r="5924" spans="8:9" x14ac:dyDescent="0.25">
      <c r="H5924" s="106"/>
      <c r="I5924" s="106"/>
    </row>
    <row r="5925" spans="8:9" x14ac:dyDescent="0.25">
      <c r="H5925" s="106"/>
      <c r="I5925" s="106"/>
    </row>
    <row r="5926" spans="8:9" x14ac:dyDescent="0.25">
      <c r="H5926" s="106"/>
      <c r="I5926" s="106"/>
    </row>
    <row r="5927" spans="8:9" x14ac:dyDescent="0.25">
      <c r="H5927" s="106"/>
      <c r="I5927" s="106"/>
    </row>
    <row r="5928" spans="8:9" x14ac:dyDescent="0.25">
      <c r="H5928" s="106"/>
      <c r="I5928" s="106"/>
    </row>
    <row r="5929" spans="8:9" x14ac:dyDescent="0.25">
      <c r="H5929" s="106"/>
      <c r="I5929" s="106"/>
    </row>
    <row r="5930" spans="8:9" x14ac:dyDescent="0.25">
      <c r="H5930" s="106"/>
      <c r="I5930" s="106"/>
    </row>
    <row r="5931" spans="8:9" x14ac:dyDescent="0.25">
      <c r="H5931" s="106"/>
      <c r="I5931" s="106"/>
    </row>
    <row r="5932" spans="8:9" x14ac:dyDescent="0.25">
      <c r="H5932" s="106"/>
      <c r="I5932" s="106"/>
    </row>
    <row r="5933" spans="8:9" x14ac:dyDescent="0.25">
      <c r="H5933" s="106"/>
      <c r="I5933" s="106"/>
    </row>
    <row r="5934" spans="8:9" x14ac:dyDescent="0.25">
      <c r="H5934" s="106"/>
      <c r="I5934" s="106"/>
    </row>
    <row r="5935" spans="8:9" x14ac:dyDescent="0.25">
      <c r="H5935" s="106"/>
      <c r="I5935" s="106"/>
    </row>
    <row r="5936" spans="8:9" x14ac:dyDescent="0.25">
      <c r="H5936" s="106"/>
      <c r="I5936" s="106"/>
    </row>
    <row r="5937" spans="8:9" x14ac:dyDescent="0.25">
      <c r="H5937" s="106"/>
      <c r="I5937" s="106"/>
    </row>
    <row r="5938" spans="8:9" x14ac:dyDescent="0.25">
      <c r="H5938" s="106"/>
      <c r="I5938" s="106"/>
    </row>
    <row r="5939" spans="8:9" x14ac:dyDescent="0.25">
      <c r="H5939" s="106"/>
      <c r="I5939" s="106"/>
    </row>
    <row r="5940" spans="8:9" x14ac:dyDescent="0.25">
      <c r="H5940" s="106"/>
      <c r="I5940" s="106"/>
    </row>
    <row r="5941" spans="8:9" x14ac:dyDescent="0.25">
      <c r="H5941" s="106"/>
      <c r="I5941" s="106"/>
    </row>
    <row r="5942" spans="8:9" x14ac:dyDescent="0.25">
      <c r="H5942" s="106"/>
      <c r="I5942" s="106"/>
    </row>
    <row r="5943" spans="8:9" x14ac:dyDescent="0.25">
      <c r="H5943" s="106"/>
      <c r="I5943" s="106"/>
    </row>
    <row r="5944" spans="8:9" x14ac:dyDescent="0.25">
      <c r="H5944" s="106"/>
      <c r="I5944" s="106"/>
    </row>
    <row r="5945" spans="8:9" x14ac:dyDescent="0.25">
      <c r="H5945" s="106"/>
      <c r="I5945" s="106"/>
    </row>
    <row r="5946" spans="8:9" x14ac:dyDescent="0.25">
      <c r="H5946" s="106"/>
      <c r="I5946" s="106"/>
    </row>
    <row r="5947" spans="8:9" x14ac:dyDescent="0.25">
      <c r="H5947" s="106"/>
      <c r="I5947" s="106"/>
    </row>
    <row r="5948" spans="8:9" x14ac:dyDescent="0.25">
      <c r="H5948" s="106"/>
      <c r="I5948" s="106"/>
    </row>
    <row r="5949" spans="8:9" x14ac:dyDescent="0.25">
      <c r="H5949" s="106"/>
      <c r="I5949" s="106"/>
    </row>
    <row r="5950" spans="8:9" x14ac:dyDescent="0.25">
      <c r="H5950" s="106"/>
      <c r="I5950" s="106"/>
    </row>
    <row r="5951" spans="8:9" x14ac:dyDescent="0.25">
      <c r="H5951" s="106"/>
      <c r="I5951" s="106"/>
    </row>
    <row r="5952" spans="8:9" x14ac:dyDescent="0.25">
      <c r="H5952" s="106"/>
      <c r="I5952" s="106"/>
    </row>
    <row r="5953" spans="8:9" x14ac:dyDescent="0.25">
      <c r="H5953" s="106"/>
      <c r="I5953" s="106"/>
    </row>
    <row r="5954" spans="8:9" x14ac:dyDescent="0.25">
      <c r="H5954" s="106"/>
      <c r="I5954" s="106"/>
    </row>
    <row r="5955" spans="8:9" x14ac:dyDescent="0.25">
      <c r="H5955" s="106"/>
      <c r="I5955" s="106"/>
    </row>
    <row r="5956" spans="8:9" x14ac:dyDescent="0.25">
      <c r="H5956" s="106"/>
      <c r="I5956" s="106"/>
    </row>
    <row r="5957" spans="8:9" x14ac:dyDescent="0.25">
      <c r="H5957" s="106"/>
      <c r="I5957" s="106"/>
    </row>
    <row r="5958" spans="8:9" x14ac:dyDescent="0.25">
      <c r="H5958" s="106"/>
      <c r="I5958" s="106"/>
    </row>
    <row r="5959" spans="8:9" x14ac:dyDescent="0.25">
      <c r="H5959" s="106"/>
      <c r="I5959" s="106"/>
    </row>
    <row r="5960" spans="8:9" x14ac:dyDescent="0.25">
      <c r="H5960" s="106"/>
      <c r="I5960" s="106"/>
    </row>
    <row r="5961" spans="8:9" x14ac:dyDescent="0.25">
      <c r="H5961" s="106"/>
      <c r="I5961" s="106"/>
    </row>
    <row r="5962" spans="8:9" x14ac:dyDescent="0.25">
      <c r="H5962" s="106"/>
      <c r="I5962" s="106"/>
    </row>
    <row r="5963" spans="8:9" x14ac:dyDescent="0.25">
      <c r="H5963" s="106"/>
      <c r="I5963" s="106"/>
    </row>
    <row r="5964" spans="8:9" x14ac:dyDescent="0.25">
      <c r="H5964" s="106"/>
      <c r="I5964" s="106"/>
    </row>
    <row r="5965" spans="8:9" x14ac:dyDescent="0.25">
      <c r="H5965" s="106"/>
      <c r="I5965" s="106"/>
    </row>
    <row r="5966" spans="8:9" x14ac:dyDescent="0.25">
      <c r="H5966" s="106"/>
      <c r="I5966" s="106"/>
    </row>
    <row r="5967" spans="8:9" x14ac:dyDescent="0.25">
      <c r="H5967" s="106"/>
      <c r="I5967" s="106"/>
    </row>
    <row r="5968" spans="8:9" x14ac:dyDescent="0.25">
      <c r="H5968" s="106"/>
      <c r="I5968" s="106"/>
    </row>
    <row r="5969" spans="8:9" x14ac:dyDescent="0.25">
      <c r="H5969" s="106"/>
      <c r="I5969" s="106"/>
    </row>
    <row r="5970" spans="8:9" x14ac:dyDescent="0.25">
      <c r="H5970" s="106"/>
      <c r="I5970" s="106"/>
    </row>
    <row r="5971" spans="8:9" x14ac:dyDescent="0.25">
      <c r="H5971" s="106"/>
      <c r="I5971" s="106"/>
    </row>
    <row r="5972" spans="8:9" x14ac:dyDescent="0.25">
      <c r="H5972" s="106"/>
      <c r="I5972" s="106"/>
    </row>
    <row r="5973" spans="8:9" x14ac:dyDescent="0.25">
      <c r="H5973" s="106"/>
      <c r="I5973" s="106"/>
    </row>
    <row r="5974" spans="8:9" x14ac:dyDescent="0.25">
      <c r="H5974" s="106"/>
      <c r="I5974" s="106"/>
    </row>
    <row r="5975" spans="8:9" x14ac:dyDescent="0.25">
      <c r="H5975" s="106"/>
      <c r="I5975" s="106"/>
    </row>
    <row r="5976" spans="8:9" x14ac:dyDescent="0.25">
      <c r="H5976" s="106"/>
      <c r="I5976" s="106"/>
    </row>
    <row r="5977" spans="8:9" x14ac:dyDescent="0.25">
      <c r="H5977" s="106"/>
      <c r="I5977" s="106"/>
    </row>
    <row r="5978" spans="8:9" x14ac:dyDescent="0.25">
      <c r="H5978" s="106"/>
      <c r="I5978" s="106"/>
    </row>
    <row r="5979" spans="8:9" x14ac:dyDescent="0.25">
      <c r="H5979" s="106"/>
      <c r="I5979" s="106"/>
    </row>
    <row r="5980" spans="8:9" x14ac:dyDescent="0.25">
      <c r="H5980" s="106"/>
      <c r="I5980" s="106"/>
    </row>
    <row r="5981" spans="8:9" x14ac:dyDescent="0.25">
      <c r="H5981" s="106"/>
      <c r="I5981" s="106"/>
    </row>
    <row r="5982" spans="8:9" x14ac:dyDescent="0.25">
      <c r="H5982" s="106"/>
      <c r="I5982" s="106"/>
    </row>
    <row r="5983" spans="8:9" x14ac:dyDescent="0.25">
      <c r="H5983" s="106"/>
      <c r="I5983" s="106"/>
    </row>
    <row r="5984" spans="8:9" x14ac:dyDescent="0.25">
      <c r="H5984" s="106"/>
      <c r="I5984" s="106"/>
    </row>
    <row r="5985" spans="8:9" x14ac:dyDescent="0.25">
      <c r="H5985" s="106"/>
      <c r="I5985" s="106"/>
    </row>
    <row r="5986" spans="8:9" x14ac:dyDescent="0.25">
      <c r="H5986" s="106"/>
      <c r="I5986" s="106"/>
    </row>
    <row r="5987" spans="8:9" x14ac:dyDescent="0.25">
      <c r="H5987" s="106"/>
      <c r="I5987" s="106"/>
    </row>
    <row r="5988" spans="8:9" x14ac:dyDescent="0.25">
      <c r="H5988" s="106"/>
      <c r="I5988" s="106"/>
    </row>
    <row r="5989" spans="8:9" x14ac:dyDescent="0.25">
      <c r="H5989" s="106"/>
      <c r="I5989" s="106"/>
    </row>
    <row r="5990" spans="8:9" x14ac:dyDescent="0.25">
      <c r="H5990" s="106"/>
      <c r="I5990" s="106"/>
    </row>
    <row r="5991" spans="8:9" x14ac:dyDescent="0.25">
      <c r="H5991" s="106"/>
      <c r="I5991" s="106"/>
    </row>
    <row r="5992" spans="8:9" x14ac:dyDescent="0.25">
      <c r="H5992" s="106"/>
      <c r="I5992" s="106"/>
    </row>
    <row r="5993" spans="8:9" x14ac:dyDescent="0.25">
      <c r="H5993" s="106"/>
      <c r="I5993" s="106"/>
    </row>
    <row r="5994" spans="8:9" x14ac:dyDescent="0.25">
      <c r="H5994" s="106"/>
      <c r="I5994" s="106"/>
    </row>
    <row r="5995" spans="8:9" x14ac:dyDescent="0.25">
      <c r="H5995" s="106"/>
      <c r="I5995" s="106"/>
    </row>
    <row r="5996" spans="8:9" x14ac:dyDescent="0.25">
      <c r="H5996" s="106"/>
      <c r="I5996" s="106"/>
    </row>
    <row r="5997" spans="8:9" x14ac:dyDescent="0.25">
      <c r="H5997" s="106"/>
      <c r="I5997" s="106"/>
    </row>
    <row r="5998" spans="8:9" x14ac:dyDescent="0.25">
      <c r="H5998" s="106"/>
      <c r="I5998" s="106"/>
    </row>
    <row r="5999" spans="8:9" x14ac:dyDescent="0.25">
      <c r="H5999" s="106"/>
      <c r="I5999" s="106"/>
    </row>
    <row r="6000" spans="8:9" x14ac:dyDescent="0.25">
      <c r="H6000" s="106"/>
      <c r="I6000" s="106"/>
    </row>
    <row r="6001" spans="8:9" x14ac:dyDescent="0.25">
      <c r="H6001" s="106"/>
      <c r="I6001" s="106"/>
    </row>
    <row r="6002" spans="8:9" x14ac:dyDescent="0.25">
      <c r="H6002" s="106"/>
      <c r="I6002" s="106"/>
    </row>
    <row r="6003" spans="8:9" x14ac:dyDescent="0.25">
      <c r="H6003" s="106"/>
      <c r="I6003" s="106"/>
    </row>
    <row r="6004" spans="8:9" x14ac:dyDescent="0.25">
      <c r="H6004" s="106"/>
      <c r="I6004" s="106"/>
    </row>
    <row r="6005" spans="8:9" x14ac:dyDescent="0.25">
      <c r="H6005" s="106"/>
      <c r="I6005" s="106"/>
    </row>
    <row r="6006" spans="8:9" x14ac:dyDescent="0.25">
      <c r="H6006" s="106"/>
      <c r="I6006" s="106"/>
    </row>
    <row r="6007" spans="8:9" x14ac:dyDescent="0.25">
      <c r="H6007" s="106"/>
      <c r="I6007" s="106"/>
    </row>
    <row r="6008" spans="8:9" x14ac:dyDescent="0.25">
      <c r="H6008" s="106"/>
      <c r="I6008" s="106"/>
    </row>
    <row r="6009" spans="8:9" x14ac:dyDescent="0.25">
      <c r="H6009" s="106"/>
      <c r="I6009" s="106"/>
    </row>
    <row r="6010" spans="8:9" x14ac:dyDescent="0.25">
      <c r="H6010" s="106"/>
      <c r="I6010" s="106"/>
    </row>
    <row r="6011" spans="8:9" x14ac:dyDescent="0.25">
      <c r="H6011" s="106"/>
      <c r="I6011" s="106"/>
    </row>
    <row r="6012" spans="8:9" x14ac:dyDescent="0.25">
      <c r="H6012" s="106"/>
      <c r="I6012" s="106"/>
    </row>
    <row r="6013" spans="8:9" x14ac:dyDescent="0.25">
      <c r="H6013" s="106"/>
      <c r="I6013" s="106"/>
    </row>
    <row r="6014" spans="8:9" x14ac:dyDescent="0.25">
      <c r="H6014" s="106"/>
      <c r="I6014" s="106"/>
    </row>
    <row r="6015" spans="8:9" x14ac:dyDescent="0.25">
      <c r="H6015" s="106"/>
      <c r="I6015" s="106"/>
    </row>
    <row r="6016" spans="8:9" x14ac:dyDescent="0.25">
      <c r="H6016" s="106"/>
      <c r="I6016" s="106"/>
    </row>
    <row r="6017" spans="8:9" x14ac:dyDescent="0.25">
      <c r="H6017" s="106"/>
      <c r="I6017" s="106"/>
    </row>
    <row r="6018" spans="8:9" x14ac:dyDescent="0.25">
      <c r="H6018" s="106"/>
      <c r="I6018" s="106"/>
    </row>
    <row r="6019" spans="8:9" x14ac:dyDescent="0.25">
      <c r="H6019" s="106"/>
      <c r="I6019" s="106"/>
    </row>
    <row r="6020" spans="8:9" x14ac:dyDescent="0.25">
      <c r="H6020" s="106"/>
      <c r="I6020" s="106"/>
    </row>
    <row r="6021" spans="8:9" x14ac:dyDescent="0.25">
      <c r="H6021" s="106"/>
      <c r="I6021" s="106"/>
    </row>
    <row r="6022" spans="8:9" x14ac:dyDescent="0.25">
      <c r="H6022" s="106"/>
      <c r="I6022" s="106"/>
    </row>
    <row r="6023" spans="8:9" x14ac:dyDescent="0.25">
      <c r="H6023" s="106"/>
      <c r="I6023" s="106"/>
    </row>
    <row r="6024" spans="8:9" x14ac:dyDescent="0.25">
      <c r="H6024" s="106"/>
      <c r="I6024" s="106"/>
    </row>
    <row r="6025" spans="8:9" x14ac:dyDescent="0.25">
      <c r="H6025" s="106"/>
      <c r="I6025" s="106"/>
    </row>
    <row r="6026" spans="8:9" x14ac:dyDescent="0.25">
      <c r="H6026" s="106"/>
      <c r="I6026" s="106"/>
    </row>
    <row r="6027" spans="8:9" x14ac:dyDescent="0.25">
      <c r="H6027" s="106"/>
      <c r="I6027" s="106"/>
    </row>
    <row r="6028" spans="8:9" x14ac:dyDescent="0.25">
      <c r="H6028" s="106"/>
      <c r="I6028" s="106"/>
    </row>
    <row r="6029" spans="8:9" x14ac:dyDescent="0.25">
      <c r="H6029" s="106"/>
      <c r="I6029" s="106"/>
    </row>
    <row r="6030" spans="8:9" x14ac:dyDescent="0.25">
      <c r="H6030" s="106"/>
      <c r="I6030" s="106"/>
    </row>
    <row r="6031" spans="8:9" x14ac:dyDescent="0.25">
      <c r="H6031" s="106"/>
      <c r="I6031" s="106"/>
    </row>
    <row r="6032" spans="8:9" x14ac:dyDescent="0.25">
      <c r="H6032" s="106"/>
      <c r="I6032" s="106"/>
    </row>
    <row r="6033" spans="8:9" x14ac:dyDescent="0.25">
      <c r="H6033" s="106"/>
      <c r="I6033" s="106"/>
    </row>
    <row r="6034" spans="8:9" x14ac:dyDescent="0.25">
      <c r="H6034" s="106"/>
      <c r="I6034" s="106"/>
    </row>
    <row r="6035" spans="8:9" x14ac:dyDescent="0.25">
      <c r="H6035" s="106"/>
      <c r="I6035" s="106"/>
    </row>
    <row r="6036" spans="8:9" x14ac:dyDescent="0.25">
      <c r="H6036" s="106"/>
      <c r="I6036" s="106"/>
    </row>
    <row r="6037" spans="8:9" x14ac:dyDescent="0.25">
      <c r="H6037" s="106"/>
      <c r="I6037" s="106"/>
    </row>
    <row r="6038" spans="8:9" x14ac:dyDescent="0.25">
      <c r="H6038" s="106"/>
      <c r="I6038" s="106"/>
    </row>
    <row r="6039" spans="8:9" x14ac:dyDescent="0.25">
      <c r="H6039" s="106"/>
      <c r="I6039" s="106"/>
    </row>
    <row r="6040" spans="8:9" x14ac:dyDescent="0.25">
      <c r="H6040" s="106"/>
      <c r="I6040" s="106"/>
    </row>
    <row r="6041" spans="8:9" x14ac:dyDescent="0.25">
      <c r="H6041" s="106"/>
      <c r="I6041" s="106"/>
    </row>
    <row r="6042" spans="8:9" x14ac:dyDescent="0.25">
      <c r="H6042" s="106"/>
      <c r="I6042" s="106"/>
    </row>
    <row r="6043" spans="8:9" x14ac:dyDescent="0.25">
      <c r="H6043" s="106"/>
      <c r="I6043" s="106"/>
    </row>
    <row r="6044" spans="8:9" x14ac:dyDescent="0.25">
      <c r="H6044" s="106"/>
      <c r="I6044" s="106"/>
    </row>
    <row r="6045" spans="8:9" x14ac:dyDescent="0.25">
      <c r="H6045" s="106"/>
      <c r="I6045" s="106"/>
    </row>
    <row r="6046" spans="8:9" x14ac:dyDescent="0.25">
      <c r="H6046" s="106"/>
      <c r="I6046" s="106"/>
    </row>
    <row r="6047" spans="8:9" x14ac:dyDescent="0.25">
      <c r="H6047" s="106"/>
      <c r="I6047" s="106"/>
    </row>
    <row r="6048" spans="8:9" x14ac:dyDescent="0.25">
      <c r="H6048" s="106"/>
      <c r="I6048" s="106"/>
    </row>
    <row r="6049" spans="8:9" x14ac:dyDescent="0.25">
      <c r="H6049" s="106"/>
      <c r="I6049" s="106"/>
    </row>
    <row r="6050" spans="8:9" x14ac:dyDescent="0.25">
      <c r="H6050" s="106"/>
      <c r="I6050" s="106"/>
    </row>
    <row r="6051" spans="8:9" x14ac:dyDescent="0.25">
      <c r="H6051" s="106"/>
      <c r="I6051" s="106"/>
    </row>
    <row r="6052" spans="8:9" x14ac:dyDescent="0.25">
      <c r="H6052" s="106"/>
      <c r="I6052" s="106"/>
    </row>
    <row r="6053" spans="8:9" x14ac:dyDescent="0.25">
      <c r="H6053" s="106"/>
      <c r="I6053" s="106"/>
    </row>
    <row r="6054" spans="8:9" x14ac:dyDescent="0.25">
      <c r="H6054" s="106"/>
      <c r="I6054" s="106"/>
    </row>
    <row r="6055" spans="8:9" x14ac:dyDescent="0.25">
      <c r="H6055" s="106"/>
      <c r="I6055" s="106"/>
    </row>
    <row r="6056" spans="8:9" x14ac:dyDescent="0.25">
      <c r="H6056" s="106"/>
      <c r="I6056" s="106"/>
    </row>
    <row r="6057" spans="8:9" x14ac:dyDescent="0.25">
      <c r="H6057" s="106"/>
      <c r="I6057" s="106"/>
    </row>
    <row r="6058" spans="8:9" x14ac:dyDescent="0.25">
      <c r="H6058" s="106"/>
      <c r="I6058" s="106"/>
    </row>
    <row r="6059" spans="8:9" x14ac:dyDescent="0.25">
      <c r="H6059" s="106"/>
      <c r="I6059" s="106"/>
    </row>
    <row r="6060" spans="8:9" x14ac:dyDescent="0.25">
      <c r="H6060" s="106"/>
      <c r="I6060" s="106"/>
    </row>
    <row r="6061" spans="8:9" x14ac:dyDescent="0.25">
      <c r="H6061" s="106"/>
      <c r="I6061" s="106"/>
    </row>
    <row r="6062" spans="8:9" x14ac:dyDescent="0.25">
      <c r="H6062" s="106"/>
      <c r="I6062" s="106"/>
    </row>
    <row r="6063" spans="8:9" x14ac:dyDescent="0.25">
      <c r="H6063" s="106"/>
      <c r="I6063" s="106"/>
    </row>
    <row r="6064" spans="8:9" x14ac:dyDescent="0.25">
      <c r="H6064" s="106"/>
      <c r="I6064" s="106"/>
    </row>
    <row r="6065" spans="8:9" x14ac:dyDescent="0.25">
      <c r="H6065" s="106"/>
      <c r="I6065" s="106"/>
    </row>
    <row r="6066" spans="8:9" x14ac:dyDescent="0.25">
      <c r="H6066" s="106"/>
      <c r="I6066" s="106"/>
    </row>
    <row r="6067" spans="8:9" x14ac:dyDescent="0.25">
      <c r="H6067" s="106"/>
      <c r="I6067" s="106"/>
    </row>
    <row r="6068" spans="8:9" x14ac:dyDescent="0.25">
      <c r="H6068" s="106"/>
      <c r="I6068" s="106"/>
    </row>
    <row r="6069" spans="8:9" x14ac:dyDescent="0.25">
      <c r="H6069" s="106"/>
      <c r="I6069" s="106"/>
    </row>
    <row r="6070" spans="8:9" x14ac:dyDescent="0.25">
      <c r="H6070" s="106"/>
      <c r="I6070" s="106"/>
    </row>
    <row r="6071" spans="8:9" x14ac:dyDescent="0.25">
      <c r="H6071" s="106"/>
      <c r="I6071" s="106"/>
    </row>
    <row r="6072" spans="8:9" x14ac:dyDescent="0.25">
      <c r="H6072" s="106"/>
      <c r="I6072" s="106"/>
    </row>
    <row r="6073" spans="8:9" x14ac:dyDescent="0.25">
      <c r="H6073" s="106"/>
      <c r="I6073" s="106"/>
    </row>
    <row r="6074" spans="8:9" x14ac:dyDescent="0.25">
      <c r="H6074" s="106"/>
      <c r="I6074" s="106"/>
    </row>
    <row r="6075" spans="8:9" x14ac:dyDescent="0.25">
      <c r="H6075" s="106"/>
      <c r="I6075" s="106"/>
    </row>
    <row r="6076" spans="8:9" x14ac:dyDescent="0.25">
      <c r="H6076" s="106"/>
      <c r="I6076" s="106"/>
    </row>
    <row r="6077" spans="8:9" x14ac:dyDescent="0.25">
      <c r="H6077" s="106"/>
      <c r="I6077" s="106"/>
    </row>
    <row r="6078" spans="8:9" x14ac:dyDescent="0.25">
      <c r="H6078" s="106"/>
      <c r="I6078" s="106"/>
    </row>
    <row r="6079" spans="8:9" x14ac:dyDescent="0.25">
      <c r="H6079" s="106"/>
      <c r="I6079" s="106"/>
    </row>
    <row r="6080" spans="8:9" x14ac:dyDescent="0.25">
      <c r="H6080" s="106"/>
      <c r="I6080" s="106"/>
    </row>
    <row r="6081" spans="8:9" x14ac:dyDescent="0.25">
      <c r="H6081" s="106"/>
      <c r="I6081" s="106"/>
    </row>
    <row r="6082" spans="8:9" x14ac:dyDescent="0.25">
      <c r="H6082" s="106"/>
      <c r="I6082" s="106"/>
    </row>
    <row r="6083" spans="8:9" x14ac:dyDescent="0.25">
      <c r="H6083" s="106"/>
      <c r="I6083" s="106"/>
    </row>
    <row r="6084" spans="8:9" x14ac:dyDescent="0.25">
      <c r="H6084" s="106"/>
      <c r="I6084" s="106"/>
    </row>
    <row r="6085" spans="8:9" x14ac:dyDescent="0.25">
      <c r="H6085" s="106"/>
      <c r="I6085" s="106"/>
    </row>
    <row r="6086" spans="8:9" x14ac:dyDescent="0.25">
      <c r="H6086" s="106"/>
      <c r="I6086" s="106"/>
    </row>
    <row r="6087" spans="8:9" x14ac:dyDescent="0.25">
      <c r="H6087" s="106"/>
      <c r="I6087" s="106"/>
    </row>
    <row r="6088" spans="8:9" x14ac:dyDescent="0.25">
      <c r="H6088" s="106"/>
      <c r="I6088" s="106"/>
    </row>
    <row r="6089" spans="8:9" x14ac:dyDescent="0.25">
      <c r="H6089" s="106"/>
      <c r="I6089" s="106"/>
    </row>
    <row r="6090" spans="8:9" x14ac:dyDescent="0.25">
      <c r="H6090" s="106"/>
      <c r="I6090" s="106"/>
    </row>
    <row r="6091" spans="8:9" x14ac:dyDescent="0.25">
      <c r="H6091" s="106"/>
      <c r="I6091" s="106"/>
    </row>
    <row r="6092" spans="8:9" x14ac:dyDescent="0.25">
      <c r="H6092" s="106"/>
      <c r="I6092" s="106"/>
    </row>
    <row r="6093" spans="8:9" x14ac:dyDescent="0.25">
      <c r="H6093" s="106"/>
      <c r="I6093" s="106"/>
    </row>
    <row r="6094" spans="8:9" x14ac:dyDescent="0.25">
      <c r="H6094" s="106"/>
      <c r="I6094" s="106"/>
    </row>
    <row r="6095" spans="8:9" x14ac:dyDescent="0.25">
      <c r="H6095" s="106"/>
      <c r="I6095" s="106"/>
    </row>
    <row r="6096" spans="8:9" x14ac:dyDescent="0.25">
      <c r="H6096" s="106"/>
      <c r="I6096" s="106"/>
    </row>
    <row r="6097" spans="8:9" x14ac:dyDescent="0.25">
      <c r="H6097" s="106"/>
      <c r="I6097" s="106"/>
    </row>
    <row r="6098" spans="8:9" x14ac:dyDescent="0.25">
      <c r="H6098" s="106"/>
      <c r="I6098" s="106"/>
    </row>
    <row r="6099" spans="8:9" x14ac:dyDescent="0.25">
      <c r="H6099" s="106"/>
      <c r="I6099" s="106"/>
    </row>
    <row r="6100" spans="8:9" x14ac:dyDescent="0.25">
      <c r="H6100" s="106"/>
      <c r="I6100" s="106"/>
    </row>
    <row r="6101" spans="8:9" x14ac:dyDescent="0.25">
      <c r="H6101" s="106"/>
      <c r="I6101" s="106"/>
    </row>
    <row r="6102" spans="8:9" x14ac:dyDescent="0.25">
      <c r="H6102" s="106"/>
      <c r="I6102" s="106"/>
    </row>
    <row r="6103" spans="8:9" x14ac:dyDescent="0.25">
      <c r="H6103" s="106"/>
      <c r="I6103" s="106"/>
    </row>
    <row r="6104" spans="8:9" x14ac:dyDescent="0.25">
      <c r="H6104" s="106"/>
      <c r="I6104" s="106"/>
    </row>
    <row r="6105" spans="8:9" x14ac:dyDescent="0.25">
      <c r="H6105" s="106"/>
      <c r="I6105" s="106"/>
    </row>
    <row r="6106" spans="8:9" x14ac:dyDescent="0.25">
      <c r="H6106" s="106"/>
      <c r="I6106" s="106"/>
    </row>
    <row r="6107" spans="8:9" x14ac:dyDescent="0.25">
      <c r="H6107" s="106"/>
      <c r="I6107" s="106"/>
    </row>
    <row r="6108" spans="8:9" x14ac:dyDescent="0.25">
      <c r="H6108" s="106"/>
      <c r="I6108" s="106"/>
    </row>
    <row r="6109" spans="8:9" x14ac:dyDescent="0.25">
      <c r="H6109" s="106"/>
      <c r="I6109" s="106"/>
    </row>
    <row r="6110" spans="8:9" x14ac:dyDescent="0.25">
      <c r="H6110" s="106"/>
      <c r="I6110" s="106"/>
    </row>
    <row r="6111" spans="8:9" x14ac:dyDescent="0.25">
      <c r="H6111" s="106"/>
      <c r="I6111" s="106"/>
    </row>
    <row r="6112" spans="8:9" x14ac:dyDescent="0.25">
      <c r="H6112" s="106"/>
      <c r="I6112" s="106"/>
    </row>
    <row r="6113" spans="8:9" x14ac:dyDescent="0.25">
      <c r="H6113" s="106"/>
      <c r="I6113" s="106"/>
    </row>
    <row r="6114" spans="8:9" x14ac:dyDescent="0.25">
      <c r="H6114" s="106"/>
      <c r="I6114" s="106"/>
    </row>
    <row r="6115" spans="8:9" x14ac:dyDescent="0.25">
      <c r="H6115" s="106"/>
      <c r="I6115" s="106"/>
    </row>
    <row r="6116" spans="8:9" x14ac:dyDescent="0.25">
      <c r="H6116" s="106"/>
      <c r="I6116" s="106"/>
    </row>
    <row r="6117" spans="8:9" x14ac:dyDescent="0.25">
      <c r="H6117" s="106"/>
      <c r="I6117" s="106"/>
    </row>
    <row r="6118" spans="8:9" x14ac:dyDescent="0.25">
      <c r="H6118" s="106"/>
      <c r="I6118" s="106"/>
    </row>
    <row r="6119" spans="8:9" x14ac:dyDescent="0.25">
      <c r="H6119" s="106"/>
      <c r="I6119" s="106"/>
    </row>
    <row r="6120" spans="8:9" x14ac:dyDescent="0.25">
      <c r="H6120" s="106"/>
      <c r="I6120" s="106"/>
    </row>
    <row r="6121" spans="8:9" x14ac:dyDescent="0.25">
      <c r="H6121" s="106"/>
      <c r="I6121" s="106"/>
    </row>
    <row r="6122" spans="8:9" x14ac:dyDescent="0.25">
      <c r="H6122" s="106"/>
      <c r="I6122" s="106"/>
    </row>
    <row r="6123" spans="8:9" x14ac:dyDescent="0.25">
      <c r="H6123" s="106"/>
      <c r="I6123" s="106"/>
    </row>
    <row r="6124" spans="8:9" x14ac:dyDescent="0.25">
      <c r="H6124" s="106"/>
      <c r="I6124" s="106"/>
    </row>
    <row r="6125" spans="8:9" x14ac:dyDescent="0.25">
      <c r="H6125" s="106"/>
      <c r="I6125" s="106"/>
    </row>
    <row r="6126" spans="8:9" x14ac:dyDescent="0.25">
      <c r="H6126" s="106"/>
      <c r="I6126" s="106"/>
    </row>
    <row r="6127" spans="8:9" x14ac:dyDescent="0.25">
      <c r="H6127" s="106"/>
      <c r="I6127" s="106"/>
    </row>
    <row r="6128" spans="8:9" x14ac:dyDescent="0.25">
      <c r="H6128" s="106"/>
      <c r="I6128" s="106"/>
    </row>
    <row r="6129" spans="8:9" x14ac:dyDescent="0.25">
      <c r="H6129" s="106"/>
      <c r="I6129" s="106"/>
    </row>
    <row r="6130" spans="8:9" x14ac:dyDescent="0.25">
      <c r="H6130" s="106"/>
      <c r="I6130" s="106"/>
    </row>
    <row r="6131" spans="8:9" x14ac:dyDescent="0.25">
      <c r="H6131" s="106"/>
      <c r="I6131" s="106"/>
    </row>
    <row r="6132" spans="8:9" x14ac:dyDescent="0.25">
      <c r="H6132" s="106"/>
      <c r="I6132" s="106"/>
    </row>
    <row r="6133" spans="8:9" x14ac:dyDescent="0.25">
      <c r="H6133" s="106"/>
      <c r="I6133" s="106"/>
    </row>
    <row r="6134" spans="8:9" x14ac:dyDescent="0.25">
      <c r="H6134" s="106"/>
      <c r="I6134" s="106"/>
    </row>
    <row r="6135" spans="8:9" x14ac:dyDescent="0.25">
      <c r="H6135" s="106"/>
      <c r="I6135" s="106"/>
    </row>
    <row r="6136" spans="8:9" x14ac:dyDescent="0.25">
      <c r="H6136" s="106"/>
      <c r="I6136" s="106"/>
    </row>
    <row r="6137" spans="8:9" x14ac:dyDescent="0.25">
      <c r="H6137" s="106"/>
      <c r="I6137" s="106"/>
    </row>
    <row r="6138" spans="8:9" x14ac:dyDescent="0.25">
      <c r="H6138" s="106"/>
      <c r="I6138" s="106"/>
    </row>
    <row r="6139" spans="8:9" x14ac:dyDescent="0.25">
      <c r="H6139" s="106"/>
      <c r="I6139" s="106"/>
    </row>
    <row r="6140" spans="8:9" x14ac:dyDescent="0.25">
      <c r="H6140" s="106"/>
      <c r="I6140" s="106"/>
    </row>
    <row r="6141" spans="8:9" x14ac:dyDescent="0.25">
      <c r="H6141" s="106"/>
      <c r="I6141" s="106"/>
    </row>
    <row r="6142" spans="8:9" x14ac:dyDescent="0.25">
      <c r="H6142" s="106"/>
      <c r="I6142" s="106"/>
    </row>
    <row r="6143" spans="8:9" x14ac:dyDescent="0.25">
      <c r="H6143" s="106"/>
      <c r="I6143" s="106"/>
    </row>
    <row r="6144" spans="8:9" x14ac:dyDescent="0.25">
      <c r="H6144" s="106"/>
      <c r="I6144" s="106"/>
    </row>
    <row r="6145" spans="8:9" x14ac:dyDescent="0.25">
      <c r="H6145" s="106"/>
      <c r="I6145" s="106"/>
    </row>
    <row r="6146" spans="8:9" x14ac:dyDescent="0.25">
      <c r="H6146" s="106"/>
      <c r="I6146" s="106"/>
    </row>
    <row r="6147" spans="8:9" x14ac:dyDescent="0.25">
      <c r="H6147" s="106"/>
      <c r="I6147" s="106"/>
    </row>
    <row r="6148" spans="8:9" x14ac:dyDescent="0.25">
      <c r="H6148" s="106"/>
      <c r="I6148" s="106"/>
    </row>
    <row r="6149" spans="8:9" x14ac:dyDescent="0.25">
      <c r="H6149" s="106"/>
      <c r="I6149" s="106"/>
    </row>
    <row r="6150" spans="8:9" x14ac:dyDescent="0.25">
      <c r="H6150" s="106"/>
      <c r="I6150" s="106"/>
    </row>
    <row r="6151" spans="8:9" x14ac:dyDescent="0.25">
      <c r="H6151" s="106"/>
      <c r="I6151" s="106"/>
    </row>
    <row r="6152" spans="8:9" x14ac:dyDescent="0.25">
      <c r="H6152" s="106"/>
      <c r="I6152" s="106"/>
    </row>
    <row r="6153" spans="8:9" x14ac:dyDescent="0.25">
      <c r="H6153" s="106"/>
      <c r="I6153" s="106"/>
    </row>
    <row r="6154" spans="8:9" x14ac:dyDescent="0.25">
      <c r="H6154" s="106"/>
      <c r="I6154" s="106"/>
    </row>
    <row r="6155" spans="8:9" x14ac:dyDescent="0.25">
      <c r="H6155" s="106"/>
      <c r="I6155" s="106"/>
    </row>
    <row r="6156" spans="8:9" x14ac:dyDescent="0.25">
      <c r="H6156" s="106"/>
      <c r="I6156" s="106"/>
    </row>
    <row r="6157" spans="8:9" x14ac:dyDescent="0.25">
      <c r="H6157" s="106"/>
      <c r="I6157" s="106"/>
    </row>
    <row r="6158" spans="8:9" x14ac:dyDescent="0.25">
      <c r="H6158" s="106"/>
      <c r="I6158" s="106"/>
    </row>
    <row r="6159" spans="8:9" x14ac:dyDescent="0.25">
      <c r="H6159" s="106"/>
      <c r="I6159" s="106"/>
    </row>
    <row r="6160" spans="8:9" x14ac:dyDescent="0.25">
      <c r="H6160" s="106"/>
      <c r="I6160" s="106"/>
    </row>
    <row r="6161" spans="8:9" x14ac:dyDescent="0.25">
      <c r="H6161" s="106"/>
      <c r="I6161" s="106"/>
    </row>
    <row r="6162" spans="8:9" x14ac:dyDescent="0.25">
      <c r="H6162" s="106"/>
      <c r="I6162" s="106"/>
    </row>
    <row r="6163" spans="8:9" x14ac:dyDescent="0.25">
      <c r="H6163" s="106"/>
      <c r="I6163" s="106"/>
    </row>
    <row r="6164" spans="8:9" x14ac:dyDescent="0.25">
      <c r="H6164" s="106"/>
      <c r="I6164" s="106"/>
    </row>
    <row r="6165" spans="8:9" x14ac:dyDescent="0.25">
      <c r="H6165" s="106"/>
      <c r="I6165" s="106"/>
    </row>
    <row r="6166" spans="8:9" x14ac:dyDescent="0.25">
      <c r="H6166" s="106"/>
      <c r="I6166" s="106"/>
    </row>
    <row r="6167" spans="8:9" x14ac:dyDescent="0.25">
      <c r="H6167" s="106"/>
      <c r="I6167" s="106"/>
    </row>
    <row r="6168" spans="8:9" x14ac:dyDescent="0.25">
      <c r="H6168" s="106"/>
      <c r="I6168" s="106"/>
    </row>
    <row r="6169" spans="8:9" x14ac:dyDescent="0.25">
      <c r="H6169" s="106"/>
      <c r="I6169" s="106"/>
    </row>
    <row r="6170" spans="8:9" x14ac:dyDescent="0.25">
      <c r="H6170" s="106"/>
      <c r="I6170" s="106"/>
    </row>
    <row r="6171" spans="8:9" x14ac:dyDescent="0.25">
      <c r="H6171" s="106"/>
      <c r="I6171" s="106"/>
    </row>
    <row r="6172" spans="8:9" x14ac:dyDescent="0.25">
      <c r="H6172" s="106"/>
      <c r="I6172" s="106"/>
    </row>
    <row r="6173" spans="8:9" x14ac:dyDescent="0.25">
      <c r="H6173" s="106"/>
      <c r="I6173" s="106"/>
    </row>
    <row r="6174" spans="8:9" x14ac:dyDescent="0.25">
      <c r="H6174" s="106"/>
      <c r="I6174" s="106"/>
    </row>
    <row r="6175" spans="8:9" x14ac:dyDescent="0.25">
      <c r="H6175" s="106"/>
      <c r="I6175" s="106"/>
    </row>
    <row r="6176" spans="8:9" x14ac:dyDescent="0.25">
      <c r="H6176" s="106"/>
      <c r="I6176" s="106"/>
    </row>
    <row r="6177" spans="8:9" x14ac:dyDescent="0.25">
      <c r="H6177" s="106"/>
      <c r="I6177" s="106"/>
    </row>
    <row r="6178" spans="8:9" x14ac:dyDescent="0.25">
      <c r="H6178" s="106"/>
      <c r="I6178" s="106"/>
    </row>
    <row r="6179" spans="8:9" x14ac:dyDescent="0.25">
      <c r="H6179" s="106"/>
      <c r="I6179" s="106"/>
    </row>
    <row r="6180" spans="8:9" x14ac:dyDescent="0.25">
      <c r="H6180" s="106"/>
      <c r="I6180" s="106"/>
    </row>
    <row r="6181" spans="8:9" x14ac:dyDescent="0.25">
      <c r="H6181" s="106"/>
      <c r="I6181" s="106"/>
    </row>
    <row r="6182" spans="8:9" x14ac:dyDescent="0.25">
      <c r="H6182" s="106"/>
      <c r="I6182" s="106"/>
    </row>
    <row r="6183" spans="8:9" x14ac:dyDescent="0.25">
      <c r="H6183" s="106"/>
      <c r="I6183" s="106"/>
    </row>
    <row r="6184" spans="8:9" x14ac:dyDescent="0.25">
      <c r="H6184" s="106"/>
      <c r="I6184" s="106"/>
    </row>
    <row r="6185" spans="8:9" x14ac:dyDescent="0.25">
      <c r="H6185" s="106"/>
      <c r="I6185" s="106"/>
    </row>
    <row r="6186" spans="8:9" x14ac:dyDescent="0.25">
      <c r="H6186" s="106"/>
      <c r="I6186" s="106"/>
    </row>
    <row r="6187" spans="8:9" x14ac:dyDescent="0.25">
      <c r="H6187" s="106"/>
      <c r="I6187" s="106"/>
    </row>
    <row r="6188" spans="8:9" x14ac:dyDescent="0.25">
      <c r="H6188" s="106"/>
      <c r="I6188" s="106"/>
    </row>
    <row r="6189" spans="8:9" x14ac:dyDescent="0.25">
      <c r="H6189" s="106"/>
      <c r="I6189" s="106"/>
    </row>
    <row r="6190" spans="8:9" x14ac:dyDescent="0.25">
      <c r="H6190" s="106"/>
      <c r="I6190" s="106"/>
    </row>
    <row r="6191" spans="8:9" x14ac:dyDescent="0.25">
      <c r="H6191" s="106"/>
      <c r="I6191" s="106"/>
    </row>
    <row r="6192" spans="8:9" x14ac:dyDescent="0.25">
      <c r="H6192" s="106"/>
      <c r="I6192" s="106"/>
    </row>
    <row r="6193" spans="8:9" x14ac:dyDescent="0.25">
      <c r="H6193" s="106"/>
      <c r="I6193" s="106"/>
    </row>
    <row r="6194" spans="8:9" x14ac:dyDescent="0.25">
      <c r="H6194" s="106"/>
      <c r="I6194" s="106"/>
    </row>
    <row r="6195" spans="8:9" x14ac:dyDescent="0.25">
      <c r="H6195" s="106"/>
      <c r="I6195" s="106"/>
    </row>
    <row r="6196" spans="8:9" x14ac:dyDescent="0.25">
      <c r="H6196" s="106"/>
      <c r="I6196" s="106"/>
    </row>
    <row r="6197" spans="8:9" x14ac:dyDescent="0.25">
      <c r="H6197" s="106"/>
      <c r="I6197" s="106"/>
    </row>
    <row r="6198" spans="8:9" x14ac:dyDescent="0.25">
      <c r="H6198" s="106"/>
      <c r="I6198" s="106"/>
    </row>
    <row r="6199" spans="8:9" x14ac:dyDescent="0.25">
      <c r="H6199" s="106"/>
      <c r="I6199" s="106"/>
    </row>
    <row r="6200" spans="8:9" x14ac:dyDescent="0.25">
      <c r="H6200" s="106"/>
      <c r="I6200" s="106"/>
    </row>
    <row r="6201" spans="8:9" x14ac:dyDescent="0.25">
      <c r="H6201" s="106"/>
      <c r="I6201" s="106"/>
    </row>
    <row r="6202" spans="8:9" x14ac:dyDescent="0.25">
      <c r="H6202" s="106"/>
      <c r="I6202" s="106"/>
    </row>
    <row r="6203" spans="8:9" x14ac:dyDescent="0.25">
      <c r="H6203" s="106"/>
      <c r="I6203" s="106"/>
    </row>
    <row r="6204" spans="8:9" x14ac:dyDescent="0.25">
      <c r="H6204" s="106"/>
      <c r="I6204" s="106"/>
    </row>
    <row r="6205" spans="8:9" x14ac:dyDescent="0.25">
      <c r="H6205" s="106"/>
      <c r="I6205" s="106"/>
    </row>
    <row r="6206" spans="8:9" x14ac:dyDescent="0.25">
      <c r="H6206" s="106"/>
      <c r="I6206" s="106"/>
    </row>
    <row r="6207" spans="8:9" x14ac:dyDescent="0.25">
      <c r="H6207" s="106"/>
      <c r="I6207" s="106"/>
    </row>
    <row r="6208" spans="8:9" x14ac:dyDescent="0.25">
      <c r="H6208" s="106"/>
      <c r="I6208" s="106"/>
    </row>
    <row r="6209" spans="8:9" x14ac:dyDescent="0.25">
      <c r="H6209" s="106"/>
      <c r="I6209" s="106"/>
    </row>
    <row r="6210" spans="8:9" x14ac:dyDescent="0.25">
      <c r="H6210" s="106"/>
      <c r="I6210" s="106"/>
    </row>
    <row r="6211" spans="8:9" x14ac:dyDescent="0.25">
      <c r="H6211" s="106"/>
      <c r="I6211" s="106"/>
    </row>
    <row r="6212" spans="8:9" x14ac:dyDescent="0.25">
      <c r="H6212" s="106"/>
      <c r="I6212" s="106"/>
    </row>
    <row r="6213" spans="8:9" x14ac:dyDescent="0.25">
      <c r="H6213" s="106"/>
      <c r="I6213" s="106"/>
    </row>
    <row r="6214" spans="8:9" x14ac:dyDescent="0.25">
      <c r="H6214" s="106"/>
      <c r="I6214" s="106"/>
    </row>
    <row r="6215" spans="8:9" x14ac:dyDescent="0.25">
      <c r="H6215" s="106"/>
      <c r="I6215" s="106"/>
    </row>
    <row r="6216" spans="8:9" x14ac:dyDescent="0.25">
      <c r="H6216" s="106"/>
      <c r="I6216" s="106"/>
    </row>
    <row r="6217" spans="8:9" x14ac:dyDescent="0.25">
      <c r="H6217" s="106"/>
      <c r="I6217" s="106"/>
    </row>
    <row r="6218" spans="8:9" x14ac:dyDescent="0.25">
      <c r="H6218" s="106"/>
      <c r="I6218" s="106"/>
    </row>
    <row r="6219" spans="8:9" x14ac:dyDescent="0.25">
      <c r="H6219" s="106"/>
      <c r="I6219" s="106"/>
    </row>
    <row r="6220" spans="8:9" x14ac:dyDescent="0.25">
      <c r="H6220" s="106"/>
      <c r="I6220" s="106"/>
    </row>
    <row r="6221" spans="8:9" x14ac:dyDescent="0.25">
      <c r="H6221" s="106"/>
      <c r="I6221" s="106"/>
    </row>
    <row r="6222" spans="8:9" x14ac:dyDescent="0.25">
      <c r="H6222" s="106"/>
      <c r="I6222" s="106"/>
    </row>
    <row r="6223" spans="8:9" x14ac:dyDescent="0.25">
      <c r="H6223" s="106"/>
      <c r="I6223" s="106"/>
    </row>
    <row r="6224" spans="8:9" x14ac:dyDescent="0.25">
      <c r="H6224" s="106"/>
      <c r="I6224" s="106"/>
    </row>
    <row r="6225" spans="8:9" x14ac:dyDescent="0.25">
      <c r="H6225" s="106"/>
      <c r="I6225" s="106"/>
    </row>
    <row r="6226" spans="8:9" x14ac:dyDescent="0.25">
      <c r="H6226" s="106"/>
      <c r="I6226" s="106"/>
    </row>
    <row r="6227" spans="8:9" x14ac:dyDescent="0.25">
      <c r="H6227" s="106"/>
      <c r="I6227" s="106"/>
    </row>
    <row r="6228" spans="8:9" x14ac:dyDescent="0.25">
      <c r="H6228" s="106"/>
      <c r="I6228" s="106"/>
    </row>
    <row r="6229" spans="8:9" x14ac:dyDescent="0.25">
      <c r="H6229" s="106"/>
      <c r="I6229" s="106"/>
    </row>
    <row r="6230" spans="8:9" x14ac:dyDescent="0.25">
      <c r="H6230" s="106"/>
      <c r="I6230" s="106"/>
    </row>
    <row r="6231" spans="8:9" x14ac:dyDescent="0.25">
      <c r="H6231" s="106"/>
      <c r="I6231" s="106"/>
    </row>
    <row r="6232" spans="8:9" x14ac:dyDescent="0.25">
      <c r="H6232" s="106"/>
      <c r="I6232" s="106"/>
    </row>
    <row r="6233" spans="8:9" x14ac:dyDescent="0.25">
      <c r="H6233" s="106"/>
      <c r="I6233" s="106"/>
    </row>
    <row r="6234" spans="8:9" x14ac:dyDescent="0.25">
      <c r="H6234" s="106"/>
      <c r="I6234" s="106"/>
    </row>
    <row r="6235" spans="8:9" x14ac:dyDescent="0.25">
      <c r="H6235" s="106"/>
      <c r="I6235" s="106"/>
    </row>
    <row r="6236" spans="8:9" x14ac:dyDescent="0.25">
      <c r="H6236" s="106"/>
      <c r="I6236" s="106"/>
    </row>
    <row r="6237" spans="8:9" x14ac:dyDescent="0.25">
      <c r="H6237" s="106"/>
      <c r="I6237" s="106"/>
    </row>
    <row r="6238" spans="8:9" x14ac:dyDescent="0.25">
      <c r="H6238" s="106"/>
      <c r="I6238" s="106"/>
    </row>
    <row r="6239" spans="8:9" x14ac:dyDescent="0.25">
      <c r="H6239" s="106"/>
      <c r="I6239" s="106"/>
    </row>
    <row r="6240" spans="8:9" x14ac:dyDescent="0.25">
      <c r="H6240" s="106"/>
      <c r="I6240" s="106"/>
    </row>
    <row r="6241" spans="8:9" x14ac:dyDescent="0.25">
      <c r="H6241" s="106"/>
      <c r="I6241" s="106"/>
    </row>
    <row r="6242" spans="8:9" x14ac:dyDescent="0.25">
      <c r="H6242" s="106"/>
      <c r="I6242" s="106"/>
    </row>
    <row r="6243" spans="8:9" x14ac:dyDescent="0.25">
      <c r="H6243" s="106"/>
      <c r="I6243" s="106"/>
    </row>
    <row r="6244" spans="8:9" x14ac:dyDescent="0.25">
      <c r="H6244" s="106"/>
      <c r="I6244" s="106"/>
    </row>
    <row r="6245" spans="8:9" x14ac:dyDescent="0.25">
      <c r="H6245" s="106"/>
      <c r="I6245" s="106"/>
    </row>
    <row r="6246" spans="8:9" x14ac:dyDescent="0.25">
      <c r="H6246" s="106"/>
      <c r="I6246" s="106"/>
    </row>
    <row r="6247" spans="8:9" x14ac:dyDescent="0.25">
      <c r="H6247" s="106"/>
      <c r="I6247" s="106"/>
    </row>
    <row r="6248" spans="8:9" x14ac:dyDescent="0.25">
      <c r="H6248" s="106"/>
      <c r="I6248" s="106"/>
    </row>
    <row r="6249" spans="8:9" x14ac:dyDescent="0.25">
      <c r="H6249" s="106"/>
      <c r="I6249" s="106"/>
    </row>
    <row r="6250" spans="8:9" x14ac:dyDescent="0.25">
      <c r="H6250" s="106"/>
      <c r="I6250" s="106"/>
    </row>
    <row r="6251" spans="8:9" x14ac:dyDescent="0.25">
      <c r="H6251" s="106"/>
      <c r="I6251" s="106"/>
    </row>
    <row r="6252" spans="8:9" x14ac:dyDescent="0.25">
      <c r="H6252" s="106"/>
      <c r="I6252" s="106"/>
    </row>
    <row r="6253" spans="8:9" x14ac:dyDescent="0.25">
      <c r="H6253" s="106"/>
      <c r="I6253" s="106"/>
    </row>
    <row r="6254" spans="8:9" x14ac:dyDescent="0.25">
      <c r="H6254" s="106"/>
      <c r="I6254" s="106"/>
    </row>
    <row r="6255" spans="8:9" x14ac:dyDescent="0.25">
      <c r="H6255" s="106"/>
      <c r="I6255" s="106"/>
    </row>
    <row r="6256" spans="8:9" x14ac:dyDescent="0.25">
      <c r="H6256" s="106"/>
      <c r="I6256" s="106"/>
    </row>
    <row r="6257" spans="8:9" x14ac:dyDescent="0.25">
      <c r="H6257" s="106"/>
      <c r="I6257" s="106"/>
    </row>
    <row r="6258" spans="8:9" x14ac:dyDescent="0.25">
      <c r="H6258" s="106"/>
      <c r="I6258" s="106"/>
    </row>
    <row r="6259" spans="8:9" x14ac:dyDescent="0.25">
      <c r="H6259" s="106"/>
      <c r="I6259" s="106"/>
    </row>
    <row r="6260" spans="8:9" x14ac:dyDescent="0.25">
      <c r="H6260" s="106"/>
      <c r="I6260" s="106"/>
    </row>
    <row r="6261" spans="8:9" x14ac:dyDescent="0.25">
      <c r="H6261" s="106"/>
      <c r="I6261" s="106"/>
    </row>
    <row r="6262" spans="8:9" x14ac:dyDescent="0.25">
      <c r="H6262" s="106"/>
      <c r="I6262" s="106"/>
    </row>
    <row r="6263" spans="8:9" x14ac:dyDescent="0.25">
      <c r="H6263" s="106"/>
      <c r="I6263" s="106"/>
    </row>
    <row r="6264" spans="8:9" x14ac:dyDescent="0.25">
      <c r="H6264" s="106"/>
      <c r="I6264" s="106"/>
    </row>
    <row r="6265" spans="8:9" x14ac:dyDescent="0.25">
      <c r="H6265" s="106"/>
      <c r="I6265" s="106"/>
    </row>
    <row r="6266" spans="8:9" x14ac:dyDescent="0.25">
      <c r="H6266" s="106"/>
      <c r="I6266" s="106"/>
    </row>
    <row r="6267" spans="8:9" x14ac:dyDescent="0.25">
      <c r="H6267" s="106"/>
      <c r="I6267" s="106"/>
    </row>
    <row r="6268" spans="8:9" x14ac:dyDescent="0.25">
      <c r="H6268" s="106"/>
      <c r="I6268" s="106"/>
    </row>
    <row r="6269" spans="8:9" x14ac:dyDescent="0.25">
      <c r="H6269" s="106"/>
      <c r="I6269" s="106"/>
    </row>
    <row r="6270" spans="8:9" x14ac:dyDescent="0.25">
      <c r="H6270" s="106"/>
      <c r="I6270" s="106"/>
    </row>
    <row r="6271" spans="8:9" x14ac:dyDescent="0.25">
      <c r="H6271" s="106"/>
      <c r="I6271" s="106"/>
    </row>
    <row r="6272" spans="8:9" x14ac:dyDescent="0.25">
      <c r="H6272" s="106"/>
      <c r="I6272" s="106"/>
    </row>
    <row r="6273" spans="8:9" x14ac:dyDescent="0.25">
      <c r="H6273" s="106"/>
      <c r="I6273" s="106"/>
    </row>
    <row r="6274" spans="8:9" x14ac:dyDescent="0.25">
      <c r="H6274" s="106"/>
      <c r="I6274" s="106"/>
    </row>
    <row r="6275" spans="8:9" x14ac:dyDescent="0.25">
      <c r="H6275" s="106"/>
      <c r="I6275" s="106"/>
    </row>
    <row r="6276" spans="8:9" x14ac:dyDescent="0.25">
      <c r="H6276" s="106"/>
      <c r="I6276" s="106"/>
    </row>
    <row r="6277" spans="8:9" x14ac:dyDescent="0.25">
      <c r="H6277" s="106"/>
      <c r="I6277" s="106"/>
    </row>
    <row r="6278" spans="8:9" x14ac:dyDescent="0.25">
      <c r="H6278" s="106"/>
      <c r="I6278" s="106"/>
    </row>
    <row r="6279" spans="8:9" x14ac:dyDescent="0.25">
      <c r="H6279" s="106"/>
      <c r="I6279" s="106"/>
    </row>
    <row r="6280" spans="8:9" x14ac:dyDescent="0.25">
      <c r="H6280" s="106"/>
      <c r="I6280" s="106"/>
    </row>
    <row r="6281" spans="8:9" x14ac:dyDescent="0.25">
      <c r="H6281" s="106"/>
      <c r="I6281" s="106"/>
    </row>
    <row r="6282" spans="8:9" x14ac:dyDescent="0.25">
      <c r="H6282" s="106"/>
      <c r="I6282" s="106"/>
    </row>
    <row r="6283" spans="8:9" x14ac:dyDescent="0.25">
      <c r="H6283" s="106"/>
      <c r="I6283" s="106"/>
    </row>
    <row r="6284" spans="8:9" x14ac:dyDescent="0.25">
      <c r="H6284" s="106"/>
      <c r="I6284" s="106"/>
    </row>
    <row r="6285" spans="8:9" x14ac:dyDescent="0.25">
      <c r="H6285" s="106"/>
      <c r="I6285" s="106"/>
    </row>
    <row r="6286" spans="8:9" x14ac:dyDescent="0.25">
      <c r="H6286" s="106"/>
      <c r="I6286" s="106"/>
    </row>
    <row r="6287" spans="8:9" x14ac:dyDescent="0.25">
      <c r="H6287" s="106"/>
      <c r="I6287" s="106"/>
    </row>
    <row r="6288" spans="8:9" x14ac:dyDescent="0.25">
      <c r="H6288" s="106"/>
      <c r="I6288" s="106"/>
    </row>
    <row r="6289" spans="8:9" x14ac:dyDescent="0.25">
      <c r="H6289" s="106"/>
      <c r="I6289" s="106"/>
    </row>
    <row r="6290" spans="8:9" x14ac:dyDescent="0.25">
      <c r="H6290" s="106"/>
      <c r="I6290" s="106"/>
    </row>
    <row r="6291" spans="8:9" x14ac:dyDescent="0.25">
      <c r="H6291" s="106"/>
      <c r="I6291" s="106"/>
    </row>
    <row r="6292" spans="8:9" x14ac:dyDescent="0.25">
      <c r="H6292" s="106"/>
      <c r="I6292" s="106"/>
    </row>
    <row r="6293" spans="8:9" x14ac:dyDescent="0.25">
      <c r="H6293" s="106"/>
      <c r="I6293" s="106"/>
    </row>
    <row r="6294" spans="8:9" x14ac:dyDescent="0.25">
      <c r="H6294" s="106"/>
      <c r="I6294" s="106"/>
    </row>
    <row r="6295" spans="8:9" x14ac:dyDescent="0.25">
      <c r="H6295" s="106"/>
      <c r="I6295" s="106"/>
    </row>
    <row r="6296" spans="8:9" x14ac:dyDescent="0.25">
      <c r="H6296" s="106"/>
      <c r="I6296" s="106"/>
    </row>
    <row r="6297" spans="8:9" x14ac:dyDescent="0.25">
      <c r="H6297" s="106"/>
      <c r="I6297" s="106"/>
    </row>
    <row r="6298" spans="8:9" x14ac:dyDescent="0.25">
      <c r="H6298" s="106"/>
      <c r="I6298" s="106"/>
    </row>
    <row r="6299" spans="8:9" x14ac:dyDescent="0.25">
      <c r="H6299" s="106"/>
      <c r="I6299" s="106"/>
    </row>
    <row r="6300" spans="8:9" x14ac:dyDescent="0.25">
      <c r="H6300" s="106"/>
      <c r="I6300" s="106"/>
    </row>
    <row r="6301" spans="8:9" x14ac:dyDescent="0.25">
      <c r="H6301" s="106"/>
      <c r="I6301" s="106"/>
    </row>
    <row r="6302" spans="8:9" x14ac:dyDescent="0.25">
      <c r="H6302" s="106"/>
      <c r="I6302" s="106"/>
    </row>
    <row r="6303" spans="8:9" x14ac:dyDescent="0.25">
      <c r="H6303" s="106"/>
      <c r="I6303" s="106"/>
    </row>
    <row r="6304" spans="8:9" x14ac:dyDescent="0.25">
      <c r="H6304" s="106"/>
      <c r="I6304" s="106"/>
    </row>
    <row r="6305" spans="8:9" x14ac:dyDescent="0.25">
      <c r="H6305" s="106"/>
      <c r="I6305" s="106"/>
    </row>
    <row r="6306" spans="8:9" x14ac:dyDescent="0.25">
      <c r="H6306" s="106"/>
      <c r="I6306" s="106"/>
    </row>
    <row r="6307" spans="8:9" x14ac:dyDescent="0.25">
      <c r="H6307" s="106"/>
      <c r="I6307" s="106"/>
    </row>
    <row r="6308" spans="8:9" x14ac:dyDescent="0.25">
      <c r="H6308" s="106"/>
      <c r="I6308" s="106"/>
    </row>
    <row r="6309" spans="8:9" x14ac:dyDescent="0.25">
      <c r="H6309" s="106"/>
      <c r="I6309" s="106"/>
    </row>
    <row r="6310" spans="8:9" x14ac:dyDescent="0.25">
      <c r="H6310" s="106"/>
      <c r="I6310" s="106"/>
    </row>
    <row r="6311" spans="8:9" x14ac:dyDescent="0.25">
      <c r="H6311" s="106"/>
      <c r="I6311" s="106"/>
    </row>
    <row r="6312" spans="8:9" x14ac:dyDescent="0.25">
      <c r="H6312" s="106"/>
      <c r="I6312" s="106"/>
    </row>
    <row r="6313" spans="8:9" x14ac:dyDescent="0.25">
      <c r="H6313" s="106"/>
      <c r="I6313" s="106"/>
    </row>
    <row r="6314" spans="8:9" x14ac:dyDescent="0.25">
      <c r="H6314" s="106"/>
      <c r="I6314" s="106"/>
    </row>
    <row r="6315" spans="8:9" x14ac:dyDescent="0.25">
      <c r="H6315" s="106"/>
      <c r="I6315" s="106"/>
    </row>
    <row r="6316" spans="8:9" x14ac:dyDescent="0.25">
      <c r="H6316" s="106"/>
      <c r="I6316" s="106"/>
    </row>
    <row r="6317" spans="8:9" x14ac:dyDescent="0.25">
      <c r="H6317" s="106"/>
      <c r="I6317" s="106"/>
    </row>
    <row r="6318" spans="8:9" x14ac:dyDescent="0.25">
      <c r="H6318" s="106"/>
      <c r="I6318" s="106"/>
    </row>
    <row r="6319" spans="8:9" x14ac:dyDescent="0.25">
      <c r="H6319" s="106"/>
      <c r="I6319" s="106"/>
    </row>
    <row r="6320" spans="8:9" x14ac:dyDescent="0.25">
      <c r="H6320" s="106"/>
      <c r="I6320" s="106"/>
    </row>
    <row r="6321" spans="8:9" x14ac:dyDescent="0.25">
      <c r="H6321" s="106"/>
      <c r="I6321" s="106"/>
    </row>
    <row r="6322" spans="8:9" x14ac:dyDescent="0.25">
      <c r="H6322" s="106"/>
      <c r="I6322" s="106"/>
    </row>
    <row r="6323" spans="8:9" x14ac:dyDescent="0.25">
      <c r="H6323" s="106"/>
      <c r="I6323" s="106"/>
    </row>
    <row r="6324" spans="8:9" x14ac:dyDescent="0.25">
      <c r="H6324" s="106"/>
      <c r="I6324" s="106"/>
    </row>
    <row r="6325" spans="8:9" x14ac:dyDescent="0.25">
      <c r="H6325" s="106"/>
      <c r="I6325" s="106"/>
    </row>
    <row r="6326" spans="8:9" x14ac:dyDescent="0.25">
      <c r="H6326" s="106"/>
      <c r="I6326" s="106"/>
    </row>
    <row r="6327" spans="8:9" x14ac:dyDescent="0.25">
      <c r="H6327" s="106"/>
      <c r="I6327" s="106"/>
    </row>
    <row r="6328" spans="8:9" x14ac:dyDescent="0.25">
      <c r="H6328" s="106"/>
      <c r="I6328" s="106"/>
    </row>
    <row r="6329" spans="8:9" x14ac:dyDescent="0.25">
      <c r="H6329" s="106"/>
      <c r="I6329" s="106"/>
    </row>
    <row r="6330" spans="8:9" x14ac:dyDescent="0.25">
      <c r="H6330" s="106"/>
      <c r="I6330" s="106"/>
    </row>
    <row r="6331" spans="8:9" x14ac:dyDescent="0.25">
      <c r="H6331" s="106"/>
      <c r="I6331" s="106"/>
    </row>
    <row r="6332" spans="8:9" x14ac:dyDescent="0.25">
      <c r="H6332" s="106"/>
      <c r="I6332" s="106"/>
    </row>
    <row r="6333" spans="8:9" x14ac:dyDescent="0.25">
      <c r="H6333" s="106"/>
      <c r="I6333" s="106"/>
    </row>
    <row r="6334" spans="8:9" x14ac:dyDescent="0.25">
      <c r="H6334" s="106"/>
      <c r="I6334" s="106"/>
    </row>
    <row r="6335" spans="8:9" x14ac:dyDescent="0.25">
      <c r="H6335" s="106"/>
      <c r="I6335" s="106"/>
    </row>
    <row r="6336" spans="8:9" x14ac:dyDescent="0.25">
      <c r="H6336" s="106"/>
      <c r="I6336" s="106"/>
    </row>
    <row r="6337" spans="8:9" x14ac:dyDescent="0.25">
      <c r="H6337" s="106"/>
      <c r="I6337" s="106"/>
    </row>
    <row r="6338" spans="8:9" x14ac:dyDescent="0.25">
      <c r="H6338" s="106"/>
      <c r="I6338" s="106"/>
    </row>
    <row r="6339" spans="8:9" x14ac:dyDescent="0.25">
      <c r="H6339" s="106"/>
      <c r="I6339" s="106"/>
    </row>
    <row r="6340" spans="8:9" x14ac:dyDescent="0.25">
      <c r="H6340" s="106"/>
      <c r="I6340" s="106"/>
    </row>
    <row r="6341" spans="8:9" x14ac:dyDescent="0.25">
      <c r="H6341" s="106"/>
      <c r="I6341" s="106"/>
    </row>
    <row r="6342" spans="8:9" x14ac:dyDescent="0.25">
      <c r="H6342" s="106"/>
      <c r="I6342" s="106"/>
    </row>
    <row r="6343" spans="8:9" x14ac:dyDescent="0.25">
      <c r="H6343" s="106"/>
      <c r="I6343" s="106"/>
    </row>
    <row r="6344" spans="8:9" x14ac:dyDescent="0.25">
      <c r="H6344" s="106"/>
      <c r="I6344" s="106"/>
    </row>
    <row r="6345" spans="8:9" x14ac:dyDescent="0.25">
      <c r="H6345" s="106"/>
      <c r="I6345" s="106"/>
    </row>
    <row r="6346" spans="8:9" x14ac:dyDescent="0.25">
      <c r="H6346" s="106"/>
      <c r="I6346" s="106"/>
    </row>
    <row r="6347" spans="8:9" x14ac:dyDescent="0.25">
      <c r="H6347" s="106"/>
      <c r="I6347" s="106"/>
    </row>
    <row r="6348" spans="8:9" x14ac:dyDescent="0.25">
      <c r="H6348" s="106"/>
      <c r="I6348" s="106"/>
    </row>
    <row r="6349" spans="8:9" x14ac:dyDescent="0.25">
      <c r="H6349" s="106"/>
      <c r="I6349" s="106"/>
    </row>
    <row r="6350" spans="8:9" x14ac:dyDescent="0.25">
      <c r="H6350" s="106"/>
      <c r="I6350" s="106"/>
    </row>
    <row r="6351" spans="8:9" x14ac:dyDescent="0.25">
      <c r="H6351" s="106"/>
      <c r="I6351" s="106"/>
    </row>
    <row r="6352" spans="8:9" x14ac:dyDescent="0.25">
      <c r="H6352" s="106"/>
      <c r="I6352" s="106"/>
    </row>
    <row r="6353" spans="8:9" x14ac:dyDescent="0.25">
      <c r="H6353" s="106"/>
      <c r="I6353" s="106"/>
    </row>
    <row r="6354" spans="8:9" x14ac:dyDescent="0.25">
      <c r="H6354" s="106"/>
      <c r="I6354" s="106"/>
    </row>
    <row r="6355" spans="8:9" x14ac:dyDescent="0.25">
      <c r="H6355" s="106"/>
      <c r="I6355" s="106"/>
    </row>
    <row r="6356" spans="8:9" x14ac:dyDescent="0.25">
      <c r="H6356" s="106"/>
      <c r="I6356" s="106"/>
    </row>
    <row r="6357" spans="8:9" x14ac:dyDescent="0.25">
      <c r="H6357" s="106"/>
      <c r="I6357" s="106"/>
    </row>
    <row r="6358" spans="8:9" x14ac:dyDescent="0.25">
      <c r="H6358" s="106"/>
      <c r="I6358" s="106"/>
    </row>
    <row r="6359" spans="8:9" x14ac:dyDescent="0.25">
      <c r="H6359" s="106"/>
      <c r="I6359" s="106"/>
    </row>
    <row r="6360" spans="8:9" x14ac:dyDescent="0.25">
      <c r="H6360" s="106"/>
      <c r="I6360" s="106"/>
    </row>
    <row r="6361" spans="8:9" x14ac:dyDescent="0.25">
      <c r="H6361" s="106"/>
      <c r="I6361" s="106"/>
    </row>
    <row r="6362" spans="8:9" x14ac:dyDescent="0.25">
      <c r="H6362" s="106"/>
      <c r="I6362" s="106"/>
    </row>
    <row r="6363" spans="8:9" x14ac:dyDescent="0.25">
      <c r="H6363" s="106"/>
      <c r="I6363" s="106"/>
    </row>
    <row r="6364" spans="8:9" x14ac:dyDescent="0.25">
      <c r="H6364" s="106"/>
      <c r="I6364" s="106"/>
    </row>
    <row r="6365" spans="8:9" x14ac:dyDescent="0.25">
      <c r="H6365" s="106"/>
      <c r="I6365" s="106"/>
    </row>
    <row r="6366" spans="8:9" x14ac:dyDescent="0.25">
      <c r="H6366" s="106"/>
      <c r="I6366" s="106"/>
    </row>
    <row r="6367" spans="8:9" x14ac:dyDescent="0.25">
      <c r="H6367" s="106"/>
      <c r="I6367" s="106"/>
    </row>
    <row r="6368" spans="8:9" x14ac:dyDescent="0.25">
      <c r="H6368" s="106"/>
      <c r="I6368" s="106"/>
    </row>
    <row r="6369" spans="8:9" x14ac:dyDescent="0.25">
      <c r="H6369" s="106"/>
      <c r="I6369" s="106"/>
    </row>
    <row r="6370" spans="8:9" x14ac:dyDescent="0.25">
      <c r="H6370" s="106"/>
      <c r="I6370" s="106"/>
    </row>
    <row r="6371" spans="8:9" x14ac:dyDescent="0.25">
      <c r="H6371" s="106"/>
      <c r="I6371" s="106"/>
    </row>
    <row r="6372" spans="8:9" x14ac:dyDescent="0.25">
      <c r="H6372" s="106"/>
      <c r="I6372" s="106"/>
    </row>
    <row r="6373" spans="8:9" x14ac:dyDescent="0.25">
      <c r="H6373" s="106"/>
      <c r="I6373" s="106"/>
    </row>
    <row r="6374" spans="8:9" x14ac:dyDescent="0.25">
      <c r="H6374" s="106"/>
      <c r="I6374" s="106"/>
    </row>
    <row r="6375" spans="8:9" x14ac:dyDescent="0.25">
      <c r="H6375" s="106"/>
      <c r="I6375" s="106"/>
    </row>
    <row r="6376" spans="8:9" x14ac:dyDescent="0.25">
      <c r="H6376" s="106"/>
      <c r="I6376" s="106"/>
    </row>
    <row r="6377" spans="8:9" x14ac:dyDescent="0.25">
      <c r="H6377" s="106"/>
      <c r="I6377" s="106"/>
    </row>
    <row r="6378" spans="8:9" x14ac:dyDescent="0.25">
      <c r="H6378" s="106"/>
      <c r="I6378" s="106"/>
    </row>
    <row r="6379" spans="8:9" x14ac:dyDescent="0.25">
      <c r="H6379" s="106"/>
      <c r="I6379" s="106"/>
    </row>
    <row r="6380" spans="8:9" x14ac:dyDescent="0.25">
      <c r="H6380" s="106"/>
      <c r="I6380" s="106"/>
    </row>
    <row r="6381" spans="8:9" x14ac:dyDescent="0.25">
      <c r="H6381" s="106"/>
      <c r="I6381" s="106"/>
    </row>
    <row r="6382" spans="8:9" x14ac:dyDescent="0.25">
      <c r="H6382" s="106"/>
      <c r="I6382" s="106"/>
    </row>
    <row r="6383" spans="8:9" x14ac:dyDescent="0.25">
      <c r="H6383" s="106"/>
      <c r="I6383" s="106"/>
    </row>
    <row r="6384" spans="8:9" x14ac:dyDescent="0.25">
      <c r="H6384" s="106"/>
      <c r="I6384" s="106"/>
    </row>
    <row r="6385" spans="8:9" x14ac:dyDescent="0.25">
      <c r="H6385" s="106"/>
      <c r="I6385" s="106"/>
    </row>
    <row r="6386" spans="8:9" x14ac:dyDescent="0.25">
      <c r="H6386" s="106"/>
      <c r="I6386" s="106"/>
    </row>
    <row r="6387" spans="8:9" x14ac:dyDescent="0.25">
      <c r="H6387" s="106"/>
      <c r="I6387" s="106"/>
    </row>
    <row r="6388" spans="8:9" x14ac:dyDescent="0.25">
      <c r="H6388" s="106"/>
      <c r="I6388" s="106"/>
    </row>
    <row r="6389" spans="8:9" x14ac:dyDescent="0.25">
      <c r="H6389" s="106"/>
      <c r="I6389" s="106"/>
    </row>
    <row r="6390" spans="8:9" x14ac:dyDescent="0.25">
      <c r="H6390" s="106"/>
      <c r="I6390" s="106"/>
    </row>
    <row r="6391" spans="8:9" x14ac:dyDescent="0.25">
      <c r="H6391" s="106"/>
      <c r="I6391" s="106"/>
    </row>
    <row r="6392" spans="8:9" x14ac:dyDescent="0.25">
      <c r="H6392" s="106"/>
      <c r="I6392" s="106"/>
    </row>
    <row r="6393" spans="8:9" x14ac:dyDescent="0.25">
      <c r="H6393" s="106"/>
      <c r="I6393" s="106"/>
    </row>
    <row r="6394" spans="8:9" x14ac:dyDescent="0.25">
      <c r="H6394" s="106"/>
      <c r="I6394" s="106"/>
    </row>
    <row r="6395" spans="8:9" x14ac:dyDescent="0.25">
      <c r="H6395" s="106"/>
      <c r="I6395" s="106"/>
    </row>
    <row r="6396" spans="8:9" x14ac:dyDescent="0.25">
      <c r="H6396" s="106"/>
      <c r="I6396" s="106"/>
    </row>
    <row r="6397" spans="8:9" x14ac:dyDescent="0.25">
      <c r="H6397" s="106"/>
      <c r="I6397" s="106"/>
    </row>
    <row r="6398" spans="8:9" x14ac:dyDescent="0.25">
      <c r="H6398" s="106"/>
      <c r="I6398" s="106"/>
    </row>
    <row r="6399" spans="8:9" x14ac:dyDescent="0.25">
      <c r="H6399" s="106"/>
      <c r="I6399" s="106"/>
    </row>
    <row r="6400" spans="8:9" x14ac:dyDescent="0.25">
      <c r="H6400" s="106"/>
      <c r="I6400" s="106"/>
    </row>
    <row r="6401" spans="8:9" x14ac:dyDescent="0.25">
      <c r="H6401" s="106"/>
      <c r="I6401" s="106"/>
    </row>
    <row r="6402" spans="8:9" x14ac:dyDescent="0.25">
      <c r="H6402" s="106"/>
      <c r="I6402" s="106"/>
    </row>
    <row r="6403" spans="8:9" x14ac:dyDescent="0.25">
      <c r="H6403" s="106"/>
      <c r="I6403" s="106"/>
    </row>
    <row r="6404" spans="8:9" x14ac:dyDescent="0.25">
      <c r="H6404" s="106"/>
      <c r="I6404" s="106"/>
    </row>
    <row r="6405" spans="8:9" x14ac:dyDescent="0.25">
      <c r="H6405" s="106"/>
      <c r="I6405" s="106"/>
    </row>
    <row r="6406" spans="8:9" x14ac:dyDescent="0.25">
      <c r="H6406" s="106"/>
      <c r="I6406" s="106"/>
    </row>
    <row r="6407" spans="8:9" x14ac:dyDescent="0.25">
      <c r="H6407" s="106"/>
      <c r="I6407" s="106"/>
    </row>
    <row r="6408" spans="8:9" x14ac:dyDescent="0.25">
      <c r="H6408" s="106"/>
      <c r="I6408" s="106"/>
    </row>
    <row r="6409" spans="8:9" x14ac:dyDescent="0.25">
      <c r="H6409" s="106"/>
      <c r="I6409" s="106"/>
    </row>
    <row r="6410" spans="8:9" x14ac:dyDescent="0.25">
      <c r="H6410" s="106"/>
      <c r="I6410" s="106"/>
    </row>
    <row r="6411" spans="8:9" x14ac:dyDescent="0.25">
      <c r="H6411" s="106"/>
      <c r="I6411" s="106"/>
    </row>
    <row r="6412" spans="8:9" x14ac:dyDescent="0.25">
      <c r="H6412" s="106"/>
      <c r="I6412" s="106"/>
    </row>
    <row r="6413" spans="8:9" x14ac:dyDescent="0.25">
      <c r="H6413" s="106"/>
      <c r="I6413" s="106"/>
    </row>
    <row r="6414" spans="8:9" x14ac:dyDescent="0.25">
      <c r="H6414" s="106"/>
      <c r="I6414" s="106"/>
    </row>
    <row r="6415" spans="8:9" x14ac:dyDescent="0.25">
      <c r="H6415" s="106"/>
      <c r="I6415" s="106"/>
    </row>
    <row r="6416" spans="8:9" x14ac:dyDescent="0.25">
      <c r="H6416" s="106"/>
      <c r="I6416" s="106"/>
    </row>
    <row r="6417" spans="8:9" x14ac:dyDescent="0.25">
      <c r="H6417" s="106"/>
      <c r="I6417" s="106"/>
    </row>
    <row r="6418" spans="8:9" x14ac:dyDescent="0.25">
      <c r="H6418" s="106"/>
      <c r="I6418" s="106"/>
    </row>
    <row r="6419" spans="8:9" x14ac:dyDescent="0.25">
      <c r="H6419" s="106"/>
      <c r="I6419" s="106"/>
    </row>
    <row r="6420" spans="8:9" x14ac:dyDescent="0.25">
      <c r="H6420" s="106"/>
      <c r="I6420" s="106"/>
    </row>
    <row r="6421" spans="8:9" x14ac:dyDescent="0.25">
      <c r="H6421" s="106"/>
      <c r="I6421" s="106"/>
    </row>
    <row r="6422" spans="8:9" x14ac:dyDescent="0.25">
      <c r="H6422" s="106"/>
      <c r="I6422" s="106"/>
    </row>
    <row r="6423" spans="8:9" x14ac:dyDescent="0.25">
      <c r="H6423" s="106"/>
      <c r="I6423" s="106"/>
    </row>
    <row r="6424" spans="8:9" x14ac:dyDescent="0.25">
      <c r="H6424" s="106"/>
      <c r="I6424" s="106"/>
    </row>
    <row r="6425" spans="8:9" x14ac:dyDescent="0.25">
      <c r="H6425" s="106"/>
      <c r="I6425" s="106"/>
    </row>
    <row r="6426" spans="8:9" x14ac:dyDescent="0.25">
      <c r="H6426" s="106"/>
      <c r="I6426" s="106"/>
    </row>
    <row r="6427" spans="8:9" x14ac:dyDescent="0.25">
      <c r="H6427" s="106"/>
      <c r="I6427" s="106"/>
    </row>
    <row r="6428" spans="8:9" x14ac:dyDescent="0.25">
      <c r="H6428" s="106"/>
      <c r="I6428" s="106"/>
    </row>
    <row r="6429" spans="8:9" x14ac:dyDescent="0.25">
      <c r="H6429" s="106"/>
      <c r="I6429" s="106"/>
    </row>
    <row r="6430" spans="8:9" x14ac:dyDescent="0.25">
      <c r="H6430" s="106"/>
      <c r="I6430" s="106"/>
    </row>
    <row r="6431" spans="8:9" x14ac:dyDescent="0.25">
      <c r="H6431" s="106"/>
      <c r="I6431" s="106"/>
    </row>
    <row r="6432" spans="8:9" x14ac:dyDescent="0.25">
      <c r="H6432" s="106"/>
      <c r="I6432" s="106"/>
    </row>
    <row r="6433" spans="8:9" x14ac:dyDescent="0.25">
      <c r="H6433" s="106"/>
      <c r="I6433" s="106"/>
    </row>
    <row r="6434" spans="8:9" x14ac:dyDescent="0.25">
      <c r="H6434" s="106"/>
      <c r="I6434" s="106"/>
    </row>
    <row r="6435" spans="8:9" x14ac:dyDescent="0.25">
      <c r="H6435" s="106"/>
      <c r="I6435" s="106"/>
    </row>
    <row r="6436" spans="8:9" x14ac:dyDescent="0.25">
      <c r="H6436" s="106"/>
      <c r="I6436" s="106"/>
    </row>
    <row r="6437" spans="8:9" x14ac:dyDescent="0.25">
      <c r="H6437" s="106"/>
      <c r="I6437" s="106"/>
    </row>
    <row r="6438" spans="8:9" x14ac:dyDescent="0.25">
      <c r="H6438" s="106"/>
      <c r="I6438" s="106"/>
    </row>
    <row r="6439" spans="8:9" x14ac:dyDescent="0.25">
      <c r="H6439" s="106"/>
      <c r="I6439" s="106"/>
    </row>
    <row r="6440" spans="8:9" x14ac:dyDescent="0.25">
      <c r="H6440" s="106"/>
      <c r="I6440" s="106"/>
    </row>
    <row r="6441" spans="8:9" x14ac:dyDescent="0.25">
      <c r="H6441" s="106"/>
      <c r="I6441" s="10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1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3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8" spans="1:31" x14ac:dyDescent="0.25">
      <c r="A8" t="s">
        <v>56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  <c r="AC8">
        <v>12</v>
      </c>
      <c r="AD8">
        <v>12</v>
      </c>
      <c r="AE8">
        <v>12</v>
      </c>
    </row>
    <row r="9" spans="1:31" x14ac:dyDescent="0.25">
      <c r="A9" t="s">
        <v>82</v>
      </c>
    </row>
    <row r="10" spans="1:31" x14ac:dyDescent="0.25">
      <c r="A10" t="s">
        <v>57</v>
      </c>
      <c r="B10">
        <v>29.171900000000001</v>
      </c>
      <c r="C10">
        <v>157.6474</v>
      </c>
      <c r="D10">
        <v>255.61</v>
      </c>
      <c r="E10">
        <v>373.28100000000001</v>
      </c>
      <c r="F10">
        <v>483.25990000000002</v>
      </c>
      <c r="G10">
        <v>889.63139999999999</v>
      </c>
      <c r="H10">
        <v>1178.53</v>
      </c>
      <c r="I10">
        <v>1464.81</v>
      </c>
      <c r="J10">
        <v>1598.5429999999999</v>
      </c>
      <c r="K10">
        <v>1924.1582000000001</v>
      </c>
      <c r="L10">
        <v>2888.7903999999999</v>
      </c>
      <c r="M10">
        <v>4461.6552000000001</v>
      </c>
      <c r="N10">
        <v>7005.3150999999998</v>
      </c>
      <c r="O10">
        <v>10835.4856</v>
      </c>
      <c r="P10">
        <v>11638.021500000001</v>
      </c>
      <c r="Q10">
        <v>15154.8058</v>
      </c>
      <c r="R10">
        <v>21994.647400000002</v>
      </c>
      <c r="S10">
        <v>27182.574400000001</v>
      </c>
      <c r="T10">
        <v>30641.1554</v>
      </c>
      <c r="U10">
        <v>35478.597699999998</v>
      </c>
      <c r="V10">
        <v>40988.036399999997</v>
      </c>
      <c r="W10">
        <v>44542.157899999998</v>
      </c>
      <c r="X10">
        <v>45780.312299999998</v>
      </c>
      <c r="Y10">
        <v>54985.770700000001</v>
      </c>
      <c r="Z10">
        <v>62635.157399999996</v>
      </c>
      <c r="AA10">
        <v>63346.232100000001</v>
      </c>
      <c r="AB10">
        <v>67376.829599999997</v>
      </c>
      <c r="AC10">
        <v>85163.765599999999</v>
      </c>
      <c r="AD10">
        <v>109368.6327</v>
      </c>
      <c r="AE10">
        <v>122677.0401</v>
      </c>
    </row>
    <row r="11" spans="1:31" x14ac:dyDescent="0.25">
      <c r="A11" t="s">
        <v>3</v>
      </c>
      <c r="B11">
        <v>1.8346</v>
      </c>
      <c r="C11">
        <v>24.102900000000002</v>
      </c>
      <c r="D11">
        <v>60.899099999999997</v>
      </c>
      <c r="E11">
        <v>46.628700000000002</v>
      </c>
      <c r="F11">
        <v>91.165899999999993</v>
      </c>
      <c r="G11">
        <v>163.0001</v>
      </c>
      <c r="H11">
        <v>415.87</v>
      </c>
      <c r="I11">
        <v>410.47</v>
      </c>
      <c r="J11">
        <v>540.14559999999994</v>
      </c>
      <c r="K11">
        <v>415.81959999999998</v>
      </c>
      <c r="L11">
        <v>729.63440000000003</v>
      </c>
      <c r="M11">
        <v>1010.1113</v>
      </c>
      <c r="N11">
        <v>1795.4888000000001</v>
      </c>
      <c r="O11">
        <v>2896.8780999999999</v>
      </c>
      <c r="P11">
        <v>3945.7819</v>
      </c>
      <c r="Q11">
        <v>4632.1337999999996</v>
      </c>
      <c r="R11">
        <v>5420.2163</v>
      </c>
      <c r="S11">
        <v>6551.1063000000004</v>
      </c>
      <c r="T11">
        <v>7405.2246999999998</v>
      </c>
      <c r="U11">
        <v>8365.0457999999999</v>
      </c>
      <c r="V11">
        <v>9371.4644000000008</v>
      </c>
      <c r="W11">
        <v>11691.3107</v>
      </c>
      <c r="X11">
        <v>10967.086499999999</v>
      </c>
      <c r="Y11">
        <v>13130.339400000001</v>
      </c>
      <c r="Z11">
        <v>15536.5607</v>
      </c>
      <c r="AA11">
        <v>12263.5985</v>
      </c>
      <c r="AB11">
        <v>15220.5453</v>
      </c>
      <c r="AC11">
        <v>16143.4195</v>
      </c>
      <c r="AD11">
        <v>22441.9552</v>
      </c>
      <c r="AE11">
        <v>25257.056199999999</v>
      </c>
    </row>
    <row r="12" spans="1:31" x14ac:dyDescent="0.25">
      <c r="A12" t="s">
        <v>58</v>
      </c>
      <c r="B12">
        <v>31.006499999999999</v>
      </c>
      <c r="C12">
        <v>181.75030000000001</v>
      </c>
      <c r="D12">
        <v>316.50909999999999</v>
      </c>
      <c r="E12">
        <v>419.90969999999999</v>
      </c>
      <c r="F12">
        <v>574.42579999999998</v>
      </c>
      <c r="G12">
        <v>1052.6315</v>
      </c>
      <c r="H12">
        <v>1594.4</v>
      </c>
      <c r="I12">
        <v>1875.28</v>
      </c>
      <c r="J12">
        <v>2138.6886</v>
      </c>
      <c r="K12">
        <v>2339.9778000000001</v>
      </c>
      <c r="L12">
        <v>3618.4247999999998</v>
      </c>
      <c r="M12">
        <v>5471.7664999999997</v>
      </c>
      <c r="N12">
        <v>8800.8039000000008</v>
      </c>
      <c r="O12">
        <v>13732.3637</v>
      </c>
      <c r="P12">
        <v>15583.803400000001</v>
      </c>
      <c r="Q12">
        <v>19786.939600000002</v>
      </c>
      <c r="R12">
        <v>27414.863700000002</v>
      </c>
      <c r="S12">
        <v>33733.680699999997</v>
      </c>
      <c r="T12">
        <v>38046.380100000002</v>
      </c>
      <c r="U12">
        <v>43843.643499999998</v>
      </c>
      <c r="V12">
        <v>50359.500800000002</v>
      </c>
      <c r="W12">
        <v>56233.4686</v>
      </c>
      <c r="X12">
        <v>56747.398800000003</v>
      </c>
      <c r="Y12">
        <v>68116.110100000005</v>
      </c>
      <c r="Z12">
        <v>78171.718099999998</v>
      </c>
      <c r="AA12">
        <v>75609.830600000001</v>
      </c>
      <c r="AB12">
        <v>82597.374899999995</v>
      </c>
      <c r="AC12">
        <v>101307.1851</v>
      </c>
      <c r="AD12">
        <v>131810.58790000001</v>
      </c>
      <c r="AE12">
        <v>147934.0963</v>
      </c>
    </row>
    <row r="13" spans="1:31" x14ac:dyDescent="0.25">
      <c r="A13" t="s">
        <v>83</v>
      </c>
    </row>
    <row r="14" spans="1:31" x14ac:dyDescent="0.25">
      <c r="A14" t="s">
        <v>59</v>
      </c>
      <c r="B14">
        <v>14.0985</v>
      </c>
      <c r="C14">
        <v>122.0736</v>
      </c>
      <c r="D14">
        <v>222.18979999999999</v>
      </c>
      <c r="E14">
        <v>300.63279999999997</v>
      </c>
      <c r="F14">
        <v>392.85640000000001</v>
      </c>
      <c r="G14">
        <v>791.36379999999997</v>
      </c>
      <c r="H14">
        <v>980</v>
      </c>
      <c r="I14">
        <v>1142.4100000000001</v>
      </c>
      <c r="J14">
        <v>1021.4487</v>
      </c>
      <c r="K14">
        <v>1192.9808</v>
      </c>
      <c r="L14">
        <v>1810.556</v>
      </c>
      <c r="M14">
        <v>2993.3172</v>
      </c>
      <c r="N14">
        <v>4419.9616999999998</v>
      </c>
      <c r="O14">
        <v>7149.2741999999998</v>
      </c>
      <c r="P14">
        <v>6633.5261</v>
      </c>
      <c r="Q14">
        <v>8591.8230000000003</v>
      </c>
      <c r="R14">
        <v>13976.902400000001</v>
      </c>
      <c r="S14">
        <v>17516.311099999999</v>
      </c>
      <c r="T14">
        <v>18689.522000000001</v>
      </c>
      <c r="U14">
        <v>21254.459500000001</v>
      </c>
      <c r="V14">
        <v>24155.067500000001</v>
      </c>
      <c r="W14">
        <v>26449.042000000001</v>
      </c>
      <c r="X14">
        <v>27162.5818</v>
      </c>
      <c r="Y14">
        <v>33277.597000000002</v>
      </c>
      <c r="Z14">
        <v>37428.953800000003</v>
      </c>
      <c r="AA14">
        <v>34107.1103</v>
      </c>
      <c r="AB14">
        <v>34244.613100000002</v>
      </c>
      <c r="AC14">
        <v>42218.021200000003</v>
      </c>
      <c r="AD14">
        <v>59474.145900000003</v>
      </c>
      <c r="AE14">
        <v>68329.2212</v>
      </c>
    </row>
    <row r="15" spans="1:31" x14ac:dyDescent="0.25">
      <c r="A15" t="s">
        <v>60</v>
      </c>
      <c r="B15">
        <v>7.8484999999999996</v>
      </c>
      <c r="C15">
        <v>26.697099999999999</v>
      </c>
      <c r="D15">
        <v>39.755800000000001</v>
      </c>
      <c r="E15">
        <v>51.026200000000003</v>
      </c>
      <c r="F15">
        <v>65.400899999999993</v>
      </c>
      <c r="G15">
        <v>128.7637</v>
      </c>
      <c r="H15">
        <v>207.12</v>
      </c>
      <c r="I15">
        <v>322.85000000000002</v>
      </c>
      <c r="J15">
        <v>419.20549999999997</v>
      </c>
      <c r="K15">
        <v>581.37890000000004</v>
      </c>
      <c r="L15">
        <v>814.05070000000001</v>
      </c>
      <c r="M15">
        <v>1214.5984000000001</v>
      </c>
      <c r="N15">
        <v>2154.9268999999999</v>
      </c>
      <c r="O15">
        <v>2858.2127</v>
      </c>
      <c r="P15">
        <v>3709.7222999999999</v>
      </c>
      <c r="Q15">
        <v>4779.4281000000001</v>
      </c>
      <c r="R15">
        <v>6007.0995000000003</v>
      </c>
      <c r="S15">
        <v>6914.2375000000002</v>
      </c>
      <c r="T15">
        <v>7900.7739000000001</v>
      </c>
      <c r="U15">
        <v>9203.7456000000002</v>
      </c>
      <c r="V15">
        <v>10100.818600000001</v>
      </c>
      <c r="W15">
        <v>12199.9053</v>
      </c>
      <c r="X15">
        <v>13990.3398</v>
      </c>
      <c r="Y15">
        <v>15833.4077</v>
      </c>
      <c r="Z15">
        <v>17304.624299999999</v>
      </c>
      <c r="AA15">
        <v>18375.149099999999</v>
      </c>
      <c r="AB15">
        <v>23610.754300000001</v>
      </c>
      <c r="AC15">
        <v>39298.537700000001</v>
      </c>
      <c r="AD15">
        <v>35213.284</v>
      </c>
      <c r="AE15">
        <v>37499.942799999997</v>
      </c>
    </row>
    <row r="16" spans="1:31" x14ac:dyDescent="0.25">
      <c r="A16" t="s">
        <v>2</v>
      </c>
      <c r="B16">
        <v>3.077</v>
      </c>
      <c r="C16">
        <v>17.758700000000001</v>
      </c>
      <c r="D16">
        <v>25.206800000000001</v>
      </c>
      <c r="E16">
        <v>21.970700000000001</v>
      </c>
      <c r="F16">
        <v>37.493200000000002</v>
      </c>
      <c r="G16">
        <v>28.051300000000001</v>
      </c>
      <c r="H16">
        <v>193.91</v>
      </c>
      <c r="I16">
        <v>108.73</v>
      </c>
      <c r="J16">
        <v>268.67239999999998</v>
      </c>
      <c r="K16">
        <v>51.010399999999997</v>
      </c>
      <c r="L16">
        <v>262.38440000000003</v>
      </c>
      <c r="M16">
        <v>267.36259999999999</v>
      </c>
      <c r="N16">
        <v>579.41629999999998</v>
      </c>
      <c r="O16">
        <v>939.39840000000004</v>
      </c>
      <c r="P16">
        <v>1388.8416999999999</v>
      </c>
      <c r="Q16">
        <v>1279.2779</v>
      </c>
      <c r="R16">
        <v>1142.6664000000001</v>
      </c>
      <c r="S16">
        <v>1750.0591999999999</v>
      </c>
      <c r="T16">
        <v>2107.0376000000001</v>
      </c>
      <c r="U16">
        <v>2327.6761000000001</v>
      </c>
      <c r="V16">
        <v>3709.9119000000001</v>
      </c>
      <c r="W16">
        <v>12116.962100000001</v>
      </c>
      <c r="X16">
        <v>15472.9059</v>
      </c>
      <c r="Y16">
        <v>12031.017099999999</v>
      </c>
      <c r="Z16">
        <v>18533.9146</v>
      </c>
      <c r="AA16">
        <v>14321.720600000001</v>
      </c>
      <c r="AB16">
        <v>7359.4490999999998</v>
      </c>
      <c r="AC16">
        <v>2884.7777000000001</v>
      </c>
      <c r="AD16">
        <v>4063.0947999999999</v>
      </c>
      <c r="AE16">
        <v>7758.3504000000003</v>
      </c>
    </row>
    <row r="17" spans="1:31" x14ac:dyDescent="0.25">
      <c r="A17" t="s">
        <v>62</v>
      </c>
      <c r="B17">
        <v>5.9824999999999999</v>
      </c>
      <c r="C17">
        <v>15.2209</v>
      </c>
      <c r="D17">
        <v>29.3567</v>
      </c>
      <c r="E17">
        <v>46.28</v>
      </c>
      <c r="F17">
        <v>78.675299999999993</v>
      </c>
      <c r="G17">
        <v>104.45269999999999</v>
      </c>
      <c r="H17">
        <v>213.3700000000002</v>
      </c>
      <c r="I17">
        <v>301.28999999999974</v>
      </c>
      <c r="J17">
        <v>429.36200000000002</v>
      </c>
      <c r="K17">
        <v>514.60770000000002</v>
      </c>
      <c r="L17">
        <v>731.43370000000004</v>
      </c>
      <c r="M17">
        <v>996.48829999999998</v>
      </c>
      <c r="N17">
        <v>1646.499</v>
      </c>
      <c r="O17">
        <v>2785.4784</v>
      </c>
      <c r="P17">
        <v>3851.7132999999999</v>
      </c>
      <c r="Q17">
        <v>5136.4106000000002</v>
      </c>
      <c r="R17">
        <v>6288.1953999999996</v>
      </c>
      <c r="S17">
        <v>7553.0729000000001</v>
      </c>
      <c r="T17">
        <v>9349.0465999999997</v>
      </c>
      <c r="U17">
        <v>11057.7623</v>
      </c>
      <c r="V17">
        <v>12393.702799999999</v>
      </c>
      <c r="W17">
        <v>5467.5591999999997</v>
      </c>
      <c r="X17">
        <v>121.57129999999999</v>
      </c>
      <c r="Y17">
        <v>6974.0883000000003</v>
      </c>
      <c r="Z17">
        <v>4904.2254000000003</v>
      </c>
      <c r="AA17">
        <v>8805.8505999999998</v>
      </c>
      <c r="AB17">
        <v>17382.558400000002</v>
      </c>
      <c r="AC17">
        <v>16905.8485</v>
      </c>
      <c r="AD17">
        <v>33060.063199999997</v>
      </c>
      <c r="AE17">
        <v>34346.581899999997</v>
      </c>
    </row>
    <row r="18" spans="1:31" x14ac:dyDescent="0.25">
      <c r="A18" t="s">
        <v>61</v>
      </c>
      <c r="B18">
        <v>3.6732999999999998</v>
      </c>
      <c r="C18">
        <v>0</v>
      </c>
      <c r="D18">
        <v>11.739800000000001</v>
      </c>
      <c r="E18">
        <v>15.21</v>
      </c>
      <c r="F18">
        <v>27.75</v>
      </c>
      <c r="G18">
        <v>18.329999999999998</v>
      </c>
      <c r="H18">
        <v>79.23</v>
      </c>
      <c r="I18">
        <v>109.11</v>
      </c>
      <c r="J18">
        <v>151.05000000000001</v>
      </c>
      <c r="K18">
        <v>180.03</v>
      </c>
      <c r="L18">
        <v>246.35</v>
      </c>
      <c r="M18">
        <v>337.46</v>
      </c>
      <c r="N18">
        <v>575.47</v>
      </c>
      <c r="O18">
        <v>970.12</v>
      </c>
      <c r="P18">
        <v>1337.18</v>
      </c>
      <c r="Q18">
        <v>1747.92</v>
      </c>
      <c r="R18">
        <v>2045.99</v>
      </c>
      <c r="S18">
        <v>2373.64</v>
      </c>
      <c r="T18">
        <v>3131.38</v>
      </c>
      <c r="U18">
        <v>3699.94</v>
      </c>
      <c r="V18">
        <v>4170.04</v>
      </c>
      <c r="W18">
        <v>1788.28</v>
      </c>
      <c r="X18">
        <v>-154.11000000000001</v>
      </c>
      <c r="Y18">
        <v>2297.48</v>
      </c>
      <c r="Z18">
        <v>3277.01</v>
      </c>
      <c r="AA18">
        <v>2217.35</v>
      </c>
      <c r="AB18">
        <v>4357.08</v>
      </c>
      <c r="AC18">
        <v>7326.17</v>
      </c>
      <c r="AD18">
        <v>8198.6299999999992</v>
      </c>
      <c r="AE18">
        <v>7973.1</v>
      </c>
    </row>
    <row r="19" spans="1:31" x14ac:dyDescent="0.25">
      <c r="A19" t="s">
        <v>63</v>
      </c>
      <c r="B19">
        <v>28.697299999999998</v>
      </c>
      <c r="C19">
        <v>166.52940000000001</v>
      </c>
      <c r="D19">
        <v>298.8922</v>
      </c>
      <c r="E19">
        <v>388.83969999999999</v>
      </c>
      <c r="F19">
        <v>523.50049999999999</v>
      </c>
      <c r="G19">
        <v>966.50879999999995</v>
      </c>
      <c r="H19">
        <v>1460.26</v>
      </c>
      <c r="I19">
        <v>1683.1</v>
      </c>
      <c r="J19">
        <v>1860.3766000000001</v>
      </c>
      <c r="K19">
        <v>2005.4001000000001</v>
      </c>
      <c r="L19">
        <v>3133.3411000000001</v>
      </c>
      <c r="M19">
        <v>4812.7381999999998</v>
      </c>
      <c r="N19">
        <v>7729.7749000000003</v>
      </c>
      <c r="O19">
        <v>11917.005300000001</v>
      </c>
      <c r="P19">
        <v>13069.2701</v>
      </c>
      <c r="Q19">
        <v>16398.449000000001</v>
      </c>
      <c r="R19">
        <v>23172.658299999999</v>
      </c>
      <c r="S19">
        <v>28554.247800000001</v>
      </c>
      <c r="T19">
        <v>31828.713500000002</v>
      </c>
      <c r="U19">
        <v>36485.821199999998</v>
      </c>
      <c r="V19">
        <v>42135.838000000003</v>
      </c>
      <c r="W19">
        <v>52554.189400000003</v>
      </c>
      <c r="X19">
        <v>56471.717499999999</v>
      </c>
      <c r="Y19">
        <v>63439.501799999998</v>
      </c>
      <c r="Z19">
        <v>76544.502699999997</v>
      </c>
      <c r="AA19">
        <v>69021.33</v>
      </c>
      <c r="AB19">
        <v>69571.896500000003</v>
      </c>
      <c r="AC19">
        <v>91727.506599999993</v>
      </c>
      <c r="AD19">
        <v>106949.1547</v>
      </c>
      <c r="AE19">
        <v>121560.61440000001</v>
      </c>
    </row>
    <row r="20" spans="1:31" x14ac:dyDescent="0.25">
      <c r="A20" t="s">
        <v>84</v>
      </c>
    </row>
    <row r="21" spans="1:31" x14ac:dyDescent="0.25">
      <c r="A21" t="s">
        <v>64</v>
      </c>
      <c r="B21">
        <v>2.3092000000000001</v>
      </c>
      <c r="C21">
        <v>15.2209</v>
      </c>
      <c r="D21">
        <v>17.616900000000001</v>
      </c>
      <c r="E21">
        <v>31.07</v>
      </c>
      <c r="F21">
        <v>50.9253</v>
      </c>
      <c r="G21">
        <v>86.122699999999995</v>
      </c>
      <c r="H21">
        <v>134.13999999999999</v>
      </c>
      <c r="I21">
        <v>192.18</v>
      </c>
      <c r="J21">
        <v>278.31200000000001</v>
      </c>
      <c r="K21">
        <v>334.57769999999999</v>
      </c>
      <c r="L21">
        <v>485.08370000000002</v>
      </c>
      <c r="M21">
        <v>659.02829999999994</v>
      </c>
      <c r="N21">
        <v>1071.029</v>
      </c>
      <c r="O21">
        <v>1815.3584000000001</v>
      </c>
      <c r="P21">
        <v>2514.5333000000001</v>
      </c>
      <c r="Q21">
        <v>3388.4906000000001</v>
      </c>
      <c r="R21">
        <v>4242.2053999999998</v>
      </c>
      <c r="S21">
        <v>5179.4328999999998</v>
      </c>
      <c r="T21">
        <v>6217.6665999999996</v>
      </c>
      <c r="U21">
        <v>7357.8222999999998</v>
      </c>
      <c r="V21">
        <v>8223.6628000000001</v>
      </c>
      <c r="W21">
        <v>3679.2791999999999</v>
      </c>
      <c r="X21">
        <v>275.68130000000002</v>
      </c>
      <c r="Y21">
        <v>4676.6082999999999</v>
      </c>
      <c r="Z21">
        <v>1627.2154</v>
      </c>
      <c r="AA21">
        <v>6588.5006000000003</v>
      </c>
      <c r="AB21">
        <v>13025.4784</v>
      </c>
      <c r="AC21">
        <v>9579.6785</v>
      </c>
      <c r="AD21">
        <v>24861.433199999999</v>
      </c>
      <c r="AE21">
        <v>26373.481899999999</v>
      </c>
    </row>
    <row r="22" spans="1:31" x14ac:dyDescent="0.25">
      <c r="A22" t="s">
        <v>65</v>
      </c>
      <c r="C22">
        <v>0</v>
      </c>
      <c r="D22">
        <v>-1.0306999999999999</v>
      </c>
      <c r="L22">
        <v>0</v>
      </c>
      <c r="M22">
        <v>0</v>
      </c>
      <c r="N22">
        <v>0</v>
      </c>
      <c r="O22">
        <v>0</v>
      </c>
      <c r="P22">
        <v>0</v>
      </c>
      <c r="R22">
        <v>0</v>
      </c>
    </row>
    <row r="23" spans="1:31" x14ac:dyDescent="0.25">
      <c r="A23" t="s">
        <v>66</v>
      </c>
      <c r="C23">
        <v>10.817600000000001</v>
      </c>
      <c r="D23">
        <v>20.533799999999999</v>
      </c>
      <c r="E23">
        <v>30.710799999999999</v>
      </c>
      <c r="F23">
        <v>41.9893</v>
      </c>
      <c r="G23">
        <v>52.597999999999999</v>
      </c>
      <c r="H23">
        <v>74.37</v>
      </c>
      <c r="I23">
        <v>78.64</v>
      </c>
      <c r="J23">
        <v>122.4667</v>
      </c>
      <c r="K23">
        <v>182.10239999999999</v>
      </c>
      <c r="L23">
        <v>197.4076</v>
      </c>
      <c r="M23">
        <v>731.03899999999999</v>
      </c>
      <c r="N23">
        <v>1029.0740000000001</v>
      </c>
      <c r="O23">
        <v>1553.8688999999999</v>
      </c>
      <c r="P23">
        <v>2348.0864999999999</v>
      </c>
      <c r="Q23">
        <v>3427.4337</v>
      </c>
      <c r="R23">
        <v>4969.7707</v>
      </c>
      <c r="S23">
        <v>7329.4476000000004</v>
      </c>
      <c r="T23">
        <v>10029.2624</v>
      </c>
      <c r="U23">
        <v>13501.446099999999</v>
      </c>
      <c r="V23">
        <v>17623.491399999999</v>
      </c>
      <c r="W23">
        <v>23766.455900000001</v>
      </c>
      <c r="X23">
        <v>24448.327499999999</v>
      </c>
      <c r="Y23">
        <v>23043.051800000001</v>
      </c>
      <c r="Z23">
        <v>24322.995299999999</v>
      </c>
      <c r="AA23">
        <v>26190.454699999998</v>
      </c>
      <c r="AB23">
        <v>29985.280999999999</v>
      </c>
      <c r="AC23">
        <v>38100.659099999997</v>
      </c>
      <c r="AD23">
        <v>44144.930200000003</v>
      </c>
      <c r="AE23">
        <v>60254.0556</v>
      </c>
    </row>
    <row r="24" spans="1:31" x14ac:dyDescent="0.25">
      <c r="A24" t="s">
        <v>69</v>
      </c>
      <c r="C24">
        <v>-0.2039</v>
      </c>
      <c r="D24">
        <v>-0.56140000000000001</v>
      </c>
      <c r="E24">
        <v>1.24E-2</v>
      </c>
      <c r="F24">
        <v>0.1358</v>
      </c>
      <c r="G24">
        <v>1.4E-3</v>
      </c>
      <c r="H24">
        <v>2.39</v>
      </c>
      <c r="M24">
        <v>-31.802800000000001</v>
      </c>
    </row>
    <row r="25" spans="1:31" x14ac:dyDescent="0.25">
      <c r="A25" t="s">
        <v>70</v>
      </c>
      <c r="B25">
        <v>2.3092000000000001</v>
      </c>
      <c r="C25">
        <v>25.834599999999998</v>
      </c>
      <c r="D25">
        <v>37.589300000000001</v>
      </c>
      <c r="E25">
        <v>61.793199999999999</v>
      </c>
      <c r="F25">
        <v>93.050399999999996</v>
      </c>
      <c r="G25">
        <v>138.72210000000001</v>
      </c>
      <c r="H25">
        <v>210.89999999999998</v>
      </c>
      <c r="I25">
        <v>270.82</v>
      </c>
      <c r="J25">
        <v>400.77870000000001</v>
      </c>
      <c r="K25">
        <v>516.68010000000004</v>
      </c>
      <c r="L25">
        <v>682.49130000000002</v>
      </c>
      <c r="M25">
        <v>1358.2645</v>
      </c>
      <c r="N25">
        <v>2100.1030000000001</v>
      </c>
      <c r="O25">
        <v>3369.2273</v>
      </c>
      <c r="P25">
        <v>4862.6198000000004</v>
      </c>
      <c r="Q25">
        <v>6815.9242999999997</v>
      </c>
      <c r="R25">
        <v>9211.9760999999999</v>
      </c>
      <c r="S25">
        <v>12508.880499999999</v>
      </c>
      <c r="T25">
        <v>16246.929</v>
      </c>
      <c r="U25">
        <v>20859.268400000001</v>
      </c>
      <c r="V25">
        <v>25847.154200000001</v>
      </c>
      <c r="W25">
        <v>27445.735100000002</v>
      </c>
      <c r="X25">
        <v>24724.0088</v>
      </c>
      <c r="Y25">
        <v>27719.660100000001</v>
      </c>
      <c r="Z25">
        <v>25950.2107</v>
      </c>
      <c r="AA25">
        <v>32778.955300000001</v>
      </c>
      <c r="AB25">
        <v>43010.759400000003</v>
      </c>
      <c r="AC25">
        <v>47680.337599999999</v>
      </c>
      <c r="AD25">
        <v>69006.363400000002</v>
      </c>
      <c r="AE25">
        <v>86627.537500000006</v>
      </c>
    </row>
    <row r="26" spans="1:31" x14ac:dyDescent="0.25">
      <c r="A26" t="s">
        <v>71</v>
      </c>
      <c r="B26">
        <v>2.3092000000000001</v>
      </c>
      <c r="C26">
        <v>25.834599999999998</v>
      </c>
      <c r="D26">
        <v>36.558599999999998</v>
      </c>
      <c r="E26">
        <v>61.793199999999999</v>
      </c>
      <c r="F26">
        <v>93.050399999999996</v>
      </c>
      <c r="G26">
        <v>138.72210000000001</v>
      </c>
      <c r="H26">
        <v>210.9</v>
      </c>
      <c r="I26">
        <v>270.82</v>
      </c>
      <c r="J26">
        <v>400.77870000000001</v>
      </c>
      <c r="K26">
        <v>516.68010000000004</v>
      </c>
      <c r="L26">
        <v>682.49130000000002</v>
      </c>
      <c r="M26">
        <v>1358.2645</v>
      </c>
      <c r="N26">
        <v>2100.1030000000001</v>
      </c>
      <c r="O26">
        <v>3369.2273</v>
      </c>
      <c r="P26">
        <v>4862.6198000000004</v>
      </c>
      <c r="Q26">
        <v>6815.9242999999997</v>
      </c>
      <c r="R26">
        <v>9211.9760999999999</v>
      </c>
      <c r="S26">
        <v>12508.880499999999</v>
      </c>
      <c r="T26">
        <v>16246.929</v>
      </c>
      <c r="U26">
        <v>20859.268400000001</v>
      </c>
      <c r="V26">
        <v>25847.154200000001</v>
      </c>
      <c r="W26">
        <v>27445.735100000002</v>
      </c>
      <c r="X26">
        <v>24724.0088</v>
      </c>
      <c r="Y26">
        <v>27719.660100000001</v>
      </c>
      <c r="Z26">
        <v>25950.2107</v>
      </c>
      <c r="AA26">
        <v>32778.955300000001</v>
      </c>
      <c r="AB26">
        <v>43010.759400000003</v>
      </c>
      <c r="AC26">
        <v>47680.337599999999</v>
      </c>
      <c r="AD26">
        <v>69006.363400000002</v>
      </c>
      <c r="AE26">
        <v>86627.537500000006</v>
      </c>
    </row>
    <row r="27" spans="1:31" x14ac:dyDescent="0.25">
      <c r="A27" t="s">
        <v>72</v>
      </c>
      <c r="E27">
        <v>10</v>
      </c>
      <c r="F27">
        <v>12</v>
      </c>
      <c r="G27">
        <v>15</v>
      </c>
      <c r="H27">
        <v>20</v>
      </c>
      <c r="I27">
        <v>22</v>
      </c>
      <c r="J27">
        <v>25</v>
      </c>
      <c r="K27">
        <v>28</v>
      </c>
      <c r="L27">
        <v>35</v>
      </c>
      <c r="M27">
        <v>45</v>
      </c>
      <c r="N27">
        <v>60</v>
      </c>
      <c r="O27">
        <v>100</v>
      </c>
      <c r="P27">
        <v>120</v>
      </c>
      <c r="Q27">
        <v>140</v>
      </c>
      <c r="R27">
        <v>160</v>
      </c>
      <c r="S27">
        <v>180</v>
      </c>
      <c r="T27">
        <v>200</v>
      </c>
      <c r="U27">
        <v>230</v>
      </c>
      <c r="V27">
        <v>250</v>
      </c>
      <c r="W27">
        <v>250</v>
      </c>
      <c r="Y27">
        <v>50</v>
      </c>
      <c r="AB27">
        <v>50</v>
      </c>
      <c r="AC27">
        <v>50</v>
      </c>
      <c r="AD27">
        <v>50</v>
      </c>
      <c r="AE27">
        <v>50</v>
      </c>
    </row>
    <row r="28" spans="1:31" x14ac:dyDescent="0.25">
      <c r="A28" t="s">
        <v>85</v>
      </c>
      <c r="B28">
        <v>0.20079982539145616</v>
      </c>
      <c r="C28">
        <v>1.3235553708214165</v>
      </c>
      <c r="D28">
        <v>1.5319030157365079</v>
      </c>
      <c r="E28">
        <v>2.3555152566427497</v>
      </c>
      <c r="F28">
        <v>3.8608085323176389</v>
      </c>
      <c r="G28">
        <v>6.529235075418943</v>
      </c>
      <c r="H28">
        <v>6.9933788645013282</v>
      </c>
      <c r="I28">
        <v>8.3487553759937452</v>
      </c>
      <c r="J28">
        <v>12.017932417482292</v>
      </c>
      <c r="K28">
        <v>12.219945185546631</v>
      </c>
      <c r="L28">
        <v>17.405799999999999</v>
      </c>
      <c r="M28">
        <v>23.400400000000001</v>
      </c>
      <c r="N28">
        <v>29.941299999999998</v>
      </c>
      <c r="O28">
        <v>50.566400000000002</v>
      </c>
      <c r="P28">
        <v>62.060600000000001</v>
      </c>
      <c r="Q28">
        <v>82.536199999999994</v>
      </c>
      <c r="R28">
        <v>102.6662</v>
      </c>
      <c r="S28">
        <v>110.6824</v>
      </c>
      <c r="T28">
        <v>132.33449999999999</v>
      </c>
      <c r="U28">
        <v>31.038799999999998</v>
      </c>
      <c r="V28">
        <v>34.512099999999997</v>
      </c>
      <c r="W28">
        <v>15.3621</v>
      </c>
      <c r="X28">
        <v>1.0741000000000001</v>
      </c>
      <c r="Y28">
        <v>18.185300000000002</v>
      </c>
      <c r="Z28">
        <v>5.7667999999999999</v>
      </c>
      <c r="AA28">
        <v>21.5047</v>
      </c>
      <c r="AB28">
        <v>42.431800000000003</v>
      </c>
      <c r="AC28">
        <v>31.134674335977198</v>
      </c>
      <c r="AD28">
        <v>80.5471</v>
      </c>
      <c r="AE28">
        <v>85.147999999999996</v>
      </c>
    </row>
    <row r="29" spans="1:31" x14ac:dyDescent="0.25">
      <c r="A29" t="s">
        <v>73</v>
      </c>
      <c r="B29">
        <v>4.0159965078291233E-2</v>
      </c>
      <c r="C29">
        <v>0.2647110741642833</v>
      </c>
      <c r="D29">
        <v>0.30638060314730159</v>
      </c>
      <c r="E29">
        <v>0.47110305132854996</v>
      </c>
      <c r="F29">
        <v>0.77216170646352777</v>
      </c>
      <c r="G29">
        <v>1.3058470150837886</v>
      </c>
      <c r="H29">
        <v>1.3986757729002657</v>
      </c>
      <c r="I29">
        <v>1.669751075198749</v>
      </c>
      <c r="J29">
        <v>2.4035864834964586</v>
      </c>
      <c r="K29">
        <v>2.4439890371093265</v>
      </c>
      <c r="L29">
        <v>3.4811999999999999</v>
      </c>
      <c r="M29">
        <v>4.6801000000000004</v>
      </c>
      <c r="N29">
        <v>5.9882999999999997</v>
      </c>
      <c r="O29">
        <v>10.113300000000001</v>
      </c>
      <c r="P29">
        <v>12.412100000000001</v>
      </c>
      <c r="Q29">
        <v>16.507200000000001</v>
      </c>
      <c r="R29">
        <v>20.533200000000001</v>
      </c>
      <c r="S29">
        <v>22.136500000000002</v>
      </c>
      <c r="T29">
        <v>26.466899999999999</v>
      </c>
      <c r="U29">
        <v>31.038799999999998</v>
      </c>
      <c r="V29">
        <v>34.512099999999997</v>
      </c>
      <c r="W29">
        <v>15.3621</v>
      </c>
      <c r="X29">
        <v>1.0741000000000001</v>
      </c>
      <c r="Y29">
        <v>18.185300000000002</v>
      </c>
      <c r="Z29">
        <v>5.7667999999999999</v>
      </c>
      <c r="AA29">
        <v>21.5047</v>
      </c>
      <c r="AB29">
        <v>42.431800000000003</v>
      </c>
      <c r="AC29">
        <v>31.134699999999999</v>
      </c>
      <c r="AD29">
        <v>80.5471</v>
      </c>
      <c r="AE29">
        <v>85.147999999999996</v>
      </c>
    </row>
    <row r="30" spans="1:31" x14ac:dyDescent="0.25">
      <c r="A30" t="s">
        <v>86</v>
      </c>
      <c r="E30">
        <v>2.36</v>
      </c>
      <c r="F30">
        <v>3.86</v>
      </c>
      <c r="G30">
        <v>6.53</v>
      </c>
      <c r="H30">
        <v>6.99</v>
      </c>
      <c r="I30">
        <v>8.35</v>
      </c>
      <c r="J30">
        <v>12.02</v>
      </c>
      <c r="K30">
        <v>12.22</v>
      </c>
      <c r="L30">
        <v>17.45</v>
      </c>
      <c r="M30">
        <v>23.5</v>
      </c>
      <c r="N30">
        <v>32.15</v>
      </c>
      <c r="O30">
        <v>50.61</v>
      </c>
      <c r="P30">
        <v>65.78</v>
      </c>
      <c r="Q30">
        <v>82.95</v>
      </c>
      <c r="R30">
        <v>102.94</v>
      </c>
      <c r="S30">
        <v>119.67</v>
      </c>
      <c r="T30">
        <v>26.51</v>
      </c>
      <c r="U30">
        <v>31.18</v>
      </c>
      <c r="V30">
        <v>34.590000000000003</v>
      </c>
      <c r="W30">
        <v>15.4</v>
      </c>
      <c r="X30">
        <v>1.1299999999999999</v>
      </c>
      <c r="Y30">
        <v>18.2</v>
      </c>
      <c r="Z30">
        <v>5.99</v>
      </c>
      <c r="AA30">
        <v>22.15</v>
      </c>
      <c r="AB30">
        <v>42.48</v>
      </c>
      <c r="AC30">
        <v>31.17</v>
      </c>
      <c r="AD30">
        <v>80.67</v>
      </c>
      <c r="AE30">
        <v>85.28</v>
      </c>
    </row>
    <row r="31" spans="1:31" x14ac:dyDescent="0.25">
      <c r="A31" t="s">
        <v>87</v>
      </c>
      <c r="Q31">
        <v>81.61</v>
      </c>
      <c r="R31">
        <v>102.2</v>
      </c>
      <c r="U31">
        <v>30.85</v>
      </c>
      <c r="V31">
        <v>34.4</v>
      </c>
      <c r="X31">
        <v>1.1200000000000001</v>
      </c>
      <c r="Y31">
        <v>18.09</v>
      </c>
      <c r="Z31">
        <v>5.97</v>
      </c>
      <c r="AA31">
        <v>22.09</v>
      </c>
      <c r="AB31">
        <v>42.35</v>
      </c>
      <c r="AC31">
        <v>31.02</v>
      </c>
      <c r="AD31">
        <v>80.099999999999994</v>
      </c>
      <c r="AE31">
        <v>84.77</v>
      </c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Annual Raw</vt:lpstr>
      <vt:lpstr>QTR Raw</vt:lpstr>
      <vt:lpstr>QTR Share Price</vt:lpstr>
      <vt:lpstr>Share price Daily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Research Team 2</cp:lastModifiedBy>
  <dcterms:created xsi:type="dcterms:W3CDTF">2019-06-11T08:52:47Z</dcterms:created>
  <dcterms:modified xsi:type="dcterms:W3CDTF">2026-06-24T10:19:01Z</dcterms:modified>
</cp:coreProperties>
</file>